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6D7BE3D0-9255-6837-6703-DDC3ED590948}"/>
  <workbookPr codeName="ThisWorkbook" defaultThemeVersion="124226"/>
  <bookViews>
    <workbookView xWindow="-15" yWindow="-15" windowWidth="15405" windowHeight="8175" tabRatio="693"/>
  </bookViews>
  <sheets>
    <sheet name="Requirements" sheetId="2" r:id="rId1"/>
    <sheet name="ScenarioReq Traceability Matrix" sheetId="4" r:id="rId2"/>
    <sheet name="Blocking Issues" sheetId="5" r:id="rId3"/>
    <sheet name="Usage" sheetId="6" r:id="rId4"/>
  </sheets>
  <definedNames>
    <definedName name="_xlnm._FilterDatabase" localSheetId="0" hidden="1">Requirements!$A$22:$K$966</definedName>
    <definedName name="ExtensionList">Requirements!#REF!</definedName>
    <definedName name="_xlnm.Print_Titles" localSheetId="0">Requirements!$A:$A,Requirements!$22:$22</definedName>
    <definedName name="ScopeList">Requirements!#REF!</definedName>
  </definedNames>
  <calcPr calcId="125725"/>
</workbook>
</file>

<file path=xl/calcChain.xml><?xml version="1.0" encoding="utf-8"?>
<calcChain xmlns="http://schemas.openxmlformats.org/spreadsheetml/2006/main">
  <c r="J952" i="4"/>
  <c r="M7"/>
  <c r="M8"/>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305"/>
  <c r="M306"/>
  <c r="M307"/>
  <c r="M308"/>
  <c r="M309"/>
  <c r="M310"/>
  <c r="M311"/>
  <c r="M312"/>
  <c r="M313"/>
  <c r="M314"/>
  <c r="M315"/>
  <c r="M316"/>
  <c r="M317"/>
  <c r="M318"/>
  <c r="M319"/>
  <c r="M320"/>
  <c r="M321"/>
  <c r="M322"/>
  <c r="M323"/>
  <c r="M324"/>
  <c r="M325"/>
  <c r="M326"/>
  <c r="M327"/>
  <c r="M328"/>
  <c r="M329"/>
  <c r="M330"/>
  <c r="M331"/>
  <c r="M332"/>
  <c r="M333"/>
  <c r="M334"/>
  <c r="M335"/>
  <c r="M336"/>
  <c r="M337"/>
  <c r="M338"/>
  <c r="M339"/>
  <c r="M340"/>
  <c r="M341"/>
  <c r="M342"/>
  <c r="M343"/>
  <c r="M344"/>
  <c r="M345"/>
  <c r="M346"/>
  <c r="M347"/>
  <c r="M348"/>
  <c r="M349"/>
  <c r="M350"/>
  <c r="M351"/>
  <c r="M352"/>
  <c r="M353"/>
  <c r="M354"/>
  <c r="M355"/>
  <c r="M356"/>
  <c r="M357"/>
  <c r="M358"/>
  <c r="M359"/>
  <c r="M360"/>
  <c r="M361"/>
  <c r="M362"/>
  <c r="M363"/>
  <c r="M364"/>
  <c r="M365"/>
  <c r="M366"/>
  <c r="M367"/>
  <c r="M368"/>
  <c r="M369"/>
  <c r="M370"/>
  <c r="M371"/>
  <c r="M372"/>
  <c r="M373"/>
  <c r="M374"/>
  <c r="M375"/>
  <c r="M376"/>
  <c r="M377"/>
  <c r="M378"/>
  <c r="M379"/>
  <c r="M380"/>
  <c r="M381"/>
  <c r="M382"/>
  <c r="M383"/>
  <c r="M384"/>
  <c r="M385"/>
  <c r="M386"/>
  <c r="M387"/>
  <c r="M388"/>
  <c r="M389"/>
  <c r="M390"/>
  <c r="M391"/>
  <c r="M392"/>
  <c r="M393"/>
  <c r="M394"/>
  <c r="M395"/>
  <c r="M396"/>
  <c r="M397"/>
  <c r="M398"/>
  <c r="M399"/>
  <c r="M400"/>
  <c r="M401"/>
  <c r="M402"/>
  <c r="M403"/>
  <c r="M404"/>
  <c r="M405"/>
  <c r="M406"/>
  <c r="M407"/>
  <c r="M408"/>
  <c r="M409"/>
  <c r="M410"/>
  <c r="M411"/>
  <c r="M412"/>
  <c r="M413"/>
  <c r="M414"/>
  <c r="M415"/>
  <c r="M416"/>
  <c r="M417"/>
  <c r="M418"/>
  <c r="M419"/>
  <c r="M420"/>
  <c r="M421"/>
  <c r="M422"/>
  <c r="M423"/>
  <c r="M424"/>
  <c r="M425"/>
  <c r="M426"/>
  <c r="M427"/>
  <c r="M428"/>
  <c r="M429"/>
  <c r="M430"/>
  <c r="M431"/>
  <c r="M432"/>
  <c r="M433"/>
  <c r="M434"/>
  <c r="M435"/>
  <c r="M436"/>
  <c r="M437"/>
  <c r="M438"/>
  <c r="M439"/>
  <c r="M440"/>
  <c r="M441"/>
  <c r="M442"/>
  <c r="M443"/>
  <c r="M444"/>
  <c r="M445"/>
  <c r="M446"/>
  <c r="M447"/>
  <c r="M448"/>
  <c r="M449"/>
  <c r="M450"/>
  <c r="M451"/>
  <c r="M452"/>
  <c r="M453"/>
  <c r="M454"/>
  <c r="M455"/>
  <c r="M456"/>
  <c r="M457"/>
  <c r="M458"/>
  <c r="M459"/>
  <c r="M460"/>
  <c r="M461"/>
  <c r="M462"/>
  <c r="M463"/>
  <c r="M464"/>
  <c r="M465"/>
  <c r="M466"/>
  <c r="M467"/>
  <c r="M468"/>
  <c r="M469"/>
  <c r="M470"/>
  <c r="M471"/>
  <c r="M472"/>
  <c r="M473"/>
  <c r="M474"/>
  <c r="M475"/>
  <c r="M476"/>
  <c r="M477"/>
  <c r="M478"/>
  <c r="M479"/>
  <c r="M480"/>
  <c r="M481"/>
  <c r="M482"/>
  <c r="M483"/>
  <c r="M484"/>
  <c r="M485"/>
  <c r="M486"/>
  <c r="M487"/>
  <c r="M488"/>
  <c r="M489"/>
  <c r="M490"/>
  <c r="M491"/>
  <c r="M492"/>
  <c r="M493"/>
  <c r="M494"/>
  <c r="M495"/>
  <c r="M496"/>
  <c r="M497"/>
  <c r="M498"/>
  <c r="M499"/>
  <c r="M500"/>
  <c r="M501"/>
  <c r="M502"/>
  <c r="M503"/>
  <c r="M504"/>
  <c r="M505"/>
  <c r="M506"/>
  <c r="M507"/>
  <c r="M508"/>
  <c r="M509"/>
  <c r="M510"/>
  <c r="M511"/>
  <c r="M512"/>
  <c r="M513"/>
  <c r="M514"/>
  <c r="M515"/>
  <c r="M516"/>
  <c r="M517"/>
  <c r="M518"/>
  <c r="M519"/>
  <c r="M520"/>
  <c r="M521"/>
  <c r="M522"/>
  <c r="M523"/>
  <c r="M524"/>
  <c r="M525"/>
  <c r="M526"/>
  <c r="M527"/>
  <c r="M528"/>
  <c r="M529"/>
  <c r="M530"/>
  <c r="M531"/>
  <c r="M532"/>
  <c r="M533"/>
  <c r="M534"/>
  <c r="M535"/>
  <c r="M536"/>
  <c r="M537"/>
  <c r="M538"/>
  <c r="M539"/>
  <c r="M540"/>
  <c r="M541"/>
  <c r="M542"/>
  <c r="M543"/>
  <c r="M544"/>
  <c r="M545"/>
  <c r="M546"/>
  <c r="M547"/>
  <c r="M548"/>
  <c r="M549"/>
  <c r="M550"/>
  <c r="M551"/>
  <c r="M552"/>
  <c r="M553"/>
  <c r="M554"/>
  <c r="M555"/>
  <c r="M556"/>
  <c r="M557"/>
  <c r="M558"/>
  <c r="M559"/>
  <c r="M560"/>
  <c r="M561"/>
  <c r="M562"/>
  <c r="M563"/>
  <c r="M564"/>
  <c r="M565"/>
  <c r="M566"/>
  <c r="M567"/>
  <c r="M568"/>
  <c r="M569"/>
  <c r="M570"/>
  <c r="M571"/>
  <c r="M572"/>
  <c r="M573"/>
  <c r="M574"/>
  <c r="M575"/>
  <c r="M576"/>
  <c r="M577"/>
  <c r="M578"/>
  <c r="M579"/>
  <c r="M580"/>
  <c r="M581"/>
  <c r="M582"/>
  <c r="M583"/>
  <c r="M584"/>
  <c r="M585"/>
  <c r="M586"/>
  <c r="M587"/>
  <c r="M588"/>
  <c r="M589"/>
  <c r="M590"/>
  <c r="M591"/>
  <c r="M592"/>
  <c r="M593"/>
  <c r="M594"/>
  <c r="M595"/>
  <c r="M596"/>
  <c r="M597"/>
  <c r="M598"/>
  <c r="M599"/>
  <c r="M600"/>
  <c r="M601"/>
  <c r="M602"/>
  <c r="M603"/>
  <c r="M604"/>
  <c r="M605"/>
  <c r="M606"/>
  <c r="M607"/>
  <c r="M608"/>
  <c r="M609"/>
  <c r="M610"/>
  <c r="M611"/>
  <c r="M612"/>
  <c r="M613"/>
  <c r="M614"/>
  <c r="M615"/>
  <c r="M616"/>
  <c r="M617"/>
  <c r="M618"/>
  <c r="M619"/>
  <c r="M620"/>
  <c r="M621"/>
  <c r="M622"/>
  <c r="M623"/>
  <c r="M624"/>
  <c r="M625"/>
  <c r="M626"/>
  <c r="M627"/>
  <c r="M628"/>
  <c r="M629"/>
  <c r="M630"/>
  <c r="M631"/>
  <c r="M632"/>
  <c r="M633"/>
  <c r="M634"/>
  <c r="M635"/>
  <c r="M636"/>
  <c r="M637"/>
  <c r="M638"/>
  <c r="M639"/>
  <c r="M640"/>
  <c r="M641"/>
  <c r="M642"/>
  <c r="M643"/>
  <c r="M644"/>
  <c r="M645"/>
  <c r="M646"/>
  <c r="M647"/>
  <c r="M648"/>
  <c r="M649"/>
  <c r="M650"/>
  <c r="M651"/>
  <c r="M652"/>
  <c r="M653"/>
  <c r="M654"/>
  <c r="M655"/>
  <c r="M656"/>
  <c r="M657"/>
  <c r="M658"/>
  <c r="M659"/>
  <c r="M660"/>
  <c r="M661"/>
  <c r="M662"/>
  <c r="M663"/>
  <c r="M664"/>
  <c r="M665"/>
  <c r="M666"/>
  <c r="M667"/>
  <c r="M668"/>
  <c r="M669"/>
  <c r="M670"/>
  <c r="M671"/>
  <c r="M672"/>
  <c r="M673"/>
  <c r="M674"/>
  <c r="M675"/>
  <c r="M676"/>
  <c r="M677"/>
  <c r="M678"/>
  <c r="M679"/>
  <c r="M680"/>
  <c r="M681"/>
  <c r="M682"/>
  <c r="M683"/>
  <c r="M684"/>
  <c r="M685"/>
  <c r="M686"/>
  <c r="M687"/>
  <c r="M688"/>
  <c r="M689"/>
  <c r="M690"/>
  <c r="M691"/>
  <c r="M692"/>
  <c r="M693"/>
  <c r="M694"/>
  <c r="M695"/>
  <c r="M696"/>
  <c r="M697"/>
  <c r="M698"/>
  <c r="M699"/>
  <c r="M700"/>
  <c r="M701"/>
  <c r="M702"/>
  <c r="M703"/>
  <c r="M704"/>
  <c r="M705"/>
  <c r="M706"/>
  <c r="M707"/>
  <c r="M708"/>
  <c r="M709"/>
  <c r="M710"/>
  <c r="M711"/>
  <c r="M712"/>
  <c r="M713"/>
  <c r="M714"/>
  <c r="M715"/>
  <c r="M716"/>
  <c r="M717"/>
  <c r="M718"/>
  <c r="M719"/>
  <c r="M720"/>
  <c r="M721"/>
  <c r="M722"/>
  <c r="M723"/>
  <c r="M724"/>
  <c r="M725"/>
  <c r="M726"/>
  <c r="M727"/>
  <c r="M728"/>
  <c r="M729"/>
  <c r="M730"/>
  <c r="M731"/>
  <c r="M732"/>
  <c r="M733"/>
  <c r="M734"/>
  <c r="M735"/>
  <c r="M736"/>
  <c r="M737"/>
  <c r="M738"/>
  <c r="M739"/>
  <c r="M740"/>
  <c r="M741"/>
  <c r="M742"/>
  <c r="M743"/>
  <c r="M744"/>
  <c r="M745"/>
  <c r="M746"/>
  <c r="M747"/>
  <c r="M748"/>
  <c r="M749"/>
  <c r="M750"/>
  <c r="M751"/>
  <c r="M752"/>
  <c r="M753"/>
  <c r="M754"/>
  <c r="M755"/>
  <c r="M756"/>
  <c r="M757"/>
  <c r="M758"/>
  <c r="M759"/>
  <c r="M760"/>
  <c r="M761"/>
  <c r="M762"/>
  <c r="M763"/>
  <c r="M764"/>
  <c r="M765"/>
  <c r="M766"/>
  <c r="M767"/>
  <c r="M768"/>
  <c r="M769"/>
  <c r="M770"/>
  <c r="M771"/>
  <c r="M772"/>
  <c r="M773"/>
  <c r="M774"/>
  <c r="M775"/>
  <c r="M776"/>
  <c r="M777"/>
  <c r="M778"/>
  <c r="M779"/>
  <c r="M780"/>
  <c r="M781"/>
  <c r="M782"/>
  <c r="M783"/>
  <c r="M784"/>
  <c r="M785"/>
  <c r="M786"/>
  <c r="M787"/>
  <c r="M788"/>
  <c r="M789"/>
  <c r="M790"/>
  <c r="M791"/>
  <c r="M792"/>
  <c r="M793"/>
  <c r="M794"/>
  <c r="M795"/>
  <c r="M796"/>
  <c r="M797"/>
  <c r="M798"/>
  <c r="M799"/>
  <c r="M800"/>
  <c r="M801"/>
  <c r="M802"/>
  <c r="M803"/>
  <c r="M804"/>
  <c r="M805"/>
  <c r="M806"/>
  <c r="M807"/>
  <c r="M808"/>
  <c r="M809"/>
  <c r="M810"/>
  <c r="M811"/>
  <c r="M812"/>
  <c r="M813"/>
  <c r="M814"/>
  <c r="M815"/>
  <c r="M816"/>
  <c r="M817"/>
  <c r="M818"/>
  <c r="M819"/>
  <c r="M820"/>
  <c r="M821"/>
  <c r="M822"/>
  <c r="M823"/>
  <c r="M824"/>
  <c r="M825"/>
  <c r="M826"/>
  <c r="M827"/>
  <c r="M828"/>
  <c r="M829"/>
  <c r="M830"/>
  <c r="M831"/>
  <c r="M832"/>
  <c r="M833"/>
  <c r="M834"/>
  <c r="M835"/>
  <c r="M836"/>
  <c r="M837"/>
  <c r="M838"/>
  <c r="M839"/>
  <c r="M840"/>
  <c r="M841"/>
  <c r="M842"/>
  <c r="M843"/>
  <c r="M844"/>
  <c r="M845"/>
  <c r="M846"/>
  <c r="M847"/>
  <c r="M848"/>
  <c r="M849"/>
  <c r="M850"/>
  <c r="M851"/>
  <c r="M852"/>
  <c r="M853"/>
  <c r="M854"/>
  <c r="M855"/>
  <c r="M856"/>
  <c r="M857"/>
  <c r="M858"/>
  <c r="M859"/>
  <c r="M860"/>
  <c r="M861"/>
  <c r="M862"/>
  <c r="M863"/>
  <c r="M864"/>
  <c r="M865"/>
  <c r="M866"/>
  <c r="M867"/>
  <c r="M868"/>
  <c r="M869"/>
  <c r="M870"/>
  <c r="M871"/>
  <c r="M872"/>
  <c r="M873"/>
  <c r="M874"/>
  <c r="M875"/>
  <c r="M876"/>
  <c r="M877"/>
  <c r="M878"/>
  <c r="M879"/>
  <c r="M880"/>
  <c r="M881"/>
  <c r="M882"/>
  <c r="M883"/>
  <c r="M884"/>
  <c r="M885"/>
  <c r="M886"/>
  <c r="M887"/>
  <c r="M888"/>
  <c r="M889"/>
  <c r="M890"/>
  <c r="M891"/>
  <c r="M892"/>
  <c r="M893"/>
  <c r="M894"/>
  <c r="M895"/>
  <c r="M896"/>
  <c r="M897"/>
  <c r="M898"/>
  <c r="M899"/>
  <c r="M900"/>
  <c r="M901"/>
  <c r="M902"/>
  <c r="M903"/>
  <c r="M904"/>
  <c r="M905"/>
  <c r="M906"/>
  <c r="M907"/>
  <c r="M908"/>
  <c r="M909"/>
  <c r="M910"/>
  <c r="M911"/>
  <c r="M912"/>
  <c r="M913"/>
  <c r="M914"/>
  <c r="M915"/>
  <c r="M916"/>
  <c r="M917"/>
  <c r="M918"/>
  <c r="M919"/>
  <c r="M920"/>
  <c r="M921"/>
  <c r="M922"/>
  <c r="M923"/>
  <c r="M924"/>
  <c r="M925"/>
  <c r="M926"/>
  <c r="M927"/>
  <c r="M928"/>
  <c r="M929"/>
  <c r="M930"/>
  <c r="M931"/>
  <c r="M932"/>
  <c r="M933"/>
  <c r="M934"/>
  <c r="M935"/>
  <c r="M936"/>
  <c r="M937"/>
  <c r="M938"/>
  <c r="M939"/>
  <c r="M940"/>
  <c r="M941"/>
  <c r="M942"/>
  <c r="M943"/>
  <c r="M944"/>
  <c r="M945"/>
  <c r="M946"/>
  <c r="M947"/>
  <c r="M948"/>
  <c r="M949"/>
  <c r="L7"/>
  <c r="L8"/>
  <c r="L9"/>
  <c r="L10"/>
  <c r="L11"/>
  <c r="L12"/>
  <c r="L13"/>
  <c r="L14"/>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L55"/>
  <c r="L56"/>
  <c r="L57"/>
  <c r="L58"/>
  <c r="L59"/>
  <c r="L60"/>
  <c r="L61"/>
  <c r="L62"/>
  <c r="L63"/>
  <c r="L64"/>
  <c r="L65"/>
  <c r="L66"/>
  <c r="L67"/>
  <c r="L68"/>
  <c r="L69"/>
  <c r="L70"/>
  <c r="L71"/>
  <c r="L72"/>
  <c r="L73"/>
  <c r="L74"/>
  <c r="L75"/>
  <c r="L76"/>
  <c r="L77"/>
  <c r="L78"/>
  <c r="L79"/>
  <c r="L80"/>
  <c r="L81"/>
  <c r="L82"/>
  <c r="L83"/>
  <c r="L84"/>
  <c r="L85"/>
  <c r="L86"/>
  <c r="L87"/>
  <c r="L88"/>
  <c r="L89"/>
  <c r="L90"/>
  <c r="L91"/>
  <c r="L92"/>
  <c r="L93"/>
  <c r="L94"/>
  <c r="L95"/>
  <c r="L96"/>
  <c r="L97"/>
  <c r="L98"/>
  <c r="L99"/>
  <c r="L100"/>
  <c r="L101"/>
  <c r="L102"/>
  <c r="L103"/>
  <c r="L104"/>
  <c r="L105"/>
  <c r="L106"/>
  <c r="L107"/>
  <c r="L108"/>
  <c r="L109"/>
  <c r="L110"/>
  <c r="L111"/>
  <c r="L112"/>
  <c r="L113"/>
  <c r="L114"/>
  <c r="L115"/>
  <c r="L116"/>
  <c r="L117"/>
  <c r="L118"/>
  <c r="L119"/>
  <c r="L120"/>
  <c r="L121"/>
  <c r="L122"/>
  <c r="L123"/>
  <c r="L124"/>
  <c r="L125"/>
  <c r="L126"/>
  <c r="L127"/>
  <c r="L128"/>
  <c r="L129"/>
  <c r="L130"/>
  <c r="L131"/>
  <c r="L132"/>
  <c r="L133"/>
  <c r="L134"/>
  <c r="L135"/>
  <c r="L136"/>
  <c r="L137"/>
  <c r="L138"/>
  <c r="L139"/>
  <c r="L140"/>
  <c r="L141"/>
  <c r="L142"/>
  <c r="L143"/>
  <c r="L144"/>
  <c r="L145"/>
  <c r="L146"/>
  <c r="L147"/>
  <c r="L148"/>
  <c r="L149"/>
  <c r="L150"/>
  <c r="L151"/>
  <c r="L152"/>
  <c r="L153"/>
  <c r="L154"/>
  <c r="L155"/>
  <c r="L156"/>
  <c r="L157"/>
  <c r="L158"/>
  <c r="L159"/>
  <c r="L160"/>
  <c r="L161"/>
  <c r="L162"/>
  <c r="L163"/>
  <c r="L164"/>
  <c r="L165"/>
  <c r="L166"/>
  <c r="L167"/>
  <c r="L168"/>
  <c r="L169"/>
  <c r="L170"/>
  <c r="L171"/>
  <c r="L172"/>
  <c r="L173"/>
  <c r="L174"/>
  <c r="L175"/>
  <c r="L176"/>
  <c r="L177"/>
  <c r="L178"/>
  <c r="L179"/>
  <c r="L180"/>
  <c r="L181"/>
  <c r="L182"/>
  <c r="L183"/>
  <c r="L184"/>
  <c r="L185"/>
  <c r="L186"/>
  <c r="L187"/>
  <c r="L188"/>
  <c r="L189"/>
  <c r="L190"/>
  <c r="L191"/>
  <c r="L192"/>
  <c r="L193"/>
  <c r="L194"/>
  <c r="L195"/>
  <c r="L196"/>
  <c r="L197"/>
  <c r="L198"/>
  <c r="L199"/>
  <c r="L200"/>
  <c r="L201"/>
  <c r="L202"/>
  <c r="L203"/>
  <c r="L204"/>
  <c r="L205"/>
  <c r="L206"/>
  <c r="L207"/>
  <c r="L208"/>
  <c r="L209"/>
  <c r="L210"/>
  <c r="L211"/>
  <c r="L212"/>
  <c r="L213"/>
  <c r="L214"/>
  <c r="L215"/>
  <c r="L216"/>
  <c r="L217"/>
  <c r="L218"/>
  <c r="L219"/>
  <c r="L220"/>
  <c r="L221"/>
  <c r="L222"/>
  <c r="L223"/>
  <c r="L224"/>
  <c r="L225"/>
  <c r="L226"/>
  <c r="L227"/>
  <c r="L228"/>
  <c r="L229"/>
  <c r="L230"/>
  <c r="L231"/>
  <c r="L232"/>
  <c r="L233"/>
  <c r="L234"/>
  <c r="L235"/>
  <c r="L236"/>
  <c r="L237"/>
  <c r="L238"/>
  <c r="L239"/>
  <c r="L240"/>
  <c r="L241"/>
  <c r="L242"/>
  <c r="L243"/>
  <c r="L244"/>
  <c r="L245"/>
  <c r="L246"/>
  <c r="L247"/>
  <c r="L248"/>
  <c r="L249"/>
  <c r="L250"/>
  <c r="L251"/>
  <c r="L252"/>
  <c r="L253"/>
  <c r="L254"/>
  <c r="L255"/>
  <c r="L256"/>
  <c r="L257"/>
  <c r="L258"/>
  <c r="L259"/>
  <c r="L260"/>
  <c r="L261"/>
  <c r="L262"/>
  <c r="L263"/>
  <c r="L264"/>
  <c r="L265"/>
  <c r="L266"/>
  <c r="L267"/>
  <c r="L268"/>
  <c r="L269"/>
  <c r="L270"/>
  <c r="L271"/>
  <c r="L272"/>
  <c r="L273"/>
  <c r="L274"/>
  <c r="L275"/>
  <c r="L276"/>
  <c r="L277"/>
  <c r="L278"/>
  <c r="L279"/>
  <c r="L280"/>
  <c r="L281"/>
  <c r="L282"/>
  <c r="L283"/>
  <c r="L284"/>
  <c r="L285"/>
  <c r="L286"/>
  <c r="L287"/>
  <c r="L288"/>
  <c r="L289"/>
  <c r="L290"/>
  <c r="L291"/>
  <c r="L292"/>
  <c r="L293"/>
  <c r="L294"/>
  <c r="L295"/>
  <c r="L296"/>
  <c r="L297"/>
  <c r="L298"/>
  <c r="L299"/>
  <c r="L300"/>
  <c r="L301"/>
  <c r="L302"/>
  <c r="L303"/>
  <c r="L304"/>
  <c r="L305"/>
  <c r="L306"/>
  <c r="L307"/>
  <c r="L308"/>
  <c r="L309"/>
  <c r="L310"/>
  <c r="L311"/>
  <c r="L312"/>
  <c r="L313"/>
  <c r="L314"/>
  <c r="L315"/>
  <c r="L316"/>
  <c r="L317"/>
  <c r="L318"/>
  <c r="L319"/>
  <c r="L320"/>
  <c r="L321"/>
  <c r="L322"/>
  <c r="L323"/>
  <c r="L324"/>
  <c r="L325"/>
  <c r="L326"/>
  <c r="L327"/>
  <c r="L328"/>
  <c r="L329"/>
  <c r="L330"/>
  <c r="L331"/>
  <c r="L332"/>
  <c r="L333"/>
  <c r="L334"/>
  <c r="L335"/>
  <c r="L336"/>
  <c r="L337"/>
  <c r="L338"/>
  <c r="L339"/>
  <c r="L340"/>
  <c r="L341"/>
  <c r="L342"/>
  <c r="L343"/>
  <c r="L344"/>
  <c r="L345"/>
  <c r="L346"/>
  <c r="L347"/>
  <c r="L348"/>
  <c r="L349"/>
  <c r="L350"/>
  <c r="L351"/>
  <c r="L352"/>
  <c r="L353"/>
  <c r="L354"/>
  <c r="L355"/>
  <c r="L356"/>
  <c r="L357"/>
  <c r="L358"/>
  <c r="L359"/>
  <c r="L360"/>
  <c r="L361"/>
  <c r="L362"/>
  <c r="L363"/>
  <c r="L364"/>
  <c r="L365"/>
  <c r="L366"/>
  <c r="L367"/>
  <c r="L368"/>
  <c r="L369"/>
  <c r="L370"/>
  <c r="L371"/>
  <c r="L372"/>
  <c r="L373"/>
  <c r="L374"/>
  <c r="L375"/>
  <c r="L376"/>
  <c r="L377"/>
  <c r="L378"/>
  <c r="L379"/>
  <c r="L380"/>
  <c r="L381"/>
  <c r="L382"/>
  <c r="L383"/>
  <c r="L384"/>
  <c r="L385"/>
  <c r="L386"/>
  <c r="L387"/>
  <c r="L388"/>
  <c r="L389"/>
  <c r="L390"/>
  <c r="L391"/>
  <c r="L392"/>
  <c r="L393"/>
  <c r="L394"/>
  <c r="L395"/>
  <c r="L396"/>
  <c r="L397"/>
  <c r="L398"/>
  <c r="L399"/>
  <c r="L400"/>
  <c r="L401"/>
  <c r="L402"/>
  <c r="L403"/>
  <c r="L404"/>
  <c r="L405"/>
  <c r="L406"/>
  <c r="L407"/>
  <c r="L408"/>
  <c r="L409"/>
  <c r="L410"/>
  <c r="L411"/>
  <c r="L412"/>
  <c r="L413"/>
  <c r="L414"/>
  <c r="L415"/>
  <c r="L416"/>
  <c r="L417"/>
  <c r="L418"/>
  <c r="L419"/>
  <c r="L420"/>
  <c r="L421"/>
  <c r="L422"/>
  <c r="L423"/>
  <c r="L424"/>
  <c r="L425"/>
  <c r="L426"/>
  <c r="L427"/>
  <c r="L428"/>
  <c r="L429"/>
  <c r="L430"/>
  <c r="L431"/>
  <c r="L432"/>
  <c r="L433"/>
  <c r="L434"/>
  <c r="L435"/>
  <c r="L436"/>
  <c r="L437"/>
  <c r="L438"/>
  <c r="L439"/>
  <c r="L440"/>
  <c r="L441"/>
  <c r="L442"/>
  <c r="L443"/>
  <c r="L444"/>
  <c r="L445"/>
  <c r="L446"/>
  <c r="L447"/>
  <c r="L448"/>
  <c r="L449"/>
  <c r="L450"/>
  <c r="L451"/>
  <c r="L452"/>
  <c r="L453"/>
  <c r="L454"/>
  <c r="L455"/>
  <c r="L456"/>
  <c r="L457"/>
  <c r="L458"/>
  <c r="L459"/>
  <c r="L460"/>
  <c r="L461"/>
  <c r="L462"/>
  <c r="L463"/>
  <c r="L464"/>
  <c r="L465"/>
  <c r="L466"/>
  <c r="L467"/>
  <c r="L468"/>
  <c r="L469"/>
  <c r="L470"/>
  <c r="L471"/>
  <c r="L472"/>
  <c r="L473"/>
  <c r="L474"/>
  <c r="L475"/>
  <c r="L476"/>
  <c r="L477"/>
  <c r="L478"/>
  <c r="L479"/>
  <c r="L480"/>
  <c r="L481"/>
  <c r="L482"/>
  <c r="L483"/>
  <c r="L484"/>
  <c r="L485"/>
  <c r="L486"/>
  <c r="L487"/>
  <c r="L488"/>
  <c r="L489"/>
  <c r="L490"/>
  <c r="L491"/>
  <c r="L492"/>
  <c r="L493"/>
  <c r="L494"/>
  <c r="L495"/>
  <c r="L496"/>
  <c r="L497"/>
  <c r="L498"/>
  <c r="L499"/>
  <c r="L500"/>
  <c r="L501"/>
  <c r="L502"/>
  <c r="L503"/>
  <c r="L504"/>
  <c r="L505"/>
  <c r="L506"/>
  <c r="L507"/>
  <c r="L508"/>
  <c r="L509"/>
  <c r="L510"/>
  <c r="L511"/>
  <c r="L512"/>
  <c r="L513"/>
  <c r="L514"/>
  <c r="L515"/>
  <c r="L516"/>
  <c r="L517"/>
  <c r="L518"/>
  <c r="L519"/>
  <c r="L520"/>
  <c r="L521"/>
  <c r="L522"/>
  <c r="L523"/>
  <c r="L524"/>
  <c r="L525"/>
  <c r="L526"/>
  <c r="L527"/>
  <c r="L528"/>
  <c r="L529"/>
  <c r="L530"/>
  <c r="L531"/>
  <c r="L532"/>
  <c r="L533"/>
  <c r="L534"/>
  <c r="L535"/>
  <c r="L536"/>
  <c r="L537"/>
  <c r="L538"/>
  <c r="L539"/>
  <c r="L540"/>
  <c r="L541"/>
  <c r="L542"/>
  <c r="L543"/>
  <c r="L544"/>
  <c r="L545"/>
  <c r="L546"/>
  <c r="L547"/>
  <c r="L548"/>
  <c r="L549"/>
  <c r="L550"/>
  <c r="L551"/>
  <c r="L552"/>
  <c r="L553"/>
  <c r="L554"/>
  <c r="L555"/>
  <c r="L556"/>
  <c r="L557"/>
  <c r="L558"/>
  <c r="L559"/>
  <c r="L560"/>
  <c r="L561"/>
  <c r="L562"/>
  <c r="L563"/>
  <c r="L564"/>
  <c r="L565"/>
  <c r="L566"/>
  <c r="L567"/>
  <c r="L568"/>
  <c r="L569"/>
  <c r="L570"/>
  <c r="L571"/>
  <c r="L572"/>
  <c r="L573"/>
  <c r="L574"/>
  <c r="L575"/>
  <c r="L576"/>
  <c r="L577"/>
  <c r="L578"/>
  <c r="L579"/>
  <c r="L580"/>
  <c r="L581"/>
  <c r="L582"/>
  <c r="L583"/>
  <c r="L584"/>
  <c r="L585"/>
  <c r="L586"/>
  <c r="L587"/>
  <c r="L588"/>
  <c r="L589"/>
  <c r="L590"/>
  <c r="L591"/>
  <c r="L592"/>
  <c r="L593"/>
  <c r="L594"/>
  <c r="L595"/>
  <c r="L596"/>
  <c r="L597"/>
  <c r="L598"/>
  <c r="L599"/>
  <c r="L600"/>
  <c r="L601"/>
  <c r="L602"/>
  <c r="L603"/>
  <c r="L604"/>
  <c r="L605"/>
  <c r="L606"/>
  <c r="L607"/>
  <c r="L608"/>
  <c r="L609"/>
  <c r="L610"/>
  <c r="L611"/>
  <c r="L612"/>
  <c r="L613"/>
  <c r="L614"/>
  <c r="L615"/>
  <c r="L616"/>
  <c r="L617"/>
  <c r="L618"/>
  <c r="L619"/>
  <c r="L620"/>
  <c r="L621"/>
  <c r="L622"/>
  <c r="L623"/>
  <c r="L624"/>
  <c r="L625"/>
  <c r="L626"/>
  <c r="L627"/>
  <c r="L628"/>
  <c r="L629"/>
  <c r="L630"/>
  <c r="L631"/>
  <c r="L632"/>
  <c r="L633"/>
  <c r="L634"/>
  <c r="L635"/>
  <c r="L636"/>
  <c r="L637"/>
  <c r="L638"/>
  <c r="L639"/>
  <c r="L640"/>
  <c r="L641"/>
  <c r="L642"/>
  <c r="L643"/>
  <c r="L644"/>
  <c r="L645"/>
  <c r="L646"/>
  <c r="L647"/>
  <c r="L648"/>
  <c r="L649"/>
  <c r="L650"/>
  <c r="L651"/>
  <c r="L652"/>
  <c r="L653"/>
  <c r="L654"/>
  <c r="L655"/>
  <c r="L656"/>
  <c r="L657"/>
  <c r="L658"/>
  <c r="L659"/>
  <c r="L660"/>
  <c r="L661"/>
  <c r="L662"/>
  <c r="L663"/>
  <c r="L664"/>
  <c r="L665"/>
  <c r="L666"/>
  <c r="L667"/>
  <c r="L668"/>
  <c r="L669"/>
  <c r="L670"/>
  <c r="L671"/>
  <c r="L672"/>
  <c r="L673"/>
  <c r="L674"/>
  <c r="L675"/>
  <c r="L676"/>
  <c r="L677"/>
  <c r="L678"/>
  <c r="L679"/>
  <c r="L680"/>
  <c r="L681"/>
  <c r="L682"/>
  <c r="L683"/>
  <c r="L684"/>
  <c r="L685"/>
  <c r="L686"/>
  <c r="L687"/>
  <c r="L688"/>
  <c r="L689"/>
  <c r="L690"/>
  <c r="L691"/>
  <c r="L692"/>
  <c r="L693"/>
  <c r="L694"/>
  <c r="L695"/>
  <c r="L696"/>
  <c r="L697"/>
  <c r="L698"/>
  <c r="L699"/>
  <c r="L700"/>
  <c r="L701"/>
  <c r="L702"/>
  <c r="L703"/>
  <c r="L704"/>
  <c r="L705"/>
  <c r="L706"/>
  <c r="L707"/>
  <c r="L708"/>
  <c r="L709"/>
  <c r="L710"/>
  <c r="L711"/>
  <c r="L712"/>
  <c r="L713"/>
  <c r="L714"/>
  <c r="L715"/>
  <c r="L716"/>
  <c r="L717"/>
  <c r="L718"/>
  <c r="L719"/>
  <c r="L720"/>
  <c r="L721"/>
  <c r="L722"/>
  <c r="L723"/>
  <c r="L724"/>
  <c r="L725"/>
  <c r="L726"/>
  <c r="L727"/>
  <c r="L728"/>
  <c r="L729"/>
  <c r="L730"/>
  <c r="L731"/>
  <c r="L732"/>
  <c r="L733"/>
  <c r="L734"/>
  <c r="L735"/>
  <c r="L736"/>
  <c r="L737"/>
  <c r="L738"/>
  <c r="L739"/>
  <c r="L740"/>
  <c r="L741"/>
  <c r="L742"/>
  <c r="L743"/>
  <c r="L744"/>
  <c r="L745"/>
  <c r="L746"/>
  <c r="L747"/>
  <c r="L748"/>
  <c r="L749"/>
  <c r="L750"/>
  <c r="L751"/>
  <c r="L752"/>
  <c r="L753"/>
  <c r="L754"/>
  <c r="L755"/>
  <c r="L756"/>
  <c r="L757"/>
  <c r="L758"/>
  <c r="L759"/>
  <c r="L760"/>
  <c r="L761"/>
  <c r="L762"/>
  <c r="L763"/>
  <c r="L764"/>
  <c r="L765"/>
  <c r="L766"/>
  <c r="L767"/>
  <c r="L768"/>
  <c r="L769"/>
  <c r="L770"/>
  <c r="L771"/>
  <c r="L772"/>
  <c r="L773"/>
  <c r="L774"/>
  <c r="L775"/>
  <c r="L776"/>
  <c r="L777"/>
  <c r="L778"/>
  <c r="L779"/>
  <c r="L780"/>
  <c r="L781"/>
  <c r="L782"/>
  <c r="L783"/>
  <c r="L784"/>
  <c r="L785"/>
  <c r="L786"/>
  <c r="L787"/>
  <c r="L788"/>
  <c r="L789"/>
  <c r="L790"/>
  <c r="L791"/>
  <c r="L792"/>
  <c r="L793"/>
  <c r="L794"/>
  <c r="L795"/>
  <c r="L796"/>
  <c r="L797"/>
  <c r="L798"/>
  <c r="L799"/>
  <c r="L800"/>
  <c r="L801"/>
  <c r="L802"/>
  <c r="L803"/>
  <c r="L804"/>
  <c r="L805"/>
  <c r="L806"/>
  <c r="L807"/>
  <c r="L808"/>
  <c r="L809"/>
  <c r="L810"/>
  <c r="L811"/>
  <c r="L812"/>
  <c r="L813"/>
  <c r="L814"/>
  <c r="L815"/>
  <c r="L816"/>
  <c r="L817"/>
  <c r="L818"/>
  <c r="L819"/>
  <c r="L820"/>
  <c r="L821"/>
  <c r="L822"/>
  <c r="L823"/>
  <c r="L824"/>
  <c r="L825"/>
  <c r="L826"/>
  <c r="L827"/>
  <c r="L828"/>
  <c r="L829"/>
  <c r="L830"/>
  <c r="L831"/>
  <c r="L832"/>
  <c r="L833"/>
  <c r="L834"/>
  <c r="L835"/>
  <c r="L836"/>
  <c r="L837"/>
  <c r="L838"/>
  <c r="L839"/>
  <c r="L840"/>
  <c r="L841"/>
  <c r="L842"/>
  <c r="L843"/>
  <c r="L844"/>
  <c r="L845"/>
  <c r="L846"/>
  <c r="L847"/>
  <c r="L848"/>
  <c r="L849"/>
  <c r="L850"/>
  <c r="L851"/>
  <c r="L852"/>
  <c r="L853"/>
  <c r="L854"/>
  <c r="L855"/>
  <c r="L856"/>
  <c r="L857"/>
  <c r="L858"/>
  <c r="L859"/>
  <c r="L860"/>
  <c r="L861"/>
  <c r="L862"/>
  <c r="L863"/>
  <c r="L864"/>
  <c r="L865"/>
  <c r="L866"/>
  <c r="L867"/>
  <c r="L868"/>
  <c r="L869"/>
  <c r="L870"/>
  <c r="L871"/>
  <c r="L872"/>
  <c r="L873"/>
  <c r="L874"/>
  <c r="L875"/>
  <c r="L876"/>
  <c r="L877"/>
  <c r="L878"/>
  <c r="L879"/>
  <c r="L880"/>
  <c r="L881"/>
  <c r="L882"/>
  <c r="L883"/>
  <c r="L884"/>
  <c r="L885"/>
  <c r="L886"/>
  <c r="L887"/>
  <c r="L888"/>
  <c r="L889"/>
  <c r="L890"/>
  <c r="L891"/>
  <c r="L892"/>
  <c r="L893"/>
  <c r="L894"/>
  <c r="L895"/>
  <c r="L896"/>
  <c r="L897"/>
  <c r="L898"/>
  <c r="L899"/>
  <c r="L900"/>
  <c r="L901"/>
  <c r="L902"/>
  <c r="L903"/>
  <c r="L904"/>
  <c r="L905"/>
  <c r="L906"/>
  <c r="L907"/>
  <c r="L908"/>
  <c r="L909"/>
  <c r="L910"/>
  <c r="L911"/>
  <c r="L912"/>
  <c r="L913"/>
  <c r="L914"/>
  <c r="L915"/>
  <c r="L916"/>
  <c r="L917"/>
  <c r="L918"/>
  <c r="L919"/>
  <c r="L920"/>
  <c r="L921"/>
  <c r="L922"/>
  <c r="L923"/>
  <c r="L924"/>
  <c r="L925"/>
  <c r="L926"/>
  <c r="L927"/>
  <c r="L928"/>
  <c r="L929"/>
  <c r="L930"/>
  <c r="L931"/>
  <c r="L932"/>
  <c r="L933"/>
  <c r="L934"/>
  <c r="L935"/>
  <c r="L936"/>
  <c r="L937"/>
  <c r="L938"/>
  <c r="L939"/>
  <c r="L940"/>
  <c r="L941"/>
  <c r="L942"/>
  <c r="L943"/>
  <c r="L944"/>
  <c r="L945"/>
  <c r="L946"/>
  <c r="L947"/>
  <c r="L948"/>
  <c r="L949"/>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K327"/>
  <c r="K328"/>
  <c r="K329"/>
  <c r="K330"/>
  <c r="K331"/>
  <c r="K332"/>
  <c r="K333"/>
  <c r="K334"/>
  <c r="K335"/>
  <c r="K336"/>
  <c r="K337"/>
  <c r="K338"/>
  <c r="K339"/>
  <c r="K340"/>
  <c r="K341"/>
  <c r="K342"/>
  <c r="K343"/>
  <c r="K344"/>
  <c r="K345"/>
  <c r="K346"/>
  <c r="K347"/>
  <c r="K348"/>
  <c r="K349"/>
  <c r="K350"/>
  <c r="K351"/>
  <c r="K352"/>
  <c r="K353"/>
  <c r="K354"/>
  <c r="K355"/>
  <c r="K356"/>
  <c r="K357"/>
  <c r="K358"/>
  <c r="K359"/>
  <c r="K360"/>
  <c r="K361"/>
  <c r="K362"/>
  <c r="K363"/>
  <c r="K364"/>
  <c r="K365"/>
  <c r="K366"/>
  <c r="K367"/>
  <c r="K368"/>
  <c r="K369"/>
  <c r="K370"/>
  <c r="K371"/>
  <c r="K372"/>
  <c r="K373"/>
  <c r="K374"/>
  <c r="K375"/>
  <c r="K376"/>
  <c r="K377"/>
  <c r="K378"/>
  <c r="K379"/>
  <c r="K380"/>
  <c r="K381"/>
  <c r="K382"/>
  <c r="K383"/>
  <c r="K384"/>
  <c r="K385"/>
  <c r="K386"/>
  <c r="K387"/>
  <c r="K388"/>
  <c r="K389"/>
  <c r="K390"/>
  <c r="K391"/>
  <c r="K392"/>
  <c r="K393"/>
  <c r="K394"/>
  <c r="K395"/>
  <c r="K396"/>
  <c r="K397"/>
  <c r="K398"/>
  <c r="K399"/>
  <c r="K400"/>
  <c r="K401"/>
  <c r="K402"/>
  <c r="K403"/>
  <c r="K404"/>
  <c r="K405"/>
  <c r="K406"/>
  <c r="K407"/>
  <c r="K408"/>
  <c r="K409"/>
  <c r="K410"/>
  <c r="K411"/>
  <c r="K412"/>
  <c r="K413"/>
  <c r="K414"/>
  <c r="K415"/>
  <c r="K416"/>
  <c r="K417"/>
  <c r="K418"/>
  <c r="K419"/>
  <c r="K420"/>
  <c r="K421"/>
  <c r="K422"/>
  <c r="K423"/>
  <c r="K424"/>
  <c r="K425"/>
  <c r="K426"/>
  <c r="K427"/>
  <c r="K428"/>
  <c r="K429"/>
  <c r="K430"/>
  <c r="K431"/>
  <c r="K432"/>
  <c r="K433"/>
  <c r="K434"/>
  <c r="K435"/>
  <c r="K436"/>
  <c r="K437"/>
  <c r="K438"/>
  <c r="K439"/>
  <c r="K440"/>
  <c r="K441"/>
  <c r="K442"/>
  <c r="K443"/>
  <c r="K444"/>
  <c r="K445"/>
  <c r="K446"/>
  <c r="K447"/>
  <c r="K448"/>
  <c r="K449"/>
  <c r="K450"/>
  <c r="K451"/>
  <c r="K452"/>
  <c r="K453"/>
  <c r="K454"/>
  <c r="K455"/>
  <c r="K456"/>
  <c r="K457"/>
  <c r="K458"/>
  <c r="K459"/>
  <c r="K460"/>
  <c r="K461"/>
  <c r="K462"/>
  <c r="K463"/>
  <c r="K464"/>
  <c r="K465"/>
  <c r="K466"/>
  <c r="K467"/>
  <c r="K468"/>
  <c r="K469"/>
  <c r="K470"/>
  <c r="K471"/>
  <c r="K472"/>
  <c r="K473"/>
  <c r="K474"/>
  <c r="K475"/>
  <c r="K476"/>
  <c r="K477"/>
  <c r="K478"/>
  <c r="K479"/>
  <c r="K480"/>
  <c r="K481"/>
  <c r="K482"/>
  <c r="K483"/>
  <c r="K484"/>
  <c r="K485"/>
  <c r="K486"/>
  <c r="K487"/>
  <c r="K488"/>
  <c r="K489"/>
  <c r="K490"/>
  <c r="K491"/>
  <c r="K492"/>
  <c r="K493"/>
  <c r="K494"/>
  <c r="K495"/>
  <c r="K496"/>
  <c r="K497"/>
  <c r="K498"/>
  <c r="K499"/>
  <c r="K500"/>
  <c r="K501"/>
  <c r="K502"/>
  <c r="K503"/>
  <c r="K504"/>
  <c r="K505"/>
  <c r="K506"/>
  <c r="K507"/>
  <c r="K508"/>
  <c r="K509"/>
  <c r="K510"/>
  <c r="K511"/>
  <c r="K512"/>
  <c r="K513"/>
  <c r="K514"/>
  <c r="K515"/>
  <c r="K516"/>
  <c r="K517"/>
  <c r="K518"/>
  <c r="K519"/>
  <c r="K520"/>
  <c r="K521"/>
  <c r="K522"/>
  <c r="K523"/>
  <c r="K524"/>
  <c r="K525"/>
  <c r="K526"/>
  <c r="K527"/>
  <c r="K528"/>
  <c r="K529"/>
  <c r="K530"/>
  <c r="K531"/>
  <c r="K532"/>
  <c r="K533"/>
  <c r="K534"/>
  <c r="K535"/>
  <c r="K536"/>
  <c r="K537"/>
  <c r="K538"/>
  <c r="K539"/>
  <c r="K540"/>
  <c r="K541"/>
  <c r="K542"/>
  <c r="K543"/>
  <c r="K544"/>
  <c r="K545"/>
  <c r="K546"/>
  <c r="K547"/>
  <c r="K548"/>
  <c r="K549"/>
  <c r="K550"/>
  <c r="K551"/>
  <c r="K552"/>
  <c r="K553"/>
  <c r="K554"/>
  <c r="K555"/>
  <c r="K556"/>
  <c r="K557"/>
  <c r="K558"/>
  <c r="K559"/>
  <c r="K560"/>
  <c r="K561"/>
  <c r="K562"/>
  <c r="K563"/>
  <c r="K564"/>
  <c r="K565"/>
  <c r="K566"/>
  <c r="K567"/>
  <c r="K568"/>
  <c r="K569"/>
  <c r="K570"/>
  <c r="K571"/>
  <c r="K572"/>
  <c r="K573"/>
  <c r="K574"/>
  <c r="K575"/>
  <c r="K576"/>
  <c r="K577"/>
  <c r="K578"/>
  <c r="K579"/>
  <c r="K580"/>
  <c r="K581"/>
  <c r="K582"/>
  <c r="K583"/>
  <c r="K584"/>
  <c r="K585"/>
  <c r="K586"/>
  <c r="K587"/>
  <c r="K588"/>
  <c r="K589"/>
  <c r="K590"/>
  <c r="K591"/>
  <c r="K592"/>
  <c r="K593"/>
  <c r="K594"/>
  <c r="K595"/>
  <c r="K596"/>
  <c r="K597"/>
  <c r="K598"/>
  <c r="K599"/>
  <c r="K600"/>
  <c r="K601"/>
  <c r="K602"/>
  <c r="K603"/>
  <c r="K604"/>
  <c r="K605"/>
  <c r="K606"/>
  <c r="K607"/>
  <c r="K608"/>
  <c r="K609"/>
  <c r="K610"/>
  <c r="K611"/>
  <c r="K612"/>
  <c r="K613"/>
  <c r="K614"/>
  <c r="K615"/>
  <c r="K616"/>
  <c r="K617"/>
  <c r="K618"/>
  <c r="K619"/>
  <c r="K620"/>
  <c r="K621"/>
  <c r="K622"/>
  <c r="K623"/>
  <c r="K624"/>
  <c r="K625"/>
  <c r="K626"/>
  <c r="K627"/>
  <c r="K628"/>
  <c r="K629"/>
  <c r="K630"/>
  <c r="K631"/>
  <c r="K632"/>
  <c r="K633"/>
  <c r="K634"/>
  <c r="K635"/>
  <c r="K636"/>
  <c r="K637"/>
  <c r="K638"/>
  <c r="K639"/>
  <c r="K640"/>
  <c r="K641"/>
  <c r="K642"/>
  <c r="K643"/>
  <c r="K644"/>
  <c r="K645"/>
  <c r="K646"/>
  <c r="K647"/>
  <c r="K648"/>
  <c r="K649"/>
  <c r="K650"/>
  <c r="K651"/>
  <c r="K652"/>
  <c r="K653"/>
  <c r="K654"/>
  <c r="K655"/>
  <c r="K656"/>
  <c r="K657"/>
  <c r="K658"/>
  <c r="K659"/>
  <c r="K660"/>
  <c r="K661"/>
  <c r="K662"/>
  <c r="K663"/>
  <c r="K664"/>
  <c r="K665"/>
  <c r="K666"/>
  <c r="K667"/>
  <c r="K668"/>
  <c r="K669"/>
  <c r="K670"/>
  <c r="K671"/>
  <c r="K672"/>
  <c r="K673"/>
  <c r="K674"/>
  <c r="K675"/>
  <c r="K676"/>
  <c r="K677"/>
  <c r="K678"/>
  <c r="K679"/>
  <c r="K680"/>
  <c r="K681"/>
  <c r="K682"/>
  <c r="K683"/>
  <c r="K684"/>
  <c r="K685"/>
  <c r="K686"/>
  <c r="K687"/>
  <c r="K688"/>
  <c r="K689"/>
  <c r="K690"/>
  <c r="K691"/>
  <c r="K692"/>
  <c r="K693"/>
  <c r="K694"/>
  <c r="K695"/>
  <c r="K696"/>
  <c r="K697"/>
  <c r="K698"/>
  <c r="K699"/>
  <c r="K700"/>
  <c r="K701"/>
  <c r="K702"/>
  <c r="K703"/>
  <c r="K704"/>
  <c r="K705"/>
  <c r="K706"/>
  <c r="K707"/>
  <c r="K708"/>
  <c r="K709"/>
  <c r="K710"/>
  <c r="K711"/>
  <c r="K712"/>
  <c r="K713"/>
  <c r="K714"/>
  <c r="K715"/>
  <c r="K716"/>
  <c r="K717"/>
  <c r="K718"/>
  <c r="K719"/>
  <c r="K720"/>
  <c r="K721"/>
  <c r="K722"/>
  <c r="K723"/>
  <c r="K724"/>
  <c r="K725"/>
  <c r="K726"/>
  <c r="K727"/>
  <c r="K728"/>
  <c r="K729"/>
  <c r="K730"/>
  <c r="K731"/>
  <c r="K732"/>
  <c r="K733"/>
  <c r="K734"/>
  <c r="K735"/>
  <c r="K736"/>
  <c r="K737"/>
  <c r="K738"/>
  <c r="K739"/>
  <c r="K740"/>
  <c r="K741"/>
  <c r="K742"/>
  <c r="K743"/>
  <c r="K744"/>
  <c r="K745"/>
  <c r="K746"/>
  <c r="K747"/>
  <c r="K748"/>
  <c r="K749"/>
  <c r="K750"/>
  <c r="K751"/>
  <c r="K752"/>
  <c r="K753"/>
  <c r="K754"/>
  <c r="K755"/>
  <c r="K756"/>
  <c r="K757"/>
  <c r="K758"/>
  <c r="K759"/>
  <c r="K760"/>
  <c r="K761"/>
  <c r="K762"/>
  <c r="K763"/>
  <c r="K764"/>
  <c r="K765"/>
  <c r="K766"/>
  <c r="K767"/>
  <c r="K768"/>
  <c r="K769"/>
  <c r="K770"/>
  <c r="K771"/>
  <c r="K772"/>
  <c r="K773"/>
  <c r="K774"/>
  <c r="K775"/>
  <c r="K776"/>
  <c r="K777"/>
  <c r="K778"/>
  <c r="K779"/>
  <c r="K780"/>
  <c r="K781"/>
  <c r="K782"/>
  <c r="K783"/>
  <c r="K784"/>
  <c r="K785"/>
  <c r="K786"/>
  <c r="K787"/>
  <c r="K788"/>
  <c r="K789"/>
  <c r="K790"/>
  <c r="K791"/>
  <c r="K792"/>
  <c r="K793"/>
  <c r="K794"/>
  <c r="K795"/>
  <c r="K796"/>
  <c r="K797"/>
  <c r="K798"/>
  <c r="K799"/>
  <c r="K800"/>
  <c r="K801"/>
  <c r="K802"/>
  <c r="K803"/>
  <c r="K804"/>
  <c r="K805"/>
  <c r="K806"/>
  <c r="K807"/>
  <c r="K808"/>
  <c r="K809"/>
  <c r="K810"/>
  <c r="K811"/>
  <c r="K812"/>
  <c r="K813"/>
  <c r="K814"/>
  <c r="K815"/>
  <c r="K816"/>
  <c r="K817"/>
  <c r="K818"/>
  <c r="K819"/>
  <c r="K820"/>
  <c r="K821"/>
  <c r="K822"/>
  <c r="K823"/>
  <c r="K824"/>
  <c r="K825"/>
  <c r="K826"/>
  <c r="K827"/>
  <c r="K828"/>
  <c r="K829"/>
  <c r="K830"/>
  <c r="K831"/>
  <c r="K832"/>
  <c r="K833"/>
  <c r="K834"/>
  <c r="K835"/>
  <c r="K836"/>
  <c r="K837"/>
  <c r="K838"/>
  <c r="K839"/>
  <c r="K840"/>
  <c r="K841"/>
  <c r="K842"/>
  <c r="K843"/>
  <c r="K844"/>
  <c r="K845"/>
  <c r="K846"/>
  <c r="K847"/>
  <c r="K848"/>
  <c r="K849"/>
  <c r="K850"/>
  <c r="K851"/>
  <c r="K852"/>
  <c r="K853"/>
  <c r="K854"/>
  <c r="K855"/>
  <c r="K856"/>
  <c r="K857"/>
  <c r="K858"/>
  <c r="K859"/>
  <c r="K860"/>
  <c r="K861"/>
  <c r="K862"/>
  <c r="K863"/>
  <c r="K864"/>
  <c r="K865"/>
  <c r="K866"/>
  <c r="K867"/>
  <c r="K868"/>
  <c r="K869"/>
  <c r="K870"/>
  <c r="K871"/>
  <c r="K872"/>
  <c r="K873"/>
  <c r="K874"/>
  <c r="K875"/>
  <c r="K876"/>
  <c r="K877"/>
  <c r="K878"/>
  <c r="K879"/>
  <c r="K880"/>
  <c r="K881"/>
  <c r="K882"/>
  <c r="K883"/>
  <c r="K884"/>
  <c r="K885"/>
  <c r="K886"/>
  <c r="K887"/>
  <c r="K888"/>
  <c r="K889"/>
  <c r="K890"/>
  <c r="K891"/>
  <c r="K892"/>
  <c r="K893"/>
  <c r="K894"/>
  <c r="K895"/>
  <c r="K896"/>
  <c r="K897"/>
  <c r="K898"/>
  <c r="K899"/>
  <c r="K900"/>
  <c r="K901"/>
  <c r="K902"/>
  <c r="K903"/>
  <c r="K904"/>
  <c r="K905"/>
  <c r="K906"/>
  <c r="K907"/>
  <c r="K908"/>
  <c r="K909"/>
  <c r="K910"/>
  <c r="K911"/>
  <c r="K912"/>
  <c r="K913"/>
  <c r="K914"/>
  <c r="K915"/>
  <c r="K916"/>
  <c r="K917"/>
  <c r="K918"/>
  <c r="K919"/>
  <c r="K920"/>
  <c r="K921"/>
  <c r="K922"/>
  <c r="K923"/>
  <c r="K924"/>
  <c r="K925"/>
  <c r="K926"/>
  <c r="K927"/>
  <c r="K928"/>
  <c r="K929"/>
  <c r="K930"/>
  <c r="K931"/>
  <c r="K932"/>
  <c r="K933"/>
  <c r="K934"/>
  <c r="K935"/>
  <c r="K936"/>
  <c r="K937"/>
  <c r="K938"/>
  <c r="K939"/>
  <c r="K940"/>
  <c r="K941"/>
  <c r="K942"/>
  <c r="K943"/>
  <c r="K944"/>
  <c r="K945"/>
  <c r="K946"/>
  <c r="K947"/>
  <c r="K948"/>
  <c r="K949"/>
  <c r="J948" l="1"/>
  <c r="J946"/>
  <c r="J944"/>
  <c r="J942"/>
  <c r="J940"/>
  <c r="J938"/>
  <c r="J936"/>
  <c r="J934"/>
  <c r="J932"/>
  <c r="J930"/>
  <c r="J928"/>
  <c r="J926"/>
  <c r="J924"/>
  <c r="J922"/>
  <c r="J920"/>
  <c r="J918"/>
  <c r="J916"/>
  <c r="J914"/>
  <c r="J912"/>
  <c r="J910"/>
  <c r="J908"/>
  <c r="J906"/>
  <c r="J904"/>
  <c r="J902"/>
  <c r="J900"/>
  <c r="J898"/>
  <c r="J896"/>
  <c r="J894"/>
  <c r="J892"/>
  <c r="J890"/>
  <c r="J888"/>
  <c r="J886"/>
  <c r="J884"/>
  <c r="J882"/>
  <c r="J880"/>
  <c r="J878"/>
  <c r="J876"/>
  <c r="J874"/>
  <c r="J872"/>
  <c r="J870"/>
  <c r="J868"/>
  <c r="J866"/>
  <c r="J864"/>
  <c r="J862"/>
  <c r="J860"/>
  <c r="J858"/>
  <c r="J856"/>
  <c r="J854"/>
  <c r="J852"/>
  <c r="J850"/>
  <c r="J848"/>
  <c r="J846"/>
  <c r="J844"/>
  <c r="J842"/>
  <c r="J840"/>
  <c r="J838"/>
  <c r="J836"/>
  <c r="J834"/>
  <c r="J832"/>
  <c r="J830"/>
  <c r="J828"/>
  <c r="J826"/>
  <c r="J824"/>
  <c r="J822"/>
  <c r="J820"/>
  <c r="J818"/>
  <c r="J816"/>
  <c r="J814"/>
  <c r="J812"/>
  <c r="J810"/>
  <c r="J808"/>
  <c r="J806"/>
  <c r="J804"/>
  <c r="J802"/>
  <c r="J800"/>
  <c r="J798"/>
  <c r="J796"/>
  <c r="J794"/>
  <c r="J792"/>
  <c r="J790"/>
  <c r="J788"/>
  <c r="J786"/>
  <c r="J784"/>
  <c r="J782"/>
  <c r="J780"/>
  <c r="J778"/>
  <c r="J776"/>
  <c r="J774"/>
  <c r="J772"/>
  <c r="J770"/>
  <c r="J768"/>
  <c r="J766"/>
  <c r="J764"/>
  <c r="J762"/>
  <c r="J760"/>
  <c r="J758"/>
  <c r="J756"/>
  <c r="J754"/>
  <c r="J752"/>
  <c r="J750"/>
  <c r="J748"/>
  <c r="J746"/>
  <c r="J744"/>
  <c r="J742"/>
  <c r="J740"/>
  <c r="J738"/>
  <c r="J736"/>
  <c r="J734"/>
  <c r="J732"/>
  <c r="J730"/>
  <c r="J728"/>
  <c r="J726"/>
  <c r="J724"/>
  <c r="J722"/>
  <c r="J720"/>
  <c r="J718"/>
  <c r="J716"/>
  <c r="J714"/>
  <c r="J712"/>
  <c r="J710"/>
  <c r="J708"/>
  <c r="J706"/>
  <c r="J704"/>
  <c r="J702"/>
  <c r="J700"/>
  <c r="J698"/>
  <c r="J696"/>
  <c r="J694"/>
  <c r="J692"/>
  <c r="J690"/>
  <c r="J688"/>
  <c r="J686"/>
  <c r="J684"/>
  <c r="J682"/>
  <c r="J680"/>
  <c r="J678"/>
  <c r="J676"/>
  <c r="J674"/>
  <c r="J672"/>
  <c r="J670"/>
  <c r="J668"/>
  <c r="J666"/>
  <c r="J664"/>
  <c r="J662"/>
  <c r="J660"/>
  <c r="J658"/>
  <c r="J656"/>
  <c r="J654"/>
  <c r="J652"/>
  <c r="J650"/>
  <c r="J648"/>
  <c r="J646"/>
  <c r="J644"/>
  <c r="J642"/>
  <c r="J640"/>
  <c r="J638"/>
  <c r="J636"/>
  <c r="J634"/>
  <c r="J632"/>
  <c r="J630"/>
  <c r="J628"/>
  <c r="J626"/>
  <c r="J624"/>
  <c r="J622"/>
  <c r="J620"/>
  <c r="J618"/>
  <c r="J616"/>
  <c r="J614"/>
  <c r="J612"/>
  <c r="J610"/>
  <c r="J608"/>
  <c r="J606"/>
  <c r="J604"/>
  <c r="J602"/>
  <c r="J600"/>
  <c r="J598"/>
  <c r="J596"/>
  <c r="J594"/>
  <c r="J592"/>
  <c r="J590"/>
  <c r="J588"/>
  <c r="J586"/>
  <c r="J584"/>
  <c r="J582"/>
  <c r="J580"/>
  <c r="J578"/>
  <c r="J576"/>
  <c r="J574"/>
  <c r="J572"/>
  <c r="J570"/>
  <c r="J568"/>
  <c r="J566"/>
  <c r="J564"/>
  <c r="J562"/>
  <c r="J560"/>
  <c r="J558"/>
  <c r="J556"/>
  <c r="J554"/>
  <c r="J552"/>
  <c r="J550"/>
  <c r="J548"/>
  <c r="J546"/>
  <c r="J544"/>
  <c r="J542"/>
  <c r="J540"/>
  <c r="J538"/>
  <c r="J536"/>
  <c r="J534"/>
  <c r="J532"/>
  <c r="J530"/>
  <c r="J528"/>
  <c r="J526"/>
  <c r="J524"/>
  <c r="J522"/>
  <c r="J520"/>
  <c r="J518"/>
  <c r="J516"/>
  <c r="J514"/>
  <c r="J512"/>
  <c r="J510"/>
  <c r="J508"/>
  <c r="J506"/>
  <c r="J504"/>
  <c r="J502"/>
  <c r="J500"/>
  <c r="J498"/>
  <c r="J496"/>
  <c r="J494"/>
  <c r="J492"/>
  <c r="J490"/>
  <c r="J488"/>
  <c r="J486"/>
  <c r="J484"/>
  <c r="J482"/>
  <c r="J480"/>
  <c r="J478"/>
  <c r="J476"/>
  <c r="J474"/>
  <c r="J472"/>
  <c r="J470"/>
  <c r="J468"/>
  <c r="J466"/>
  <c r="J464"/>
  <c r="J462"/>
  <c r="J460"/>
  <c r="J458"/>
  <c r="J456"/>
  <c r="J454"/>
  <c r="J452"/>
  <c r="J450"/>
  <c r="J448"/>
  <c r="J446"/>
  <c r="J444"/>
  <c r="J442"/>
  <c r="J440"/>
  <c r="J438"/>
  <c r="J436"/>
  <c r="J434"/>
  <c r="J432"/>
  <c r="J430"/>
  <c r="J428"/>
  <c r="J426"/>
  <c r="J424"/>
  <c r="J422"/>
  <c r="J420"/>
  <c r="J418"/>
  <c r="J416"/>
  <c r="J414"/>
  <c r="J412"/>
  <c r="J410"/>
  <c r="J408"/>
  <c r="J406"/>
  <c r="J404"/>
  <c r="J402"/>
  <c r="J400"/>
  <c r="J398"/>
  <c r="J396"/>
  <c r="J394"/>
  <c r="J392"/>
  <c r="J390"/>
  <c r="J388"/>
  <c r="J386"/>
  <c r="J384"/>
  <c r="J382"/>
  <c r="J380"/>
  <c r="J378"/>
  <c r="J376"/>
  <c r="J374"/>
  <c r="J372"/>
  <c r="J370"/>
  <c r="J368"/>
  <c r="J366"/>
  <c r="J364"/>
  <c r="J362"/>
  <c r="J360"/>
  <c r="J358"/>
  <c r="J356"/>
  <c r="J354"/>
  <c r="J352"/>
  <c r="J350"/>
  <c r="J348"/>
  <c r="J346"/>
  <c r="J344"/>
  <c r="J342"/>
  <c r="J340"/>
  <c r="J338"/>
  <c r="J336"/>
  <c r="J334"/>
  <c r="J332"/>
  <c r="J330"/>
  <c r="J328"/>
  <c r="J326"/>
  <c r="J324"/>
  <c r="J322"/>
  <c r="J320"/>
  <c r="J318"/>
  <c r="J316"/>
  <c r="J314"/>
  <c r="J312"/>
  <c r="J310"/>
  <c r="J308"/>
  <c r="J306"/>
  <c r="J304"/>
  <c r="J302"/>
  <c r="J300"/>
  <c r="J298"/>
  <c r="J296"/>
  <c r="J294"/>
  <c r="J292"/>
  <c r="J290"/>
  <c r="J288"/>
  <c r="J286"/>
  <c r="J284"/>
  <c r="J282"/>
  <c r="J280"/>
  <c r="J278"/>
  <c r="J276"/>
  <c r="J274"/>
  <c r="J272"/>
  <c r="J270"/>
  <c r="J268"/>
  <c r="J266"/>
  <c r="J264"/>
  <c r="J262"/>
  <c r="J260"/>
  <c r="J258"/>
  <c r="J256"/>
  <c r="J254"/>
  <c r="J252"/>
  <c r="J250"/>
  <c r="J248"/>
  <c r="J246"/>
  <c r="J244"/>
  <c r="J242"/>
  <c r="J240"/>
  <c r="J238"/>
  <c r="J236"/>
  <c r="J234"/>
  <c r="J232"/>
  <c r="J230"/>
  <c r="J228"/>
  <c r="J226"/>
  <c r="J224"/>
  <c r="J222"/>
  <c r="J220"/>
  <c r="J218"/>
  <c r="J216"/>
  <c r="J214"/>
  <c r="J212"/>
  <c r="J210"/>
  <c r="J208"/>
  <c r="J206"/>
  <c r="J204"/>
  <c r="J202"/>
  <c r="J200"/>
  <c r="J198"/>
  <c r="J196"/>
  <c r="J194"/>
  <c r="J192"/>
  <c r="J190"/>
  <c r="J188"/>
  <c r="J186"/>
  <c r="J184"/>
  <c r="J182"/>
  <c r="J180"/>
  <c r="J178"/>
  <c r="J176"/>
  <c r="J174"/>
  <c r="J172"/>
  <c r="J170"/>
  <c r="J168"/>
  <c r="J166"/>
  <c r="J164"/>
  <c r="J162"/>
  <c r="J160"/>
  <c r="J158"/>
  <c r="J156"/>
  <c r="J154"/>
  <c r="J152"/>
  <c r="J150"/>
  <c r="J148"/>
  <c r="J146"/>
  <c r="J144"/>
  <c r="J142"/>
  <c r="J140"/>
  <c r="J138"/>
  <c r="J136"/>
  <c r="J134"/>
  <c r="J132"/>
  <c r="J130"/>
  <c r="J128"/>
  <c r="J126"/>
  <c r="J124"/>
  <c r="J122"/>
  <c r="J120"/>
  <c r="J118"/>
  <c r="J116"/>
  <c r="J114"/>
  <c r="J112"/>
  <c r="J110"/>
  <c r="J108"/>
  <c r="J106"/>
  <c r="J104"/>
  <c r="J102"/>
  <c r="J100"/>
  <c r="J98"/>
  <c r="J96"/>
  <c r="J94"/>
  <c r="J92"/>
  <c r="J90"/>
  <c r="J88"/>
  <c r="J86"/>
  <c r="J84"/>
  <c r="J82"/>
  <c r="J80"/>
  <c r="J78"/>
  <c r="J76"/>
  <c r="J74"/>
  <c r="J72"/>
  <c r="J70"/>
  <c r="J68"/>
  <c r="J66"/>
  <c r="J64"/>
  <c r="J62"/>
  <c r="J60"/>
  <c r="J58"/>
  <c r="J56"/>
  <c r="J54"/>
  <c r="J52"/>
  <c r="J50"/>
  <c r="J48"/>
  <c r="J46"/>
  <c r="J44"/>
  <c r="J42"/>
  <c r="J40"/>
  <c r="J38"/>
  <c r="J36"/>
  <c r="J34"/>
  <c r="J32"/>
  <c r="J30"/>
  <c r="J28"/>
  <c r="J26"/>
  <c r="J24"/>
  <c r="J22"/>
  <c r="J20"/>
  <c r="J18"/>
  <c r="J16"/>
  <c r="J14"/>
  <c r="J12"/>
  <c r="J10"/>
  <c r="J8"/>
  <c r="J949"/>
  <c r="J947"/>
  <c r="J945"/>
  <c r="J943"/>
  <c r="J941"/>
  <c r="J939"/>
  <c r="J937"/>
  <c r="J935"/>
  <c r="J933"/>
  <c r="J931"/>
  <c r="J929"/>
  <c r="J927"/>
  <c r="J925"/>
  <c r="J923"/>
  <c r="J921"/>
  <c r="J919"/>
  <c r="J917"/>
  <c r="J915"/>
  <c r="J913"/>
  <c r="J911"/>
  <c r="J909"/>
  <c r="J907"/>
  <c r="J905"/>
  <c r="J903"/>
  <c r="J901"/>
  <c r="J899"/>
  <c r="J897"/>
  <c r="J895"/>
  <c r="J893"/>
  <c r="J891"/>
  <c r="J889"/>
  <c r="J887"/>
  <c r="J885"/>
  <c r="J883"/>
  <c r="J881"/>
  <c r="J879"/>
  <c r="J877"/>
  <c r="J875"/>
  <c r="J873"/>
  <c r="J871"/>
  <c r="J869"/>
  <c r="J867"/>
  <c r="J865"/>
  <c r="J863"/>
  <c r="J861"/>
  <c r="J859"/>
  <c r="J857"/>
  <c r="J855"/>
  <c r="J853"/>
  <c r="J851"/>
  <c r="J849"/>
  <c r="J847"/>
  <c r="J845"/>
  <c r="J843"/>
  <c r="J841"/>
  <c r="J839"/>
  <c r="J837"/>
  <c r="J835"/>
  <c r="J833"/>
  <c r="J831"/>
  <c r="J829"/>
  <c r="J827"/>
  <c r="J825"/>
  <c r="J823"/>
  <c r="J821"/>
  <c r="J819"/>
  <c r="J817"/>
  <c r="J815"/>
  <c r="J813"/>
  <c r="J811"/>
  <c r="J809"/>
  <c r="J807"/>
  <c r="J805"/>
  <c r="J803"/>
  <c r="J801"/>
  <c r="J799"/>
  <c r="J797"/>
  <c r="J795"/>
  <c r="J793"/>
  <c r="J791"/>
  <c r="J789"/>
  <c r="J787"/>
  <c r="J785"/>
  <c r="J783"/>
  <c r="J781"/>
  <c r="J779"/>
  <c r="J777"/>
  <c r="J775"/>
  <c r="J773"/>
  <c r="J771"/>
  <c r="J769"/>
  <c r="J767"/>
  <c r="J765"/>
  <c r="J763"/>
  <c r="J761"/>
  <c r="J759"/>
  <c r="J757"/>
  <c r="J755"/>
  <c r="J753"/>
  <c r="J751"/>
  <c r="J749"/>
  <c r="J747"/>
  <c r="J745"/>
  <c r="J743"/>
  <c r="J741"/>
  <c r="J739"/>
  <c r="J737"/>
  <c r="J735"/>
  <c r="J733"/>
  <c r="J731"/>
  <c r="J729"/>
  <c r="J727"/>
  <c r="J725"/>
  <c r="J723"/>
  <c r="J721"/>
  <c r="J719"/>
  <c r="J717"/>
  <c r="J715"/>
  <c r="J713"/>
  <c r="J711"/>
  <c r="J709"/>
  <c r="J707"/>
  <c r="J705"/>
  <c r="J703"/>
  <c r="J701"/>
  <c r="J699"/>
  <c r="J697"/>
  <c r="J695"/>
  <c r="J693"/>
  <c r="J691"/>
  <c r="J689"/>
  <c r="J687"/>
  <c r="J685"/>
  <c r="J683"/>
  <c r="J681"/>
  <c r="J679"/>
  <c r="J677"/>
  <c r="J675"/>
  <c r="J673"/>
  <c r="J671"/>
  <c r="J669"/>
  <c r="J667"/>
  <c r="J665"/>
  <c r="J663"/>
  <c r="J661"/>
  <c r="J659"/>
  <c r="J657"/>
  <c r="J655"/>
  <c r="J653"/>
  <c r="J651"/>
  <c r="J649"/>
  <c r="J647"/>
  <c r="J645"/>
  <c r="J643"/>
  <c r="J641"/>
  <c r="J639"/>
  <c r="J637"/>
  <c r="J635"/>
  <c r="J633"/>
  <c r="J631"/>
  <c r="J629"/>
  <c r="J627"/>
  <c r="J625"/>
  <c r="J623"/>
  <c r="J621"/>
  <c r="J619"/>
  <c r="J617"/>
  <c r="J615"/>
  <c r="J613"/>
  <c r="J611"/>
  <c r="J609"/>
  <c r="J607"/>
  <c r="J605"/>
  <c r="J603"/>
  <c r="J601"/>
  <c r="J599"/>
  <c r="J597"/>
  <c r="J595"/>
  <c r="J593"/>
  <c r="J591"/>
  <c r="J589"/>
  <c r="J587"/>
  <c r="J585"/>
  <c r="J583"/>
  <c r="J581"/>
  <c r="J579"/>
  <c r="J577"/>
  <c r="J575"/>
  <c r="J573"/>
  <c r="J571"/>
  <c r="J569"/>
  <c r="J567"/>
  <c r="J565"/>
  <c r="J563"/>
  <c r="J561"/>
  <c r="J559"/>
  <c r="J557"/>
  <c r="J555"/>
  <c r="J553"/>
  <c r="J551"/>
  <c r="J549"/>
  <c r="J547"/>
  <c r="J545"/>
  <c r="J543"/>
  <c r="J541"/>
  <c r="J539"/>
  <c r="J537"/>
  <c r="J535"/>
  <c r="J533"/>
  <c r="J531"/>
  <c r="J529"/>
  <c r="J527"/>
  <c r="J525"/>
  <c r="J523"/>
  <c r="J521"/>
  <c r="J519"/>
  <c r="J517"/>
  <c r="N517" s="1"/>
  <c r="J515"/>
  <c r="J513"/>
  <c r="J511"/>
  <c r="J509"/>
  <c r="J507"/>
  <c r="J505"/>
  <c r="J503"/>
  <c r="J501"/>
  <c r="J499"/>
  <c r="J497"/>
  <c r="J495"/>
  <c r="J493"/>
  <c r="J491"/>
  <c r="J489"/>
  <c r="J487"/>
  <c r="J485"/>
  <c r="J483"/>
  <c r="J481"/>
  <c r="J479"/>
  <c r="J477"/>
  <c r="J475"/>
  <c r="J473"/>
  <c r="N473" s="1"/>
  <c r="J471"/>
  <c r="J469"/>
  <c r="N469" s="1"/>
  <c r="J467"/>
  <c r="J465"/>
  <c r="J463"/>
  <c r="J461"/>
  <c r="J459"/>
  <c r="J457"/>
  <c r="N457" s="1"/>
  <c r="J455"/>
  <c r="J453"/>
  <c r="N453" s="1"/>
  <c r="J451"/>
  <c r="J449"/>
  <c r="J447"/>
  <c r="J445"/>
  <c r="J443"/>
  <c r="J441"/>
  <c r="J439"/>
  <c r="J437"/>
  <c r="J435"/>
  <c r="J433"/>
  <c r="N433" s="1"/>
  <c r="J431"/>
  <c r="J429"/>
  <c r="N429" s="1"/>
  <c r="J427"/>
  <c r="J425"/>
  <c r="J423"/>
  <c r="J421"/>
  <c r="J419"/>
  <c r="J417"/>
  <c r="J415"/>
  <c r="J413"/>
  <c r="J411"/>
  <c r="J409"/>
  <c r="N409" s="1"/>
  <c r="J407"/>
  <c r="J405"/>
  <c r="J403"/>
  <c r="J401"/>
  <c r="J399"/>
  <c r="J397"/>
  <c r="J395"/>
  <c r="J393"/>
  <c r="J391"/>
  <c r="J389"/>
  <c r="J387"/>
  <c r="J385"/>
  <c r="J383"/>
  <c r="J381"/>
  <c r="J379"/>
  <c r="J377"/>
  <c r="J375"/>
  <c r="J373"/>
  <c r="N373" s="1"/>
  <c r="J371"/>
  <c r="J369"/>
  <c r="J367"/>
  <c r="J365"/>
  <c r="J363"/>
  <c r="J361"/>
  <c r="N361" s="1"/>
  <c r="J359"/>
  <c r="J357"/>
  <c r="J355"/>
  <c r="J353"/>
  <c r="J351"/>
  <c r="J349"/>
  <c r="J347"/>
  <c r="J345"/>
  <c r="N345" s="1"/>
  <c r="J343"/>
  <c r="J341"/>
  <c r="N341" s="1"/>
  <c r="J339"/>
  <c r="J337"/>
  <c r="J335"/>
  <c r="J333"/>
  <c r="J331"/>
  <c r="J329"/>
  <c r="N329" s="1"/>
  <c r="J327"/>
  <c r="J325"/>
  <c r="N325" s="1"/>
  <c r="J323"/>
  <c r="J321"/>
  <c r="N321" s="1"/>
  <c r="J319"/>
  <c r="J317"/>
  <c r="N317" s="1"/>
  <c r="J315"/>
  <c r="J313"/>
  <c r="N313" s="1"/>
  <c r="J311"/>
  <c r="J309"/>
  <c r="N309" s="1"/>
  <c r="J307"/>
  <c r="J305"/>
  <c r="J303"/>
  <c r="J301"/>
  <c r="J299"/>
  <c r="J297"/>
  <c r="J295"/>
  <c r="J293"/>
  <c r="N293" s="1"/>
  <c r="J291"/>
  <c r="J289"/>
  <c r="N289" s="1"/>
  <c r="J287"/>
  <c r="J285"/>
  <c r="N285" s="1"/>
  <c r="J283"/>
  <c r="J281"/>
  <c r="N281" s="1"/>
  <c r="J279"/>
  <c r="J277"/>
  <c r="N277" s="1"/>
  <c r="J275"/>
  <c r="J273"/>
  <c r="N273" s="1"/>
  <c r="J271"/>
  <c r="J269"/>
  <c r="J267"/>
  <c r="J265"/>
  <c r="J263"/>
  <c r="J261"/>
  <c r="J259"/>
  <c r="J257"/>
  <c r="J255"/>
  <c r="J253"/>
  <c r="J251"/>
  <c r="J249"/>
  <c r="J247"/>
  <c r="J245"/>
  <c r="J243"/>
  <c r="J241"/>
  <c r="J239"/>
  <c r="J237"/>
  <c r="J235"/>
  <c r="J233"/>
  <c r="J231"/>
  <c r="J229"/>
  <c r="N229" s="1"/>
  <c r="J227"/>
  <c r="J225"/>
  <c r="N225" s="1"/>
  <c r="J223"/>
  <c r="J221"/>
  <c r="N221" s="1"/>
  <c r="J219"/>
  <c r="J217"/>
  <c r="N217" s="1"/>
  <c r="J215"/>
  <c r="J213"/>
  <c r="N213" s="1"/>
  <c r="J211"/>
  <c r="J209"/>
  <c r="J207"/>
  <c r="J205"/>
  <c r="N205" s="1"/>
  <c r="J203"/>
  <c r="J201"/>
  <c r="N201" s="1"/>
  <c r="J199"/>
  <c r="J197"/>
  <c r="N197" s="1"/>
  <c r="J195"/>
  <c r="N195" s="1"/>
  <c r="J193"/>
  <c r="N193" s="1"/>
  <c r="J191"/>
  <c r="N191" s="1"/>
  <c r="J189"/>
  <c r="N189" s="1"/>
  <c r="J187"/>
  <c r="J185"/>
  <c r="N185" s="1"/>
  <c r="J183"/>
  <c r="N183" s="1"/>
  <c r="J181"/>
  <c r="J179"/>
  <c r="N179" s="1"/>
  <c r="J177"/>
  <c r="N177" s="1"/>
  <c r="J175"/>
  <c r="N175" s="1"/>
  <c r="J173"/>
  <c r="N173" s="1"/>
  <c r="J171"/>
  <c r="J169"/>
  <c r="N169" s="1"/>
  <c r="J167"/>
  <c r="N167" s="1"/>
  <c r="J165"/>
  <c r="N165" s="1"/>
  <c r="J163"/>
  <c r="N163" s="1"/>
  <c r="J161"/>
  <c r="N161" s="1"/>
  <c r="J159"/>
  <c r="N159" s="1"/>
  <c r="J157"/>
  <c r="N157" s="1"/>
  <c r="J155"/>
  <c r="N155" s="1"/>
  <c r="J153"/>
  <c r="N153" s="1"/>
  <c r="J151"/>
  <c r="N151" s="1"/>
  <c r="J149"/>
  <c r="N149" s="1"/>
  <c r="J147"/>
  <c r="N147" s="1"/>
  <c r="J145"/>
  <c r="N145" s="1"/>
  <c r="J143"/>
  <c r="N143" s="1"/>
  <c r="J141"/>
  <c r="N141" s="1"/>
  <c r="J139"/>
  <c r="N139" s="1"/>
  <c r="J137"/>
  <c r="J135"/>
  <c r="N135" s="1"/>
  <c r="J133"/>
  <c r="N133" s="1"/>
  <c r="J131"/>
  <c r="N131" s="1"/>
  <c r="J129"/>
  <c r="N129" s="1"/>
  <c r="J127"/>
  <c r="N127" s="1"/>
  <c r="J125"/>
  <c r="N125" s="1"/>
  <c r="J123"/>
  <c r="N123" s="1"/>
  <c r="J121"/>
  <c r="J119"/>
  <c r="N119" s="1"/>
  <c r="J117"/>
  <c r="N117" s="1"/>
  <c r="J115"/>
  <c r="N115" s="1"/>
  <c r="J113"/>
  <c r="N113" s="1"/>
  <c r="J111"/>
  <c r="N111" s="1"/>
  <c r="J109"/>
  <c r="J107"/>
  <c r="N107" s="1"/>
  <c r="J105"/>
  <c r="N105" s="1"/>
  <c r="J103"/>
  <c r="N103" s="1"/>
  <c r="J101"/>
  <c r="N101" s="1"/>
  <c r="J99"/>
  <c r="N99" s="1"/>
  <c r="J97"/>
  <c r="N97" s="1"/>
  <c r="J95"/>
  <c r="J93"/>
  <c r="N93" s="1"/>
  <c r="J91"/>
  <c r="N91" s="1"/>
  <c r="J89"/>
  <c r="N89" s="1"/>
  <c r="J87"/>
  <c r="N87" s="1"/>
  <c r="J85"/>
  <c r="N85" s="1"/>
  <c r="J83"/>
  <c r="J81"/>
  <c r="N81" s="1"/>
  <c r="J79"/>
  <c r="J77"/>
  <c r="N77" s="1"/>
  <c r="J75"/>
  <c r="N75" s="1"/>
  <c r="J73"/>
  <c r="N73" s="1"/>
  <c r="J71"/>
  <c r="N71" s="1"/>
  <c r="J69"/>
  <c r="N69" s="1"/>
  <c r="J67"/>
  <c r="N67" s="1"/>
  <c r="J65"/>
  <c r="N65" s="1"/>
  <c r="J63"/>
  <c r="N63" s="1"/>
  <c r="J61"/>
  <c r="N61" s="1"/>
  <c r="J59"/>
  <c r="N59" s="1"/>
  <c r="J57"/>
  <c r="N57" s="1"/>
  <c r="J55"/>
  <c r="J53"/>
  <c r="J51"/>
  <c r="J49"/>
  <c r="J47"/>
  <c r="J45"/>
  <c r="J43"/>
  <c r="J41"/>
  <c r="J39"/>
  <c r="J37"/>
  <c r="J35"/>
  <c r="J33"/>
  <c r="J31"/>
  <c r="J29"/>
  <c r="J27"/>
  <c r="J25"/>
  <c r="J23"/>
  <c r="J21"/>
  <c r="J19"/>
  <c r="J17"/>
  <c r="J15"/>
  <c r="J13"/>
  <c r="J11"/>
  <c r="J9"/>
  <c r="J7"/>
  <c r="N9"/>
  <c r="N39"/>
  <c r="N56"/>
  <c r="N58"/>
  <c r="N60"/>
  <c r="N62"/>
  <c r="N64"/>
  <c r="N66"/>
  <c r="N68"/>
  <c r="N70"/>
  <c r="N74"/>
  <c r="N76"/>
  <c r="N78"/>
  <c r="N79"/>
  <c r="N80"/>
  <c r="N82"/>
  <c r="N84"/>
  <c r="N86"/>
  <c r="N88"/>
  <c r="N92"/>
  <c r="N94"/>
  <c r="N95"/>
  <c r="N96"/>
  <c r="N98"/>
  <c r="N100"/>
  <c r="N102"/>
  <c r="N104"/>
  <c r="N106"/>
  <c r="N108"/>
  <c r="N110"/>
  <c r="N112"/>
  <c r="N114"/>
  <c r="N118"/>
  <c r="N120"/>
  <c r="N122"/>
  <c r="N124"/>
  <c r="N126"/>
  <c r="N130"/>
  <c r="N132"/>
  <c r="N134"/>
  <c r="N137"/>
  <c r="N138"/>
  <c r="N140"/>
  <c r="N142"/>
  <c r="N144"/>
  <c r="N146"/>
  <c r="N150"/>
  <c r="N152"/>
  <c r="N154"/>
  <c r="N156"/>
  <c r="N158"/>
  <c r="N160"/>
  <c r="N162"/>
  <c r="N164"/>
  <c r="N166"/>
  <c r="N168"/>
  <c r="N170"/>
  <c r="N172"/>
  <c r="N174"/>
  <c r="N176"/>
  <c r="N178"/>
  <c r="N180"/>
  <c r="N181"/>
  <c r="N182"/>
  <c r="N184"/>
  <c r="N186"/>
  <c r="N187"/>
  <c r="N188"/>
  <c r="N190"/>
  <c r="N192"/>
  <c r="N196"/>
  <c r="N198"/>
  <c r="N199"/>
  <c r="N200"/>
  <c r="N202"/>
  <c r="N203"/>
  <c r="N204"/>
  <c r="N206"/>
  <c r="N207"/>
  <c r="N208"/>
  <c r="N210"/>
  <c r="N211"/>
  <c r="N212"/>
  <c r="N214"/>
  <c r="N215"/>
  <c r="N216"/>
  <c r="N218"/>
  <c r="N219"/>
  <c r="N222"/>
  <c r="N223"/>
  <c r="N224"/>
  <c r="N226"/>
  <c r="N227"/>
  <c r="N228"/>
  <c r="N230"/>
  <c r="N231"/>
  <c r="N232"/>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70"/>
  <c r="N271"/>
  <c r="N272"/>
  <c r="N275"/>
  <c r="N276"/>
  <c r="N278"/>
  <c r="N280"/>
  <c r="N282"/>
  <c r="N284"/>
  <c r="N286"/>
  <c r="N287"/>
  <c r="N290"/>
  <c r="N291"/>
  <c r="N292"/>
  <c r="N297"/>
  <c r="N303"/>
  <c r="N308"/>
  <c r="N310"/>
  <c r="N311"/>
  <c r="N315"/>
  <c r="N316"/>
  <c r="N318"/>
  <c r="N319"/>
  <c r="N320"/>
  <c r="N322"/>
  <c r="N323"/>
  <c r="N326"/>
  <c r="N328"/>
  <c r="N333"/>
  <c r="N334"/>
  <c r="N335"/>
  <c r="N336"/>
  <c r="N338"/>
  <c r="N339"/>
  <c r="N340"/>
  <c r="N342"/>
  <c r="N343"/>
  <c r="N344"/>
  <c r="N346"/>
  <c r="N347"/>
  <c r="N348"/>
  <c r="N350"/>
  <c r="N351"/>
  <c r="N352"/>
  <c r="N353"/>
  <c r="N354"/>
  <c r="N355"/>
  <c r="N356"/>
  <c r="N357"/>
  <c r="N359"/>
  <c r="N360"/>
  <c r="N362"/>
  <c r="N363"/>
  <c r="N364"/>
  <c r="N366"/>
  <c r="N367"/>
  <c r="N370"/>
  <c r="N371"/>
  <c r="N374"/>
  <c r="N394"/>
  <c r="N395"/>
  <c r="N396"/>
  <c r="N397"/>
  <c r="N398"/>
  <c r="N399"/>
  <c r="N400"/>
  <c r="N401"/>
  <c r="N402"/>
  <c r="N403"/>
  <c r="N404"/>
  <c r="N405"/>
  <c r="N406"/>
  <c r="N407"/>
  <c r="N411"/>
  <c r="N412"/>
  <c r="N413"/>
  <c r="N414"/>
  <c r="N415"/>
  <c r="N416"/>
  <c r="N417"/>
  <c r="N419"/>
  <c r="N420"/>
  <c r="N422"/>
  <c r="N423"/>
  <c r="N424"/>
  <c r="N425"/>
  <c r="N426"/>
  <c r="N428"/>
  <c r="N430"/>
  <c r="N431"/>
  <c r="N432"/>
  <c r="N434"/>
  <c r="N436"/>
  <c r="N437"/>
  <c r="N438"/>
  <c r="N443"/>
  <c r="N444"/>
  <c r="N445"/>
  <c r="N446"/>
  <c r="N447"/>
  <c r="N448"/>
  <c r="N449"/>
  <c r="N450"/>
  <c r="N452"/>
  <c r="N454"/>
  <c r="N455"/>
  <c r="N456"/>
  <c r="N458"/>
  <c r="N460"/>
  <c r="N461"/>
  <c r="N462"/>
  <c r="N463"/>
  <c r="N464"/>
  <c r="N465"/>
  <c r="N466"/>
  <c r="N468"/>
  <c r="N470"/>
  <c r="N471"/>
  <c r="N472"/>
  <c r="N474"/>
  <c r="N476"/>
  <c r="N477"/>
  <c r="N478"/>
  <c r="N479"/>
  <c r="N480"/>
  <c r="N484"/>
  <c r="N487"/>
  <c r="N488"/>
  <c r="N490"/>
  <c r="N499"/>
  <c r="N500"/>
  <c r="N502"/>
  <c r="N504"/>
  <c r="N505"/>
  <c r="N507"/>
  <c r="N509"/>
  <c r="N511"/>
  <c r="N512"/>
  <c r="N514"/>
  <c r="N515"/>
  <c r="N518"/>
  <c r="N520"/>
  <c r="N521"/>
  <c r="N522"/>
  <c r="N523"/>
  <c r="N524"/>
  <c r="N525"/>
  <c r="N526"/>
  <c r="N527"/>
  <c r="N528"/>
  <c r="N529"/>
  <c r="N530"/>
  <c r="N531"/>
  <c r="N537"/>
  <c r="N540"/>
  <c r="N548"/>
  <c r="N549"/>
  <c r="N551"/>
  <c r="N558"/>
  <c r="N559"/>
  <c r="N560"/>
  <c r="N561"/>
  <c r="N562"/>
  <c r="N564"/>
  <c r="N565"/>
  <c r="N566"/>
  <c r="N574"/>
  <c r="N576"/>
  <c r="N577"/>
  <c r="N578"/>
  <c r="N579"/>
  <c r="N580"/>
  <c r="N581"/>
  <c r="N582"/>
  <c r="N583"/>
  <c r="N584"/>
  <c r="N585"/>
  <c r="N586"/>
  <c r="N587"/>
  <c r="N588"/>
  <c r="N589"/>
  <c r="N590"/>
  <c r="N591"/>
  <c r="N592"/>
  <c r="N593"/>
  <c r="N594"/>
  <c r="N596"/>
  <c r="N602"/>
  <c r="N605"/>
  <c r="N606"/>
  <c r="N607"/>
  <c r="N608"/>
  <c r="N609"/>
  <c r="N610"/>
  <c r="N611"/>
  <c r="N612"/>
  <c r="N613"/>
  <c r="N614"/>
  <c r="N615"/>
  <c r="N616"/>
  <c r="N617"/>
  <c r="N618"/>
  <c r="N619"/>
  <c r="N620"/>
  <c r="N621"/>
  <c r="N622"/>
  <c r="N623"/>
  <c r="N632"/>
  <c r="N633"/>
  <c r="N634"/>
  <c r="N638"/>
  <c r="N639"/>
  <c r="N640"/>
  <c r="N641"/>
  <c r="N642"/>
  <c r="N643"/>
  <c r="N644"/>
  <c r="N645"/>
  <c r="N650"/>
  <c r="N654"/>
  <c r="N664"/>
  <c r="N665"/>
  <c r="N666"/>
  <c r="N669"/>
  <c r="N670"/>
  <c r="N671"/>
  <c r="N672"/>
  <c r="N673"/>
  <c r="N674"/>
  <c r="N675"/>
  <c r="N715"/>
  <c r="N716"/>
  <c r="N718"/>
  <c r="N719"/>
  <c r="N721"/>
  <c r="N722"/>
  <c r="N723"/>
  <c r="N736"/>
  <c r="N753"/>
  <c r="N761"/>
  <c r="N762"/>
  <c r="N763"/>
  <c r="N764"/>
  <c r="N765"/>
  <c r="N766"/>
  <c r="N767"/>
  <c r="N768"/>
  <c r="N769"/>
  <c r="N770"/>
  <c r="N771"/>
  <c r="N772"/>
  <c r="N773"/>
  <c r="N774"/>
  <c r="N775"/>
  <c r="N776"/>
  <c r="N777"/>
  <c r="N778"/>
  <c r="N779"/>
  <c r="N780"/>
  <c r="N781"/>
  <c r="N782"/>
  <c r="N783"/>
  <c r="N784"/>
  <c r="N785"/>
  <c r="N786"/>
  <c r="N787"/>
  <c r="N788"/>
  <c r="N789"/>
  <c r="N790"/>
  <c r="N791"/>
  <c r="N792"/>
  <c r="N793"/>
  <c r="N794"/>
  <c r="N795"/>
  <c r="N800"/>
  <c r="N801"/>
  <c r="N803"/>
  <c r="N804"/>
  <c r="N805"/>
  <c r="N806"/>
  <c r="N807"/>
  <c r="N808"/>
  <c r="N809"/>
  <c r="N810"/>
  <c r="N811"/>
  <c r="N812"/>
  <c r="N813"/>
  <c r="N814"/>
  <c r="N815"/>
  <c r="N816"/>
  <c r="N817"/>
  <c r="N818"/>
  <c r="N819"/>
  <c r="N820"/>
  <c r="N821"/>
  <c r="N822"/>
  <c r="N823"/>
  <c r="N824"/>
  <c r="N825"/>
  <c r="N826"/>
  <c r="N827"/>
  <c r="N828"/>
  <c r="N829"/>
  <c r="N830"/>
  <c r="N831"/>
  <c r="N832"/>
  <c r="N833"/>
  <c r="N834"/>
  <c r="N835"/>
  <c r="N836"/>
  <c r="N837"/>
  <c r="N838"/>
  <c r="N839"/>
  <c r="N840"/>
  <c r="N841"/>
  <c r="N842"/>
  <c r="N843"/>
  <c r="N844"/>
  <c r="N845"/>
  <c r="N846"/>
  <c r="N847"/>
  <c r="N848"/>
  <c r="N849"/>
  <c r="N850"/>
  <c r="N851"/>
  <c r="N852"/>
  <c r="N853"/>
  <c r="N854"/>
  <c r="N855"/>
  <c r="N856"/>
  <c r="N857"/>
  <c r="N858"/>
  <c r="N859"/>
  <c r="N860"/>
  <c r="N861"/>
  <c r="N862"/>
  <c r="N863"/>
  <c r="N864"/>
  <c r="N865"/>
  <c r="N866"/>
  <c r="N867"/>
  <c r="N868"/>
  <c r="N869"/>
  <c r="N870"/>
  <c r="N871"/>
  <c r="N872"/>
  <c r="N873"/>
  <c r="N874"/>
  <c r="N875"/>
  <c r="N876"/>
  <c r="N877"/>
  <c r="N878"/>
  <c r="N879"/>
  <c r="N880"/>
  <c r="N881"/>
  <c r="N882"/>
  <c r="N883"/>
  <c r="N884"/>
  <c r="N885"/>
  <c r="N886"/>
  <c r="N887"/>
  <c r="N888"/>
  <c r="N889"/>
  <c r="N890"/>
  <c r="N891"/>
  <c r="N892"/>
  <c r="N893"/>
  <c r="N894"/>
  <c r="N895"/>
  <c r="N896"/>
  <c r="N897"/>
  <c r="N898"/>
  <c r="N899"/>
  <c r="N900"/>
  <c r="N901"/>
  <c r="N902"/>
  <c r="N903"/>
  <c r="N904"/>
  <c r="N905"/>
  <c r="N906"/>
  <c r="N907"/>
  <c r="N908"/>
  <c r="N910"/>
  <c r="N911"/>
  <c r="N913"/>
  <c r="N915"/>
  <c r="N917"/>
  <c r="N919"/>
  <c r="N920"/>
  <c r="N921"/>
  <c r="N922"/>
  <c r="N923"/>
  <c r="N925"/>
  <c r="N927"/>
  <c r="N929"/>
  <c r="N931"/>
  <c r="N933"/>
  <c r="N935"/>
  <c r="N936"/>
  <c r="N937"/>
  <c r="N939"/>
  <c r="N940"/>
  <c r="N941"/>
  <c r="N942"/>
  <c r="H948"/>
  <c r="I948"/>
  <c r="H949"/>
  <c r="I949"/>
  <c r="A946"/>
  <c r="A966" i="2"/>
  <c r="A949" i="4" s="1"/>
  <c r="A965" i="2"/>
  <c r="A948" i="4" s="1"/>
  <c r="H947"/>
  <c r="I947" s="1"/>
  <c r="A964" i="2"/>
  <c r="A947" i="4" s="1"/>
  <c r="N949" l="1"/>
  <c r="N948"/>
  <c r="N947"/>
  <c r="H908"/>
  <c r="H909"/>
  <c r="H910"/>
  <c r="H911"/>
  <c r="H912"/>
  <c r="H913"/>
  <c r="H914"/>
  <c r="H915"/>
  <c r="H916"/>
  <c r="H917"/>
  <c r="H918"/>
  <c r="H919"/>
  <c r="H920"/>
  <c r="H921"/>
  <c r="H922"/>
  <c r="H923"/>
  <c r="H924"/>
  <c r="H925"/>
  <c r="H926"/>
  <c r="H927"/>
  <c r="H928"/>
  <c r="H929"/>
  <c r="H930"/>
  <c r="H931"/>
  <c r="H932"/>
  <c r="H933"/>
  <c r="H934"/>
  <c r="H935"/>
  <c r="H936"/>
  <c r="H937"/>
  <c r="H938"/>
  <c r="H939"/>
  <c r="H940"/>
  <c r="H941"/>
  <c r="H942"/>
  <c r="H943"/>
  <c r="H944"/>
  <c r="H945"/>
  <c r="H946"/>
  <c r="I908"/>
  <c r="I909"/>
  <c r="N909" s="1"/>
  <c r="I910"/>
  <c r="I911"/>
  <c r="I912"/>
  <c r="N912" s="1"/>
  <c r="I913"/>
  <c r="I914"/>
  <c r="N914" s="1"/>
  <c r="I915"/>
  <c r="I916"/>
  <c r="N916" s="1"/>
  <c r="I917"/>
  <c r="I918"/>
  <c r="N918" s="1"/>
  <c r="I919"/>
  <c r="I920"/>
  <c r="I921"/>
  <c r="I922"/>
  <c r="I923"/>
  <c r="I924"/>
  <c r="N924" s="1"/>
  <c r="I925"/>
  <c r="I926"/>
  <c r="N926" s="1"/>
  <c r="I927"/>
  <c r="I928"/>
  <c r="N928" s="1"/>
  <c r="I929"/>
  <c r="I930"/>
  <c r="N930" s="1"/>
  <c r="I931"/>
  <c r="I932"/>
  <c r="N932" s="1"/>
  <c r="I933"/>
  <c r="I934"/>
  <c r="N934" s="1"/>
  <c r="I935"/>
  <c r="I936"/>
  <c r="I937"/>
  <c r="I938"/>
  <c r="N938" s="1"/>
  <c r="I939"/>
  <c r="I940"/>
  <c r="I941"/>
  <c r="I942"/>
  <c r="I943"/>
  <c r="N943" s="1"/>
  <c r="I944"/>
  <c r="N944" s="1"/>
  <c r="I945"/>
  <c r="N945" s="1"/>
  <c r="I946"/>
  <c r="N946" s="1"/>
  <c r="M2"/>
  <c r="A907"/>
  <c r="A908"/>
  <c r="A909"/>
  <c r="A910"/>
  <c r="A911"/>
  <c r="A912"/>
  <c r="A913"/>
  <c r="A914"/>
  <c r="A915"/>
  <c r="A916"/>
  <c r="A917"/>
  <c r="A918"/>
  <c r="A919"/>
  <c r="A920"/>
  <c r="A921"/>
  <c r="A922"/>
  <c r="A923"/>
  <c r="A924"/>
  <c r="A925"/>
  <c r="A926"/>
  <c r="A927"/>
  <c r="A928"/>
  <c r="A929"/>
  <c r="A930"/>
  <c r="A931"/>
  <c r="A932"/>
  <c r="A933"/>
  <c r="A934"/>
  <c r="A935"/>
  <c r="A936"/>
  <c r="A937"/>
  <c r="A938"/>
  <c r="A939"/>
  <c r="A940"/>
  <c r="A941"/>
  <c r="A942"/>
  <c r="A943"/>
  <c r="A944"/>
  <c r="A945"/>
  <c r="H25"/>
  <c r="I25"/>
  <c r="N25" s="1"/>
  <c r="H26"/>
  <c r="I26"/>
  <c r="N26" s="1"/>
  <c r="H27"/>
  <c r="I27"/>
  <c r="N27" s="1"/>
  <c r="H28"/>
  <c r="I28"/>
  <c r="N28" s="1"/>
  <c r="H29"/>
  <c r="I29"/>
  <c r="N29" s="1"/>
  <c r="H30"/>
  <c r="I30"/>
  <c r="N30" s="1"/>
  <c r="H31"/>
  <c r="I31"/>
  <c r="N31" s="1"/>
  <c r="H32"/>
  <c r="I32"/>
  <c r="N32" s="1"/>
  <c r="H33"/>
  <c r="I33"/>
  <c r="N33" s="1"/>
  <c r="H34"/>
  <c r="I34"/>
  <c r="N34" s="1"/>
  <c r="H35"/>
  <c r="I35"/>
  <c r="N35" s="1"/>
  <c r="H36"/>
  <c r="I36"/>
  <c r="N36" s="1"/>
  <c r="H37"/>
  <c r="I37"/>
  <c r="N37" s="1"/>
  <c r="H38"/>
  <c r="I38"/>
  <c r="N38" s="1"/>
  <c r="H39"/>
  <c r="I39"/>
  <c r="H40"/>
  <c r="I40"/>
  <c r="N40" s="1"/>
  <c r="H41"/>
  <c r="I41"/>
  <c r="N41" s="1"/>
  <c r="H42"/>
  <c r="I42"/>
  <c r="N42" s="1"/>
  <c r="H43"/>
  <c r="I43"/>
  <c r="N43" s="1"/>
  <c r="H44"/>
  <c r="I44"/>
  <c r="N44" s="1"/>
  <c r="H45"/>
  <c r="I45"/>
  <c r="N45" s="1"/>
  <c r="H46"/>
  <c r="I46"/>
  <c r="N46" s="1"/>
  <c r="H47"/>
  <c r="I47"/>
  <c r="N47" s="1"/>
  <c r="H48"/>
  <c r="I48"/>
  <c r="N48" s="1"/>
  <c r="H49"/>
  <c r="I49"/>
  <c r="N49" s="1"/>
  <c r="H50"/>
  <c r="I50"/>
  <c r="N50" s="1"/>
  <c r="H51"/>
  <c r="I51"/>
  <c r="N51" s="1"/>
  <c r="H52"/>
  <c r="I52"/>
  <c r="N52" s="1"/>
  <c r="H53"/>
  <c r="I53"/>
  <c r="N53" s="1"/>
  <c r="H54"/>
  <c r="I54"/>
  <c r="N54" s="1"/>
  <c r="H55"/>
  <c r="I55"/>
  <c r="N55" s="1"/>
  <c r="H56"/>
  <c r="I56"/>
  <c r="H57"/>
  <c r="I57"/>
  <c r="H58"/>
  <c r="I58"/>
  <c r="H59"/>
  <c r="I59"/>
  <c r="H60"/>
  <c r="I60"/>
  <c r="H61"/>
  <c r="I61"/>
  <c r="H62"/>
  <c r="I62"/>
  <c r="H63"/>
  <c r="I63"/>
  <c r="H64"/>
  <c r="I64"/>
  <c r="H65"/>
  <c r="I65"/>
  <c r="H66"/>
  <c r="I66"/>
  <c r="H67"/>
  <c r="I67"/>
  <c r="H68"/>
  <c r="I68"/>
  <c r="H69"/>
  <c r="I69"/>
  <c r="H70"/>
  <c r="I70"/>
  <c r="H71"/>
  <c r="I71"/>
  <c r="H72"/>
  <c r="I72"/>
  <c r="N72" s="1"/>
  <c r="H73"/>
  <c r="I73"/>
  <c r="H74"/>
  <c r="I74"/>
  <c r="H75"/>
  <c r="I75"/>
  <c r="H76"/>
  <c r="I76"/>
  <c r="H77"/>
  <c r="I77"/>
  <c r="H78"/>
  <c r="I78"/>
  <c r="H79"/>
  <c r="I79"/>
  <c r="H80"/>
  <c r="I80"/>
  <c r="H81"/>
  <c r="I81"/>
  <c r="H82"/>
  <c r="I82"/>
  <c r="H83"/>
  <c r="I83"/>
  <c r="N83" s="1"/>
  <c r="H84"/>
  <c r="I84"/>
  <c r="H85"/>
  <c r="I85"/>
  <c r="H86"/>
  <c r="I86"/>
  <c r="H87"/>
  <c r="I87"/>
  <c r="H88"/>
  <c r="I88"/>
  <c r="H89"/>
  <c r="I89"/>
  <c r="H90"/>
  <c r="I90"/>
  <c r="N90" s="1"/>
  <c r="H91"/>
  <c r="I91"/>
  <c r="H92"/>
  <c r="I92"/>
  <c r="H93"/>
  <c r="I93"/>
  <c r="H94"/>
  <c r="I94"/>
  <c r="H95"/>
  <c r="I95"/>
  <c r="H96"/>
  <c r="I96"/>
  <c r="H97"/>
  <c r="I97"/>
  <c r="H98"/>
  <c r="I98"/>
  <c r="H99"/>
  <c r="I99"/>
  <c r="H100"/>
  <c r="I100"/>
  <c r="H101"/>
  <c r="I101"/>
  <c r="H102"/>
  <c r="I102"/>
  <c r="H103"/>
  <c r="I103"/>
  <c r="H104"/>
  <c r="I104"/>
  <c r="H105"/>
  <c r="I105"/>
  <c r="H106"/>
  <c r="I106"/>
  <c r="H107"/>
  <c r="I107"/>
  <c r="H108"/>
  <c r="I108"/>
  <c r="H109"/>
  <c r="I109"/>
  <c r="N109" s="1"/>
  <c r="H110"/>
  <c r="I110"/>
  <c r="H111"/>
  <c r="I111"/>
  <c r="H112"/>
  <c r="I112"/>
  <c r="H113"/>
  <c r="I113"/>
  <c r="H114"/>
  <c r="I114"/>
  <c r="H115"/>
  <c r="I115"/>
  <c r="H116"/>
  <c r="I116"/>
  <c r="N116" s="1"/>
  <c r="H117"/>
  <c r="I117"/>
  <c r="H118"/>
  <c r="I118"/>
  <c r="H119"/>
  <c r="I119"/>
  <c r="H120"/>
  <c r="I120"/>
  <c r="H121"/>
  <c r="I121"/>
  <c r="N121" s="1"/>
  <c r="H122"/>
  <c r="I122"/>
  <c r="H123"/>
  <c r="I123"/>
  <c r="H124"/>
  <c r="I124"/>
  <c r="H125"/>
  <c r="I125"/>
  <c r="H126"/>
  <c r="I126"/>
  <c r="H127"/>
  <c r="I127"/>
  <c r="H128"/>
  <c r="I128"/>
  <c r="N128" s="1"/>
  <c r="H129"/>
  <c r="I129"/>
  <c r="H130"/>
  <c r="I130"/>
  <c r="H131"/>
  <c r="I131"/>
  <c r="H132"/>
  <c r="I132"/>
  <c r="H133"/>
  <c r="I133"/>
  <c r="H134"/>
  <c r="I134"/>
  <c r="H135"/>
  <c r="I135"/>
  <c r="H136"/>
  <c r="I136"/>
  <c r="N136" s="1"/>
  <c r="H137"/>
  <c r="I137"/>
  <c r="H138"/>
  <c r="I138"/>
  <c r="H139"/>
  <c r="I139"/>
  <c r="H140"/>
  <c r="I140"/>
  <c r="H141"/>
  <c r="I141"/>
  <c r="H142"/>
  <c r="I142"/>
  <c r="H143"/>
  <c r="I143"/>
  <c r="H144"/>
  <c r="I144"/>
  <c r="H145"/>
  <c r="I145"/>
  <c r="H146"/>
  <c r="I146"/>
  <c r="H147"/>
  <c r="I147"/>
  <c r="H148"/>
  <c r="I148"/>
  <c r="N148" s="1"/>
  <c r="H149"/>
  <c r="I149"/>
  <c r="H150"/>
  <c r="I150"/>
  <c r="H151"/>
  <c r="I151"/>
  <c r="H152"/>
  <c r="I152"/>
  <c r="H153"/>
  <c r="I153"/>
  <c r="H154"/>
  <c r="I154"/>
  <c r="H155"/>
  <c r="I155"/>
  <c r="H156"/>
  <c r="I156"/>
  <c r="H157"/>
  <c r="I157"/>
  <c r="H158"/>
  <c r="I158"/>
  <c r="H159"/>
  <c r="I159"/>
  <c r="H160"/>
  <c r="I160"/>
  <c r="H161"/>
  <c r="I161"/>
  <c r="H162"/>
  <c r="I162"/>
  <c r="H163"/>
  <c r="I163"/>
  <c r="H164"/>
  <c r="I164"/>
  <c r="H165"/>
  <c r="I165"/>
  <c r="H166"/>
  <c r="I166"/>
  <c r="H167"/>
  <c r="I167"/>
  <c r="H168"/>
  <c r="I168"/>
  <c r="H169"/>
  <c r="I169"/>
  <c r="H170"/>
  <c r="I170"/>
  <c r="H171"/>
  <c r="I171"/>
  <c r="N171" s="1"/>
  <c r="H172"/>
  <c r="I172"/>
  <c r="H173"/>
  <c r="I173"/>
  <c r="H174"/>
  <c r="I174"/>
  <c r="H175"/>
  <c r="I175"/>
  <c r="H176"/>
  <c r="I176"/>
  <c r="H177"/>
  <c r="I177"/>
  <c r="H178"/>
  <c r="I178"/>
  <c r="H179"/>
  <c r="I179"/>
  <c r="H180"/>
  <c r="I180"/>
  <c r="H181"/>
  <c r="I181"/>
  <c r="H182"/>
  <c r="I182"/>
  <c r="H183"/>
  <c r="I183"/>
  <c r="H184"/>
  <c r="I184"/>
  <c r="H185"/>
  <c r="I185"/>
  <c r="H186"/>
  <c r="I186"/>
  <c r="H187"/>
  <c r="I187"/>
  <c r="H188"/>
  <c r="I188"/>
  <c r="H189"/>
  <c r="I189"/>
  <c r="H190"/>
  <c r="I190"/>
  <c r="H191"/>
  <c r="I191"/>
  <c r="H192"/>
  <c r="I192"/>
  <c r="H193"/>
  <c r="I193"/>
  <c r="H194"/>
  <c r="I194"/>
  <c r="N194" s="1"/>
  <c r="H195"/>
  <c r="I195"/>
  <c r="H196"/>
  <c r="I196"/>
  <c r="H197"/>
  <c r="I197"/>
  <c r="H198"/>
  <c r="I198"/>
  <c r="H199"/>
  <c r="I199"/>
  <c r="H200"/>
  <c r="I200"/>
  <c r="H201"/>
  <c r="I201"/>
  <c r="H202"/>
  <c r="I202"/>
  <c r="H203"/>
  <c r="I203"/>
  <c r="H204"/>
  <c r="I204"/>
  <c r="H205"/>
  <c r="I205"/>
  <c r="H206"/>
  <c r="I206"/>
  <c r="H207"/>
  <c r="I207"/>
  <c r="H208"/>
  <c r="I208"/>
  <c r="H209"/>
  <c r="I209"/>
  <c r="N209" s="1"/>
  <c r="H210"/>
  <c r="I210"/>
  <c r="H211"/>
  <c r="I211"/>
  <c r="H212"/>
  <c r="I212"/>
  <c r="H213"/>
  <c r="I213"/>
  <c r="H214"/>
  <c r="I214"/>
  <c r="H215"/>
  <c r="I215"/>
  <c r="H216"/>
  <c r="I216"/>
  <c r="H217"/>
  <c r="I217"/>
  <c r="H218"/>
  <c r="I218"/>
  <c r="H219"/>
  <c r="I219"/>
  <c r="H220"/>
  <c r="I220"/>
  <c r="N220" s="1"/>
  <c r="H221"/>
  <c r="I221"/>
  <c r="H222"/>
  <c r="I222"/>
  <c r="H223"/>
  <c r="I223"/>
  <c r="H224"/>
  <c r="I224"/>
  <c r="H225"/>
  <c r="I225"/>
  <c r="H226"/>
  <c r="I226"/>
  <c r="H227"/>
  <c r="I227"/>
  <c r="H228"/>
  <c r="I228"/>
  <c r="H229"/>
  <c r="I229"/>
  <c r="H230"/>
  <c r="I230"/>
  <c r="H231"/>
  <c r="I231"/>
  <c r="H232"/>
  <c r="I232"/>
  <c r="H233"/>
  <c r="I233"/>
  <c r="N233" s="1"/>
  <c r="H234"/>
  <c r="I234"/>
  <c r="H235"/>
  <c r="I235"/>
  <c r="H236"/>
  <c r="I236"/>
  <c r="H237"/>
  <c r="I237"/>
  <c r="H238"/>
  <c r="I238"/>
  <c r="H239"/>
  <c r="I239"/>
  <c r="H240"/>
  <c r="I240"/>
  <c r="H241"/>
  <c r="I241"/>
  <c r="H242"/>
  <c r="I242"/>
  <c r="H243"/>
  <c r="I243"/>
  <c r="H244"/>
  <c r="I244"/>
  <c r="H245"/>
  <c r="I245"/>
  <c r="H246"/>
  <c r="I246"/>
  <c r="H247"/>
  <c r="I247"/>
  <c r="H248"/>
  <c r="I248"/>
  <c r="H249"/>
  <c r="I249"/>
  <c r="H250"/>
  <c r="I250"/>
  <c r="H251"/>
  <c r="I251"/>
  <c r="H252"/>
  <c r="I252"/>
  <c r="H253"/>
  <c r="I253"/>
  <c r="H254"/>
  <c r="I254"/>
  <c r="H255"/>
  <c r="I255"/>
  <c r="H256"/>
  <c r="I256"/>
  <c r="H257"/>
  <c r="I257"/>
  <c r="H258"/>
  <c r="I258"/>
  <c r="H259"/>
  <c r="I259"/>
  <c r="H260"/>
  <c r="I260"/>
  <c r="H261"/>
  <c r="I261"/>
  <c r="H262"/>
  <c r="I262"/>
  <c r="H263"/>
  <c r="I263"/>
  <c r="H264"/>
  <c r="I264"/>
  <c r="H265"/>
  <c r="I265"/>
  <c r="H266"/>
  <c r="I266"/>
  <c r="H267"/>
  <c r="I267"/>
  <c r="H268"/>
  <c r="I268"/>
  <c r="H269"/>
  <c r="I269"/>
  <c r="N269" s="1"/>
  <c r="H270"/>
  <c r="I270"/>
  <c r="H271"/>
  <c r="I271"/>
  <c r="H272"/>
  <c r="I272"/>
  <c r="H273"/>
  <c r="I273"/>
  <c r="H274"/>
  <c r="I274"/>
  <c r="N274" s="1"/>
  <c r="H275"/>
  <c r="I275"/>
  <c r="H276"/>
  <c r="I276"/>
  <c r="H277"/>
  <c r="I277"/>
  <c r="H278"/>
  <c r="I278"/>
  <c r="H279"/>
  <c r="I279"/>
  <c r="N279" s="1"/>
  <c r="H280"/>
  <c r="I280"/>
  <c r="H281"/>
  <c r="I281"/>
  <c r="H282"/>
  <c r="I282"/>
  <c r="H283"/>
  <c r="I283"/>
  <c r="N283" s="1"/>
  <c r="H284"/>
  <c r="I284"/>
  <c r="H285"/>
  <c r="I285"/>
  <c r="H286"/>
  <c r="I286"/>
  <c r="H287"/>
  <c r="I287"/>
  <c r="H288"/>
  <c r="I288"/>
  <c r="N288" s="1"/>
  <c r="H289"/>
  <c r="I289"/>
  <c r="H290"/>
  <c r="I290"/>
  <c r="H291"/>
  <c r="I291"/>
  <c r="H292"/>
  <c r="I292"/>
  <c r="H293"/>
  <c r="I293"/>
  <c r="H294"/>
  <c r="I294"/>
  <c r="N294" s="1"/>
  <c r="H295"/>
  <c r="I295"/>
  <c r="N295" s="1"/>
  <c r="H296"/>
  <c r="I296"/>
  <c r="N296" s="1"/>
  <c r="H297"/>
  <c r="I297"/>
  <c r="H298"/>
  <c r="I298"/>
  <c r="N298" s="1"/>
  <c r="H299"/>
  <c r="I299"/>
  <c r="N299" s="1"/>
  <c r="H300"/>
  <c r="I300"/>
  <c r="N300" s="1"/>
  <c r="H301"/>
  <c r="I301"/>
  <c r="N301" s="1"/>
  <c r="H302"/>
  <c r="I302"/>
  <c r="N302" s="1"/>
  <c r="H303"/>
  <c r="I303"/>
  <c r="H304"/>
  <c r="I304"/>
  <c r="N304" s="1"/>
  <c r="H305"/>
  <c r="I305"/>
  <c r="N305" s="1"/>
  <c r="H306"/>
  <c r="I306"/>
  <c r="N306" s="1"/>
  <c r="H307"/>
  <c r="I307"/>
  <c r="N307" s="1"/>
  <c r="H308"/>
  <c r="I308"/>
  <c r="H309"/>
  <c r="I309"/>
  <c r="H310"/>
  <c r="I310"/>
  <c r="H311"/>
  <c r="I311"/>
  <c r="H312"/>
  <c r="I312"/>
  <c r="N312" s="1"/>
  <c r="H313"/>
  <c r="I313"/>
  <c r="H314"/>
  <c r="I314"/>
  <c r="N314" s="1"/>
  <c r="H315"/>
  <c r="I315"/>
  <c r="H316"/>
  <c r="I316"/>
  <c r="H317"/>
  <c r="I317"/>
  <c r="H318"/>
  <c r="I318"/>
  <c r="H319"/>
  <c r="I319"/>
  <c r="H320"/>
  <c r="I320"/>
  <c r="H321"/>
  <c r="I321"/>
  <c r="H322"/>
  <c r="I322"/>
  <c r="H323"/>
  <c r="I323"/>
  <c r="H324"/>
  <c r="I324"/>
  <c r="N324" s="1"/>
  <c r="H325"/>
  <c r="I325"/>
  <c r="H326"/>
  <c r="I326"/>
  <c r="H327"/>
  <c r="I327"/>
  <c r="N327" s="1"/>
  <c r="H328"/>
  <c r="I328"/>
  <c r="H329"/>
  <c r="I329"/>
  <c r="H330"/>
  <c r="I330"/>
  <c r="N330" s="1"/>
  <c r="H331"/>
  <c r="I331"/>
  <c r="N331" s="1"/>
  <c r="H332"/>
  <c r="I332"/>
  <c r="N332" s="1"/>
  <c r="H333"/>
  <c r="I333"/>
  <c r="H334"/>
  <c r="I334"/>
  <c r="H335"/>
  <c r="I335"/>
  <c r="H336"/>
  <c r="I336"/>
  <c r="H337"/>
  <c r="I337"/>
  <c r="N337" s="1"/>
  <c r="H338"/>
  <c r="I338"/>
  <c r="H339"/>
  <c r="I339"/>
  <c r="H340"/>
  <c r="I340"/>
  <c r="H341"/>
  <c r="I341"/>
  <c r="H342"/>
  <c r="I342"/>
  <c r="H343"/>
  <c r="I343"/>
  <c r="H344"/>
  <c r="I344"/>
  <c r="H345"/>
  <c r="I345"/>
  <c r="H346"/>
  <c r="I346"/>
  <c r="H347"/>
  <c r="I347"/>
  <c r="H348"/>
  <c r="I348"/>
  <c r="H349"/>
  <c r="I349"/>
  <c r="N349" s="1"/>
  <c r="H350"/>
  <c r="I350"/>
  <c r="H351"/>
  <c r="I351"/>
  <c r="H352"/>
  <c r="I352"/>
  <c r="H353"/>
  <c r="I353"/>
  <c r="H354"/>
  <c r="I354"/>
  <c r="H355"/>
  <c r="I355"/>
  <c r="H356"/>
  <c r="I356"/>
  <c r="H357"/>
  <c r="I357"/>
  <c r="H358"/>
  <c r="I358"/>
  <c r="N358" s="1"/>
  <c r="H359"/>
  <c r="I359"/>
  <c r="H360"/>
  <c r="I360"/>
  <c r="H361"/>
  <c r="I361"/>
  <c r="H362"/>
  <c r="I362"/>
  <c r="H363"/>
  <c r="I363"/>
  <c r="H364"/>
  <c r="I364"/>
  <c r="H365"/>
  <c r="I365"/>
  <c r="N365" s="1"/>
  <c r="H366"/>
  <c r="I366"/>
  <c r="H367"/>
  <c r="I367"/>
  <c r="H368"/>
  <c r="I368"/>
  <c r="N368" s="1"/>
  <c r="H369"/>
  <c r="I369"/>
  <c r="N369" s="1"/>
  <c r="H370"/>
  <c r="I370"/>
  <c r="H371"/>
  <c r="I371"/>
  <c r="H372"/>
  <c r="I372"/>
  <c r="N372" s="1"/>
  <c r="H373"/>
  <c r="I373"/>
  <c r="H374"/>
  <c r="I374"/>
  <c r="H375"/>
  <c r="I375"/>
  <c r="N375" s="1"/>
  <c r="H376"/>
  <c r="I376"/>
  <c r="N376" s="1"/>
  <c r="H377"/>
  <c r="I377"/>
  <c r="N377" s="1"/>
  <c r="H378"/>
  <c r="I378"/>
  <c r="N378" s="1"/>
  <c r="H379"/>
  <c r="I379"/>
  <c r="N379" s="1"/>
  <c r="H380"/>
  <c r="I380"/>
  <c r="N380" s="1"/>
  <c r="H381"/>
  <c r="I381"/>
  <c r="N381" s="1"/>
  <c r="H382"/>
  <c r="I382"/>
  <c r="N382" s="1"/>
  <c r="H383"/>
  <c r="I383"/>
  <c r="N383" s="1"/>
  <c r="H384"/>
  <c r="I384"/>
  <c r="N384" s="1"/>
  <c r="H385"/>
  <c r="I385"/>
  <c r="N385" s="1"/>
  <c r="H386"/>
  <c r="I386"/>
  <c r="N386" s="1"/>
  <c r="H387"/>
  <c r="I387"/>
  <c r="N387" s="1"/>
  <c r="H388"/>
  <c r="I388"/>
  <c r="N388" s="1"/>
  <c r="H389"/>
  <c r="I389"/>
  <c r="N389" s="1"/>
  <c r="H390"/>
  <c r="I390"/>
  <c r="N390" s="1"/>
  <c r="H391"/>
  <c r="I391"/>
  <c r="N391" s="1"/>
  <c r="H392"/>
  <c r="I392"/>
  <c r="N392" s="1"/>
  <c r="H393"/>
  <c r="I393"/>
  <c r="N393" s="1"/>
  <c r="H394"/>
  <c r="I394"/>
  <c r="H395"/>
  <c r="I395"/>
  <c r="H396"/>
  <c r="I396"/>
  <c r="H397"/>
  <c r="I397"/>
  <c r="H398"/>
  <c r="I398"/>
  <c r="H399"/>
  <c r="I399"/>
  <c r="H400"/>
  <c r="I400"/>
  <c r="H401"/>
  <c r="I401"/>
  <c r="H402"/>
  <c r="I402"/>
  <c r="H403"/>
  <c r="I403"/>
  <c r="H404"/>
  <c r="I404"/>
  <c r="H405"/>
  <c r="I405"/>
  <c r="H406"/>
  <c r="I406"/>
  <c r="H407"/>
  <c r="I407"/>
  <c r="H408"/>
  <c r="I408"/>
  <c r="N408" s="1"/>
  <c r="H409"/>
  <c r="I409"/>
  <c r="H410"/>
  <c r="I410"/>
  <c r="N410" s="1"/>
  <c r="H411"/>
  <c r="I411"/>
  <c r="H412"/>
  <c r="I412"/>
  <c r="H413"/>
  <c r="I413"/>
  <c r="H414"/>
  <c r="I414"/>
  <c r="H415"/>
  <c r="I415"/>
  <c r="H416"/>
  <c r="I416"/>
  <c r="H417"/>
  <c r="I417"/>
  <c r="H418"/>
  <c r="I418"/>
  <c r="N418" s="1"/>
  <c r="H419"/>
  <c r="I419"/>
  <c r="H420"/>
  <c r="I420"/>
  <c r="H421"/>
  <c r="I421"/>
  <c r="N421" s="1"/>
  <c r="H422"/>
  <c r="I422"/>
  <c r="H423"/>
  <c r="I423"/>
  <c r="H424"/>
  <c r="I424"/>
  <c r="H425"/>
  <c r="I425"/>
  <c r="H426"/>
  <c r="I426"/>
  <c r="H427"/>
  <c r="I427"/>
  <c r="N427" s="1"/>
  <c r="H428"/>
  <c r="I428"/>
  <c r="H429"/>
  <c r="I429"/>
  <c r="H430"/>
  <c r="I430"/>
  <c r="H431"/>
  <c r="I431"/>
  <c r="H432"/>
  <c r="I432"/>
  <c r="H433"/>
  <c r="I433"/>
  <c r="H434"/>
  <c r="I434"/>
  <c r="H435"/>
  <c r="I435"/>
  <c r="N435" s="1"/>
  <c r="H436"/>
  <c r="I436"/>
  <c r="H437"/>
  <c r="I437"/>
  <c r="H438"/>
  <c r="I438"/>
  <c r="H439"/>
  <c r="I439"/>
  <c r="N439" s="1"/>
  <c r="H440"/>
  <c r="I440"/>
  <c r="N440" s="1"/>
  <c r="H441"/>
  <c r="I441"/>
  <c r="N441" s="1"/>
  <c r="H442"/>
  <c r="I442"/>
  <c r="N442" s="1"/>
  <c r="H443"/>
  <c r="I443"/>
  <c r="H444"/>
  <c r="I444"/>
  <c r="H445"/>
  <c r="I445"/>
  <c r="H446"/>
  <c r="I446"/>
  <c r="H447"/>
  <c r="I447"/>
  <c r="H448"/>
  <c r="I448"/>
  <c r="H449"/>
  <c r="I449"/>
  <c r="H450"/>
  <c r="I450"/>
  <c r="H451"/>
  <c r="I451"/>
  <c r="N451" s="1"/>
  <c r="H452"/>
  <c r="I452"/>
  <c r="H453"/>
  <c r="I453"/>
  <c r="H454"/>
  <c r="I454"/>
  <c r="H455"/>
  <c r="I455"/>
  <c r="H456"/>
  <c r="I456"/>
  <c r="H457"/>
  <c r="I457"/>
  <c r="H458"/>
  <c r="I458"/>
  <c r="H459"/>
  <c r="I459"/>
  <c r="N459" s="1"/>
  <c r="H460"/>
  <c r="I460"/>
  <c r="H461"/>
  <c r="I461"/>
  <c r="H462"/>
  <c r="I462"/>
  <c r="H463"/>
  <c r="I463"/>
  <c r="H464"/>
  <c r="I464"/>
  <c r="H465"/>
  <c r="I465"/>
  <c r="H466"/>
  <c r="I466"/>
  <c r="H467"/>
  <c r="I467"/>
  <c r="N467" s="1"/>
  <c r="H468"/>
  <c r="I468"/>
  <c r="H469"/>
  <c r="I469"/>
  <c r="H470"/>
  <c r="I470"/>
  <c r="H471"/>
  <c r="I471"/>
  <c r="H472"/>
  <c r="I472"/>
  <c r="H473"/>
  <c r="I473"/>
  <c r="H474"/>
  <c r="I474"/>
  <c r="H475"/>
  <c r="I475"/>
  <c r="N475" s="1"/>
  <c r="H476"/>
  <c r="I476"/>
  <c r="H477"/>
  <c r="I477"/>
  <c r="H478"/>
  <c r="I478"/>
  <c r="H479"/>
  <c r="I479"/>
  <c r="H480"/>
  <c r="I480"/>
  <c r="H481"/>
  <c r="I481"/>
  <c r="N481" s="1"/>
  <c r="H482"/>
  <c r="I482"/>
  <c r="N482" s="1"/>
  <c r="H483"/>
  <c r="I483"/>
  <c r="N483" s="1"/>
  <c r="H484"/>
  <c r="I484"/>
  <c r="H485"/>
  <c r="I485"/>
  <c r="N485" s="1"/>
  <c r="H486"/>
  <c r="I486"/>
  <c r="N486" s="1"/>
  <c r="H487"/>
  <c r="I487"/>
  <c r="H488"/>
  <c r="I488"/>
  <c r="H489"/>
  <c r="I489"/>
  <c r="N489" s="1"/>
  <c r="H490"/>
  <c r="I490"/>
  <c r="H491"/>
  <c r="I491"/>
  <c r="N491" s="1"/>
  <c r="H492"/>
  <c r="I492"/>
  <c r="N492" s="1"/>
  <c r="H493"/>
  <c r="I493"/>
  <c r="N493" s="1"/>
  <c r="H494"/>
  <c r="I494"/>
  <c r="N494" s="1"/>
  <c r="H495"/>
  <c r="I495"/>
  <c r="N495" s="1"/>
  <c r="H496"/>
  <c r="I496"/>
  <c r="N496" s="1"/>
  <c r="H497"/>
  <c r="I497"/>
  <c r="N497" s="1"/>
  <c r="H498"/>
  <c r="I498"/>
  <c r="N498" s="1"/>
  <c r="H499"/>
  <c r="I499"/>
  <c r="H500"/>
  <c r="I500"/>
  <c r="H501"/>
  <c r="I501"/>
  <c r="N501" s="1"/>
  <c r="H502"/>
  <c r="I502"/>
  <c r="H503"/>
  <c r="I503"/>
  <c r="N503" s="1"/>
  <c r="H504"/>
  <c r="I504"/>
  <c r="H505"/>
  <c r="I505"/>
  <c r="H506"/>
  <c r="I506"/>
  <c r="N506" s="1"/>
  <c r="H507"/>
  <c r="I507"/>
  <c r="H508"/>
  <c r="I508"/>
  <c r="N508" s="1"/>
  <c r="H509"/>
  <c r="I509"/>
  <c r="H510"/>
  <c r="I510"/>
  <c r="N510" s="1"/>
  <c r="H511"/>
  <c r="I511"/>
  <c r="H512"/>
  <c r="I512"/>
  <c r="H513"/>
  <c r="I513"/>
  <c r="N513" s="1"/>
  <c r="H514"/>
  <c r="I514"/>
  <c r="H515"/>
  <c r="I515"/>
  <c r="H516"/>
  <c r="I516"/>
  <c r="N516" s="1"/>
  <c r="H517"/>
  <c r="I517"/>
  <c r="H518"/>
  <c r="I518"/>
  <c r="H519"/>
  <c r="I519"/>
  <c r="N519" s="1"/>
  <c r="H520"/>
  <c r="I520"/>
  <c r="H521"/>
  <c r="I521"/>
  <c r="H522"/>
  <c r="I522"/>
  <c r="H523"/>
  <c r="I523"/>
  <c r="H524"/>
  <c r="I524"/>
  <c r="H525"/>
  <c r="I525"/>
  <c r="H526"/>
  <c r="I526"/>
  <c r="H527"/>
  <c r="I527"/>
  <c r="H528"/>
  <c r="I528"/>
  <c r="H529"/>
  <c r="I529"/>
  <c r="H530"/>
  <c r="I530"/>
  <c r="H531"/>
  <c r="I531"/>
  <c r="H532"/>
  <c r="I532"/>
  <c r="N532" s="1"/>
  <c r="H533"/>
  <c r="I533"/>
  <c r="N533" s="1"/>
  <c r="H534"/>
  <c r="I534"/>
  <c r="N534" s="1"/>
  <c r="H535"/>
  <c r="I535"/>
  <c r="N535" s="1"/>
  <c r="H536"/>
  <c r="I536"/>
  <c r="N536" s="1"/>
  <c r="H537"/>
  <c r="I537"/>
  <c r="H538"/>
  <c r="I538"/>
  <c r="N538" s="1"/>
  <c r="H539"/>
  <c r="I539"/>
  <c r="N539" s="1"/>
  <c r="H540"/>
  <c r="I540"/>
  <c r="H541"/>
  <c r="I541"/>
  <c r="N541" s="1"/>
  <c r="H542"/>
  <c r="I542"/>
  <c r="N542" s="1"/>
  <c r="H543"/>
  <c r="I543"/>
  <c r="N543" s="1"/>
  <c r="H544"/>
  <c r="I544"/>
  <c r="N544" s="1"/>
  <c r="H545"/>
  <c r="I545"/>
  <c r="N545" s="1"/>
  <c r="H546"/>
  <c r="I546"/>
  <c r="N546" s="1"/>
  <c r="H547"/>
  <c r="I547"/>
  <c r="N547" s="1"/>
  <c r="H548"/>
  <c r="I548"/>
  <c r="H549"/>
  <c r="I549"/>
  <c r="H550"/>
  <c r="I550"/>
  <c r="N550" s="1"/>
  <c r="H551"/>
  <c r="I551"/>
  <c r="H552"/>
  <c r="I552"/>
  <c r="N552" s="1"/>
  <c r="H553"/>
  <c r="I553"/>
  <c r="N553" s="1"/>
  <c r="H554"/>
  <c r="I554"/>
  <c r="N554" s="1"/>
  <c r="H555"/>
  <c r="I555"/>
  <c r="N555" s="1"/>
  <c r="H556"/>
  <c r="I556"/>
  <c r="N556" s="1"/>
  <c r="H557"/>
  <c r="I557"/>
  <c r="N557" s="1"/>
  <c r="H558"/>
  <c r="I558"/>
  <c r="H559"/>
  <c r="I559"/>
  <c r="H560"/>
  <c r="I560"/>
  <c r="H561"/>
  <c r="I561"/>
  <c r="H562"/>
  <c r="I562"/>
  <c r="H563"/>
  <c r="I563"/>
  <c r="N563" s="1"/>
  <c r="H564"/>
  <c r="I564"/>
  <c r="H565"/>
  <c r="I565"/>
  <c r="H566"/>
  <c r="I566"/>
  <c r="H567"/>
  <c r="I567"/>
  <c r="N567" s="1"/>
  <c r="H568"/>
  <c r="I568"/>
  <c r="N568" s="1"/>
  <c r="H569"/>
  <c r="I569"/>
  <c r="N569" s="1"/>
  <c r="H570"/>
  <c r="I570"/>
  <c r="N570" s="1"/>
  <c r="H571"/>
  <c r="I571"/>
  <c r="N571" s="1"/>
  <c r="H572"/>
  <c r="I572"/>
  <c r="N572" s="1"/>
  <c r="H573"/>
  <c r="I573"/>
  <c r="N573" s="1"/>
  <c r="H574"/>
  <c r="I574"/>
  <c r="H575"/>
  <c r="I575"/>
  <c r="N575" s="1"/>
  <c r="H576"/>
  <c r="I576"/>
  <c r="H577"/>
  <c r="I577"/>
  <c r="H578"/>
  <c r="I578"/>
  <c r="H579"/>
  <c r="I579"/>
  <c r="H580"/>
  <c r="I580"/>
  <c r="H581"/>
  <c r="I581"/>
  <c r="H582"/>
  <c r="I582"/>
  <c r="H583"/>
  <c r="I583"/>
  <c r="H584"/>
  <c r="I584"/>
  <c r="H585"/>
  <c r="I585"/>
  <c r="H586"/>
  <c r="I586"/>
  <c r="H587"/>
  <c r="I587"/>
  <c r="H588"/>
  <c r="I588"/>
  <c r="H589"/>
  <c r="I589"/>
  <c r="H590"/>
  <c r="I590"/>
  <c r="H591"/>
  <c r="I591"/>
  <c r="H592"/>
  <c r="I592"/>
  <c r="H593"/>
  <c r="I593"/>
  <c r="H594"/>
  <c r="I594"/>
  <c r="H595"/>
  <c r="I595"/>
  <c r="N595" s="1"/>
  <c r="H596"/>
  <c r="I596"/>
  <c r="H597"/>
  <c r="I597"/>
  <c r="N597" s="1"/>
  <c r="H598"/>
  <c r="I598"/>
  <c r="N598" s="1"/>
  <c r="H599"/>
  <c r="I599"/>
  <c r="N599" s="1"/>
  <c r="H600"/>
  <c r="I600"/>
  <c r="N600" s="1"/>
  <c r="H601"/>
  <c r="I601"/>
  <c r="N601" s="1"/>
  <c r="H602"/>
  <c r="I602"/>
  <c r="H603"/>
  <c r="I603"/>
  <c r="N603" s="1"/>
  <c r="H604"/>
  <c r="I604"/>
  <c r="N604" s="1"/>
  <c r="H605"/>
  <c r="I605"/>
  <c r="H606"/>
  <c r="I606"/>
  <c r="H607"/>
  <c r="I607"/>
  <c r="H608"/>
  <c r="I608"/>
  <c r="H609"/>
  <c r="I609"/>
  <c r="H610"/>
  <c r="I610"/>
  <c r="H611"/>
  <c r="I611"/>
  <c r="H612"/>
  <c r="I612"/>
  <c r="H613"/>
  <c r="I613"/>
  <c r="H614"/>
  <c r="I614"/>
  <c r="H615"/>
  <c r="I615"/>
  <c r="H616"/>
  <c r="I616"/>
  <c r="H617"/>
  <c r="I617"/>
  <c r="H618"/>
  <c r="I618"/>
  <c r="H619"/>
  <c r="I619"/>
  <c r="H620"/>
  <c r="I620"/>
  <c r="H621"/>
  <c r="I621"/>
  <c r="H622"/>
  <c r="I622"/>
  <c r="H623"/>
  <c r="I623"/>
  <c r="H624"/>
  <c r="I624"/>
  <c r="N624" s="1"/>
  <c r="H625"/>
  <c r="I625"/>
  <c r="N625" s="1"/>
  <c r="H626"/>
  <c r="I626"/>
  <c r="N626" s="1"/>
  <c r="H627"/>
  <c r="I627"/>
  <c r="N627" s="1"/>
  <c r="H628"/>
  <c r="I628"/>
  <c r="N628" s="1"/>
  <c r="H629"/>
  <c r="I629"/>
  <c r="N629" s="1"/>
  <c r="H630"/>
  <c r="I630"/>
  <c r="N630" s="1"/>
  <c r="H631"/>
  <c r="I631"/>
  <c r="N631" s="1"/>
  <c r="H632"/>
  <c r="I632"/>
  <c r="H633"/>
  <c r="I633"/>
  <c r="H634"/>
  <c r="I634"/>
  <c r="H635"/>
  <c r="I635"/>
  <c r="N635" s="1"/>
  <c r="H636"/>
  <c r="I636"/>
  <c r="N636" s="1"/>
  <c r="H637"/>
  <c r="I637"/>
  <c r="N637" s="1"/>
  <c r="H638"/>
  <c r="I638"/>
  <c r="H639"/>
  <c r="I639"/>
  <c r="H640"/>
  <c r="I640"/>
  <c r="H641"/>
  <c r="I641"/>
  <c r="H642"/>
  <c r="I642"/>
  <c r="H643"/>
  <c r="I643"/>
  <c r="H644"/>
  <c r="I644"/>
  <c r="H645"/>
  <c r="I645"/>
  <c r="H646"/>
  <c r="I646"/>
  <c r="N646" s="1"/>
  <c r="H647"/>
  <c r="I647"/>
  <c r="N647" s="1"/>
  <c r="H648"/>
  <c r="I648"/>
  <c r="N648" s="1"/>
  <c r="H649"/>
  <c r="I649"/>
  <c r="N649" s="1"/>
  <c r="H650"/>
  <c r="I650"/>
  <c r="H651"/>
  <c r="I651"/>
  <c r="N651" s="1"/>
  <c r="H652"/>
  <c r="I652"/>
  <c r="N652" s="1"/>
  <c r="H653"/>
  <c r="I653"/>
  <c r="N653" s="1"/>
  <c r="H654"/>
  <c r="I654"/>
  <c r="H655"/>
  <c r="I655"/>
  <c r="N655" s="1"/>
  <c r="H656"/>
  <c r="I656"/>
  <c r="N656" s="1"/>
  <c r="H657"/>
  <c r="I657"/>
  <c r="N657" s="1"/>
  <c r="H658"/>
  <c r="I658"/>
  <c r="N658" s="1"/>
  <c r="H659"/>
  <c r="I659"/>
  <c r="N659" s="1"/>
  <c r="H660"/>
  <c r="I660"/>
  <c r="N660" s="1"/>
  <c r="H661"/>
  <c r="I661"/>
  <c r="N661" s="1"/>
  <c r="H662"/>
  <c r="I662"/>
  <c r="N662" s="1"/>
  <c r="H663"/>
  <c r="I663"/>
  <c r="N663" s="1"/>
  <c r="H664"/>
  <c r="I664"/>
  <c r="H665"/>
  <c r="I665"/>
  <c r="H666"/>
  <c r="I666"/>
  <c r="H667"/>
  <c r="I667"/>
  <c r="N667" s="1"/>
  <c r="H668"/>
  <c r="I668"/>
  <c r="N668" s="1"/>
  <c r="H669"/>
  <c r="I669"/>
  <c r="H670"/>
  <c r="I670"/>
  <c r="H671"/>
  <c r="I671"/>
  <c r="H672"/>
  <c r="I672"/>
  <c r="H673"/>
  <c r="I673"/>
  <c r="H674"/>
  <c r="I674"/>
  <c r="H675"/>
  <c r="I675"/>
  <c r="H676"/>
  <c r="I676"/>
  <c r="N676" s="1"/>
  <c r="H677"/>
  <c r="I677"/>
  <c r="N677" s="1"/>
  <c r="H678"/>
  <c r="I678"/>
  <c r="N678" s="1"/>
  <c r="H679"/>
  <c r="I679"/>
  <c r="N679" s="1"/>
  <c r="H680"/>
  <c r="I680"/>
  <c r="N680" s="1"/>
  <c r="H681"/>
  <c r="I681"/>
  <c r="N681" s="1"/>
  <c r="H682"/>
  <c r="I682"/>
  <c r="N682" s="1"/>
  <c r="H683"/>
  <c r="I683"/>
  <c r="N683" s="1"/>
  <c r="H684"/>
  <c r="I684"/>
  <c r="N684" s="1"/>
  <c r="H685"/>
  <c r="I685"/>
  <c r="N685" s="1"/>
  <c r="H686"/>
  <c r="I686"/>
  <c r="N686" s="1"/>
  <c r="H687"/>
  <c r="I687"/>
  <c r="N687" s="1"/>
  <c r="H688"/>
  <c r="I688"/>
  <c r="N688" s="1"/>
  <c r="H689"/>
  <c r="I689"/>
  <c r="N689" s="1"/>
  <c r="H690"/>
  <c r="I690"/>
  <c r="N690" s="1"/>
  <c r="H691"/>
  <c r="I691"/>
  <c r="N691" s="1"/>
  <c r="H692"/>
  <c r="I692"/>
  <c r="N692" s="1"/>
  <c r="H693"/>
  <c r="I693"/>
  <c r="N693" s="1"/>
  <c r="H694"/>
  <c r="I694"/>
  <c r="N694" s="1"/>
  <c r="H695"/>
  <c r="I695"/>
  <c r="N695" s="1"/>
  <c r="H696"/>
  <c r="I696"/>
  <c r="N696" s="1"/>
  <c r="H697"/>
  <c r="I697"/>
  <c r="N697" s="1"/>
  <c r="H698"/>
  <c r="I698"/>
  <c r="N698" s="1"/>
  <c r="H699"/>
  <c r="I699"/>
  <c r="N699" s="1"/>
  <c r="H700"/>
  <c r="I700"/>
  <c r="N700" s="1"/>
  <c r="H701"/>
  <c r="I701"/>
  <c r="N701" s="1"/>
  <c r="H702"/>
  <c r="I702"/>
  <c r="N702" s="1"/>
  <c r="H703"/>
  <c r="I703"/>
  <c r="N703" s="1"/>
  <c r="H704"/>
  <c r="I704"/>
  <c r="N704" s="1"/>
  <c r="H705"/>
  <c r="I705"/>
  <c r="N705" s="1"/>
  <c r="H706"/>
  <c r="I706"/>
  <c r="N706" s="1"/>
  <c r="H707"/>
  <c r="I707"/>
  <c r="N707" s="1"/>
  <c r="H708"/>
  <c r="I708"/>
  <c r="N708" s="1"/>
  <c r="H709"/>
  <c r="I709"/>
  <c r="N709" s="1"/>
  <c r="H710"/>
  <c r="I710"/>
  <c r="N710" s="1"/>
  <c r="H711"/>
  <c r="I711"/>
  <c r="N711" s="1"/>
  <c r="H712"/>
  <c r="I712"/>
  <c r="N712" s="1"/>
  <c r="H713"/>
  <c r="I713"/>
  <c r="N713" s="1"/>
  <c r="H714"/>
  <c r="I714"/>
  <c r="N714" s="1"/>
  <c r="H715"/>
  <c r="I715"/>
  <c r="H716"/>
  <c r="I716"/>
  <c r="H717"/>
  <c r="I717"/>
  <c r="N717" s="1"/>
  <c r="H718"/>
  <c r="I718"/>
  <c r="H719"/>
  <c r="I719"/>
  <c r="H720"/>
  <c r="I720"/>
  <c r="N720" s="1"/>
  <c r="H721"/>
  <c r="I721"/>
  <c r="H722"/>
  <c r="I722"/>
  <c r="H723"/>
  <c r="I723"/>
  <c r="H724"/>
  <c r="I724"/>
  <c r="N724" s="1"/>
  <c r="H725"/>
  <c r="I725"/>
  <c r="N725" s="1"/>
  <c r="H726"/>
  <c r="I726"/>
  <c r="N726" s="1"/>
  <c r="H727"/>
  <c r="I727"/>
  <c r="N727" s="1"/>
  <c r="H728"/>
  <c r="I728"/>
  <c r="N728" s="1"/>
  <c r="H729"/>
  <c r="I729"/>
  <c r="N729" s="1"/>
  <c r="H730"/>
  <c r="I730"/>
  <c r="N730" s="1"/>
  <c r="H731"/>
  <c r="I731"/>
  <c r="N731" s="1"/>
  <c r="H732"/>
  <c r="I732"/>
  <c r="N732" s="1"/>
  <c r="H733"/>
  <c r="I733"/>
  <c r="N733" s="1"/>
  <c r="H734"/>
  <c r="I734"/>
  <c r="N734" s="1"/>
  <c r="H735"/>
  <c r="I735"/>
  <c r="N735" s="1"/>
  <c r="H736"/>
  <c r="I736"/>
  <c r="H737"/>
  <c r="I737"/>
  <c r="N737" s="1"/>
  <c r="H738"/>
  <c r="I738"/>
  <c r="N738" s="1"/>
  <c r="H739"/>
  <c r="I739"/>
  <c r="N739" s="1"/>
  <c r="H740"/>
  <c r="I740"/>
  <c r="N740" s="1"/>
  <c r="H741"/>
  <c r="I741"/>
  <c r="N741" s="1"/>
  <c r="H742"/>
  <c r="I742"/>
  <c r="N742" s="1"/>
  <c r="H743"/>
  <c r="I743"/>
  <c r="N743" s="1"/>
  <c r="H744"/>
  <c r="I744"/>
  <c r="N744" s="1"/>
  <c r="H745"/>
  <c r="I745"/>
  <c r="N745" s="1"/>
  <c r="H746"/>
  <c r="I746"/>
  <c r="N746" s="1"/>
  <c r="H747"/>
  <c r="I747"/>
  <c r="N747" s="1"/>
  <c r="H748"/>
  <c r="I748"/>
  <c r="N748" s="1"/>
  <c r="H749"/>
  <c r="I749"/>
  <c r="N749" s="1"/>
  <c r="H750"/>
  <c r="I750"/>
  <c r="N750" s="1"/>
  <c r="H751"/>
  <c r="I751"/>
  <c r="N751" s="1"/>
  <c r="H752"/>
  <c r="I752"/>
  <c r="N752" s="1"/>
  <c r="H753"/>
  <c r="I753"/>
  <c r="H754"/>
  <c r="I754"/>
  <c r="N754" s="1"/>
  <c r="H755"/>
  <c r="I755"/>
  <c r="N755" s="1"/>
  <c r="H756"/>
  <c r="I756"/>
  <c r="N756" s="1"/>
  <c r="H757"/>
  <c r="I757"/>
  <c r="N757" s="1"/>
  <c r="H758"/>
  <c r="I758"/>
  <c r="N758" s="1"/>
  <c r="H759"/>
  <c r="I759"/>
  <c r="N759" s="1"/>
  <c r="H760"/>
  <c r="I760"/>
  <c r="N760" s="1"/>
  <c r="H761"/>
  <c r="I761"/>
  <c r="H762"/>
  <c r="I762"/>
  <c r="H763"/>
  <c r="I763"/>
  <c r="H764"/>
  <c r="I764"/>
  <c r="H765"/>
  <c r="I765"/>
  <c r="H766"/>
  <c r="I766"/>
  <c r="H767"/>
  <c r="I767"/>
  <c r="H768"/>
  <c r="I768"/>
  <c r="H769"/>
  <c r="I769"/>
  <c r="H770"/>
  <c r="I770"/>
  <c r="H771"/>
  <c r="I771"/>
  <c r="H772"/>
  <c r="I772"/>
  <c r="H773"/>
  <c r="I773"/>
  <c r="H774"/>
  <c r="I774"/>
  <c r="H775"/>
  <c r="I775"/>
  <c r="H776"/>
  <c r="I776"/>
  <c r="H777"/>
  <c r="I777"/>
  <c r="H778"/>
  <c r="I778"/>
  <c r="H779"/>
  <c r="I779"/>
  <c r="H780"/>
  <c r="I780"/>
  <c r="H781"/>
  <c r="I781"/>
  <c r="H782"/>
  <c r="I782"/>
  <c r="H783"/>
  <c r="I783"/>
  <c r="H784"/>
  <c r="I784"/>
  <c r="H785"/>
  <c r="I785"/>
  <c r="H786"/>
  <c r="I786"/>
  <c r="H787"/>
  <c r="I787"/>
  <c r="H788"/>
  <c r="I788"/>
  <c r="H789"/>
  <c r="I789"/>
  <c r="H790"/>
  <c r="I790"/>
  <c r="H791"/>
  <c r="I791"/>
  <c r="H792"/>
  <c r="I792"/>
  <c r="H793"/>
  <c r="I793"/>
  <c r="H794"/>
  <c r="I794"/>
  <c r="H795"/>
  <c r="I795"/>
  <c r="H796"/>
  <c r="I796"/>
  <c r="N796" s="1"/>
  <c r="H797"/>
  <c r="I797"/>
  <c r="N797" s="1"/>
  <c r="H798"/>
  <c r="I798"/>
  <c r="N798" s="1"/>
  <c r="H799"/>
  <c r="I799"/>
  <c r="N799" s="1"/>
  <c r="H800"/>
  <c r="I800"/>
  <c r="H801"/>
  <c r="I801"/>
  <c r="H802"/>
  <c r="I802"/>
  <c r="N802" s="1"/>
  <c r="H803"/>
  <c r="I803"/>
  <c r="H804"/>
  <c r="I804"/>
  <c r="H805"/>
  <c r="I805"/>
  <c r="H806"/>
  <c r="I806"/>
  <c r="H807"/>
  <c r="I807"/>
  <c r="H808"/>
  <c r="I808"/>
  <c r="H809"/>
  <c r="I809"/>
  <c r="H810"/>
  <c r="I810"/>
  <c r="H811"/>
  <c r="I811"/>
  <c r="H812"/>
  <c r="I812"/>
  <c r="H813"/>
  <c r="I813"/>
  <c r="H814"/>
  <c r="I814"/>
  <c r="H815"/>
  <c r="I815"/>
  <c r="H816"/>
  <c r="I816"/>
  <c r="H817"/>
  <c r="I817"/>
  <c r="H818"/>
  <c r="I818"/>
  <c r="H819"/>
  <c r="I819"/>
  <c r="H820"/>
  <c r="I820"/>
  <c r="H821"/>
  <c r="I821"/>
  <c r="H822"/>
  <c r="I822"/>
  <c r="H823"/>
  <c r="I823"/>
  <c r="H824"/>
  <c r="I824"/>
  <c r="H825"/>
  <c r="I825"/>
  <c r="H826"/>
  <c r="I826"/>
  <c r="H827"/>
  <c r="I827"/>
  <c r="H828"/>
  <c r="I828"/>
  <c r="H829"/>
  <c r="I829"/>
  <c r="H830"/>
  <c r="I830"/>
  <c r="H831"/>
  <c r="I831"/>
  <c r="H832"/>
  <c r="I832"/>
  <c r="H833"/>
  <c r="I833"/>
  <c r="H834"/>
  <c r="I834"/>
  <c r="H835"/>
  <c r="I835"/>
  <c r="H836"/>
  <c r="I836"/>
  <c r="H837"/>
  <c r="I837"/>
  <c r="H838"/>
  <c r="I838"/>
  <c r="H839"/>
  <c r="I839"/>
  <c r="H840"/>
  <c r="I840"/>
  <c r="H841"/>
  <c r="I841"/>
  <c r="H842"/>
  <c r="I842"/>
  <c r="H843"/>
  <c r="I843"/>
  <c r="H844"/>
  <c r="I844"/>
  <c r="H845"/>
  <c r="I845"/>
  <c r="H846"/>
  <c r="I846"/>
  <c r="H847"/>
  <c r="I847"/>
  <c r="H848"/>
  <c r="I848"/>
  <c r="H849"/>
  <c r="I849"/>
  <c r="H850"/>
  <c r="I850"/>
  <c r="H851"/>
  <c r="I851"/>
  <c r="H852"/>
  <c r="I852"/>
  <c r="H853"/>
  <c r="I853"/>
  <c r="H854"/>
  <c r="I854"/>
  <c r="H855"/>
  <c r="I855"/>
  <c r="H856"/>
  <c r="I856"/>
  <c r="H857"/>
  <c r="I857"/>
  <c r="H858"/>
  <c r="I858"/>
  <c r="H859"/>
  <c r="I859"/>
  <c r="H860"/>
  <c r="I860"/>
  <c r="H861"/>
  <c r="I861"/>
  <c r="H862"/>
  <c r="I862"/>
  <c r="H863"/>
  <c r="I863"/>
  <c r="H864"/>
  <c r="I864"/>
  <c r="H865"/>
  <c r="I865"/>
  <c r="H866"/>
  <c r="I866"/>
  <c r="H867"/>
  <c r="I867"/>
  <c r="H868"/>
  <c r="I868"/>
  <c r="H869"/>
  <c r="I869"/>
  <c r="H870"/>
  <c r="I870"/>
  <c r="H871"/>
  <c r="I871"/>
  <c r="H872"/>
  <c r="I872"/>
  <c r="H873"/>
  <c r="I873"/>
  <c r="H874"/>
  <c r="I874"/>
  <c r="H875"/>
  <c r="I875"/>
  <c r="H876"/>
  <c r="I876"/>
  <c r="H877"/>
  <c r="I877"/>
  <c r="H878"/>
  <c r="I878"/>
  <c r="H879"/>
  <c r="I879"/>
  <c r="H880"/>
  <c r="I880"/>
  <c r="H881"/>
  <c r="I881"/>
  <c r="H882"/>
  <c r="I882"/>
  <c r="H883"/>
  <c r="I883"/>
  <c r="H884"/>
  <c r="I884"/>
  <c r="H885"/>
  <c r="I885"/>
  <c r="H886"/>
  <c r="I886"/>
  <c r="H887"/>
  <c r="I887"/>
  <c r="H888"/>
  <c r="I888"/>
  <c r="H889"/>
  <c r="I889"/>
  <c r="H890"/>
  <c r="I890"/>
  <c r="H891"/>
  <c r="I891"/>
  <c r="H892"/>
  <c r="I892"/>
  <c r="H893"/>
  <c r="I893"/>
  <c r="H894"/>
  <c r="I894"/>
  <c r="H895"/>
  <c r="I895"/>
  <c r="H896"/>
  <c r="I896"/>
  <c r="H897"/>
  <c r="I897"/>
  <c r="H898"/>
  <c r="I898"/>
  <c r="H899"/>
  <c r="I899"/>
  <c r="H900"/>
  <c r="I900"/>
  <c r="H901"/>
  <c r="I901"/>
  <c r="H902"/>
  <c r="I902"/>
  <c r="H903"/>
  <c r="I903"/>
  <c r="H904"/>
  <c r="I904"/>
  <c r="H905"/>
  <c r="I905"/>
  <c r="H906"/>
  <c r="I906"/>
  <c r="H907"/>
  <c r="I907" s="1"/>
  <c r="H7"/>
  <c r="I7"/>
  <c r="N7" s="1"/>
  <c r="H8"/>
  <c r="I8"/>
  <c r="N8" s="1"/>
  <c r="H9"/>
  <c r="I9"/>
  <c r="H10"/>
  <c r="I10"/>
  <c r="N10" s="1"/>
  <c r="H11"/>
  <c r="I11"/>
  <c r="N11" s="1"/>
  <c r="H12"/>
  <c r="I12"/>
  <c r="N12" s="1"/>
  <c r="H13"/>
  <c r="I13"/>
  <c r="N13" s="1"/>
  <c r="H14"/>
  <c r="I14"/>
  <c r="N14" s="1"/>
  <c r="H15"/>
  <c r="I15"/>
  <c r="N15" s="1"/>
  <c r="H16"/>
  <c r="I16"/>
  <c r="N16" s="1"/>
  <c r="H17"/>
  <c r="I17"/>
  <c r="N17" s="1"/>
  <c r="H18"/>
  <c r="I18"/>
  <c r="N18" s="1"/>
  <c r="H19"/>
  <c r="I19"/>
  <c r="N19" s="1"/>
  <c r="H20"/>
  <c r="I20"/>
  <c r="N20" s="1"/>
  <c r="H21"/>
  <c r="I21"/>
  <c r="N21" s="1"/>
  <c r="H22"/>
  <c r="I22"/>
  <c r="N22" s="1"/>
  <c r="H23"/>
  <c r="I23"/>
  <c r="N23" s="1"/>
  <c r="H24"/>
  <c r="I24"/>
  <c r="N24" s="1"/>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365"/>
  <c r="A366"/>
  <c r="A367"/>
  <c r="A368"/>
  <c r="A369"/>
  <c r="A370"/>
  <c r="A371"/>
  <c r="A372"/>
  <c r="A373"/>
  <c r="A374"/>
  <c r="A375"/>
  <c r="A376"/>
  <c r="A377"/>
  <c r="A378"/>
  <c r="A379"/>
  <c r="A380"/>
  <c r="A381"/>
  <c r="A382"/>
  <c r="A383"/>
  <c r="A384"/>
  <c r="A385"/>
  <c r="A386"/>
  <c r="A387"/>
  <c r="A388"/>
  <c r="A389"/>
  <c r="A390"/>
  <c r="A391"/>
  <c r="A392"/>
  <c r="A393"/>
  <c r="A394"/>
  <c r="A395"/>
  <c r="A396"/>
  <c r="A397"/>
  <c r="A398"/>
  <c r="A399"/>
  <c r="A400"/>
  <c r="A401"/>
  <c r="A402"/>
  <c r="A403"/>
  <c r="A404"/>
  <c r="A405"/>
  <c r="A406"/>
  <c r="A407"/>
  <c r="A408"/>
  <c r="A409"/>
  <c r="A410"/>
  <c r="A411"/>
  <c r="A412"/>
  <c r="A413"/>
  <c r="A414"/>
  <c r="A415"/>
  <c r="A416"/>
  <c r="A417"/>
  <c r="A418"/>
  <c r="A419"/>
  <c r="A420"/>
  <c r="A421"/>
  <c r="A422"/>
  <c r="A423"/>
  <c r="A424"/>
  <c r="A425"/>
  <c r="A426"/>
  <c r="A427"/>
  <c r="A428"/>
  <c r="A429"/>
  <c r="A430"/>
  <c r="A431"/>
  <c r="A432"/>
  <c r="A433"/>
  <c r="A434"/>
  <c r="A435"/>
  <c r="A436"/>
  <c r="A437"/>
  <c r="A438"/>
  <c r="A439"/>
  <c r="A440"/>
  <c r="A441"/>
  <c r="A442"/>
  <c r="A443"/>
  <c r="A444"/>
  <c r="A445"/>
  <c r="A446"/>
  <c r="A447"/>
  <c r="A448"/>
  <c r="A449"/>
  <c r="A450"/>
  <c r="A451"/>
  <c r="A452"/>
  <c r="A453"/>
  <c r="A454"/>
  <c r="A455"/>
  <c r="A456"/>
  <c r="A457"/>
  <c r="A458"/>
  <c r="A459"/>
  <c r="A460"/>
  <c r="A461"/>
  <c r="A462"/>
  <c r="A463"/>
  <c r="A464"/>
  <c r="A465"/>
  <c r="A466"/>
  <c r="A467"/>
  <c r="A468"/>
  <c r="A469"/>
  <c r="A470"/>
  <c r="A471"/>
  <c r="A472"/>
  <c r="A473"/>
  <c r="A474"/>
  <c r="A475"/>
  <c r="A476"/>
  <c r="A477"/>
  <c r="A478"/>
  <c r="A479"/>
  <c r="A480"/>
  <c r="A481"/>
  <c r="A482"/>
  <c r="A483"/>
  <c r="A484"/>
  <c r="A485"/>
  <c r="A486"/>
  <c r="A487"/>
  <c r="A488"/>
  <c r="A489"/>
  <c r="A490"/>
  <c r="A491"/>
  <c r="A492"/>
  <c r="A493"/>
  <c r="A494"/>
  <c r="A495"/>
  <c r="A496"/>
  <c r="A497"/>
  <c r="A498"/>
  <c r="A499"/>
  <c r="A500"/>
  <c r="A501"/>
  <c r="A502"/>
  <c r="A503"/>
  <c r="A504"/>
  <c r="A505"/>
  <c r="A506"/>
  <c r="A507"/>
  <c r="A508"/>
  <c r="A509"/>
  <c r="A510"/>
  <c r="A511"/>
  <c r="A512"/>
  <c r="A513"/>
  <c r="A514"/>
  <c r="A515"/>
  <c r="A516"/>
  <c r="A517"/>
  <c r="A518"/>
  <c r="A519"/>
  <c r="A520"/>
  <c r="A521"/>
  <c r="A522"/>
  <c r="A523"/>
  <c r="A524"/>
  <c r="A525"/>
  <c r="A526"/>
  <c r="A527"/>
  <c r="A528"/>
  <c r="A529"/>
  <c r="A530"/>
  <c r="A531"/>
  <c r="A532"/>
  <c r="A533"/>
  <c r="A534"/>
  <c r="A535"/>
  <c r="A536"/>
  <c r="A537"/>
  <c r="A538"/>
  <c r="A539"/>
  <c r="A540"/>
  <c r="A541"/>
  <c r="A542"/>
  <c r="A543"/>
  <c r="A544"/>
  <c r="A545"/>
  <c r="A546"/>
  <c r="A547"/>
  <c r="A548"/>
  <c r="A549"/>
  <c r="A550"/>
  <c r="A551"/>
  <c r="A552"/>
  <c r="A553"/>
  <c r="A554"/>
  <c r="A555"/>
  <c r="A556"/>
  <c r="A557"/>
  <c r="A558"/>
  <c r="A559"/>
  <c r="A560"/>
  <c r="A561"/>
  <c r="A562"/>
  <c r="A563"/>
  <c r="A564"/>
  <c r="A565"/>
  <c r="A566"/>
  <c r="A567"/>
  <c r="A568"/>
  <c r="A569"/>
  <c r="A570"/>
  <c r="A571"/>
  <c r="A572"/>
  <c r="A573"/>
  <c r="A574"/>
  <c r="A575"/>
  <c r="A576"/>
  <c r="A577"/>
  <c r="A578"/>
  <c r="A579"/>
  <c r="A580"/>
  <c r="A581"/>
  <c r="A582"/>
  <c r="A583"/>
  <c r="A584"/>
  <c r="A585"/>
  <c r="A586"/>
  <c r="A587"/>
  <c r="A588"/>
  <c r="A589"/>
  <c r="A590"/>
  <c r="A591"/>
  <c r="A592"/>
  <c r="A593"/>
  <c r="A594"/>
  <c r="A595"/>
  <c r="A596"/>
  <c r="A597"/>
  <c r="A598"/>
  <c r="A599"/>
  <c r="A600"/>
  <c r="A601"/>
  <c r="A602"/>
  <c r="A603"/>
  <c r="A604"/>
  <c r="A605"/>
  <c r="A606"/>
  <c r="A607"/>
  <c r="A608"/>
  <c r="A609"/>
  <c r="A610"/>
  <c r="A611"/>
  <c r="A612"/>
  <c r="A613"/>
  <c r="A614"/>
  <c r="A615"/>
  <c r="A616"/>
  <c r="A617"/>
  <c r="A618"/>
  <c r="A619"/>
  <c r="A620"/>
  <c r="A621"/>
  <c r="A622"/>
  <c r="A623"/>
  <c r="A624"/>
  <c r="A625"/>
  <c r="A626"/>
  <c r="A627"/>
  <c r="A628"/>
  <c r="A629"/>
  <c r="A630"/>
  <c r="A631"/>
  <c r="A632"/>
  <c r="A633"/>
  <c r="A634"/>
  <c r="A635"/>
  <c r="A636"/>
  <c r="A637"/>
  <c r="A638"/>
  <c r="A639"/>
  <c r="A640"/>
  <c r="A641"/>
  <c r="A642"/>
  <c r="A643"/>
  <c r="A644"/>
  <c r="A645"/>
  <c r="A646"/>
  <c r="A647"/>
  <c r="A648"/>
  <c r="A649"/>
  <c r="A650"/>
  <c r="A651"/>
  <c r="A652"/>
  <c r="A653"/>
  <c r="A654"/>
  <c r="A655"/>
  <c r="A656"/>
  <c r="A657"/>
  <c r="A658"/>
  <c r="A659"/>
  <c r="A660"/>
  <c r="A661"/>
  <c r="A662"/>
  <c r="A663"/>
  <c r="A664"/>
  <c r="A665"/>
  <c r="A666"/>
  <c r="A667"/>
  <c r="A668"/>
  <c r="A669"/>
  <c r="A670"/>
  <c r="A671"/>
  <c r="A672"/>
  <c r="A673"/>
  <c r="A674"/>
  <c r="A675"/>
  <c r="A676"/>
  <c r="A677"/>
  <c r="A678"/>
  <c r="A679"/>
  <c r="A680"/>
  <c r="A681"/>
  <c r="A682"/>
  <c r="A683"/>
  <c r="A684"/>
  <c r="A685"/>
  <c r="A686"/>
  <c r="A687"/>
  <c r="A688"/>
  <c r="A689"/>
  <c r="A690"/>
  <c r="A691"/>
  <c r="A692"/>
  <c r="A693"/>
  <c r="A694"/>
  <c r="A695"/>
  <c r="A696"/>
  <c r="A697"/>
  <c r="A698"/>
  <c r="A699"/>
  <c r="A700"/>
  <c r="A701"/>
  <c r="A702"/>
  <c r="A703"/>
  <c r="A704"/>
  <c r="A705"/>
  <c r="A706"/>
  <c r="A707"/>
  <c r="A708"/>
  <c r="A709"/>
  <c r="A710"/>
  <c r="A711"/>
  <c r="A712"/>
  <c r="A713"/>
  <c r="A714"/>
  <c r="A715"/>
  <c r="A716"/>
  <c r="A717"/>
  <c r="A718"/>
  <c r="A719"/>
  <c r="A720"/>
  <c r="A721"/>
  <c r="A722"/>
  <c r="A723"/>
  <c r="A724"/>
  <c r="A725"/>
  <c r="A726"/>
  <c r="A727"/>
  <c r="A728"/>
  <c r="A729"/>
  <c r="A730"/>
  <c r="A731"/>
  <c r="A732"/>
  <c r="A733"/>
  <c r="A734"/>
  <c r="A735"/>
  <c r="A736"/>
  <c r="A737"/>
  <c r="A738"/>
  <c r="A739"/>
  <c r="A740"/>
  <c r="A741"/>
  <c r="A742"/>
  <c r="A743"/>
  <c r="A744"/>
  <c r="A745"/>
  <c r="A746"/>
  <c r="A747"/>
  <c r="A748"/>
  <c r="A749"/>
  <c r="A750"/>
  <c r="A751"/>
  <c r="A752"/>
  <c r="A753"/>
  <c r="A754"/>
  <c r="A755"/>
  <c r="A756"/>
  <c r="A757"/>
  <c r="A758"/>
  <c r="A759"/>
  <c r="A760"/>
  <c r="A761"/>
  <c r="A762"/>
  <c r="A763"/>
  <c r="A764"/>
  <c r="A765"/>
  <c r="A766"/>
  <c r="A767"/>
  <c r="A768"/>
  <c r="A769"/>
  <c r="A770"/>
  <c r="A771"/>
  <c r="A772"/>
  <c r="A773"/>
  <c r="A774"/>
  <c r="A775"/>
  <c r="A776"/>
  <c r="A777"/>
  <c r="A778"/>
  <c r="A779"/>
  <c r="A780"/>
  <c r="A781"/>
  <c r="A782"/>
  <c r="A783"/>
  <c r="A784"/>
  <c r="A785"/>
  <c r="A786"/>
  <c r="A787"/>
  <c r="A788"/>
  <c r="A789"/>
  <c r="A790"/>
  <c r="A791"/>
  <c r="A792"/>
  <c r="A793"/>
  <c r="A794"/>
  <c r="A795"/>
  <c r="A796"/>
  <c r="A797"/>
  <c r="A798"/>
  <c r="A799"/>
  <c r="A800"/>
  <c r="A801"/>
  <c r="A802"/>
  <c r="A803"/>
  <c r="A804"/>
  <c r="A805"/>
  <c r="A806"/>
  <c r="A807"/>
  <c r="A808"/>
  <c r="A809"/>
  <c r="A810"/>
  <c r="A811"/>
  <c r="A812"/>
  <c r="A813"/>
  <c r="A814"/>
  <c r="A815"/>
  <c r="A816"/>
  <c r="A817"/>
  <c r="A818"/>
  <c r="A819"/>
  <c r="A820"/>
  <c r="A821"/>
  <c r="A822"/>
  <c r="A823"/>
  <c r="A824"/>
  <c r="A825"/>
  <c r="A826"/>
  <c r="A827"/>
  <c r="A828"/>
  <c r="A829"/>
  <c r="A830"/>
  <c r="A831"/>
  <c r="A832"/>
  <c r="A833"/>
  <c r="A834"/>
  <c r="A835"/>
  <c r="A836"/>
  <c r="A837"/>
  <c r="A838"/>
  <c r="A839"/>
  <c r="A840"/>
  <c r="A841"/>
  <c r="A842"/>
  <c r="A843"/>
  <c r="A844"/>
  <c r="A845"/>
  <c r="A846"/>
  <c r="A847"/>
  <c r="A848"/>
  <c r="A849"/>
  <c r="A850"/>
  <c r="A851"/>
  <c r="A852"/>
  <c r="A853"/>
  <c r="A854"/>
  <c r="A855"/>
  <c r="A856"/>
  <c r="A857"/>
  <c r="A858"/>
  <c r="A859"/>
  <c r="A860"/>
  <c r="A861"/>
  <c r="A862"/>
  <c r="A863"/>
  <c r="A864"/>
  <c r="A865"/>
  <c r="A866"/>
  <c r="A867"/>
  <c r="A868"/>
  <c r="A869"/>
  <c r="A870"/>
  <c r="A871"/>
  <c r="A872"/>
  <c r="A873"/>
  <c r="A874"/>
  <c r="A875"/>
  <c r="A876"/>
  <c r="A877"/>
  <c r="A878"/>
  <c r="A879"/>
  <c r="A880"/>
  <c r="A881"/>
  <c r="A882"/>
  <c r="A883"/>
  <c r="A884"/>
  <c r="A885"/>
  <c r="A886"/>
  <c r="A887"/>
  <c r="A888"/>
  <c r="A889"/>
  <c r="A890"/>
  <c r="A891"/>
  <c r="A892"/>
  <c r="A893"/>
  <c r="A894"/>
  <c r="A895"/>
  <c r="A896"/>
  <c r="A897"/>
  <c r="A898"/>
  <c r="A899"/>
  <c r="A900"/>
  <c r="A901"/>
  <c r="A902"/>
  <c r="A903"/>
  <c r="A904"/>
  <c r="A905"/>
  <c r="A906"/>
  <c r="H924" i="2"/>
  <c r="H923"/>
  <c r="H922"/>
  <c r="H921"/>
  <c r="H920"/>
  <c r="H919"/>
  <c r="H918"/>
  <c r="H917"/>
  <c r="H916"/>
  <c r="H915"/>
  <c r="H914"/>
  <c r="H913"/>
  <c r="H912"/>
  <c r="H911"/>
  <c r="H910"/>
  <c r="H909"/>
  <c r="H908"/>
  <c r="H907"/>
  <c r="H906"/>
  <c r="H905"/>
  <c r="H904"/>
  <c r="H903"/>
  <c r="H902"/>
  <c r="H901"/>
  <c r="H900"/>
  <c r="H899"/>
  <c r="H898"/>
  <c r="H897"/>
  <c r="H896"/>
  <c r="H895"/>
  <c r="H894"/>
  <c r="H893"/>
  <c r="H892"/>
  <c r="H891"/>
  <c r="H890"/>
  <c r="H889"/>
  <c r="H888"/>
  <c r="H887"/>
  <c r="H886"/>
  <c r="H885"/>
  <c r="H884"/>
  <c r="H883"/>
  <c r="H882"/>
  <c r="H881"/>
  <c r="H878"/>
  <c r="H877"/>
  <c r="H876"/>
  <c r="H875"/>
  <c r="H874"/>
  <c r="H873"/>
  <c r="H872"/>
  <c r="H871"/>
  <c r="H870"/>
  <c r="H869"/>
  <c r="H868"/>
  <c r="H867"/>
  <c r="H866"/>
  <c r="H865"/>
  <c r="H864"/>
  <c r="H863"/>
  <c r="H862"/>
  <c r="H861"/>
  <c r="H860"/>
  <c r="H859"/>
  <c r="H858"/>
  <c r="H857"/>
  <c r="H856"/>
  <c r="H855"/>
  <c r="H854"/>
  <c r="H853"/>
  <c r="H852"/>
  <c r="H851"/>
  <c r="H850"/>
  <c r="H849"/>
  <c r="H848"/>
  <c r="H847"/>
  <c r="H846"/>
  <c r="H845"/>
  <c r="H844"/>
  <c r="H843"/>
  <c r="H842"/>
  <c r="H841"/>
  <c r="H840"/>
  <c r="H839"/>
  <c r="H838"/>
  <c r="H837"/>
  <c r="H836"/>
  <c r="H835"/>
  <c r="H834"/>
  <c r="H833"/>
  <c r="H832"/>
  <c r="H831"/>
  <c r="H830"/>
  <c r="H829"/>
  <c r="H828"/>
  <c r="H827"/>
  <c r="H826"/>
  <c r="H825"/>
  <c r="H824"/>
  <c r="H823"/>
  <c r="H822"/>
  <c r="H821"/>
  <c r="H820"/>
  <c r="H819"/>
  <c r="H818"/>
  <c r="H817"/>
  <c r="H816"/>
  <c r="H815"/>
  <c r="H814"/>
  <c r="H813"/>
  <c r="H812"/>
  <c r="H811"/>
  <c r="H810"/>
  <c r="H809"/>
  <c r="H808"/>
  <c r="H807"/>
  <c r="H806"/>
  <c r="H805"/>
  <c r="H804"/>
  <c r="H803"/>
  <c r="H802"/>
  <c r="H801"/>
  <c r="H800"/>
  <c r="H799"/>
  <c r="H798"/>
  <c r="H797"/>
  <c r="H796"/>
  <c r="H795"/>
  <c r="H794"/>
  <c r="H793"/>
  <c r="H792"/>
  <c r="H791"/>
  <c r="H790"/>
  <c r="H789"/>
  <c r="H788"/>
  <c r="H787"/>
  <c r="H786"/>
  <c r="H785"/>
  <c r="H784"/>
  <c r="H783"/>
  <c r="H782"/>
  <c r="H781"/>
  <c r="H780"/>
  <c r="H779"/>
  <c r="H778"/>
  <c r="H777"/>
  <c r="H776"/>
  <c r="H775"/>
  <c r="H774"/>
  <c r="H773"/>
  <c r="H772"/>
  <c r="H771"/>
  <c r="H770"/>
  <c r="H769"/>
  <c r="H768"/>
  <c r="H767"/>
  <c r="H766"/>
  <c r="H765"/>
  <c r="H764"/>
  <c r="H763"/>
  <c r="H762"/>
  <c r="H761"/>
  <c r="H760"/>
  <c r="H759"/>
  <c r="H758"/>
  <c r="H757"/>
  <c r="H756"/>
  <c r="H755"/>
  <c r="H754"/>
  <c r="H753"/>
  <c r="H752"/>
  <c r="H751"/>
  <c r="H750"/>
  <c r="H749"/>
  <c r="H748"/>
  <c r="H747"/>
  <c r="H746"/>
  <c r="H745"/>
  <c r="H744"/>
  <c r="H743"/>
  <c r="H742"/>
  <c r="H741"/>
  <c r="H740"/>
  <c r="H739"/>
  <c r="H738"/>
  <c r="H737"/>
  <c r="H736"/>
  <c r="H735"/>
  <c r="H734"/>
  <c r="H733"/>
  <c r="H732"/>
  <c r="H731"/>
  <c r="H730"/>
  <c r="H729"/>
  <c r="H728"/>
  <c r="H727"/>
  <c r="H726"/>
  <c r="H725"/>
  <c r="H724"/>
  <c r="H723"/>
  <c r="H722"/>
  <c r="H721"/>
  <c r="H720"/>
  <c r="H719"/>
  <c r="H718"/>
  <c r="H717"/>
  <c r="H716"/>
  <c r="H715"/>
  <c r="H714"/>
  <c r="H713"/>
  <c r="H712"/>
  <c r="H711"/>
  <c r="H710"/>
  <c r="H709"/>
  <c r="H708"/>
  <c r="H707"/>
  <c r="H706"/>
  <c r="H705"/>
  <c r="H704"/>
  <c r="H703"/>
  <c r="H702"/>
  <c r="H701"/>
  <c r="H700"/>
  <c r="H699"/>
  <c r="H698"/>
  <c r="H697"/>
  <c r="H696"/>
  <c r="H695"/>
  <c r="H694"/>
  <c r="H693"/>
  <c r="H692"/>
  <c r="H691"/>
  <c r="H690"/>
  <c r="H689"/>
  <c r="H688"/>
  <c r="H687"/>
  <c r="H686"/>
  <c r="H685"/>
  <c r="H684"/>
  <c r="H683"/>
  <c r="H682"/>
  <c r="H681"/>
  <c r="H680"/>
  <c r="H679"/>
  <c r="H678"/>
  <c r="H677"/>
  <c r="H676"/>
  <c r="H675"/>
  <c r="H674"/>
  <c r="H673"/>
  <c r="H672"/>
  <c r="H671"/>
  <c r="H670"/>
  <c r="H669"/>
  <c r="H668"/>
  <c r="H667"/>
  <c r="H666"/>
  <c r="H665"/>
  <c r="H664"/>
  <c r="H663"/>
  <c r="H662"/>
  <c r="H661"/>
  <c r="H660"/>
  <c r="H659"/>
  <c r="H658"/>
  <c r="H657"/>
  <c r="H656"/>
  <c r="H655"/>
  <c r="H654"/>
  <c r="H653"/>
  <c r="H652"/>
  <c r="H651"/>
  <c r="H650"/>
  <c r="H649"/>
  <c r="H648"/>
  <c r="H647"/>
  <c r="H646"/>
  <c r="H645"/>
  <c r="H644"/>
  <c r="H643"/>
  <c r="H642"/>
  <c r="H641"/>
  <c r="H640"/>
  <c r="H639"/>
  <c r="H638"/>
  <c r="H637"/>
  <c r="H636"/>
  <c r="H635"/>
  <c r="H634"/>
  <c r="H633"/>
  <c r="H632"/>
  <c r="H631"/>
  <c r="H630"/>
  <c r="H629"/>
  <c r="H628"/>
  <c r="H627"/>
  <c r="H626"/>
  <c r="H625"/>
  <c r="H624"/>
  <c r="H623"/>
  <c r="H622"/>
  <c r="H621"/>
  <c r="H619"/>
  <c r="H618"/>
  <c r="H617"/>
  <c r="H616"/>
  <c r="H615"/>
  <c r="H614"/>
  <c r="H613"/>
  <c r="H612"/>
  <c r="H611"/>
  <c r="H610"/>
  <c r="H609"/>
  <c r="H608"/>
  <c r="H607"/>
  <c r="H606"/>
  <c r="H605"/>
  <c r="H604"/>
  <c r="H603"/>
  <c r="H602"/>
  <c r="H601"/>
  <c r="H600"/>
  <c r="H599"/>
  <c r="H598"/>
  <c r="H597"/>
  <c r="H596"/>
  <c r="H595"/>
  <c r="H594"/>
  <c r="H593"/>
  <c r="H592"/>
  <c r="H591"/>
  <c r="H590"/>
  <c r="H589"/>
  <c r="H588"/>
  <c r="H587"/>
  <c r="H586"/>
  <c r="H585"/>
  <c r="H584"/>
  <c r="H583"/>
  <c r="H582"/>
  <c r="H581"/>
  <c r="H579"/>
  <c r="H578"/>
  <c r="H577"/>
  <c r="H576"/>
  <c r="H575"/>
  <c r="H574"/>
  <c r="H573"/>
  <c r="H572"/>
  <c r="H571"/>
  <c r="H570"/>
  <c r="H569"/>
  <c r="H568"/>
  <c r="H567"/>
  <c r="H566"/>
  <c r="H565"/>
  <c r="H564"/>
  <c r="H563"/>
  <c r="H562"/>
  <c r="H561"/>
  <c r="H560"/>
  <c r="H559"/>
  <c r="H558"/>
  <c r="H557"/>
  <c r="H556"/>
  <c r="H555"/>
  <c r="H554"/>
  <c r="H553"/>
  <c r="H552"/>
  <c r="H551"/>
  <c r="H550"/>
  <c r="H549"/>
  <c r="H548"/>
  <c r="H547"/>
  <c r="H546"/>
  <c r="H545"/>
  <c r="H544"/>
  <c r="H543"/>
  <c r="H542"/>
  <c r="H541"/>
  <c r="H540"/>
  <c r="H539"/>
  <c r="H538"/>
  <c r="H537"/>
  <c r="H536"/>
  <c r="H535"/>
  <c r="H534"/>
  <c r="H533"/>
  <c r="H532"/>
  <c r="H531"/>
  <c r="H530"/>
  <c r="H529"/>
  <c r="H528"/>
  <c r="H527"/>
  <c r="H526"/>
  <c r="H525"/>
  <c r="H524"/>
  <c r="H523"/>
  <c r="H522"/>
  <c r="H521"/>
  <c r="H520"/>
  <c r="H519"/>
  <c r="H518"/>
  <c r="H517"/>
  <c r="H516"/>
  <c r="H515"/>
  <c r="H514"/>
  <c r="H513"/>
  <c r="H512"/>
  <c r="H511"/>
  <c r="H510"/>
  <c r="H509"/>
  <c r="H508"/>
  <c r="H507"/>
  <c r="H506"/>
  <c r="H505"/>
  <c r="H504"/>
  <c r="H503"/>
  <c r="H502"/>
  <c r="H501"/>
  <c r="H500"/>
  <c r="H499"/>
  <c r="H498"/>
  <c r="H497"/>
  <c r="H496"/>
  <c r="H495"/>
  <c r="H494"/>
  <c r="H493"/>
  <c r="H492"/>
  <c r="H491"/>
  <c r="H490"/>
  <c r="H489"/>
  <c r="H488"/>
  <c r="H487"/>
  <c r="H486"/>
  <c r="H485"/>
  <c r="H484"/>
  <c r="H483"/>
  <c r="H482"/>
  <c r="H481"/>
  <c r="H480"/>
  <c r="H479"/>
  <c r="H478"/>
  <c r="H477"/>
  <c r="H476"/>
  <c r="H475"/>
  <c r="H474"/>
  <c r="H473"/>
  <c r="H472"/>
  <c r="H471"/>
  <c r="H470"/>
  <c r="H469"/>
  <c r="H468"/>
  <c r="H467"/>
  <c r="H466"/>
  <c r="H465"/>
  <c r="H464"/>
  <c r="H463"/>
  <c r="H462"/>
  <c r="H461"/>
  <c r="H460"/>
  <c r="H459"/>
  <c r="H458"/>
  <c r="H457"/>
  <c r="H456"/>
  <c r="H455"/>
  <c r="H454"/>
  <c r="H453"/>
  <c r="H452"/>
  <c r="H451"/>
  <c r="H450"/>
  <c r="H449"/>
  <c r="H448"/>
  <c r="H447"/>
  <c r="H446"/>
  <c r="H445"/>
  <c r="H444"/>
  <c r="H443"/>
  <c r="H442"/>
  <c r="H441"/>
  <c r="H440"/>
  <c r="H439"/>
  <c r="H438"/>
  <c r="H437"/>
  <c r="H436"/>
  <c r="H435"/>
  <c r="H434"/>
  <c r="H433"/>
  <c r="H432"/>
  <c r="H431"/>
  <c r="H430"/>
  <c r="H427"/>
  <c r="H426"/>
  <c r="H425"/>
  <c r="H424"/>
  <c r="H423"/>
  <c r="H422"/>
  <c r="H421"/>
  <c r="H420"/>
  <c r="H419"/>
  <c r="H418"/>
  <c r="H417"/>
  <c r="H416"/>
  <c r="H415"/>
  <c r="H414"/>
  <c r="H413"/>
  <c r="H412"/>
  <c r="H411"/>
  <c r="H410"/>
  <c r="H409"/>
  <c r="H408"/>
  <c r="H407"/>
  <c r="H405"/>
  <c r="H404"/>
  <c r="H403"/>
  <c r="H402"/>
  <c r="H401"/>
  <c r="H400"/>
  <c r="H399"/>
  <c r="H398"/>
  <c r="H397"/>
  <c r="H396"/>
  <c r="H395"/>
  <c r="H394"/>
  <c r="H393"/>
  <c r="H392"/>
  <c r="H391"/>
  <c r="H390"/>
  <c r="H389"/>
  <c r="H388"/>
  <c r="H387"/>
  <c r="H386"/>
  <c r="H385"/>
  <c r="H384"/>
  <c r="H383"/>
  <c r="H382"/>
  <c r="H381"/>
  <c r="H380"/>
  <c r="H379"/>
  <c r="H378"/>
  <c r="H377"/>
  <c r="H376"/>
  <c r="H375"/>
  <c r="H374"/>
  <c r="H373"/>
  <c r="H372"/>
  <c r="H371"/>
  <c r="H370"/>
  <c r="H369"/>
  <c r="H368"/>
  <c r="H367"/>
  <c r="H366"/>
  <c r="H365"/>
  <c r="H364"/>
  <c r="H363"/>
  <c r="H362"/>
  <c r="H361"/>
  <c r="H360"/>
  <c r="H359"/>
  <c r="H358"/>
  <c r="H357"/>
  <c r="H356"/>
  <c r="H355"/>
  <c r="H354"/>
  <c r="H353"/>
  <c r="H352"/>
  <c r="H351"/>
  <c r="H350"/>
  <c r="H349"/>
  <c r="H348"/>
  <c r="H346"/>
  <c r="H345"/>
  <c r="H343"/>
  <c r="H342"/>
  <c r="H341"/>
  <c r="H340"/>
  <c r="H339"/>
  <c r="H338"/>
  <c r="H337"/>
  <c r="H336"/>
  <c r="H335"/>
  <c r="H334"/>
  <c r="H333"/>
  <c r="H332"/>
  <c r="H331"/>
  <c r="H330"/>
  <c r="H329"/>
  <c r="H328"/>
  <c r="H327"/>
  <c r="H326"/>
  <c r="H325"/>
  <c r="H324"/>
  <c r="H323"/>
  <c r="H322"/>
  <c r="H321"/>
  <c r="H320"/>
  <c r="H319"/>
  <c r="H318"/>
  <c r="H317"/>
  <c r="H316"/>
  <c r="H315"/>
  <c r="H314"/>
  <c r="H313"/>
  <c r="H312"/>
  <c r="H311"/>
  <c r="H310"/>
  <c r="H309"/>
  <c r="H308"/>
  <c r="H307"/>
  <c r="H306"/>
  <c r="H305"/>
  <c r="H304"/>
  <c r="H303"/>
  <c r="H302"/>
  <c r="H301"/>
  <c r="H300"/>
  <c r="H299"/>
  <c r="H298"/>
  <c r="H297"/>
  <c r="H296"/>
  <c r="H295"/>
  <c r="H294"/>
  <c r="H293"/>
  <c r="H292"/>
  <c r="H291"/>
  <c r="H290"/>
  <c r="H289"/>
  <c r="H288"/>
  <c r="H287"/>
  <c r="H286"/>
  <c r="H285"/>
  <c r="H284"/>
  <c r="H283"/>
  <c r="H282"/>
  <c r="H281"/>
  <c r="H280"/>
  <c r="H279"/>
  <c r="H278"/>
  <c r="H277"/>
  <c r="H276"/>
  <c r="H275"/>
  <c r="H274"/>
  <c r="H273"/>
  <c r="H272"/>
  <c r="H271"/>
  <c r="H270"/>
  <c r="H269"/>
  <c r="H268"/>
  <c r="H267"/>
  <c r="H266"/>
  <c r="H265"/>
  <c r="H264"/>
  <c r="H263"/>
  <c r="H262"/>
  <c r="H261"/>
  <c r="H260"/>
  <c r="H259"/>
  <c r="H258"/>
  <c r="H257"/>
  <c r="H256"/>
  <c r="H255"/>
  <c r="H254"/>
  <c r="H253"/>
  <c r="H252"/>
  <c r="H251"/>
  <c r="H250"/>
  <c r="H249"/>
  <c r="H248"/>
  <c r="H247"/>
  <c r="H246"/>
  <c r="H245"/>
  <c r="H244"/>
  <c r="H243"/>
  <c r="H242"/>
  <c r="H241"/>
  <c r="H240"/>
  <c r="H239"/>
  <c r="H238"/>
  <c r="H237"/>
  <c r="H236"/>
  <c r="H235"/>
  <c r="H234"/>
  <c r="H233"/>
  <c r="H232"/>
  <c r="H231"/>
  <c r="H230"/>
  <c r="H229"/>
  <c r="H228"/>
  <c r="H227"/>
  <c r="H226"/>
  <c r="H225"/>
  <c r="H224"/>
  <c r="H223"/>
  <c r="H222"/>
  <c r="H221"/>
  <c r="H220"/>
  <c r="H219"/>
  <c r="H218"/>
  <c r="H217"/>
  <c r="H216"/>
  <c r="H215"/>
  <c r="H214"/>
  <c r="H213"/>
  <c r="H212"/>
  <c r="H210"/>
  <c r="H209"/>
  <c r="H208"/>
  <c r="H207"/>
  <c r="H206"/>
  <c r="H205"/>
  <c r="H204"/>
  <c r="H203"/>
  <c r="H202"/>
  <c r="H201"/>
  <c r="H200"/>
  <c r="H199"/>
  <c r="H198"/>
  <c r="H197"/>
  <c r="H196"/>
  <c r="H195"/>
  <c r="H194"/>
  <c r="H193"/>
  <c r="H192"/>
  <c r="H191"/>
  <c r="H190"/>
  <c r="H189"/>
  <c r="H188"/>
  <c r="H187"/>
  <c r="H186"/>
  <c r="H185"/>
  <c r="H184"/>
  <c r="H183"/>
  <c r="H182"/>
  <c r="H181"/>
  <c r="H180"/>
  <c r="H179"/>
  <c r="H178"/>
  <c r="H177"/>
  <c r="H176"/>
  <c r="H175"/>
  <c r="H174"/>
  <c r="H173"/>
  <c r="H172"/>
  <c r="H171"/>
  <c r="H170"/>
  <c r="H169"/>
  <c r="H168"/>
  <c r="H167"/>
  <c r="H166"/>
  <c r="H165"/>
  <c r="H164"/>
  <c r="H163"/>
  <c r="H162"/>
  <c r="H161"/>
  <c r="H160"/>
  <c r="H159"/>
  <c r="H158"/>
  <c r="H157"/>
  <c r="H156"/>
  <c r="H155"/>
  <c r="H154"/>
  <c r="H153"/>
  <c r="H152"/>
  <c r="H151"/>
  <c r="H150"/>
  <c r="H149"/>
  <c r="H148"/>
  <c r="H147"/>
  <c r="H146"/>
  <c r="H145"/>
  <c r="H144"/>
  <c r="H143"/>
  <c r="H142"/>
  <c r="H141"/>
  <c r="H140"/>
  <c r="H139"/>
  <c r="H138"/>
  <c r="H137"/>
  <c r="H136"/>
  <c r="H135"/>
  <c r="H134"/>
  <c r="H133"/>
  <c r="H132"/>
  <c r="H131"/>
  <c r="H130"/>
  <c r="H129"/>
  <c r="H128"/>
  <c r="H127"/>
  <c r="H126"/>
  <c r="H125"/>
  <c r="H124"/>
  <c r="H123"/>
  <c r="H122"/>
  <c r="H121"/>
  <c r="H120"/>
  <c r="H119"/>
  <c r="H118"/>
  <c r="H117"/>
  <c r="H116"/>
  <c r="H115"/>
  <c r="H114"/>
  <c r="H113"/>
  <c r="H112"/>
  <c r="H111"/>
  <c r="H110"/>
  <c r="H109"/>
  <c r="H108"/>
  <c r="H107"/>
  <c r="H106"/>
  <c r="H105"/>
  <c r="H104"/>
  <c r="H103"/>
  <c r="H102"/>
  <c r="H101"/>
  <c r="H100"/>
  <c r="H99"/>
  <c r="H98"/>
  <c r="H97"/>
  <c r="H96"/>
  <c r="H95"/>
  <c r="H94"/>
  <c r="H93"/>
  <c r="H92"/>
  <c r="H91"/>
  <c r="H90"/>
  <c r="H89"/>
  <c r="H88"/>
  <c r="H87"/>
  <c r="H86"/>
  <c r="H85"/>
  <c r="H84"/>
  <c r="H83"/>
  <c r="H82"/>
  <c r="H81"/>
  <c r="H80"/>
  <c r="H79"/>
  <c r="H78"/>
  <c r="H77"/>
  <c r="H76"/>
  <c r="H75"/>
  <c r="H74"/>
  <c r="H73"/>
  <c r="H72"/>
  <c r="H71"/>
  <c r="H70"/>
  <c r="H69"/>
  <c r="H68"/>
  <c r="H67"/>
  <c r="H66"/>
  <c r="H65"/>
  <c r="H64"/>
  <c r="H63"/>
  <c r="H62"/>
  <c r="H61"/>
  <c r="H60"/>
  <c r="H59"/>
  <c r="H58"/>
  <c r="H57"/>
  <c r="H56"/>
  <c r="H55"/>
  <c r="H54"/>
  <c r="H53"/>
  <c r="H52"/>
  <c r="H51"/>
  <c r="H50"/>
  <c r="H49"/>
  <c r="H48"/>
  <c r="H47"/>
  <c r="H46"/>
  <c r="H45"/>
  <c r="H44"/>
  <c r="H43"/>
  <c r="H42"/>
  <c r="H41"/>
  <c r="H40"/>
  <c r="H39"/>
  <c r="H38"/>
  <c r="H37"/>
  <c r="H36"/>
  <c r="H35"/>
  <c r="H34"/>
  <c r="H33"/>
  <c r="H32"/>
  <c r="H31"/>
  <c r="H30"/>
  <c r="H29"/>
  <c r="H28"/>
  <c r="H27"/>
  <c r="H26"/>
  <c r="H25"/>
  <c r="H23"/>
  <c r="L2" i="4" l="1"/>
  <c r="J2"/>
  <c r="I2"/>
  <c r="A3"/>
  <c r="M6"/>
  <c r="H6" l="1"/>
  <c r="I6" s="1"/>
  <c r="A6" l="1"/>
  <c r="L6"/>
  <c r="K6"/>
  <c r="J6" l="1"/>
  <c r="E952" l="1"/>
  <c r="J950"/>
  <c r="N6"/>
  <c r="N950" s="1"/>
</calcChain>
</file>

<file path=xl/sharedStrings.xml><?xml version="1.0" encoding="utf-8"?>
<sst xmlns="http://schemas.openxmlformats.org/spreadsheetml/2006/main" count="8090" uniqueCount="2256">
  <si>
    <t>Req ID</t>
  </si>
  <si>
    <t>Description</t>
  </si>
  <si>
    <t>Requirement Traceability Matrix --- trace the Scenario with Requirement</t>
  </si>
  <si>
    <t>Priority</t>
  </si>
  <si>
    <t>List the Block issues if any</t>
  </si>
  <si>
    <t>Doc Sect</t>
  </si>
  <si>
    <t>TD Version:</t>
  </si>
  <si>
    <t>TD Date:</t>
  </si>
  <si>
    <t>Informative</t>
  </si>
  <si>
    <t>Normative</t>
  </si>
  <si>
    <t>Normative / Informative</t>
  </si>
  <si>
    <t>Requirements Specification GuideLines</t>
  </si>
  <si>
    <t>All the normative statements MUST, MUST NOT, SHOULD, SHOULD NOT, MAY, MAY NOT for the above sections should be part of the requirements.</t>
  </si>
  <si>
    <r>
      <t>Section 1 [Introduction]:</t>
    </r>
    <r>
      <rPr>
        <sz val="10"/>
        <color rgb="FF000000"/>
        <rFont val="Arial"/>
        <family val="2"/>
      </rPr>
      <t xml:space="preserve"> This section gives the generic overview of the protocol, </t>
    </r>
  </si>
  <si>
    <t>Normative/Informative references, dependency on other protocols, Versioning, Prerequisites etc.,</t>
  </si>
  <si>
    <r>
      <t>Section 2 [Messages]:</t>
    </r>
    <r>
      <rPr>
        <sz val="10"/>
        <color rgb="FF000000"/>
        <rFont val="Arial"/>
        <family val="2"/>
      </rPr>
      <t xml:space="preserve"> This section comprehensively covers Transport mechanisms, message syntax,  file formats, Common Data Types and their ranges, Data Structures,Status Codes, Error Codes. </t>
    </r>
  </si>
  <si>
    <r>
      <t>Section 3 [Protocol Details]:</t>
    </r>
    <r>
      <rPr>
        <sz val="10"/>
        <color rgb="FF000000"/>
        <rFont val="Arial"/>
        <family val="2"/>
      </rPr>
      <t xml:space="preserve"> This section details out Client and Server behavior, Abstract Data models, Initialization rules, Message processing and Sequencing rules, Timer/Local events. </t>
    </r>
  </si>
  <si>
    <r>
      <t>Section 4[Protocol Examples]:</t>
    </r>
    <r>
      <rPr>
        <sz val="10"/>
        <color rgb="FF000000"/>
        <rFont val="Arial"/>
        <family val="2"/>
      </rPr>
      <t xml:space="preserve"> This section gives protocol deployment scenarios, behavior of specific Clients and their operational scenarios.</t>
    </r>
  </si>
  <si>
    <r>
      <t>Section 5[Security]:</t>
    </r>
    <r>
      <rPr>
        <sz val="10"/>
        <color rgb="FF000000"/>
        <rFont val="Arial"/>
        <family val="2"/>
      </rPr>
      <t xml:space="preserve"> This section describes Security Consideration and Security parameters for Implementing the Protocol.</t>
    </r>
  </si>
  <si>
    <r>
      <t>Section 6 &amp; Section 7[Appendix]:</t>
    </r>
    <r>
      <rPr>
        <sz val="10"/>
        <color rgb="FF000000"/>
        <rFont val="Arial"/>
        <family val="2"/>
      </rPr>
      <t xml:space="preserve"> These sections describes Windows specific behaviour, IDL files.</t>
    </r>
  </si>
  <si>
    <r>
      <t>1.</t>
    </r>
    <r>
      <rPr>
        <sz val="7"/>
        <color theme="1"/>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</si>
  <si>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theme="1"/>
        <rFont val="Calibri"/>
        <family val="2"/>
        <scheme val="minor"/>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</si>
  <si>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theme="1"/>
        <rFont val="Calibri"/>
        <family val="2"/>
        <scheme val="minor"/>
      </rPr>
      <t>P2</t>
    </r>
    <r>
      <rPr>
        <sz val="11"/>
        <color theme="1"/>
        <rFont val="Calibri"/>
        <family val="2"/>
        <scheme val="minor"/>
      </rPr>
      <t>: Miscellaneous concepts of protocol, typically mapping to MAY's and MAY NOT's.</t>
    </r>
  </si>
  <si>
    <t>S3</t>
  </si>
  <si>
    <t>Scenario</t>
  </si>
  <si>
    <t>S4</t>
  </si>
  <si>
    <t>S5</t>
  </si>
  <si>
    <t>S6</t>
  </si>
  <si>
    <t xml:space="preserve">Enumerate the scenarios that cover this requirement. There could be multiple scenarios covering the same requirement. </t>
  </si>
  <si>
    <t>Behavior</t>
  </si>
  <si>
    <t>Both</t>
  </si>
  <si>
    <t>Requirements covered</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</si>
  <si>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</si>
  <si>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</si>
  <si>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</si>
  <si>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</si>
  <si>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</si>
  <si>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</si>
  <si>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</si>
  <si>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Scenarios are specified in the PQAR</t>
  </si>
  <si>
    <t>Scenario type</t>
  </si>
  <si>
    <t>Server</t>
  </si>
  <si>
    <t>Client</t>
  </si>
  <si>
    <t xml:space="preserve">Column “Behavior” </t>
  </si>
  <si>
    <t xml:space="preserve">Column “Verification” </t>
  </si>
  <si>
    <t>Column “Verification Comments”</t>
  </si>
  <si>
    <t>Row “Scenario Type” in Requirement Traceability Matrix.</t>
  </si>
  <si>
    <t xml:space="preserve">Column “Priority” </t>
  </si>
  <si>
    <t>Model-based</t>
  </si>
  <si>
    <r>
      <t xml:space="preserve">The same requirement can be covered in more than one scenario, and that scenarios are the artifacts that can be produced by one or the other approach. A row in the traceability matrix is used to classify scenarios as </t>
    </r>
    <r>
      <rPr>
        <b/>
        <sz val="11"/>
        <color theme="1"/>
        <rFont val="Calibri"/>
        <family val="2"/>
        <scheme val="minor"/>
      </rPr>
      <t>Manual</t>
    </r>
    <r>
      <rPr>
        <sz val="11"/>
        <color theme="1"/>
        <rFont val="Calibri"/>
        <family val="2"/>
        <scheme val="minor"/>
      </rPr>
      <t>,</t>
    </r>
    <r>
      <rPr>
        <b/>
        <sz val="11"/>
        <color theme="1"/>
        <rFont val="Calibri"/>
        <family val="2"/>
        <scheme val="minor"/>
      </rPr>
      <t xml:space="preserve"> Tradional</t>
    </r>
    <r>
      <rPr>
        <sz val="11"/>
        <color theme="1"/>
        <rFont val="Calibri"/>
        <family val="2"/>
        <scheme val="minor"/>
      </rPr>
      <t xml:space="preserve">, or </t>
    </r>
    <r>
      <rPr>
        <b/>
        <sz val="11"/>
        <color theme="1"/>
        <rFont val="Calibri"/>
        <family val="2"/>
        <scheme val="minor"/>
      </rPr>
      <t>Model-based</t>
    </r>
    <r>
      <rPr>
        <sz val="11"/>
        <color theme="1"/>
        <rFont val="Calibri"/>
        <family val="2"/>
        <scheme val="minor"/>
      </rPr>
      <t>.</t>
    </r>
  </si>
  <si>
    <t>Unverified</t>
  </si>
  <si>
    <t>Non-testable</t>
  </si>
  <si>
    <t>Testable</t>
  </si>
  <si>
    <t>p0</t>
  </si>
  <si>
    <t>p2</t>
  </si>
  <si>
    <t>p1</t>
  </si>
  <si>
    <t>Adapter</t>
  </si>
  <si>
    <t>Test Case</t>
  </si>
  <si>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</si>
  <si>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</si>
  <si>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</si>
  <si>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</si>
  <si>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</si>
  <si>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</si>
  <si>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</si>
  <si>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</si>
  <si>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InScope</t>
  </si>
  <si>
    <t>2.1</t>
  </si>
  <si>
    <t xml:space="preserve">Column “Scope” </t>
  </si>
  <si>
    <r>
      <t xml:space="preserve">Valid values for this column are defined starting in Row 14.  </t>
    </r>
    <r>
      <rPr>
        <b/>
        <sz val="11"/>
        <color theme="1"/>
        <rFont val="Calibri"/>
        <family val="2"/>
        <scheme val="minor"/>
      </rPr>
      <t/>
    </r>
  </si>
  <si>
    <r>
      <t>1.</t>
    </r>
    <r>
      <rPr>
        <sz val="7"/>
        <color theme="1"/>
        <rFont val="Times New Roman"/>
        <family val="1"/>
      </rPr>
      <t xml:space="preserve">       </t>
    </r>
    <r>
      <rPr>
        <b/>
        <sz val="11"/>
        <color theme="1"/>
        <rFont val="Calibri"/>
        <family val="2"/>
        <scheme val="minor"/>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</si>
  <si>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</si>
  <si>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</si>
  <si>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</si>
  <si>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</si>
  <si>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</si>
  <si>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</si>
  <si>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</si>
  <si>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</si>
  <si>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3.1</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</si>
  <si>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</si>
  <si>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</si>
  <si>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</si>
  <si>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</si>
  <si>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</si>
  <si>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</si>
  <si>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</si>
  <si>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</si>
  <si>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</si>
  <si>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</si>
  <si>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</si>
  <si>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</si>
  <si>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t xml:space="preserve">(1) </t>
    </r>
    <r>
      <rPr>
        <b/>
        <sz val="11"/>
        <color theme="1"/>
        <rFont val="Calibri"/>
        <family val="2"/>
        <scheme val="minor"/>
      </rPr>
      <t>Non-testable</t>
    </r>
    <r>
      <rPr>
        <sz val="11"/>
        <color theme="1"/>
        <rFont val="Calibri"/>
        <family val="2"/>
        <scheme val="minor"/>
      </rPr>
      <t xml:space="preserve">: The requirement cannot possible be verified by generating and observing network traffic.
(2) </t>
    </r>
    <r>
      <rPr>
        <b/>
        <sz val="11"/>
        <color theme="1"/>
        <rFont val="Calibri"/>
        <family val="2"/>
        <scheme val="minor"/>
      </rPr>
      <t>Unverified</t>
    </r>
    <r>
      <rPr>
        <sz val="11"/>
        <color theme="1"/>
        <rFont val="Calibri"/>
        <family val="2"/>
        <scheme val="minor"/>
      </rPr>
      <t xml:space="preserve">: The requirement was not (or will not be) verified in the test suite.
(3) </t>
    </r>
    <r>
      <rPr>
        <b/>
        <sz val="11"/>
        <color theme="1"/>
        <rFont val="Calibri"/>
        <family val="2"/>
        <scheme val="minor"/>
      </rPr>
      <t>Adapter</t>
    </r>
    <r>
      <rPr>
        <sz val="11"/>
        <color theme="1"/>
        <rFont val="Calibri"/>
        <family val="2"/>
        <scheme val="minor"/>
      </rPr>
      <t xml:space="preserve">: The requirement was (or will be) verified in the test adapter.
(4) </t>
    </r>
    <r>
      <rPr>
        <b/>
        <sz val="11"/>
        <color theme="1"/>
        <rFont val="Calibri"/>
        <family val="2"/>
        <scheme val="minor"/>
      </rPr>
      <t>Test Case</t>
    </r>
    <r>
      <rPr>
        <sz val="11"/>
        <color theme="1"/>
        <rFont val="Calibri"/>
        <family val="2"/>
        <scheme val="minor"/>
      </rPr>
      <t xml:space="preserve">: The requirement was (or will be) verified in a (manually written or automatically generated) test case.
</t>
    </r>
  </si>
  <si>
    <r>
      <rPr>
        <b/>
        <sz val="11"/>
        <color theme="1"/>
        <rFont val="Calibri"/>
        <family val="2"/>
        <scheme val="minor"/>
      </rPr>
      <t>Protocol</t>
    </r>
    <r>
      <rPr>
        <sz val="11"/>
        <color theme="1"/>
        <rFont val="Calibri"/>
        <family val="2"/>
        <scheme val="minor"/>
      </rPr>
      <t xml:space="preserve">: The requirement affects all implementations of the protocol.
</t>
    </r>
    <r>
      <rPr>
        <b/>
        <sz val="11"/>
        <color theme="1"/>
        <rFont val="Calibri"/>
        <family val="2"/>
        <scheme val="minor"/>
      </rPr>
      <t>Product</t>
    </r>
    <r>
      <rPr>
        <sz val="11"/>
        <color theme="1"/>
        <rFont val="Calibri"/>
        <family val="2"/>
        <scheme val="minor"/>
      </rPr>
      <t>: The requirement is for Microsoft product (Windows, Office, etc.) implementations only.</t>
    </r>
  </si>
  <si>
    <r>
      <rPr>
        <b/>
        <sz val="11"/>
        <color theme="1"/>
        <rFont val="Calibri"/>
        <family val="2"/>
        <scheme val="minor"/>
      </rPr>
      <t>Normative</t>
    </r>
    <r>
      <rPr>
        <sz val="11"/>
        <color theme="1"/>
        <rFont val="Calibri"/>
        <family val="2"/>
        <scheme val="minor"/>
      </rPr>
      <t xml:space="preserve"> statement are required for interoperability</t>
    </r>
  </si>
  <si>
    <r>
      <rPr>
        <b/>
        <sz val="11"/>
        <color theme="1"/>
        <rFont val="Calibri"/>
        <family val="2"/>
        <scheme val="minor"/>
      </rPr>
      <t>Informative</t>
    </r>
    <r>
      <rPr>
        <sz val="11"/>
        <color theme="1"/>
        <rFont val="Calibri"/>
        <family val="2"/>
        <scheme val="minor"/>
      </rPr>
      <t xml:space="preserve"> statements are clarifying information or redundant (high level) statements.   Removal would not affect interoperability</t>
    </r>
  </si>
  <si>
    <t>6</t>
  </si>
  <si>
    <t xml:space="preserve">These requirements cover the language statements in the Technical Document. </t>
  </si>
  <si>
    <t>[full NAME of Technical Document (TD)]</t>
  </si>
  <si>
    <t>Technical Document Requirement Spec (RS)</t>
  </si>
  <si>
    <t xml:space="preserve">Default: Product for section 6, Protocol for all other sections 
(can be manually changed). </t>
  </si>
  <si>
    <r>
      <t xml:space="preserve">(5) </t>
    </r>
    <r>
      <rPr>
        <b/>
        <sz val="11"/>
        <color theme="1"/>
        <rFont val="Calibri"/>
        <family val="2"/>
        <scheme val="minor"/>
      </rPr>
      <t>Deleted</t>
    </r>
    <r>
      <rPr>
        <sz val="11"/>
        <color theme="1"/>
        <rFont val="Calibri"/>
        <family val="2"/>
        <scheme val="minor"/>
      </rPr>
      <t>: The requirement no longer exists in the currently referenced TD. 
In cases (1) and (2),  use the next, Verification Comment, column 
to explain the reason.</t>
    </r>
  </si>
  <si>
    <r>
      <rPr>
        <b/>
        <sz val="11"/>
        <color theme="1"/>
        <rFont val="Calibri"/>
        <family val="2"/>
        <scheme val="minor"/>
      </rPr>
      <t>P0</t>
    </r>
    <r>
      <rPr>
        <sz val="11"/>
        <color theme="1"/>
        <rFont val="Calibri"/>
        <family val="2"/>
        <scheme val="minor"/>
      </rPr>
      <t xml:space="preserve">: Key concepts (e.g. MUST's)  </t>
    </r>
    <r>
      <rPr>
        <b/>
        <sz val="11"/>
        <color theme="1"/>
        <rFont val="Calibri"/>
        <family val="2"/>
        <scheme val="minor"/>
      </rPr>
      <t>P1</t>
    </r>
    <r>
      <rPr>
        <sz val="11"/>
        <color theme="1"/>
        <rFont val="Calibri"/>
        <family val="2"/>
        <scheme val="minor"/>
      </rPr>
      <t xml:space="preserve">: Basic concepts (e.g. to SHOULD's)  </t>
    </r>
    <r>
      <rPr>
        <b/>
        <sz val="11"/>
        <color theme="1"/>
        <rFont val="Calibri"/>
        <family val="2"/>
        <scheme val="minor"/>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</si>
  <si>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</si>
  <si>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rgb="FF000000"/>
        <rFont val="Calibri"/>
        <family val="2"/>
        <scheme val="minor"/>
      </rPr>
      <t xml:space="preserve">Column "Pos" </t>
    </r>
    <r>
      <rPr>
        <sz val="11"/>
        <color rgb="FF000000"/>
        <rFont val="Calibri"/>
        <family val="2"/>
        <scheme val="minor"/>
      </rPr>
      <t xml:space="preserve"> </t>
    </r>
  </si>
  <si>
    <r>
      <rPr>
        <b/>
        <sz val="11"/>
        <color rgb="FF000000"/>
        <rFont val="Calibri"/>
        <family val="2"/>
        <scheme val="minor"/>
      </rPr>
      <t>Column "Neg"</t>
    </r>
    <r>
      <rPr>
        <sz val="11"/>
        <color rgb="FF000000"/>
        <rFont val="Calibri"/>
        <family val="2"/>
        <scheme val="minor"/>
      </rPr>
      <t xml:space="preserve">  </t>
    </r>
  </si>
  <si>
    <t xml:space="preserve">Column "Derived"   </t>
  </si>
  <si>
    <t>Pos: Requirement describing affect of this cause.</t>
  </si>
  <si>
    <r>
      <rPr>
        <b/>
        <sz val="11"/>
        <color theme="1"/>
        <rFont val="Calibri"/>
        <family val="2"/>
        <scheme val="minor"/>
      </rPr>
      <t>Normative:</t>
    </r>
    <r>
      <rPr>
        <sz val="11"/>
        <color theme="1"/>
        <rFont val="Calibri"/>
        <family val="2"/>
        <scheme val="minor"/>
      </rPr>
      <t xml:space="preserve"> must be understood in order to implement interoperable software.  
</t>
    </r>
    <r>
      <rPr>
        <b/>
        <sz val="11"/>
        <color theme="1"/>
        <rFont val="Calibri"/>
        <family val="2"/>
        <scheme val="minor"/>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</si>
  <si>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</si>
  <si>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</si>
  <si>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</si>
  <si>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</si>
  <si>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</si>
  <si>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t>Requirements should be covered</t>
  </si>
  <si>
    <r>
      <rPr>
        <b/>
        <sz val="11"/>
        <color theme="1"/>
        <rFont val="Calibri"/>
        <family val="2"/>
        <scheme val="minor"/>
      </rPr>
      <t>P0</t>
    </r>
    <r>
      <rPr>
        <sz val="11"/>
        <color theme="1"/>
        <rFont val="Calibri"/>
        <family val="2"/>
        <scheme val="minor"/>
      </rPr>
      <t xml:space="preserve">: Key concepts of protocol, typically mapping to the MUST's and MUST NOT's in the protocol doc.                                                                                                                                                                                           </t>
    </r>
  </si>
  <si>
    <t>Should Cover</t>
  </si>
  <si>
    <t>Scenario Count</t>
  </si>
  <si>
    <t>Was Covered</t>
  </si>
  <si>
    <t>Should and Was</t>
  </si>
  <si>
    <t xml:space="preserve"> of them were covered</t>
  </si>
  <si>
    <t>S1</t>
  </si>
  <si>
    <t>S2</t>
  </si>
  <si>
    <r>
      <rPr>
        <b/>
        <sz val="11"/>
        <color rgb="FF000000"/>
        <rFont val="Arial"/>
        <family val="2"/>
      </rPr>
      <t>First:</t>
    </r>
    <r>
      <rPr>
        <sz val="11"/>
        <color rgb="FF000000"/>
        <rFont val="Arial"/>
        <family val="2"/>
      </rPr>
      <t xml:space="preserve">  Fill in all yellow areas at the top of Requirements work sheet with the </t>
    </r>
    <r>
      <rPr>
        <b/>
        <sz val="11"/>
        <color rgb="FF000000"/>
        <rFont val="Arial"/>
        <family val="2"/>
      </rPr>
      <t>your</t>
    </r>
    <r>
      <rPr>
        <sz val="11"/>
        <color rgb="FF000000"/>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</si>
  <si>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</si>
  <si>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theme="1"/>
        <rFont val="Calibri"/>
        <family val="2"/>
        <scheme val="minor"/>
      </rPr>
      <t>non-testable</t>
    </r>
    <r>
      <rPr>
        <sz val="11"/>
        <color theme="1"/>
        <rFont val="Calibri"/>
        <family val="2"/>
        <scheme val="minor"/>
      </rPr>
      <t xml:space="preserve"> to explain why TSDs consider there is no possible way to verify them. And for those marked as </t>
    </r>
    <r>
      <rPr>
        <b/>
        <sz val="11"/>
        <color theme="1"/>
        <rFont val="Calibri"/>
        <family val="2"/>
        <scheme val="minor"/>
      </rPr>
      <t>Unverified</t>
    </r>
    <r>
      <rPr>
        <sz val="11"/>
        <color theme="1"/>
        <rFont val="Calibri"/>
        <family val="2"/>
        <scheme val="minor"/>
      </rPr>
      <t xml:space="preserve"> to explain why they have made this decision.
Not required for Strategy RS.</t>
    </r>
  </si>
  <si>
    <r>
      <rPr>
        <b/>
        <sz val="11"/>
        <color rgb="FF000000"/>
        <rFont val="Arial"/>
        <family val="2"/>
      </rPr>
      <t>2nd:</t>
    </r>
    <r>
      <rPr>
        <sz val="11"/>
        <color rgb="FF000000"/>
        <rFont val="Arial"/>
        <family val="2"/>
      </rPr>
      <t xml:space="preserve"> Fill in the In/Out </t>
    </r>
    <r>
      <rPr>
        <b/>
        <sz val="11"/>
        <color rgb="FF000000"/>
        <rFont val="Arial"/>
        <family val="2"/>
      </rPr>
      <t>Scope roles</t>
    </r>
    <r>
      <rPr>
        <sz val="11"/>
        <color rgb="FF000000"/>
        <rFont val="Arial"/>
        <family val="2"/>
      </rPr>
      <t xml:space="preserve"> (endpoints) for your TD.</t>
    </r>
  </si>
  <si>
    <r>
      <t>2.</t>
    </r>
    <r>
      <rPr>
        <sz val="7"/>
        <color theme="1"/>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</si>
  <si>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</si>
  <si>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</si>
  <si>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</si>
  <si>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theme="1"/>
        <rFont val="Calibri"/>
        <family val="2"/>
        <scheme val="minor"/>
      </rPr>
      <t>Protocol</t>
    </r>
    <r>
      <rPr>
        <sz val="11"/>
        <color theme="1"/>
        <rFont val="Calibri"/>
        <family val="2"/>
        <scheme val="minor"/>
      </rPr>
      <t xml:space="preserve"> (for a behavior common to all protocol implementations) and </t>
    </r>
    <r>
      <rPr>
        <b/>
        <sz val="11"/>
        <color theme="1"/>
        <rFont val="Calibri"/>
        <family val="2"/>
        <scheme val="minor"/>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</si>
  <si>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</si>
  <si>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</si>
  <si>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</si>
  <si>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</si>
  <si>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</si>
  <si>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rgb="FF000000"/>
        <rFont val="Calibri"/>
        <family val="2"/>
        <scheme val="minor"/>
      </rPr>
      <t>Neg</t>
    </r>
    <r>
      <rPr>
        <sz val="11"/>
        <color rgb="FF000000"/>
        <rFont val="Calibri"/>
        <family val="2"/>
        <scheme val="minor"/>
      </rPr>
      <t>ative effect (not doing this) of a cause (a request, trigger, or initiaion)
See http://pt3web/pt3wiki/default.aspx/Microsoft.Project.PT3/LinkRequirements.html</t>
    </r>
  </si>
  <si>
    <r>
      <rPr>
        <b/>
        <sz val="11"/>
        <color rgb="FF000000"/>
        <rFont val="Calibri"/>
        <family val="2"/>
        <scheme val="minor"/>
      </rPr>
      <t>Pos</t>
    </r>
    <r>
      <rPr>
        <sz val="11"/>
        <color rgb="FF000000"/>
        <rFont val="Calibri"/>
        <family val="2"/>
        <scheme val="minor"/>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</si>
  <si>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</si>
  <si>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</si>
  <si>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theme="1"/>
        <rFont val="Calibri"/>
        <family val="2"/>
        <scheme val="minor"/>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theme="1"/>
        <rFont val="Calibri"/>
        <family val="2"/>
        <scheme val="minor"/>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theme="1"/>
        <rFont val="Calibri"/>
        <family val="2"/>
        <scheme val="minor"/>
      </rPr>
      <t>Test case</t>
    </r>
    <r>
      <rPr>
        <sz val="11"/>
        <color theme="1"/>
        <rFont val="Calibri"/>
        <family val="2"/>
        <scheme val="minor"/>
      </rPr>
      <t xml:space="preserve"> or in the </t>
    </r>
    <r>
      <rPr>
        <b/>
        <sz val="11"/>
        <color theme="1"/>
        <rFont val="Calibri"/>
        <family val="2"/>
        <scheme val="minor"/>
      </rPr>
      <t>Adapter</t>
    </r>
    <r>
      <rPr>
        <sz val="11"/>
        <color theme="1"/>
        <rFont val="Calibri"/>
        <family val="2"/>
        <scheme val="minor"/>
      </rPr>
      <t>.
We don’t use this column to record the way in which the test case was generated.
Not required for Strategy RS.</t>
    </r>
  </si>
  <si>
    <t>Product</t>
  </si>
  <si>
    <r>
      <rPr>
        <b/>
        <sz val="11"/>
        <color rgb="FF000000"/>
        <rFont val="Arial"/>
        <family val="2"/>
      </rPr>
      <t>3rd:</t>
    </r>
    <r>
      <rPr>
        <sz val="11"/>
        <color rgb="FF000000"/>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</si>
  <si>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</si>
  <si>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rgb="FF000000"/>
        <rFont val="Arial"/>
        <family val="2"/>
      </rPr>
      <t>normative</t>
    </r>
    <r>
      <rPr>
        <sz val="10"/>
        <color rgb="FF000000"/>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</si>
  <si>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[MS-WSP]: Windows Search Protocol Specification</t>
  </si>
  <si>
    <t>1.8</t>
  </si>
  <si>
    <t>This protocol also uses NTSTATUS values taken from the NTSTATUS number space.</t>
  </si>
  <si>
    <t>S1,S2,S3</t>
  </si>
  <si>
    <t>&lt;4&gt;Windows only uses the values specified in [MS-ERREF].</t>
  </si>
  <si>
    <t>All messages MUST be transported using a named pipe: \pipe\MSFTEWDS</t>
  </si>
  <si>
    <t>The client MUST set SECURITY_IDENTIFICATION as the 'ImpersonationLevel' in the request to open the named pipe.</t>
  </si>
  <si>
    <t>Not verifying the client requirements.</t>
  </si>
  <si>
    <t>2.2.1</t>
  </si>
  <si>
    <t>All 2, 4, and 8-byte signed and unsigned integers in the structures MUST be transferred in little-endian byte order.</t>
  </si>
  <si>
    <t>2.2.1.1</t>
  </si>
  <si>
    <t>The 2 byte field 'VType' field of CBaseStorageVariant structure MUST have one of these values: VT_EMPTY(0x0000), VT_NULL(0x0001), VT_I1(0x0010), VT_UI1(0x0011), VT_I2(0x0002), VT_UI2(0x0012), VT_BOOL( 0x000B), VT_I4(0x0003), VT_UI4(0x0013), VT_R4(0x0004), VT_INT(0x0016), VT_UINT( 0x0017), VT_ERROR(0x000A), VT_I8(0x0014), VT_UI8(0x0015), VT_R8(0x0005), VT_CY(0x0006), VT_DATE(0x0007), VT_FILETIME(0x0040), VT_DECIMAL(0x000E) , VT_CLSID(0x0048), VT_BLOB(0x0041), VT_BLOB_OBJECT (0x0046), VT_BSTR(0x0008), VT_LPSTR(0x001E), VT_LPWSTR(0x001F), VT_COMPRESSED_LPWSTR(0x0023), VT_VARIANT(0x000C) or these Ored with VT_VECTOR(0x1000) and VT_ARRAY(0x2000).</t>
  </si>
  <si>
    <t>VT_VECTOR type modifier MUST NOT be combined(binary ORed) with the following types: VT_INT, VT_UINT, VT_DECIMAL, VT_BLOB.</t>
  </si>
  <si>
    <t>VT_ARRAY type modifier MUST NOT be combined(binary ORed) with the following types: VT_I8, VT_UI8, VT_FILETIME, VT_CLSID, VT_BLOB,  VT_LPSTR, and VT_LPWSTR.</t>
  </si>
  <si>
    <t>The value of 1 byte field 'vData1' of CBaseStorageVariant structure MUST be set to 0X00 when vType is not VT_DECIMAL.</t>
  </si>
  <si>
    <t>The value of 1 byte field 'vData2'  of CBaseStorageVariant structure MUST be set to 0x00 when vType is not VT_DECIMAL.</t>
  </si>
  <si>
    <t xml:space="preserve"> 'vValue' field of CBaseStorageVariant structure i.e. the value for the match operation MUST have syntax as indicated in the vType field.</t>
  </si>
  <si>
    <t>The size of VT_I1  value of the vValue field of CBaseStorageVariant structure is 1 byte.</t>
  </si>
  <si>
    <t>The size of  VT_UI1 value of the vValue field of CBaseStorageVariant structure is 1 byte.</t>
  </si>
  <si>
    <t>The size of VT_I2  value of the vValue field of CBaseStorageVariant structure is 2 bytes</t>
  </si>
  <si>
    <t>The size of  VT_UI2 value of the vValue field of CBaseStorageVariant structure is 2 bytes.</t>
  </si>
  <si>
    <t>The size of  VT_BOOL value of the vValue field of CBaseStorageVariant structure is 2 bytes.</t>
  </si>
  <si>
    <t>The size of VT_I4 value of the vValue field of CBaseStorageVariant structure is 4 bytes.</t>
  </si>
  <si>
    <t>The size of VT_UI4 value of the vValue field of CBaseStorageVariant structure is 4 bytes.</t>
  </si>
  <si>
    <t>The size of  VT_R4 value of the vValue field of CBaseStorageVariant structure is 4 bytes.</t>
  </si>
  <si>
    <t>The size of  VT_INT value of the vValue field of CBaseStorageVariant structure is 4 bytes.</t>
  </si>
  <si>
    <t>The size of  VT_UINT value of the vValue field of CBaseStorageVariant structure is 4 bytes.</t>
  </si>
  <si>
    <t>The size of  VT_ERROR value of the vValue field of CBaseStorageVariant structure is 4 bytes.</t>
  </si>
  <si>
    <t>The size of VT_I8 value of the vValue field of CBaseStorageVariant structure is 8 bytes.</t>
  </si>
  <si>
    <t>The size of  VT_UI8 value of the vValue field of CBaseStorageVariant structure is 8 bytes.</t>
  </si>
  <si>
    <t>The size of  VT_R8 value of the vValue field of CBaseStorageVariant structure is 8 bytes.</t>
  </si>
  <si>
    <t>The size of  VT_CY value of the vValue field of CBaseStorageVariant structure is 8 bytes.</t>
  </si>
  <si>
    <t>The size of  VT_DATE value of the vValue field of CBaseStorageVariant structure is 8 bytes.</t>
  </si>
  <si>
    <t>The size of  VT_FILETIME value of the vValue field of CBaseStorageVariant structure is 8 bytes.</t>
  </si>
  <si>
    <t>The size of VT_DECIMAL value of the vvalue field of CBaseStorageVariant structure is 16 bytes.</t>
  </si>
  <si>
    <t>The size of  VT_CLSID value of the vvalue field of CBaseStorageVariant structure is 16 bytes.</t>
  </si>
  <si>
    <t>If vType is set to VT_BLOB, VT_BSTR, or VT_LPSTR, the structure of vValue contains 4 bytes 'cbSize' and variable sized  'blobData' field.</t>
  </si>
  <si>
    <t xml:space="preserve"> 'blobData' field of CBaseStorageVariant structure MUST be of length 'cbSize' in bytes.</t>
  </si>
  <si>
    <t xml:space="preserve">For vType set to VT_BSTR, 'blobData' field of CBaseStorageVariant structure is a set of characters in an OEM-selected character set. The client and server MUST be configured to have interoperable character sets. </t>
  </si>
  <si>
    <t>If vType is set to VT_LPSTR, then 'cLen' field of CBaseStorageVariant structure indicates the size of the string in ANSI characters and string is a null-terminated ANSI string.</t>
  </si>
  <si>
    <t>If vType is set to VT_LPWSTR, then 'cLen' field of CBaseStorageVariant structure indicates the size of the string in Unicode characters and string is a null-terminated Unicode string.</t>
  </si>
  <si>
    <t>The 4 bytes 'cLen' field of the CBaseStorageVariant structure specifies the size of the string field including the terminating null.</t>
  </si>
  <si>
    <t>The variable sized 'string' field of the CBaseStorageVariant structure  is the Null-terminated string.</t>
  </si>
  <si>
    <t xml:space="preserve"> The variable sized 'string' field of the CBaseStorageVariant structure  MUST be absent  if 'cLen' equals 0x00000000.</t>
  </si>
  <si>
    <t>2.2.1.1.1.1</t>
  </si>
  <si>
    <t xml:space="preserve">When vType is set to VT_DECIMAL (0x0000E), the 'vData1'  field of CBaseStorageVariant MUST be interpreted as the number of digits to the right of the decimal point. </t>
  </si>
  <si>
    <t>When vType is set to VT_DECIMAL (0x0000E), the 'vData1'  field of CBaseStorageVariant MUST be in the range 0 to 28.</t>
  </si>
  <si>
    <t>When vType is set to VT_DECIMAL (0x0000E) 'vData2' fields of CBaseStorageVariant MUST be interpreted as the sign of the numeric value.</t>
  </si>
  <si>
    <t>When vType is set to VT_DECIMAL (0x0000E), the 'vData2'  field of CBaseStorageVariant is set to 0x00 if positive.</t>
  </si>
  <si>
    <t>When vType is set to VT_DECIMAL (0x0000E), the 'vData2'  field of CBaseStorageVariant is set to 0x80 if negative.</t>
  </si>
  <si>
    <t>When vType is set to VT_DECIMAL, the  vValue field of CBaseStorageVariant structure contains Hi32 (4 bytes),Lo32 (4 bytes) and Mid32 (4 bytes).</t>
  </si>
  <si>
    <t>2.2.1.1.1.2</t>
  </si>
  <si>
    <t xml:space="preserve"> 'vVectorElements' field of the VT_VECTOR specifies the  number of elements in the vVectorData field of the same structure.</t>
  </si>
  <si>
    <t xml:space="preserve"> 'vVectorData' field of the VT_VECTOR specifies  an array of items  with the 0x1000 bit cleared.</t>
  </si>
  <si>
    <t>The elements in the 'vVectorData' field of the VT_VECTOR MUST be separated by 0 to 3 padding bytes such that each element begins at an offset that is a multiple of 4 bytes from the beginning of the message that contains this array.</t>
  </si>
  <si>
    <t>The content of the padding bytes in 'vVectorData' field of the VT_VECTOR MUST be ignored by the receiver.</t>
  </si>
  <si>
    <t xml:space="preserve">2.2.1.1.1.2 </t>
  </si>
  <si>
    <t xml:space="preserve">If vType set to VT_ARRAY | VT_VARIANT, the type for items in this sequence vVectorData  is CBaseStorageVariant. </t>
  </si>
  <si>
    <t>2.2.1.1.1.3</t>
  </si>
  <si>
    <t xml:space="preserve">The 2 byte field 'cDims' of the  SAFEARRAY structure specifies the number of dimensions of the multidimensional array. </t>
  </si>
  <si>
    <t>The 2 byte field 'fFeatures' of the  SAFEARRAY structure MUST be ignored.</t>
  </si>
  <si>
    <t>The 4 bytes field 'cbElements' of the  SAFEARRAY structure specifies the size of each element of the array.</t>
  </si>
  <si>
    <t xml:space="preserve"> 'Rgsabound' field is an array that contains one SAFEARRAYBOUND structure per dimension in the SAFEARRAY.</t>
  </si>
  <si>
    <t xml:space="preserve"> 'vData' field of the  SAFEARRAY structure is a vector of marshaled items of a particular type, indicated by the vType, with the bit 0x2000 cleared.</t>
  </si>
  <si>
    <t>2.2.1.1.1.4</t>
  </si>
  <si>
    <t>The 4 bytes 'cElements' field of the  SAFEARRAYBOUND structure specifies the number of elements in the dimension of a SAFEARRAY or SAFEARRAY2.</t>
  </si>
  <si>
    <t>The 4 bytes 'lbound' field of the  SAFEARRAYBOUND structure specifies the lower bound of the dimension of a SAFEARRAY or SAFEARRAY2.</t>
  </si>
  <si>
    <t>2.2.1.1.1.5</t>
  </si>
  <si>
    <t>The 4 bytes 'cDims' field of the SAFEARRAY2 structure specifies the number of dimensions of the SAFEARRAY2 structure.</t>
  </si>
  <si>
    <t>The 'Rgsabound' field of the SAFEARRAY2 structure is an array that contains one SAFEARRAYBOUND structure per dimension in the SAFEARRAY2.</t>
  </si>
  <si>
    <t xml:space="preserve"> 'vData' field of the SAFEARRAY2 structure is a vector of marshaled items of a particular type, indicated by the dwType of the containing SERIALIZEDPROPERTYVALUE, with bit 0x2000 cleared.</t>
  </si>
  <si>
    <t>2.2.1.1.1.6</t>
  </si>
  <si>
    <t>The 4 bytes 'ccLen' field of the VT_COMPRESSED_LPWSTR structure specifies the number of characters in the compressed Unicode string, excluding the terminating NULL character.</t>
  </si>
  <si>
    <t xml:space="preserve"> 'bytes' field of VT_COMPRESSED_LPWSTR structure is a sequence of bytes.</t>
  </si>
  <si>
    <t xml:space="preserve"> 'bytes' field of VT_COMPRESSED_LPWSTR structure MUST be absent if 'ccLen' field of the same structure  is set to 0x00000000.</t>
  </si>
  <si>
    <t>2.2.1.2</t>
  </si>
  <si>
    <t xml:space="preserve"> 'paddingPropSet' field of  CFullPropSpec structure MUST be 0 to 8 bytes in length.</t>
  </si>
  <si>
    <t>The length of 'paddingPropSet' field of  CFullPropSpec structure MUST be such that the following field begins at an offset that is a multiple of 8 bytes from the beginning of the message that contains this structure.</t>
  </si>
  <si>
    <t>The content of 'paddingPropSet' field of  CFullPropSpec structure MUST be ignored by the receiver.</t>
  </si>
  <si>
    <t>Server internal behavior.</t>
  </si>
  <si>
    <t>For any arbitrary value of the 'paddingPropSet' field, server is returning success.</t>
  </si>
  <si>
    <t>R66:p</t>
  </si>
  <si>
    <t>The 16 bytes '_guidPropSet' field of the  CFullPropSpec structure is the  GUID of the property set to which the property belongs.</t>
  </si>
  <si>
    <t>The 4 bytes 'ulKind' field of  CFullPropSpec structure MUST be one of the following values: PRSPEC_LPWSTR(0x00000000) or PRSPEC_PROPID(0x00000001).</t>
  </si>
  <si>
    <t>If the 'ulKind' field of  CFullPropSpec structure is PRSPEC_LPWSTR (0x00000000), then the PrSpec field specifies the number of non-NULL characters in the Property name field.</t>
  </si>
  <si>
    <t>Not verifying the informative requirements.</t>
  </si>
  <si>
    <t>If the 'ulKind' field of  CFullPropSpec structure is PRSPEC_PROPID (0x00000001), then PrSpec field specifies the property ID (PROPID).</t>
  </si>
  <si>
    <t xml:space="preserve"> 'Property name' field of  CFullPropSpec structure MUST NOT be present, If ulKind field of the same structure is set to PRSPEC_PROPID.</t>
  </si>
  <si>
    <t>Property name' field of CFullPropSpec structure MUST contain a case-insensitive array of PrSpec non-null Unicode characters, If ulKind is set to PRSPEC_LPWSTR.</t>
  </si>
  <si>
    <t>2.2.1.3</t>
  </si>
  <si>
    <t xml:space="preserve"> '_Property' field of the CContentRestriction structure is a  CFullPropSpec structure.</t>
  </si>
  <si>
    <t xml:space="preserve"> 'Padding1' field of the CContentRestriction structure MUST be 0 to 3 bytes in length.</t>
  </si>
  <si>
    <t>The length of 'Padding1' field of the CContentRestriction structure MUST be such that the following field begins at an offset that is a multiple of 4 bytes from the beginning of the message that contains this structure.</t>
  </si>
  <si>
    <t>The content of 'Padding1' field of the CContentRestriction structure MUST be ignored by the receiver.</t>
  </si>
  <si>
    <t>For any arbitrary value of the 'Padding1' field, server is returning success.</t>
  </si>
  <si>
    <t>R77:p</t>
  </si>
  <si>
    <t>The 4 bytes 'Cc' field of the  CContentRestriction structure specifies the number of characters in the _pwcsPhrase field of the same structure.</t>
  </si>
  <si>
    <t xml:space="preserve"> '_pwcsPhrase' field of the CContentRestriction structure is a non null-terminated Unicode string.</t>
  </si>
  <si>
    <t xml:space="preserve"> '_pwcsPhrase' field of the CContentRestriction structure  MUST NOT be empty. </t>
  </si>
  <si>
    <t xml:space="preserve"> 'Padding2' field of the CContentRestriction structure MUST be 0 to 3 bytes in length.</t>
  </si>
  <si>
    <t>The length of 'Padding2' field of the CContentRestriction structure MUST be such that the following field begins at an offset that is a multiple of 4 bytes from the beginning of the message that contains this structure.</t>
  </si>
  <si>
    <t>The content of 'Padding2' field of the CContentRestriction structure MUST be ignored by the receiver.</t>
  </si>
  <si>
    <t>For any arbitrary value of the 'Padding2' field, server is returning success.</t>
  </si>
  <si>
    <t>R84:p</t>
  </si>
  <si>
    <t>The 4 bytes 'Lcid' field of the CContentRestriction structure specifies the locale of _pwcsPhrase field.</t>
  </si>
  <si>
    <t>The value of 4 bytes '_ulGenerateMethod' field of the CContentRestriction structure is one of the following:  GENERATE_METHOD_EXACT(0x00000000),  GENERATE_METHOD_PREFIX(0x00000001), GENERATE_METHOD_INFLECT(0x00000002).</t>
  </si>
  <si>
    <t>2.2.1.4</t>
  </si>
  <si>
    <t xml:space="preserve"> '0xFFFFFFFF' value of   PROPID field of the  CKey structure represents an invalid property ID and MUST NOT be used.</t>
  </si>
  <si>
    <t xml:space="preserve"> '0xFFFFFFFE' value of   PROPID field of the  CKey structure represents an invalid property ID and MUST NOT be used.</t>
  </si>
  <si>
    <t xml:space="preserve"> '0x00000000' value of   PROPID field of the  CKey structure represents  "any" property ID.</t>
  </si>
  <si>
    <t>The 4 bytes 'Cb' field  of the  CKey structure  contains the length, in bytes, of 'buf' field.</t>
  </si>
  <si>
    <t>2.2.1.5</t>
  </si>
  <si>
    <t>The 4 bytes field '_relop' of  CInternalPropertyRestriction structure MUST be one of the following values: PRLT(0x00000000), PRLE (0x00000001),  PRGT(0x00000002),  PRGE(0x00000003), PREQ(0x00000004), PRNE(0x00000005), PRRE(0x00000006), PRAllBits(0x00000007),  PRSomeBits(0x00000008), PRAll(0x00000100), PRAny(0x00000200).</t>
  </si>
  <si>
    <t>The 4 bytes '_pid' field of the  CInternalPropertyRestriction structure reperesents the property ID.</t>
  </si>
  <si>
    <t>If the vType of _prval is VT_BLOB and _Property refers to a property of a string type (VT_LPSTR, VT_LPWSTR, VT_COMPRESSED_LPWSTR, VT_BSTR, or VT_VECTORs or VT_ARRAYs of those base types) then the first byte of the blob(value of the  '_prval' field of CInternalPropertyRestriction structure    ) SHOULD be the low-order byte of a valid RANGEBOUNDARY ulType value and be followed by a null-terminated Unicode string.</t>
  </si>
  <si>
    <t>The 4 bytes '_lcid' field of the  CInternalPropertyRestriction structure indicates the locale of a string, contained in _prval value of the same structure.</t>
  </si>
  <si>
    <t>The 1 byte 'restrictionPresent' field of the CInternalPropertyRestriction structure MUST be set to one of the following values: (0x00) or  (0x01).</t>
  </si>
  <si>
    <t>If the value of 'restrictionPresent' field of the CInternalPropertyRestriction structure is (0x00), then, the nextRestriction field is not present.</t>
  </si>
  <si>
    <t>If the value of 'restrictionPresent' field of the CInternalPropertyRestriction structure is (0x01), then, the nextRestriction field is present.</t>
  </si>
  <si>
    <t>The 'nextRestriction' field of the CInternalPropertyRestriction structure is a  CRestriction structure .</t>
  </si>
  <si>
    <t>2.2.1.6</t>
  </si>
  <si>
    <t>The '_Property' field of the CNatLanguageRestriction structure is a  CFullPropSpec structure.</t>
  </si>
  <si>
    <t xml:space="preserve"> The '_padding_cc' field of the CNatLanguageRestriction structure MUST be 0 to 3 bytes in length.</t>
  </si>
  <si>
    <t>The length of '_padding_cc' field of the CNatLanguageRestriction structure MUST be such that the following field begins at an offset that is a multiple of 4 bytes from the beginning of the message that contains this structure.</t>
  </si>
  <si>
    <t>The content of '_padding_cc' field of the CNatLanguageRestriction structure MUST be ignored by the receiver.</t>
  </si>
  <si>
    <t>For any arbitrary value of '_padding_cc' field, the server is returning success.</t>
  </si>
  <si>
    <t>R103:p</t>
  </si>
  <si>
    <t>The 4 bytes 'Cc' field of the  CNatLanguageRestriction structure specifies the number of characters in the _pwcsPhrase field.</t>
  </si>
  <si>
    <t xml:space="preserve"> '_pwcsPhrase' field of the CNatLanguageRestriction structure is a non null-terminated Unicode string.</t>
  </si>
  <si>
    <t xml:space="preserve"> '_pwcsPhrase' field of the CNatLanguageRestriction structure MUST NOT be empty.</t>
  </si>
  <si>
    <t>The '_padding_lcid' field of the CNatLanguageRestriction structure MUST be 0 to 3 bytes in length.</t>
  </si>
  <si>
    <t>The length of '_padding_lcid' field of the CNatLanguageRestriction structure MUST be such that the following field begins at an offset that is a multiple of 4 bytes from the beginning of the message that contains this structure.</t>
  </si>
  <si>
    <t>The content of '_padding_lcid' field of the CNatLanguageRestriction structure MUST be ignored by the receiver.</t>
  </si>
  <si>
    <t>For any arbitrary value of '_padding_lcid' field, the server is returning success.</t>
  </si>
  <si>
    <t>R110:p</t>
  </si>
  <si>
    <t>The 4 bytes 'Lcid' field of the  CNatLanguageRestriction structure indicates the locale of _pwcsPhrase field of the same structure.</t>
  </si>
  <si>
    <t>2.2.1.7</t>
  </si>
  <si>
    <t>The 4 bytes '_cNode' field of the CNodeRestriction structure indicates the number of CRestriction structures contained in the _paNode field of the same structure.</t>
  </si>
  <si>
    <t>In the 'paNode' field of the CNodeRestriction structure is the array of CRestriction structures in which the elements MUST be separated by 0 to 3 padding bytes such that each structure begins at an offset that is a multiple of 4 bytes from the beginning of the message that contains this array.</t>
  </si>
  <si>
    <t>The content of the padding bytes in the '_paNode' field of the CNodeRestriction structure MUST be ignored by the receiver.</t>
  </si>
  <si>
    <t>For any arbitrary value of '_paNode' field,server is returning success.</t>
  </si>
  <si>
    <t>R115:p</t>
  </si>
  <si>
    <t>2.2.1.8</t>
  </si>
  <si>
    <t>The 4 bytes field '_relop' of the CPropertyRestriction structure MUST be one of the following values: PRLT(0x00000000), PRLE (0x00000001),  PRGT(0x00000002),  PRGE(0x00000003), PREQ(0x00000004), PRNE(0x00000005), PRRE(0x00000006), PRAllBits(0x00000007),  PRSomeBits(0x00000008), PRAll(0x00000100), PRAny(0x00000200).</t>
  </si>
  <si>
    <t xml:space="preserve"> '_Property' field of the  CPropertyRestriction structure is a  CFullPropSpec structure.</t>
  </si>
  <si>
    <t>If the vType of _prval is VT_BLOB, and _Property refers to a property of a string type (VT_LPSTR, VT_LPWSTR, VT_COMPRESSED_LPWSTR, VT_BSTR, or VT_VECTORs or VT_ARRAYs of those base types), then the first byte of the blob(value of the  '_prval' field of the CPropertyRestriction structure) SHOULD be the low-order byte of a valid RANGEBOUNDARY ulType value and be followed by a null-terminated Unicode string.</t>
  </si>
  <si>
    <t>The '_padding_lcid' field of the CPropertyRestriction structure MUST be 0 to 3 bytes in length.</t>
  </si>
  <si>
    <t>The length of '_padding_lcid' field of the CPropertyRestriction structure MUST be such that the following _lcid field begins at an offset that is a multiple of 4 bytes from the beginning of the message that contains this structure.</t>
  </si>
  <si>
    <t>The content of '_padding_lcid' field of the CPropertyRestriction structure MUST be ignored by the receiver.</t>
  </si>
  <si>
    <t>For any arbitrary value of '_padding_lcid' field of the CPropertyRestriction structure, server is returning success.</t>
  </si>
  <si>
    <t>R122:p</t>
  </si>
  <si>
    <t>The 4 bytes '_lcid' field of the  CPropertyRestriction structure represents the  locale for the string contained in _prval.</t>
  </si>
  <si>
    <t>2.2.1.9</t>
  </si>
  <si>
    <t>CReuseWhere restriction packet contains 4 bytes 'WHEREID' for referring to the CRestrictionArray.</t>
  </si>
  <si>
    <t>2.2.1.10</t>
  </si>
  <si>
    <t>The 4 bytes 'CcLowerPath' field of the  CScopeRestriction structure contains the number of Unicode characters in the _lowerPath field of the same structure.</t>
  </si>
  <si>
    <t>The '_lowerPath' field of the  CScopeRestriction structure is a non null-terminated Unicode string representing the path to which the query should be restricted.</t>
  </si>
  <si>
    <t>The '_padding' field of the CScopeRestriction structure MUST be 0 to 3 bytes in length.</t>
  </si>
  <si>
    <t>The length of '_padding' field of the CScopeRestriction structure MUST be such that the following field begins at an offset that is a multiple of 4 bytes from the beginning of the message that contains this structure.</t>
  </si>
  <si>
    <t>The content of  '_padding'  field of the CScopeRestriction structure MUST be ignored by the receiver.</t>
  </si>
  <si>
    <t>For any arbitrary value of '_padding'  field of the CScopeRestriction structure, server is returning success.</t>
  </si>
  <si>
    <t>R130:p</t>
  </si>
  <si>
    <t>The value of the 4 bytes field '_length' of the CScopeRestriction structure MUST be the same as the value of the 'CcLowerPath' field  of the same structure.</t>
  </si>
  <si>
    <t>The 4 bytes '_fRecursive' field of the CScopeRestriction structure MUST be set to one of the following values: (0x00000000) or (0x00000001).</t>
  </si>
  <si>
    <t>The 4 bytes '_fVirtual' field of the CScopeRestriction structure MUST be set to one of the following values:  (0x00000000) or (0x00000001).</t>
  </si>
  <si>
    <t>2.2.1.11</t>
  </si>
  <si>
    <t>The 4 bytes 'pidColumn' field of the CSort structure is the index in CPidMapper structure for the property to sort by.</t>
  </si>
  <si>
    <t>The 4 bytes 'dwOrder' field of the Csort structure MUST be one of the following values, specifying how to sort based on the column: QUERY_SORTASCEND(0x00000000) or   QUERY_DESCEND(0x00000001).</t>
  </si>
  <si>
    <t>The 4 bytes 'dwIndividual' field of the Csort structure MUST be one of the following values:  QUERY_SORTALL(0x00000000) or  QUERY_SORTINDIVIDUAL(0x00000001).</t>
  </si>
  <si>
    <t>A Windows Search service should use the appropriate operating system facilities to do this(to determine the sorting rules to use when sorting textual values).</t>
  </si>
  <si>
    <t>2.2.1.12</t>
  </si>
  <si>
    <t>The '_pres' field of the  CVectorRestriction structure is a  CNodeRestriction structure.</t>
  </si>
  <si>
    <t>The '_padding' field of the CVectorRestriction structure MUST be 0 to 3 bytes in length.</t>
  </si>
  <si>
    <t>The length of '_padding' field of the CVectorRestriction structure MUST be such that the following field begins at an offset that is a multiple of 4 bytes from the beginning of the message that contains this structure.</t>
  </si>
  <si>
    <t>The content of  '_padding'  field of the CVectorRestriction structure MUST be ignored by the receiver.</t>
  </si>
  <si>
    <t>For any arbitrary value of '_padding'  field of the CVectorRestriction structure, server is returning success.</t>
  </si>
  <si>
    <t>R142:p</t>
  </si>
  <si>
    <t>The 4 bytes '_ulRankMethod' field of the CVectorRestriction structure MUST be set to one of the following values: VECTOR_RANK_MIN(0x00000000),  VECTOR_RANK_MAX(0x00000001) , VECTOR_RANK_INNER(0x00000002),  VECTOR_RANK_DICE(0x00000003) , VECTOR_RANK_JACCARD(0x00000004).</t>
  </si>
  <si>
    <t>2.2.1.13</t>
  </si>
  <si>
    <t>If the  'ADD' coercion operation happens then the value of  rank value returned of the 4 bytes '_flValue' field of the  CCoercionRestriction structure is the sum of the original rank value and the coercion value.</t>
  </si>
  <si>
    <t>If the 'MULTIPLY' coercion operation happens then the value of the 4 bytes '_flValue' field of the  CCoercionRestriction structure MUST be in the range 0.001 to 1.0.</t>
  </si>
  <si>
    <t>If the 'ABSOLUTE' coercion operation happens then the value of the 4 bytes '_flValue' field of the  CCoercionRestriction structure MUST be in the range 0 to 1000.</t>
  </si>
  <si>
    <t>The '_childRes' field of the  CCoercionRestriction structure is the CRestriction structure.</t>
  </si>
  <si>
    <t>2.2.1.14</t>
  </si>
  <si>
    <t xml:space="preserve">The '_vDocument' field of the  CRelDocRestriction structure is a CBaseStorageVariant structure. </t>
  </si>
  <si>
    <t>The vType field of the '_vDocument' structure within the CRelDocRestriction structure, MUST be set to either VT_I4 or to VT_BSTR.</t>
  </si>
  <si>
    <t>If vType field of the '_vDocument' structure within the CRelDocRestriction structure is set to VT_I4, then vValue MUST be set to the document ID.</t>
  </si>
  <si>
    <t>If vType field of the '_vDocument' structure within the CRelDocRestriction structure is set to VT_BSTR, the URL string MUST be formatted by concatenating a constant string containing the docId protocol, the application and the catalog name with the document ID in decimal representation.</t>
  </si>
  <si>
    <t>2.2.1.15</t>
  </si>
  <si>
    <t>The '_Property' field of the   CProbRestriction structure is a  CFullPropSpec structure.</t>
  </si>
  <si>
    <t>The 4 bytes '_flK2' field of the CProbRestriction structure MUST be set to 0.0.</t>
  </si>
  <si>
    <t>The 4 bytes '_ProbQueryPid' field of the CProbRestriction structure MUST be set to 0x00000000.</t>
  </si>
  <si>
    <t>2.2.1.16</t>
  </si>
  <si>
    <t xml:space="preserve"> '_cFeedbackDoc' field of the  CFeedbackRestriction structure specifies the count of relevant documents.</t>
  </si>
  <si>
    <t xml:space="preserve"> '_Property' field of the CFeedbackRestriction structure is a CFullPropSpec structure.</t>
  </si>
  <si>
    <t>2.2.1.17</t>
  </si>
  <si>
    <t>The 'Restriction' field of the CRestrictionArray structure MUST be aligned to begin at a multiple of 4 bytes from the beginning of the message.</t>
  </si>
  <si>
    <t>The 1 byte 'count' field of the CInternalPropertyRestriction structure MUST be set to 0x01.</t>
  </si>
  <si>
    <t>The 1 byte 'isPresent' field of the CInternalPropertyRestriction structure MUST be set to one of the following values: (0x00) or (0x01).</t>
  </si>
  <si>
    <t>If the 'isPresent' field of the CInternalPropertyRestriction structure is (0X00) then, Restriction fields are omitted.</t>
  </si>
  <si>
    <t>If the 'isPresent' field of the CInternalPropertyRestriction structure is (0X01) then, Restriction fields are present.</t>
  </si>
  <si>
    <t>The '_padding' field of the CInternalPropertyRestriction structure MUST be 0 to 3 bytes in length.</t>
  </si>
  <si>
    <t>The length of '_padding' field of the CInternalPropertyRestriction structure MUST be such that the following field begins at an offset that is a multiple of 4 bytes from the beginning of the message that contains this structure.</t>
  </si>
  <si>
    <t>The content of '_padding' field of the CInternalPropertyRestriction structure MUST be ignored by the receiver.</t>
  </si>
  <si>
    <t>For any arbitrary value of '_padding' field of the CInternalPropertyRestriction structure, server is returning success.</t>
  </si>
  <si>
    <t>R165:p</t>
  </si>
  <si>
    <t>The '_padding' field of the CInternalPropertyRestriction structure MUST be omitted if the value of 'isPresent' field of the same structure is set to 0x00.</t>
  </si>
  <si>
    <t>The 'Restriction' field of the CInternalPropertyRestriction structure  is a CRestriction structure.</t>
  </si>
  <si>
    <t>The 'Restriction' field of the CInternalPropertyRestriction structure MUST be omitted if the value of 'isPresent' field of the same structure is set to 0x00.</t>
  </si>
  <si>
    <t>2.2.1.18</t>
  </si>
  <si>
    <t>The 4 bytes '_ulType' field of the Crestriction structure MUST be set to one of the following values: RTNone(0x00000000), RTAnd(0x00000001),  RTOr(0x00000002),  RTNot(0x00000003), RTContent(0x00000004),  RTProperty(0x00000005), RTProximity(0x00000006),  RTVector(0x00000007),  RTNatLanguage(0x00000008),  RTScope(0x00000009),  RTReuseWhere(0x00000011),  RTInternalProp(0x00FFFFFA) ,  RTPhrase(0x00FFFFFD),  RTCoerce_Add(0x0000000A), RTCoerce_Multiply(0x0000000B),  RTCoerce_Absolute(0x0000000C),  RTProb(0x0000000D),  RTFeedback(0x0000000E),  RTReldoc(0x0000000F).</t>
  </si>
  <si>
    <t>The syntax of the  'Restriction' field of the Crestriction structure MUST be as indicated by the _ulType field of the same structure.</t>
  </si>
  <si>
    <t>2.2.1.19</t>
  </si>
  <si>
    <t xml:space="preserve"> 'count' field of the CColumnSet structure  specifies the number of elements in the indexes array.</t>
  </si>
  <si>
    <t xml:space="preserve"> 'indexes' field of the CColumnSet structure is an array of 4-byte unsigned integers each representing a zero-based index into the aPropSpec array in the corresponding CPidMapper structure.</t>
  </si>
  <si>
    <t>2.2.1.20</t>
  </si>
  <si>
    <t>The 4 bytes 'count' field of the CategorizationSet structure specifies the number of elements in the categories array.</t>
  </si>
  <si>
    <t xml:space="preserve"> 'categories' field of the CCategorizationSet structure is an Array of CCategorizationSpec structures.</t>
  </si>
  <si>
    <t>2.2.1.21</t>
  </si>
  <si>
    <t xml:space="preserve"> '_csColumns' field of the CCategorizationSpec  structure is an CColumnSet structure.</t>
  </si>
  <si>
    <t xml:space="preserve"> '_Spec' field of the CCategorizationSpec  structure is an CCategSpec structure.</t>
  </si>
  <si>
    <t xml:space="preserve"> '_AggregSet' field of the CCategorizationSpec  structure is an CAggregSet structure.</t>
  </si>
  <si>
    <t xml:space="preserve"> '_SortAggregSet' field of the CCategorizationSpec  structure is a CSortAggregSet structure.</t>
  </si>
  <si>
    <t xml:space="preserve"> '_InGroupSortAggregSets' field of the CCategorizationSpec  structure is a CInGroupSortAggregSets structure.</t>
  </si>
  <si>
    <t>The 4 bytes 'cMaxResults' field of the CCategorizationSpec  structure is reserved and MUST be set to 0x00000000.</t>
  </si>
  <si>
    <t>2.2.1.22</t>
  </si>
  <si>
    <t>The 4 bytes '_ulCategType' field of the  CCategSpec structure MUST be set to one of the following values:  CATEGORIZE_UNIQUE(0x00000000) or   CATEGORIZE_RANGE(0x00000003).</t>
  </si>
  <si>
    <t>If '_ulCategType' field of the  CCategSpec structure is (0x00000000) then, Unique categorization type of grouping is performed.</t>
  </si>
  <si>
    <t>If '_ulCategType' field of the  CCategSpec structure is (0x00000003) then, Range categorization type of grouping is performed.</t>
  </si>
  <si>
    <t>The 16 bytes '_sortKey' field of the  CCategSpec structure is a CSort structure.</t>
  </si>
  <si>
    <t>The 'CRangeCategSpec' field of the CCategSpec structure MUST be omitted if _ulCategType field of the same structure is set to CATEGORIZE_UNIQUE(0x00000000).</t>
  </si>
  <si>
    <t>The 'CRangeCategSpec' field of the CCategSpec structure MUST be present if _ulCategType field of the same structure is set to CATEGORIZE_RANGE(0x00000003).</t>
  </si>
  <si>
    <t>2.2.1.23</t>
  </si>
  <si>
    <t>The content of the 4 bytes '_lcid' field of the CRangeCategSpec structure MAY be arbitrary.</t>
  </si>
  <si>
    <t>&lt;5&gt;On Windows, the server ignores  '_lcid' field of the CRangeCategSpec structure.</t>
  </si>
  <si>
    <t>R190:p</t>
  </si>
  <si>
    <t>The content of the 4 bytes '_lcid' field of the CRangeCategSpec structure  MUST be ignored by the receiver.</t>
  </si>
  <si>
    <t xml:space="preserve"> 'cRange' field of the CRangeCategSpec structure indicates the number of RANGEBOUNDARY structures in 'aRangeBegin' field of the same structure.</t>
  </si>
  <si>
    <t xml:space="preserve"> 'aRangeBegin'  field of the CRangeCategSpec structure is an array of RANGEBOUNDARY structures.</t>
  </si>
  <si>
    <t>2.2.1.24</t>
  </si>
  <si>
    <t>The 4 bytes 'ulType' field of the  RANGEBOUNDARY structure MUST be set to one of the following values: DBRANGEBOUNDTTYPE_BEFORE(0x00000000),  DBRANGEBOUNDTTYPE_EXACT(0x00000001),  DBRANGEBOUNDTTYPE_AFTER(0x00000002).</t>
  </si>
  <si>
    <t>Value 'DBRANGEBOUNDTTYPE_BEFORE (0x00000000)' of the 'ulType' field of the  RANGEBOUNDARY structure MUST only be used for Unicode string values in prVal field of the same structure.</t>
  </si>
  <si>
    <t>Value 'DBRANGEBOUNDTTYPE_AFTER (0x00000002)' of the 'ulType' field of the  RANGEBOUNDARY structure MUST only be used for Unicode string values in prVal field of the same structure.</t>
  </si>
  <si>
    <t>If 'ulType' field of the RANGEBOUNDARY structure is set to DBRANGEBOUNDTTYPE_BEFORE or DBRANGEBOUNDTTYPE_AFTER, then the vType field of prVal MUST be set to a string type (VT_BSTR, VT_LPWSTR, or VT_COMPRESSED_LPWSTR).</t>
  </si>
  <si>
    <t>The variable sized 'prVal' field of the  RANGEBOUNDARY structure is a CBaseStorageVariant structure.</t>
  </si>
  <si>
    <t>The 1 byte 'labelPresent' field of the RANGEBOUNDARY structure MUST be set to one of the following values: (0x00) or (0x01).</t>
  </si>
  <si>
    <t>If the value of 'labelPresent' field of the RANGEBOUNDARY structure is (0X00) then, the _padding, ccLabel, and Label fields are omitted.</t>
  </si>
  <si>
    <t>If the value of 'labelPresent' field of the RANGEBOUNDARY structure is (0X01) then, the _padding, ccLabel, and Label fields are present.</t>
  </si>
  <si>
    <t xml:space="preserve"> '_padding' field of the RANGEBOUNDARY structure MUST be 0 to 3 bytes in length.</t>
  </si>
  <si>
    <t>The length of '_padding' field of the RANGEBOUNDARY structure MUST be such that the following field begins at an offset that is a multiple of 4 bytes from the beginning of the message that contains this structure.</t>
  </si>
  <si>
    <t>The content of '_padding' field of the RANGEBOUNDARY structure MUST be ignored by the receiver.</t>
  </si>
  <si>
    <t>For any arbitrary value of '_padding' field of the RANGEBOUNDARY structure, server is returning success.</t>
  </si>
  <si>
    <t>R203:p</t>
  </si>
  <si>
    <t xml:space="preserve"> '_padding' field of the RANGEBOUNDARY structure MUST be omitted, if 'labelPresent' field of the same structure is set to 0x00.</t>
  </si>
  <si>
    <t>The 4 bytes 'ccLabel' field of the RANGEBOUNDARY structure MUST be omitted, if 'labelPresent' field of the same structure is set to 0x00.</t>
  </si>
  <si>
    <t>The 4 bytes 'ccLabel' field of the RANGEBOUNDARY structure MUST be greater than zero, if 'labelPresent' field of the same structure is set to 0x01.</t>
  </si>
  <si>
    <t>The 'Label' field of the RANGEBOUNDARY structure MUST be omitted, if 'labelPresent' field of the same structure is set to 0x00.</t>
  </si>
  <si>
    <t>The 'Label' field of the RANGEBOUNDARY structure MUST NOT be empty, if 'labelPresent' field of the same structure is set to 0x01.</t>
  </si>
  <si>
    <t>2.2.1.25</t>
  </si>
  <si>
    <t>The 4 bytes 'cCount' field of the CAggregSet structure specifies the number of entries in AggregSpecs.</t>
  </si>
  <si>
    <t xml:space="preserve"> 'AggregSpecs' field of the CAggregSet structure is an array of CAggregSpec structures.</t>
  </si>
  <si>
    <t>2.2.1.26</t>
  </si>
  <si>
    <t>The 1 byte 'type' field of the  CAggregSpec structure MUST be one of the following values:DBAGGTTYPE_BYNONE(0x00),  DBAGGTTYPE_SUM(0x01),  DBAGGTTYPE_MAX(0x02),  DBAGGTTYPE_MIN(0x03),  DBAGGTTYPE_AVG(0x04), DBAGGTTYPE_COUNT (0x05),  DBAGGTTYPE_CHILDCOUNT(0x06).</t>
  </si>
  <si>
    <t>The 3 bytes 'padding' field of the  CAggregSpec structure MUST be 3 bytes in length</t>
  </si>
  <si>
    <t>The content of 'padding' field of the  CAggregSpec structure  MUST be ignored by the receiver.</t>
  </si>
  <si>
    <t>For any arbitrary value of 'padding' field of the  CAggregSpec structure, server is returning success.</t>
  </si>
  <si>
    <t>R214:p</t>
  </si>
  <si>
    <t xml:space="preserve"> 'ccAlias' field of the  CAggregSpec structure specifies the number of characters in the Alias field.</t>
  </si>
  <si>
    <t xml:space="preserve"> 'Alias' field of the  CAggregSpec structure is a  non null-terminated Unicode string.</t>
  </si>
  <si>
    <t xml:space="preserve"> 'idColumn' field of the  CAggregSpec structure is a property ID for the column to be aggregated over.</t>
  </si>
  <si>
    <t>2.2.1.27</t>
  </si>
  <si>
    <t>The 4 bytes 'cCount' field of the CSortAggregSet structure specifies the number of entries in SortKeys.</t>
  </si>
  <si>
    <t xml:space="preserve"> 'SortKeys' field of the CSortAggregSet structure is an array of CAggregSortKey structures.</t>
  </si>
  <si>
    <t>2.2.1.28</t>
  </si>
  <si>
    <t>The 4 bytes 'order' field of the CAggregSortKey structure MUST be set to one of the following values: QUERY_SORTASCEND(0x00000000) or   QUERY_DESCEND(0x00000001).</t>
  </si>
  <si>
    <t xml:space="preserve"> 'ColumnSpec' field of the CAggregSortKey structure is a CAggregSpec structure.</t>
  </si>
  <si>
    <t>2.2.1.29</t>
  </si>
  <si>
    <t>The 4 bytes 'cCount' field of the CInGroupSortAggregSets structure specifies the number of entries in SortSets.</t>
  </si>
  <si>
    <t xml:space="preserve"> 'SortSets' field of the CInGroupSortAggregSets structure is an array of CInGroupSortAggregSet structures.</t>
  </si>
  <si>
    <t>2.2.1.30</t>
  </si>
  <si>
    <t>The 1 byte 'type' field of the  CInGroupSortAggregSet structure MUST be set to one of the following values: GroupIdDefault (0x00), GroupIdMinValue (0x01), GroupIdNull (0x02), GroupIdValue (0x03).</t>
  </si>
  <si>
    <t>The 3 bytes 'padding' field of the  CInGroupSortAggregSet structure MUST be 3 bytes in length.</t>
  </si>
  <si>
    <t>The content of 'padding' field of the  CInGroupSortAggregSet structure MUST be ignored by the receiver.</t>
  </si>
  <si>
    <t>For any arbitrary value of 'padding' field of the  CInGroupSortAggregSet structure, server is returning success.</t>
  </si>
  <si>
    <t>R227:p</t>
  </si>
  <si>
    <t xml:space="preserve"> '_inGroupId' field of the CInGroupSortAggregSet structure is a CBaseStorageVariant structure.</t>
  </si>
  <si>
    <t xml:space="preserve"> '_inGroupId' field of the CInGroupSortAggregSet structure MUST not be present if 'type' field of the same structure is not equal to GroupIdValue.</t>
  </si>
  <si>
    <t xml:space="preserve"> 'SortAggregSet' field of the CInGroupSortAggregSet structure is a CSortAggregSet structure.</t>
  </si>
  <si>
    <t>2.2.1.31</t>
  </si>
  <si>
    <t>The 4 bytes 'eKind' field of the CDbColId structure MUST be set to one of the following values: DBKIND_GUID_NAME(0x00000000) or  DBKIND_GUID_PROPID(0x00000001).</t>
  </si>
  <si>
    <t>If the value of 'eKind' field of the CDbColId structure is DBKIND_GUID_NAME(0x00000000) then, vString contains a property name.</t>
  </si>
  <si>
    <t>If the value of 'eKind' field of the CDbColId structure is DBKIND_GUID_PROPID(0x00000001) then, ulId contains a 4-byte integer indicating the property ID.</t>
  </si>
  <si>
    <t>If eKind is DBKIND_GUID_PROPID, ulId field of the CDbColId structure contains an unsigned integer specifying the property ID.</t>
  </si>
  <si>
    <t>If eKind is DBKIND_GUID_NAME, ulId field of the CDbColId structure contains an unsigned integer specifying the number of Unicode characters contained in the vString field.</t>
  </si>
  <si>
    <t>The 'vString' field of the CDbColId structure MUST be omitted unless the eKind field of the same structure is set to DBKIND_GUID_NAME(0x00000000).</t>
  </si>
  <si>
    <t>2.2.1.32</t>
  </si>
  <si>
    <t>The 4 bytes 'DBPROPOPTIONS' field of the  CDbProp structure MUST be set to 0x00000000.</t>
  </si>
  <si>
    <t>The 4 bytes 'DBPROPSTATUS' field of the  CDbProp structure MUST be set to 0x00000000.</t>
  </si>
  <si>
    <t xml:space="preserve"> 'colid'  field of the  CDbProp structure is a  CDbColId structure.</t>
  </si>
  <si>
    <t xml:space="preserve"> 'vValue'  field of the  CDbProp structure is a CBaseStorageVariant containing the property value.</t>
  </si>
  <si>
    <t>2.2.1.32.1</t>
  </si>
  <si>
    <t>Value of the 'DBPROP_CI_CATALOG_NAME(0x00000002)' property of the DBPROPSET_FSCIFRMWRK_EXT property set MUST be a VT_LPWSTR or a VT_VECTOR | VT_LPWSTR.</t>
  </si>
  <si>
    <t>Value of the 'DBPROP_CI_INCLUDE_SCOPES (0x00000003)' property of the DBPROPSET_FSCIFRMWRK_EXT property set MUST be a VT_LPWSTR or a VT_VECTOR | VT_LPWSTR.</t>
  </si>
  <si>
    <t>Value of the 'DBPROP_CI_SCOPE_FLAGS (0x00000004)' property of the DBPROPSET_FSCIFRMWRK_EXT property set MUST be a VT_I4 or a VT_VECTOR | VT_I4.</t>
  </si>
  <si>
    <t>The DBPROP_CI_SCOPE_FLAGS property can have following flags : QUERY_DEEP (0x01) and QUERY_VIRTUAL_Path (0x02).</t>
  </si>
  <si>
    <t>For the 'DBPROP_CI_QUERY_TYPE (0x00000007)' property of the DBPROPSET_FSCIFRMWRK_EXT property set, the CDbColId MUST be set to DB_NULLID.</t>
  </si>
  <si>
    <t>The 'DBPROP_CI_QUERY_TYPE (0x00000007)' property of the DBPROPSET_FSCIFRMWRK_EXT property set can have following query types :CiNormal (0x00000000), CiVirtualRoots (0x00000001) , CiProperties (0x00000003),  CiAdminOp (0x00000004).</t>
  </si>
  <si>
    <t>Value of the 'DBPROP_USECONTENTINDEX (0x00000002)' property of the DBPROPSET_QUERYEXT property set MUST be a VT_BOOL.</t>
  </si>
  <si>
    <t>R249</t>
  </si>
  <si>
    <t>If the value of 'DBPROP_USECONTENTINDEX (0x00000002)' property of the DBPROPSET_QUERYEXT property set is TRUE, the server is allowed to fail these queries.</t>
  </si>
  <si>
    <t>Value of the 'DBPROP_DEFERNONINDEXEDTRIMMING (0x00000003)' property of the DBPROPSET_QUERYEXT property set MUST be a VT_BOOL.</t>
  </si>
  <si>
    <t>Value of the 'DBPROP_USEEXTENDEDDBTYPES (0x00000004)' property of the DBPROPSET_QUERYEXT property set MUST be a VT_BOOL.</t>
  </si>
  <si>
    <t>If the value of 'DBPROP_USEEXTENDEDDBTYPES (0x00000004)' property of the DBPROPSET_QUERYEXT property set is TRUE, the client supports VT_VECTOR.</t>
  </si>
  <si>
    <t>If the value of 'DBPROP_USEEXTENDEDDBTYPES (0x00000004)' property of the DBPROPSET_QUERYEXT property set is FALSE, the server is to convert VT_VECTOR data types to VT_ARRAY data types.</t>
  </si>
  <si>
    <t>Value of the 'DBPROP_FIRSTROWS (0x00000007)' property of the DBPROPSET_QUERYEXT property set MUST be a VT_BOOL.</t>
  </si>
  <si>
    <t>If the value of 'DBPROP_FIRSTROWS (0x00000007)' property of the DBPROPSET_QUERYEXT property set is TRUE, the Windows Search service should return the first rows that match.</t>
  </si>
  <si>
    <t>If the value of 'DBPROP_FIRSTROWS (0x00000007)' property of the DBPROPSET_QUERYEXT property set is FALSE, rows should by default be returned in order of descending rank.</t>
  </si>
  <si>
    <t>Value of the 'DBPROP_MACHINE (0x00000002)' property of the DBPROPSET_CIFRMWRKCORE_EXT property set MUST be either VT_BSTR or VT_ARRAY | VT_BSTR.</t>
  </si>
  <si>
    <t>Value of the 'DBPROP_CLIENT_CLSID (0x00000003)' property of the DBPROPSET_CIFRMWRKCORE_EXT property set MUST be a VT_CLSID containing 0x2A4880706FD911D0A80800A0C906241A.</t>
  </si>
  <si>
    <t>2.2.1.33</t>
  </si>
  <si>
    <t xml:space="preserve"> 'cProperties' field of the CDbPropSet structure MUST be aligned to begin at a multiple of 4 bytes from the beginning of the message.</t>
  </si>
  <si>
    <t>The 16 bytes 'guidPropertySet' field of the CDbPropSet structure MUST be set to the binary form corresponding to one of the following values: DBPROPSET_FSCIFRMWRK_EXT(A9BD1526-6A80-11D0-8C9D-0020AF1D740E) ,  DBPROPSET_QUERYEXT(A7AC77ED-F8D7-11CE-A798-0020F8008025),  DBPROPSET_CIFRMWRKCORE_EXT(AFAFACA5-B5D1-11D0-8C62-00C04FC2DB8D).</t>
  </si>
  <si>
    <t xml:space="preserve"> '_padding' field of the  CDbPropSet structure MUST be 0 to 3 bytes in length.</t>
  </si>
  <si>
    <t>The length of '_padding' field of the  CDbPropSet structure MUST be such that the following field begins at an offset that is a multiple of 4 bytes from the beginning of the message that contains this structure.</t>
  </si>
  <si>
    <t>The content of '_padding' field of the  CDbPropSet structure MUST be ignored by the receiver.</t>
  </si>
  <si>
    <t>For any arbitrary value of '_padding' field of the  CDbPropSet structure, server is returning success.</t>
  </si>
  <si>
    <t>R263:p</t>
  </si>
  <si>
    <t>The 4 bytes  'cProperties' field of the CDbPropSet structure contains the number of elements in the aProps array.</t>
  </si>
  <si>
    <t xml:space="preserve"> 'aProps'  field of the CDbPropSet structure  is an array of CDbProp structures containing properties.</t>
  </si>
  <si>
    <t>Structures in the array containing CDbProp structures MUST be separated by 0 to 3 padding bytes such that each structure begins at an offset that is a multiple of 4 bytes from the beginning of the message that contains this array.</t>
  </si>
  <si>
    <t>The content of the padding bytes in the array containing CDbProp structures, MUST be ignored by the receiver.</t>
  </si>
  <si>
    <t>For any arbitrary value of padding bytes in the array containing CDbProp structures,server response is success.</t>
  </si>
  <si>
    <t>R268:p</t>
  </si>
  <si>
    <t>2.2.1.34</t>
  </si>
  <si>
    <t>The 4 bytes 'count' field of the CPidMapper structure specifies the number of elements in the aPropSpec array.</t>
  </si>
  <si>
    <t xml:space="preserve"> 'paddingPropSpec'  field of the CPidMapper structure  MUST be 0 to 4 bytes in length.</t>
  </si>
  <si>
    <t>The length of 'paddingPropSpec'  field of the CPidMapper structure MUST be such that the byte offset from the beginning of the message to the first structure contained in the aPropSpec field is a multiple of 8.</t>
  </si>
  <si>
    <t>The value of the 'paddingPropSpec'  field of the CPidMapper structure MUST be ignored by the receiver.</t>
  </si>
  <si>
    <t>For any arbitrary value of 'paddingPropSpec'  field of the CPidMapper structure, server response is success.</t>
  </si>
  <si>
    <t>R273:p</t>
  </si>
  <si>
    <t xml:space="preserve"> 'aPropSpec'  field of the CPidMapper structure is an Array of CFullPropSpec structures.</t>
  </si>
  <si>
    <t>Structures in the array of CFullPropSpec structures MUST be separated by 0 to 3 padding bytes such that each structure has a 4-byte alignment from the beginning of a message.</t>
  </si>
  <si>
    <t>Padding bytes  in the array of CFullPropSpec structures MUST be ignored on receipt.</t>
  </si>
  <si>
    <t>For any arbitrary value of Padding bytes  in the array of CFullPropSpec structures, server response is success.</t>
  </si>
  <si>
    <t>R277:p</t>
  </si>
  <si>
    <t>2.2.1.35</t>
  </si>
  <si>
    <t>The 4 bytes 'count' field of the CColumnGroupArray structure  specifies the number of elements in the aGroupArray array.</t>
  </si>
  <si>
    <t xml:space="preserve"> 'aGroupArray' field of the  CColumnGroupArray structure  is an array of CColumnGroup structures.</t>
  </si>
  <si>
    <t>Structures in the array of CColumnGroup structures MUST be separated by 0 to 3 padding bytes such that each structure has a 4-byte alignment from the beginning of a message.</t>
  </si>
  <si>
    <t>Padding bytes in the array of CColumnGroup structures MUST be ignored on receipt.</t>
  </si>
  <si>
    <t>For any arbitrary value of Padding bytes in the array of CColumnGroup structures, server response is success.</t>
  </si>
  <si>
    <t>R282:p</t>
  </si>
  <si>
    <t>2.2.1.36</t>
  </si>
  <si>
    <t>The 4 bytes 'count' field of the  CColumnGroup structure specifies the number of elements in the Props array.</t>
  </si>
  <si>
    <t>The 4 bytes '_groupPid' field of the  CColumnGroup structure specifies group ID, full property specification for which can be used in the corresponding CProbRestriction.</t>
  </si>
  <si>
    <t xml:space="preserve"> 'Props' field of the  CColumnGroup structure  is an array of SProperty structures.</t>
  </si>
  <si>
    <t>2.2.1.37</t>
  </si>
  <si>
    <t>The 4 bytes '_pid' field of the SProperty structure specifies  a property identifier.</t>
  </si>
  <si>
    <t>The 4 bytes '_weight' field of the SProperty structure specifies  the weight to be used in probabilistic ranking.</t>
  </si>
  <si>
    <t>2.2.1.38</t>
  </si>
  <si>
    <t>The 4 bytes '_bmkOffset' field of the  CRowSeekAt structure represents the handle of the bookmark indicating the starting position from which to skip the number of rows specified in _cskip, before beginning retrieval.</t>
  </si>
  <si>
    <t>The 4 bytes '_cskip' field of the  CRowSeekAt structure specifies the number of rows to skip in the rowset.</t>
  </si>
  <si>
    <t>The 4 bytes '_hRegion' field of the  CRowSeekAt structure  MUST be set to 0x00000000.</t>
  </si>
  <si>
    <t>The 4 bytes '_hRegion' field of the  CRowSeekAt structure  MUST be ignored.</t>
  </si>
  <si>
    <t>For  0x00000000 value of '_hRegion' field of the  CRowSeekAt structure, server response is success.</t>
  </si>
  <si>
    <t>R292:p</t>
  </si>
  <si>
    <t>2.2.1.39</t>
  </si>
  <si>
    <t>The 4 bytes '_ulNumerator' field of the CRowSeekAtRatio structure specifies the numerator of the ratio of rows in the chapter at which to begin retrieval.</t>
  </si>
  <si>
    <t>The 4 bytes '_ulDenominator' field of the CRowSeekAtRatio structure specifies the denominator of the ratio of rows in the chapter at which to begin retrieval.</t>
  </si>
  <si>
    <t>The 4 bytes '_ulDenominator' field of the CRowSeekAtRatio structure MUST be greater than zero.</t>
  </si>
  <si>
    <t>The 4 bytes '_hRegion' field of the CRowSeekAtRatio structure MUST be set to 0x00000000.</t>
  </si>
  <si>
    <t>The 4 bytes '_hRegion' field of the CRowSeekAtRatio structure  MUST be ignored.</t>
  </si>
  <si>
    <t>R298:p</t>
  </si>
  <si>
    <t>2.2.1.40</t>
  </si>
  <si>
    <r>
      <t>The 4 bytes '_cBookmarks'</t>
    </r>
    <r>
      <rPr>
        <b/>
        <sz val="11"/>
        <rFont val="Calibri"/>
        <family val="2"/>
        <scheme val="minor"/>
      </rPr>
      <t xml:space="preserve"> </t>
    </r>
    <r>
      <rPr>
        <sz val="11"/>
        <rFont val="Calibri"/>
        <family val="2"/>
        <scheme val="minor"/>
      </rPr>
      <t>field of the CRowSeekByBookmark structure specifies the number of elements in _aBookmarks array of the same structure.</t>
    </r>
  </si>
  <si>
    <t xml:space="preserve"> '_aBookmarks' field of the CRowSeekByBookmark structure is an  array of bookmark handles (each represented by 4 bytes).</t>
  </si>
  <si>
    <t>The 4 bytes '_maxRet' field of the CRowSeekByBookmark structure specifies the number of elements in the _ascRet array of the same structure.</t>
  </si>
  <si>
    <t xml:space="preserve"> '_ascRet' field of the CRowSeekByBookmark structure is an array of HRESULT values.</t>
  </si>
  <si>
    <t>When the CRowSeekByBookmark structure is sent as part of the CPMGetRowsIn request, the number of entries in the array MUST be equal to _maxRet.</t>
  </si>
  <si>
    <t>When the CRowSeekByBookmark structure is sent by the client, the HRESULT values MUST be set to zero.</t>
  </si>
  <si>
    <t>When the CRowSeekByBookmark structure is sent by the client, the server MUST ignore the contents of the ascRet array.</t>
  </si>
  <si>
    <t>For zero values of the HRESULT in the ascRet array, server response is success.</t>
  </si>
  <si>
    <t>R305:p R306:p</t>
  </si>
  <si>
    <t>When the CRowSeekByBookmark structure is sent by the server (as part of the CPMGetRowsOut message), the values in the array indicate the result status for each row retrieval.</t>
  </si>
  <si>
    <t>2.2.1.41</t>
  </si>
  <si>
    <t>The 4 bytes '_cskip' field of the  CRowSeekNext structure specifies the number of rows to skip in the rowset.</t>
  </si>
  <si>
    <t>2.2.1.42</t>
  </si>
  <si>
    <t>The least significant 3 bits of  4 bytes '_uBooleanOptions' field of the CRowsetProperties structure MUST contain one of the following three values: eSequential (0x00000001), eLocatable (0x00000003) , eScrollable (0x00000007).</t>
  </si>
  <si>
    <t>The remaining bits of  4 bytes '_uBooleanOptions' field of the CRowsetProperties structure MAY either be clear or set to any combination of the following values logically ORed together: eSequential (0x00000001),  eLocatable (0x00000003), eScrollable (0x00000007), eAsynchronous(0x00000008),  eFirstRows(0x00000080), eHoldRows(0x00000200), eChaptered (0x00000800),  eUseCI(0x00001000),  eDeferTrimming(0x00002000).</t>
  </si>
  <si>
    <t>The 4 bytes '_ulMaxOpenRows' field of the  CRowsetProperties structure MUST be set to 0x00000000.</t>
  </si>
  <si>
    <t>The 4 bytes '_ulMaxOpenRows' field of the  CRowsetProperties structure is not used and MUST be ignored.</t>
  </si>
  <si>
    <t>The 4 bytes '_ulMemoryUsage' field of the  CRowsetProperties structure MUST be set to 0x00000000.</t>
  </si>
  <si>
    <t>The 4 bytes '_ulMemoryUsage' field of the  CRowsetProperties structure is not used and MUST be ignored.</t>
  </si>
  <si>
    <t>The 4 bytes '_cMaxResults' field of the  CRowsetProperties structure specifies the maximum number of rows that are to be returned for the query.</t>
  </si>
  <si>
    <t>The 4 bytes '_cCmdTimeout' field of the  CRowsetProperties structure specifies the number of seconds at which a query is to time out and automatically terminate, counting from the time the query starts executing on the server.</t>
  </si>
  <si>
    <t>If  value of the 4 bytes '_cCmdTimeout' field of the  CRowsetProperties structure is 0x00000000, it means that the query is not to time out.</t>
  </si>
  <si>
    <t>2.2.1.43</t>
  </si>
  <si>
    <t>The 2 bytes 'vType' field of the CRowVariant structure  MUST be one of the following values: VT_EMPTY(0x0000), VT_NULL(0x0001), VT_I1(0x0010), VT_UI1(0x0011), VT_I2(0x0002), VT_UI2(0x0012), VT_BOOL( 0x000B), VT_I4(0x0003), VT_UI4(0x0013), VT_R4(0x0004), VT_INT(0x0016), VT_UINT( 0x0017), VT_ERROR(0x000A), VT_I8(0x0014), VT_UI8(0x0015), VT_R8(0x0005), VT_CY(0x0006), VT_DATE(0x0007), VT_FILETIME(0x0040), VT_DECIMAL(0x000E) , VT_CLSID(0x0048), VT_BLOB(0x0041), VT_BLOB_OBJECT (0x0046), VT_BSTR(0x0008), VT_LPSTR(0x001E), VT_LPWSTR(0x001F), VT_COMPRESSED_LPWSTR(0x0023), VT_VARIANT(0x000C)</t>
  </si>
  <si>
    <t>The 2 bytes 'reserved1' field of the CRowVariant structure is  Not used. The value MAY be set to any arbitrary value.</t>
  </si>
  <si>
    <t>The 2 bytes 'reserved1' field of the CRowVariant structure MUST be ignored on receipt.</t>
  </si>
  <si>
    <t>R321:p</t>
  </si>
  <si>
    <t>The 2 bytes 'reserved2' field of the CRowVariant structure is   Not used. The value MAY be set to any arbitrary value.</t>
  </si>
  <si>
    <t>The 2 bytes 'reserved2' field of the CRowVariant structure MUST be ignored on receipt.</t>
  </si>
  <si>
    <t>R324:p</t>
  </si>
  <si>
    <t xml:space="preserve"> 'Offset' field of the CRowVariant structure  MUST be a 32-bit value (4 bytes long) if 32-bit offsets are being used. </t>
  </si>
  <si>
    <t xml:space="preserve"> 'Offset' field of the CRowVariant structure  MUST be 64-byte value (8 bytes long) if 64-bit offsets are being used.</t>
  </si>
  <si>
    <t>2.2.1.44</t>
  </si>
  <si>
    <t>The 4 bytes 'count' field of the CSortSet structure specifies the number of elements in sortArray field of the same structure.</t>
  </si>
  <si>
    <t xml:space="preserve"> 'sortArray' field of the CSortSet structure is an array of CSort structures.</t>
  </si>
  <si>
    <t>Structures in the array of CSort structures MUST be separated by 0 to 3 padding bytes such that each structure has a 4-byte alignment from the beginning of a message.</t>
  </si>
  <si>
    <t>Padding bytes in the array of CSort structures MUST be ignored on receipt.</t>
  </si>
  <si>
    <t>For any value of Padding bytes in the array of CSort structures, server response is success.</t>
  </si>
  <si>
    <t>R331:p</t>
  </si>
  <si>
    <t xml:space="preserve"> 'PropSpec' field of the  CTableColumn structure  is an CFullPropSpec structure.</t>
  </si>
  <si>
    <t>The value of 4 bytes 'vType' field of the  CTableColumn structure is one of the following: (0x0000),(0x0001),(0x0010),(0x0011),(0x0002),(0x0012),( 0x000B), (0x0003), (0x0013),(0x0004),(0x0016),( 0x0017), (0x000A), (0x0014), (0x0015), (0x0005),(0x0006),(0x0007),(0x0040), (0x000E),(0x0048), (0x0041),(0x0008),(0x001E), (0x001F),(0x0023),(0x000C)</t>
  </si>
  <si>
    <t>The 1 byte 'AggregateUsed' field  of the  CTableColumn structure MUST be set to one of the following values: (0x00) or (0x01).</t>
  </si>
  <si>
    <t>If the value of  'AggregateUsed' field  of the  CTableColumn structure is 0x00 then,the AggregateType field MUST NOT be present.</t>
  </si>
  <si>
    <t>If the value of  'AggregateUsed' field  of the  CTableColumn structure is 0x01 then,this column is used to aggregate the values for query results, as specified in AggregateType.</t>
  </si>
  <si>
    <t>The 1 byte 'AggregateType' field of the  CTableColumn structure MUST be set to one of the following aggregation type values: DBAGGTTYPE_BYNONE(0x00), DBAGGTTYPE_SUM (0x01),  DBAGGTTYPE_MAX(0x02), DBAGGTTYPE_MIN (0x03),  DBAGGTTYPE_AVG(0x04),  DBAGGTTYPE_COUNT(0x05), DBAGGTTYPE_CHILDCOUNT (0x06).</t>
  </si>
  <si>
    <t>The 1 byte 'ValueUsed' field of the  CTableColumn structure MUST be set to one of the following values: (0x00) or (0x01).</t>
  </si>
  <si>
    <t>If the value of  'ValueUsed' field  of the  CTableColumn structure is 0x00 then, the value of the column is not transferred in the row.</t>
  </si>
  <si>
    <t>If the value of  'ValueUsed' field  of the  CTableColumn structure is 0x01 then, the value of the column is transferred within the row.</t>
  </si>
  <si>
    <t>The 1 byte '_padding1' field of the  CTableColumn structure  MUST be inserted before ValueOffset if, without it, ValueOffset would not begin at an even offset from the beginning of the message.</t>
  </si>
  <si>
    <t>The value of '_padding1' field of the  CTableColumn structure MUST be ignored.</t>
  </si>
  <si>
    <t>For any value of '_padding1' field of the  CTableColumn structure, server response is success.</t>
  </si>
  <si>
    <t>R343:p</t>
  </si>
  <si>
    <t>If ValueUsed is set to 0x00, '_padding1' field of the  CTableColumn structure MUST NOT be present.</t>
  </si>
  <si>
    <t>If ValueUsed is set to 0x00, the 2 bytes 'ValueOffset' field of the  CTableColumn structure  MUST NOT be present.</t>
  </si>
  <si>
    <t>If ValueUsed is set to 0x00, the 2 bytes 'ValueSize' field of the  CTableColumn structure  MUST NOT be present.</t>
  </si>
  <si>
    <t>The 1 byte 'StatusUsed' field of the CTableColumn structure MUST be set to one of the following values: (0x00) or (0x01).</t>
  </si>
  <si>
    <t>If the value of  'StatusUsed' field  of the  CTableColumn structure is 0x00 then, the status of the column is not transferred within the row.</t>
  </si>
  <si>
    <t>If the value of  'StatusUsed' field  of the  CTableColumn structure is 0x01 then, the status of the column is transferred within the row.</t>
  </si>
  <si>
    <t>The 1 byte '_padding2' field of the  CTableColumn structure  MUST be inserted before StatusOffset if, without it, StatusOffset would not begin at an even offset from the beginning of the message.</t>
  </si>
  <si>
    <t>The value of '_padding2' field of the  CTableColumn structure MUST be ignored.</t>
  </si>
  <si>
    <t>For any value of '_padding2' field of the  CTableColumn structure, server response is success.</t>
  </si>
  <si>
    <t>R352:p</t>
  </si>
  <si>
    <t>If StatusUsed is set to 0x00, '_padding2' field of the  CTableColumn structure MUST NOT be present.</t>
  </si>
  <si>
    <t>If StatusUsed is set to 0x00, 'StatusOffset' field of the  CTableColumn structure MUST NOT be present.</t>
  </si>
  <si>
    <t>The 1 byte 'LengthUsed' field of the CTableColumn structure MUST be set to one of the following values: (0x00) or (0x01).</t>
  </si>
  <si>
    <t>If the value of 'LengthUsed'  field of the CTableColumn structure is 0X00 then, the length of the column MUST NOT be transferred within the row.</t>
  </si>
  <si>
    <t>The 1 byte '_padding3' field of the  CTableColumn structure  MUST be inserted before LengthOffset if, without it, LengthOffset would not begin at an even offset from the beginning of the message.</t>
  </si>
  <si>
    <t>The value of '_padding3' field of the  CTableColumn structure MUST be ignored.</t>
  </si>
  <si>
    <t>For any value of '_padding3' field of the  CTableColumn structure, server response is success.</t>
  </si>
  <si>
    <t>R359:p</t>
  </si>
  <si>
    <t>If LengthUsed is set to 0x00, '_padding3' field of the  CTableColumn structure MUST NOT be present.</t>
  </si>
  <si>
    <t>If LengthUsed is set to 0x00, LengthOffset field MUST NOT be present.</t>
  </si>
  <si>
    <t>2.2.2</t>
  </si>
  <si>
    <t>The value of the 4 bytes 'msg' field of the message header is one of the following: 0x000000C8, 0x000000C9, 0x000000CA
0x000000CB, 0x000000CC, 0x000000CD, 0x000000CE, 
0x000000CF, 0x000000D0, 0x000000D1, 0x000000D2, 0x000000D7,  0x000000D9, 0x000000E1, 0x000000E4, 0x000000E6, 0x000000E7, 0x000000E8, 0x000000E9, 0x000000EC.</t>
  </si>
  <si>
    <t>The 4 byte '_status' field of the message header is an HRESULT, indicating the status of the requested operation.</t>
  </si>
  <si>
    <t>&lt;8&gt;The client always set the value of 4 bytes '_status' field of the message header  to 0x00000000.</t>
  </si>
  <si>
    <t>The 4 bytes '_ulChecksum' field of the message header MUST be calculated as specified in section 3.2.4 for CPMConnectIn, CPMCreateQueryIn, CPMSetBindingsIn, CPMGetRowsIn and CPMFetchValueIn messages.</t>
  </si>
  <si>
    <t>For all the messages except CPMConnectIn, CPMCreateQueryIn, CPMSetBindingsIn, CPMGetRowsIn and CPMFetchValueIn, '_ulChecksum' field of the message header MUST be set to 0x00000000.</t>
  </si>
  <si>
    <t>A client MUST ignore the '_ulChecksum' field of the message header.</t>
  </si>
  <si>
    <t>The 4 bytes '_ulReserved2' field of the message header MUST be ignored by the receiver.</t>
  </si>
  <si>
    <t>The 4 bytes '_ulReserved2' field of the message header MUST be set to 0x00000000.</t>
  </si>
  <si>
    <t>For 0x00000000 value of the '_ulReserved2' field of the message header, server response is success.</t>
  </si>
  <si>
    <t>R369:p</t>
  </si>
  <si>
    <t>2.2.3.1</t>
  </si>
  <si>
    <t>The value of 4 bytes 'cbStruct' field of the CPMCiStateInOut message  MUST be set to 0x0000003C.</t>
  </si>
  <si>
    <t>The 4 bytes 'cWordList' field  of the CPMCiStateInOut message specifies  the number of in-memory indexes created for recently indexed documents.</t>
  </si>
  <si>
    <t>The 4 bytes 'cPersistentIndex' field  of the CPMCiStateInOut message specifies the number of persisted indexes.</t>
  </si>
  <si>
    <t>The 4 bytes 'cQueries' field  of the CPMCiStateInOut message specifies the number of actively running queries.</t>
  </si>
  <si>
    <t>The 4 bytes 'cDocuments' field  of the CPMCiStateInOut message specifies the total number of documents waiting to be indexed.</t>
  </si>
  <si>
    <t>The 4 bytes 'cFreshTest' field  of the CPMCiStateInOut message specifies the number of unique documents with information in indexes that are not fully optimized for performance.</t>
  </si>
  <si>
    <t>The 4 bytes 'dwMergeProgress' field  of the CPMCiStateInOut message specifies the completion percentage of current full optimization of indexes while optimization is in progress.</t>
  </si>
  <si>
    <t>The 4 bytes 'dwMergeProgress' field  of the CPMCiStateInOut message MUST be less than or equal to 100.</t>
  </si>
  <si>
    <t>The 4 bytes 'eState' field  of the CPMCiStateInOut message MUST be one or more  constants defined in the following table:  CI_STATE_SHADOW_MERGE(0x00000001),  CI_STATE_MASTER_MERGE(0x00000002),  CI_STATE_CONTENT_SCAN_REQUIRED(0x00000004),  CI_STATE_ANNEALING_MERGE(0x00000008),  CI_STATE_SCANNING(0x00000010),  CI_STATE_LOW_MEMORY(0x00000080), CI_STATE_HIGH_IO(0x00000100),  CI_STATE_MASTER_MERGE_PAUSED(0x00000200), CI_STATE_READ_ONLY(0x00000400), CI_STATE_BATTERY_POWER(0x00000800),  CI_STATE_USER_ACTIVE(0x00001000),  CI_STATE_LOW_DISK(0x00010000), CI_STATE_HIGH_CPU(0x00020000).</t>
  </si>
  <si>
    <t>The 4 bytes 'cFilteredDocuments' field  of the CPMCiStateInOut message specifies the number of documents indexed since content indexing was begun.</t>
  </si>
  <si>
    <t>The 4 bytes 'cTotalDocuments' field  of the CPMCiStateInOut message specifies the total number of documents in the system.</t>
  </si>
  <si>
    <t>The 4 bytes 'cPendingScans' field  of the CPMCiStateInOut message specifies the number of pending high-level indexing operations.</t>
  </si>
  <si>
    <t>&lt;9&gt;  'cPendingScans' value is usually zero, except immediately after indexing has been started or after a notification queue overflows.</t>
  </si>
  <si>
    <t>R383:c</t>
  </si>
  <si>
    <t>Protocol</t>
  </si>
  <si>
    <t>The 4 bytes 'dwIndexSize' field  of the CPMCiStateInOut message specifies the size, in megabytes, of the index (excluding the property cache).</t>
  </si>
  <si>
    <t>The 4 bytes 'cUniqueKeys' field  of the CPMCiStateInOut message specifies the approximate number of unique keys in the catalog.</t>
  </si>
  <si>
    <t>The 4 bytes 'cSecQDocuments' field  of the CPMCiStateInOut message specifies the number of documents that the Windows Search service will attempt to index again because of a failure during the initial indexing attempt.</t>
  </si>
  <si>
    <t>The 4 bytes 'dwPropCacheSize' field  of the CPMCiStateInOut message specifies the size, in megabytes, of the property cache.</t>
  </si>
  <si>
    <t>2.2.3.2</t>
  </si>
  <si>
    <t>The 4 bytes '_flag' field of the CPMUpdateDocumentsIn message  MUST be present when the message is sent by the client.</t>
  </si>
  <si>
    <t>The 4 bytes '_flag' field of the CPMUpdateDocumentsIn message MUST be absent when the message is sent by the server.</t>
  </si>
  <si>
    <t>The 4 bytes '_flag' field of the CPMUpdateDocumentsIn message MUST be set to one of the following values:  UPD_INCREM(0x00000000),  UPD_FULL(0x00000001), UPD_INIT(0x00000002).</t>
  </si>
  <si>
    <t>The 4 bytes '_fRootPath' field of the CPMUpdateDocumentsIn message is a  Boolean value indicating if the RootPath field specifies a path on which to perform the update.</t>
  </si>
  <si>
    <t>The 4 bytes '_fRootPath' field of the CPMUpdateDocumentsIn message MUST be present when the message is sent by the client.</t>
  </si>
  <si>
    <t>The 4 bytes '_fRootPath' field of the CPMUpdateDocumentsIn message MUST be absent when the message is sent by the server.</t>
  </si>
  <si>
    <t>The 4 bytes '_fRootPath' field of the CPMUpdateDocumentsIn message MUST be set to 0x00000001 or 0x00000000.</t>
  </si>
  <si>
    <t>If the value of '_fRootPath' field of the CPMUpdateDocumentsIn message is set to 0x00000001 then, a path on which to perform the update is included in RootPath.</t>
  </si>
  <si>
    <t>If the value of '_fRootPath' field of the CPMUpdateDocumentsIn message is set to 0x00000000 then, the update is to be performed on all indexed paths.</t>
  </si>
  <si>
    <t>The  'RootPath' field of the CPMUpdateDocumentsIn message MUST be present when the message is sent by the client.</t>
  </si>
  <si>
    <t>The  'RootPath' field of the CPMUpdateDocumentsIn message MUST be absent when the message is sent by the server.</t>
  </si>
  <si>
    <t>The  'RootPath' field of the CPMUpdateDocumentsIn message MUST be a null-terminated Unicode string.</t>
  </si>
  <si>
    <t>The  'RootPath' field of the CPMUpdateDocumentsIn message MUST be omitted if _fRootPath is set to 0x00000000.</t>
  </si>
  <si>
    <t>2.2.3.3</t>
  </si>
  <si>
    <t>The 4 bytes '_partID' field of the CPMForceMergeIn message MUST be absent when the message is sent by the server.</t>
  </si>
  <si>
    <t>When The 4 bytes '_partID' field of the CPMForceMergeIn message is present, it MUST be set to 0x00000001.</t>
  </si>
  <si>
    <t>2.2.3.4</t>
  </si>
  <si>
    <t>If the 4 bytes '_iClientVersion' field  of the CPMConnectIn message is set to 0x00000102 or greater, the server MUST validate the _ulChecksum field value for the following messages: CPMConnectIn, CPMGetRowsIn,
 CPMSetBindingsIn,CPMCreateQueryIn,
CPMFetchValueIn.</t>
  </si>
  <si>
    <t>&lt;10&gt;If iClientVersion is 0x00000102,Client OS is either 32-bit Windows XP, 32-bit Windows Server 2003, or 32-bit Windows Vista.</t>
  </si>
  <si>
    <t>&lt;10&gt;If iClientVersion is 0x00010102,Client OS is either Windows XP 64-Bit Edition, 64-bit Windows Server 2003, or 64-bit Windows Vista.</t>
  </si>
  <si>
    <t>The 4 bytes '_fClientIsRemote' field of the  CPMConnectIn message is a  Boolean value and MUST be set to 0x00000001.</t>
  </si>
  <si>
    <t>The 4 bytes '_cbBlob1' field of the  CPMConnectIn message indicates the size in bytes of the cPropSet, PropertySet1, and PropertySet2 fields, combined.</t>
  </si>
  <si>
    <t xml:space="preserve"> '_paddingcbdBlob2' field of the  CPMConnectIn message MUST be 0 to 4 bytes in length.</t>
  </si>
  <si>
    <t>The length of  '_paddingcbdBlob2' field of the  CPMConnectIn message MUST be such that the byte offset from the beginning of the message to the first structure contained in the _cbBlob2 field is a multiple of 8.</t>
  </si>
  <si>
    <t>The value of the '_paddingcbdBlob2' bytes can be any arbitrary value, and MUST be ignored by the receiver.</t>
  </si>
  <si>
    <t>For any arbitrary value of the '_paddingcbdBlob2' bytes, server response is success.</t>
  </si>
  <si>
    <t>R412:p</t>
  </si>
  <si>
    <t>The 4 bytes '_cbBlob2' field of the  CPMConnectIn message indicates the size in bytes of the cExPropSet and aPropertySet fields, combined.</t>
  </si>
  <si>
    <t>The 12 bytes '_padding' field of the  CPMConnectIn message can contain arbitrary values and MUST be ignored.</t>
  </si>
  <si>
    <t>For any arbitrary value  '_padding' field of the  CPMConnectIn message, server response is success.</t>
  </si>
  <si>
    <t>R415:p</t>
  </si>
  <si>
    <t>The 'MachineName' field of the  CPMConnectIn message MUST be a null-terminated array of less than 512 Unicode characters, including the NULL terminator.</t>
  </si>
  <si>
    <t>The 'UserName' field of the  CPMConnectIn message  MUST be a null-terminated array of fewer than 512 Unicode characters when concatenated with MachineName.</t>
  </si>
  <si>
    <t>The '_paddingcPropSets' field of the  CPMConnectIn message  MUST be 0 to 7 bytes in length.</t>
  </si>
  <si>
    <t>The number of bytes in the '_paddingcPropSets' field of the  CPMConnectIn message MUST be the number required to make the byte offset of the cPropSets field from the beginning of the message that contains this structure equal a multiple of 8.</t>
  </si>
  <si>
    <t>The value of  '_paddingcPropSets' field of the  CPMConnectIn message MUST be ignored by the receiver.</t>
  </si>
  <si>
    <t>For any value of '_paddingcPropSets' field of the  CPMConnectIn message, server response is success.</t>
  </si>
  <si>
    <t>R421:p</t>
  </si>
  <si>
    <t>The 4 bytes 'cPropSets' field of the CPMConnectIn message specifies the number of CDbPropSet structures following this field.</t>
  </si>
  <si>
    <t>The 4 bytes 'cPropSets' field of the CPMConnectIn message MUST be set to 0x0000002.</t>
  </si>
  <si>
    <t>The 'PropertySet1' field of the CPMConnectIn message  is a  CDbPropSet structure with guidPropertySet containing DBPROPSET_FSCIFRMWRK_EXT.</t>
  </si>
  <si>
    <t>The 'PropertySet2' field of the CPMConnectIn message  is a CDbPropSet structure with guidPropertySet containing DBPROPSET_CIFRMWRKCORE_EXT.</t>
  </si>
  <si>
    <t>The 'PaddingExtPropset' field of the  CPMConnectIn message MUST be 0 to 7 bytes in length.</t>
  </si>
  <si>
    <t>The number of bytes in the 'PaddingExtPropset' field of the  CPMConnectIn message MUST be the number required to make the byte offset of the cExtPropSets field from the beginning of the message that contains this structure equal a multiple of 8.</t>
  </si>
  <si>
    <t>The value of the 'PaddingExtPropset' field of the  CPMConnectIn message can be any arbitrary value, and MUST be ignored by the receiver.</t>
  </si>
  <si>
    <t>For any arbitrary value of 'PaddingExtPropset' field of the  CPMConnectIn message, server response is success.</t>
  </si>
  <si>
    <t>R429:p</t>
  </si>
  <si>
    <t>The 4 bytes 'cExtPropSet' field of the  CPMConnectIn message specifies the number of CDbPropSet structures following this field.</t>
  </si>
  <si>
    <t>The 'aPropertySets' field of the  CPMConnectIn message is an array of CDbPropSet structures.</t>
  </si>
  <si>
    <t>The number of elements in the array of CDbPropSet structures  MUST be equal to cExtPropSet.</t>
  </si>
  <si>
    <t>2.2.3.5</t>
  </si>
  <si>
    <t>For the '_reserved' field of the  CPMConnectOut message, the server MAY send an arbitrary number of arbitrary values.</t>
  </si>
  <si>
    <t>For the '_reserved' field of the  CPMConnectOut message, the server MUST NOT send an arbitrary number of arbitrary values.</t>
  </si>
  <si>
    <t>R436:p</t>
  </si>
  <si>
    <t>The client MUST ignore the value of the '_reserved' field of the  CPMConnectOut message, if present.</t>
  </si>
  <si>
    <t>2.2.3.6</t>
  </si>
  <si>
    <t>The 4 bytes 'Size' field of the CPMCreateQueryIn message specifies the number of bytes from the beginning of this field to the end of the message.</t>
  </si>
  <si>
    <t>The 1 byte 'CColumnSetPresent' field of the  CPMCreateQueryIn message MUST be set to one of the following values: (0x00) or (0x01).</t>
  </si>
  <si>
    <t>If the value of 'CColumnSetPresent' field of the  CPMCreateQueryIn message is '0x00' then,  the ColumnSet field MUST be absent.</t>
  </si>
  <si>
    <t>If the value of 'CColumnSetPresent' field of the  CPMCreateQueryIn message is '0x01' then,  the ColumnSet field MUST be present.</t>
  </si>
  <si>
    <t>The  'paddingCColumnSetPresent' field of the  CPMCreateQueryIn message  MUST be 0 to 3 bytes in length.</t>
  </si>
  <si>
    <t>The length of 'paddingCColumnSetPresent' field of the  CPMCreateQueryIn message MUST be such that the following field begins at an offset that is a multiple of 4 bytes from the beginning of the message that contains this structure.</t>
  </si>
  <si>
    <t>The content of 'paddingCColumnSetPresent' field of the  CPMCreateQueryIn message MUST be ignored by the receiver.</t>
  </si>
  <si>
    <t>For any arbitrary value of 'paddingCColumnSetPresent' field of the  CPMCreateQueryIn message, server response is success.</t>
  </si>
  <si>
    <t>R445:p</t>
  </si>
  <si>
    <t xml:space="preserve"> 'paddingCColumnSetPresent' field of the  CPMCreateQueryIn message MUST be absent if CColumnSetPresent is set to 0x00.</t>
  </si>
  <si>
    <t xml:space="preserve"> 'ColumnSet' field of the  CPMCreateQueryIn message is a CColumnSet structure.</t>
  </si>
  <si>
    <t>If 'CRestrictionPresent'  field of the  CPMCreateQueryIn message is set to any nonzero value, the RestrictionArray field MUST be present.</t>
  </si>
  <si>
    <t>If 'CRestrictionPresent'  field of the  CPMCreateQueryIn message is set to 0X00, the RestrictionArray field MUST be absent.</t>
  </si>
  <si>
    <t xml:space="preserve"> The  'paddingCRestrictionPresent' field of the CPMCreateQueryIn message MUST be 0 to 3 bytes in length.</t>
  </si>
  <si>
    <t>The length of 'paddingCRestrictionPresent' field of the CPMCreateQueryIn message MUST be such that the following field begins at an offset that is a multiple of 4 bytes from the beginning of the message that contains this structure.</t>
  </si>
  <si>
    <t>The content of 'paddingCRestrictionPresent' field of the CPMCreateQueryIn message MUST be ignored by the receiver.</t>
  </si>
  <si>
    <t>For any arbitrary value of 'paddingCRestrictionPresent' field of the CPMCreateQueryIn message, server response is success.</t>
  </si>
  <si>
    <t>R453:p</t>
  </si>
  <si>
    <t>S1,S2</t>
  </si>
  <si>
    <t xml:space="preserve"> 'paddingCRestrictionPresent' field of the CPMCreateQueryIn message MUST be absent, if CRestrictionPresent is set to 0x00.</t>
  </si>
  <si>
    <t xml:space="preserve"> 'RestrictionArray' field of the  CPMCreateQueryIn message is a CRestrictionArray structure.</t>
  </si>
  <si>
    <t>If 1 byte 'CSortSetPresent' field of the  CPMCreateQueryIn message is set to any nonzero value, the SortSet field MUST be present.</t>
  </si>
  <si>
    <t>If 1 byte 'CSortSetPresent' field of the  CPMCreateQueryIn message is set to 0X00, the SortSet field MUST be absent.</t>
  </si>
  <si>
    <t>The  'paddingCSortSetPresent' field of CPMCreateQueryIn message MUST be 0 to 3 bytes in length.</t>
  </si>
  <si>
    <t>The length of 'paddingCSortSetPresent' field of CPMCreateQueryIn message MUST be such that the following field begins at an offset that is a multiple of 4 bytes from the beginning of the message that contains this structure.</t>
  </si>
  <si>
    <t>The content of 'paddingCSortSetPresent' field of CPMCreateQueryIn message MUST be ignored by the receiver.</t>
  </si>
  <si>
    <t>For any arbitrary value of 'paddingCSortSetPresent' field of CPMCreateQueryIn message, server response is success.</t>
  </si>
  <si>
    <t>R461:p</t>
  </si>
  <si>
    <t>paddingCSortSetPresent' field of CPMCreateQueryIn message MUST be absent if CSortSetPresent is set to 0x00.</t>
  </si>
  <si>
    <t xml:space="preserve"> 'SortSet'  field of CPMCreateQueryIn message  is an CSortSet structure.</t>
  </si>
  <si>
    <t>If 1 byte 'CCategorizationSetPresent' field of CPMCreateQueryIn message is set to any nonzero value, the CCategorizationSet field MUST be present.</t>
  </si>
  <si>
    <t>If 1 byte 'CCategorizationSetPresent' field of CPMCreateQueryIn message is  set to 0x00, CCategorizationSet MUST be absent.</t>
  </si>
  <si>
    <t>The  'paddingCCategorizationSetPresent' field of the  CPMCreateQueryIn message MUST be 0 to 3 bytes in length.</t>
  </si>
  <si>
    <t>The length of 'paddingCCategorizationSetPresent' field of the  CPMCreateQueryIn message MUST be such that the following field begins at an offset that is a multiple of 4 bytes from the beginning of the message that contains this structure.</t>
  </si>
  <si>
    <t>The content of 'paddingCCategorizationSetPresent' field of the  CPMCreateQueryIn message MUST be ignored by the receiver.</t>
  </si>
  <si>
    <t>For any arbitrary value of 'paddingCCategorizationSetPresent' field of the  CPMCreateQueryIn message , server response is success.</t>
  </si>
  <si>
    <t>R469:p</t>
  </si>
  <si>
    <t xml:space="preserve"> 'paddingCCategorizationSetPresent' field of the  CPMCreateQueryIn message MUST be absent if CCategorizationSetPresent is set to 0x00.</t>
  </si>
  <si>
    <t xml:space="preserve"> 'CCategorizationSet' field of the  CPMCreateQueryIn message is an CCategorizationSet structure.</t>
  </si>
  <si>
    <t>The 20 bytes 'RowSetProperties' field of the  CPMCreateQueryIn message is an CRowsetProperties structure.</t>
  </si>
  <si>
    <t xml:space="preserve"> 'PidMapper' field of the  CPMCreateQueryIn message  is an CPidMapper structure.</t>
  </si>
  <si>
    <t xml:space="preserve"> 'GroupArray' field of the  CPMCreateQueryIn message is an CColumnGroupArray structure.</t>
  </si>
  <si>
    <t>2.2.3.7</t>
  </si>
  <si>
    <t>The 4 bytes '_fTrueSequential' field of the  CPMCreateQueryOut message MUST be set to one of the following values: (0x00000000) or  (0x00000001).</t>
  </si>
  <si>
    <t>The 4 bytes '_fWorkIdUnique' field of the  CPMCreateQueryOut message MUST be set to one of the following values: (0x00000000) or (0x00000001).</t>
  </si>
  <si>
    <t>The 4 bytes 'aCursors ' field of the  CPMCreateQueryOut message is an array of 32-bit unsigned integers  with the number of elements equal to the number of categories in the CategorizationSet field of CPMCreateQueryIn message plus one element.</t>
  </si>
  <si>
    <t>2.2.3.8</t>
  </si>
  <si>
    <t>The 4 bytes '_hCursor' field of the CPMGetQueryStatusIn message represents  the handle from the CPMCreateQueryOut message identifying the query for which to retrieve status information.</t>
  </si>
  <si>
    <t>2.2.3.9</t>
  </si>
  <si>
    <t>The value of the 4 bytes '_QStatus' field of the CPMGetQueryStatusOut message which is obtained by performing a bitwise AND operation on 4 bytes '_Status' field  with 0x00000007  MUST be one of the following:  STAT_NOISE_WORDS(0x00000000),  STAT_ERROR(0x00000001),  STAT_DONE(0x00000002), STAT_REFRESH(0x00000003).</t>
  </si>
  <si>
    <t>The  additional  bits that can be set independently for the 4 bytes '_QStatus' field of the CPMGetQueryStatusOut message  are one of the following:  (0x00000010),  STAT_CONTENT_OUT_OF_DATE(0x00000020),  STAT_CONTENT_QUERY_INCOMPLETE(0x00000080),  STAT_TIME_LIMIT_EXCEEDED(0x00000100).</t>
  </si>
  <si>
    <t>2.2.3.10</t>
  </si>
  <si>
    <t>The 4 bytes '_hCursor' field of the CPMGetQueryStatusExIn message represents the handle from the CPMCreateQueryOut message identifying the query for which to retrieve status information.</t>
  </si>
  <si>
    <t>The 4 bytes '_bmk' field of the   CPMGetQueryStatusExIn message specifies the handle of a bookmark whose position should be retrieved.</t>
  </si>
  <si>
    <t>2.2.3.11</t>
  </si>
  <si>
    <t>The value of the 4 bytes '_QStatus' field of the CPMGetQueryStatusExOut message  which is obtained by performing a bitwise AND operation on 4 bytes '_Status' field  with 0x00000007  MUST be one of the following:  (0x00000000),  (0x00000001),  (0x00000002), (0x00000003).</t>
  </si>
  <si>
    <t>The  additional  bits that can be set independently for the 4 bytes '_QStatus' field of the CPMGetQueryStatusExOut message  are one of the following:  (0x00000010),  (0x00000020), (0x00000080),  (0x00000100).</t>
  </si>
  <si>
    <t>The 4 bytes '_cFilteredDocuments' field of the  CPMGetQueryStatusExOut message specifies the number of documents that have been indexed.</t>
  </si>
  <si>
    <t>The 4 bytes '_cDocumentsToFilter' field of the  CPMGetQueryStatusExOut message specifies the number of documents that remain to be indexed.</t>
  </si>
  <si>
    <t>The 4 bytes '_dwRatioFinishedDenominator' field of the  CPMGetQueryStatusExOut message specifies the denominator of the ratio of documents the query has finished processing.</t>
  </si>
  <si>
    <t>The 4 bytes '_dwRatioFinishedNumerator' field of the  CPMGetQueryStatusExOut message specifies the numerator of the ratio of documents the query has finished processing.</t>
  </si>
  <si>
    <t>The 4 bytes '_iRowBmk' field of the  CPMGetQueryStatusExOut message specifies the approximate position of the bookmark in the rowset in terms of rows.</t>
  </si>
  <si>
    <t>The 4 bytes '_cRowsTotal' field of the  CPMGetQueryStatusExOut message specifies the total number of rows in the rowset.</t>
  </si>
  <si>
    <t>The 4 bytes '_maxRank' field of the  CPMGetQueryStatusExOut message specifies the maximum rank found in the rowset.</t>
  </si>
  <si>
    <t>The 4 bytes '_cResultsFound' field of the  CPMGetQueryStatusExOut message specifies the number of unique results returned in the rowset.</t>
  </si>
  <si>
    <t>The 4 bytes '_whereID (4 bytes)' field of the  CPMGetQueryStatusExOut message specifies  a unique WHEREID for referring to the CRestrictionArray used to construct the rowset.</t>
  </si>
  <si>
    <t>2.2.3.12</t>
  </si>
  <si>
    <t>The 4 bytes '_hCursor' field of the CPMSetBindingsIn message MUST be present when the message is sent by the client.</t>
  </si>
  <si>
    <t>The 4 bytes '_hCursor' field of the CPMSetBindingsIn message  MUST be absent when the message is sent by the server.</t>
  </si>
  <si>
    <t>The 4 bytes '_cbRow' field of the CPMSetBindingsIn message MUST be present when the message is sent by the client.</t>
  </si>
  <si>
    <t>The 4 bytes '_cbRow' field of the CPMSetBindingsIn message  MUST be absent when the message is sent by the server.</t>
  </si>
  <si>
    <t>The 4 bytes '_cbBindingDesc' field of the CPMSetBindingsIn message indicates the length, in bytes, of the fields following the _dummy field of the same message.</t>
  </si>
  <si>
    <t>The 4 bytes '_cbBindingDesc' field of the CPMSetBindingsIn message MUST be present when the message is sent by the client.</t>
  </si>
  <si>
    <t>The 4 bytes '_cbBindingDesc' field of the CPMSetBindingsIn message  MUST be absent when the message is sent by the server.</t>
  </si>
  <si>
    <t>The 4 bytes '_dummy' field of the CPMSetBindingsIn message is unused and MUST be ignored.</t>
  </si>
  <si>
    <t>For any value of '_dummy' field of the CPMSetBindingsIn message, server response is success.</t>
  </si>
  <si>
    <t>R502:p</t>
  </si>
  <si>
    <t xml:space="preserve">The 4 bytes '_dummy' field of the CPMSetBindingsIn message MUST be present when the message is sent by the client. </t>
  </si>
  <si>
    <t xml:space="preserve">The 4 bytes '_dummy' field of the CPMSetBindingsIn message MUST be absent when the message is sent by the server. </t>
  </si>
  <si>
    <t>The 4 bytes 'cColumns' field of the CPMSetBindingsIn message indicates the number of elements in the aColumns array of the same message.</t>
  </si>
  <si>
    <t>The 4 bytes 'cColumns' field of the CPMSetBindingsIn message MUST be present when the message is sent by the client.</t>
  </si>
  <si>
    <t>The 4 bytes 'cColumns' field of the CPMSetBindingsIn message MUST be absent when the message is sent by the server.</t>
  </si>
  <si>
    <t>The  'aColumns' field of the CPMSetBindingsIn message is an array of CTableColumn structures.</t>
  </si>
  <si>
    <t>The  'aColumns' field of the CPMSetBindingsIn message MUST be present when the message is sent by the client.</t>
  </si>
  <si>
    <t>The  'aColumns' field of the CPMSetBindingsIn message MUST be absent when the message is sent by the server.</t>
  </si>
  <si>
    <t>Structures in the of CTableColumn structures MUST be separated by 0 to 3 padding bytes such that each structure has a 4-byte alignment from the beginning of a message.</t>
  </si>
  <si>
    <t>Padding bytes in the array of CTableColumn structures  MUST be ignored on receipt.</t>
  </si>
  <si>
    <t>For any arbitrary value of Padding bytes in the array of CTableColumn structures, server response is success.</t>
  </si>
  <si>
    <t>R513:p</t>
  </si>
  <si>
    <t>2.2.3.13</t>
  </si>
  <si>
    <t>The 4 bytes '_hCursor' field of the CPMGetRowsIn message represents the handle from the CPMCreateQueryOut message identifying the query for which to retrieve rows.</t>
  </si>
  <si>
    <t>The 4 bytes '_cRowsToTransfer' field of the CPMGetRowsIn message specifies the maximum number of rows the client wants to receive in response to this message.</t>
  </si>
  <si>
    <t>The 4 bytes '_cbRowWidth' field of the CPMGetRowsIn message specifies the length of a row, in bytes.</t>
  </si>
  <si>
    <t>The 4 bytes '_cbSeek' field of the CPMGetRowsIn message specifies the size of the message beginning with eType.</t>
  </si>
  <si>
    <t>The 4 bytes '_cbReserved' field of the CPMGetRowsIn message specifies the size, in bytes, of a CPMGetRowsOut message (without the Rows and SeekDescriptions fields).</t>
  </si>
  <si>
    <t>The 4 bytes '_cbReadBuffer' field of the CPMGetRowsIn message MUST be set to the maximum of the value of _cbRowWidth or 1000 times the value of _cRowsToTransfer, rounded up to the nearest 512 byte multiple.</t>
  </si>
  <si>
    <t>The value of the 4 bytes '_cbReadBuffer' field of the CPMGetRowsIn message MUST NOT exceed 0x00004000.</t>
  </si>
  <si>
    <t>The 4 bytes '_ulClientBase' field of the CPMGetRowsIn message indicates the base value to use for pointer calculations in the row buffer.</t>
  </si>
  <si>
    <t>The 4 bytes '_fBwdFetch' field of the CPMGetRowsIn message MUST be set to one of the following values: (0x00000000) or (0x00000001).</t>
  </si>
  <si>
    <t>The 4 bytes 'eType' field of the CPMGetRowsIn message MUST be set to one of the following values: eRowSeekNext(0x00000001),  eRowSeekAt(0x00000002),  eRowSeekAtRatio(0x00000003),  eRowSeekByBookmark(0x00000004).</t>
  </si>
  <si>
    <t>The 4 bytes '_chapt' field of the CPMGetRowsIn message represents the handle of the rowset chapter.</t>
  </si>
  <si>
    <t>The  'SeekDescription' field of the CPMGetRowsIn message MUST contain a structure of the type indicated by the eType value.</t>
  </si>
  <si>
    <t>2.2.3.14</t>
  </si>
  <si>
    <t>The 4 bytes '_cRowsReturned' field of the CPMGetRowsOut message is the number of rows returned in Rows.</t>
  </si>
  <si>
    <t>The 4 bytes 'eType' field of the CPMGetRowsOut message MUST contain one of the following values: eRowsSeekNone(0x00000000),  eRowSeekNext(0x00000001),  eRowSeekAt(0x00000002),  eRowSeekAtRatio(0x00000003),  eRowSeekByBookmark(0x00000004).</t>
  </si>
  <si>
    <t>The 4 bytes '_chapt' field of the CPMGetRowsOut message represents the handle of the rowset chapter.</t>
  </si>
  <si>
    <t>The  'SeekDescription' field of the CPMGetRowsOut message  MUST contain a structure of the type indicated by the eType field of the same message.</t>
  </si>
  <si>
    <t xml:space="preserve">The  'paddingRows' field of the CPMGetRowsOut message MUST be of  length 0 to _cbReserved-1 bytes. </t>
  </si>
  <si>
    <t>The  'paddingRows' field of the CPMGetRowsOut message  MUST be ignored by the receiver.</t>
  </si>
  <si>
    <t xml:space="preserve"> Rows Data in the 'Rows' field of the CPMGetRowsOut message  MUST be stored in forward order (for example, row 1 before row 2).</t>
  </si>
  <si>
    <t>Fixed-sized columns in the Rows Data MUST be stored at the offsets specified by the most recent CPMSetBindingsIn message.</t>
  </si>
  <si>
    <t>The variable data  in the Row Data is stored near the end of the buffer in descending order.</t>
  </si>
  <si>
    <t>The fixed sized area (at the beginning of the row buffer) in the row data MUST contain a CRowVariant for each column, stored at the offset specified in the most recent CPMSetBindingsIn message.</t>
  </si>
  <si>
    <t>vType in the Row Data MUST contain the data type.</t>
  </si>
  <si>
    <t>If 64-bit offsets are being used, the Offset field in CRowVariant MUST contain a 64-bit value.</t>
  </si>
  <si>
    <t>2.2.3.15</t>
  </si>
  <si>
    <t>The 4 bytes '_hCursor' field of the CPMRatioFinishedIn message is the  handle from the CPMCreateQueryOut message identifying the query for which to request completion information.</t>
  </si>
  <si>
    <t>The 4 bytes '_fQuick' field of the CPMRatioFinishedIn message MUST be ignored by the server.</t>
  </si>
  <si>
    <t>For 0x00000001 value of '_fQuick' field of the CPMRatioFinishedIn message, server response is success.</t>
  </si>
  <si>
    <t>R544:p</t>
  </si>
  <si>
    <t>The 4 bytes '_fQuick' field of the CPMRatioFinishedIn message MUST be set to 0x00000001.</t>
  </si>
  <si>
    <t>2.2.3.16</t>
  </si>
  <si>
    <t>The 4 bytes '_ulNumerator' field of the CPMRatioFinishedOut message specifies the numerator of the completion ratio in terms of rows.</t>
  </si>
  <si>
    <t>The 4 bytes '_ulDenominator' field of the CPMRatioFinishedOut message specifies the denominator of the completion ratio in terms of row.</t>
  </si>
  <si>
    <t>The 4 bytes '_ulDenominator' field of the CPMRatioFinishedOut message MUST be greater than zero.</t>
  </si>
  <si>
    <t>The 4 bytes '_cRows' field of the CPMRatioFinishedOut message specifies the total number of rows for the query.</t>
  </si>
  <si>
    <t>The 4 bytes '_fNewRows' field of the CPMRatioFinishedOut message is a Boolean value indicating if there are new rows available.</t>
  </si>
  <si>
    <t>The 4 bytes '_fNewRows' field of the CPMRatioFinishedOut message MUST NOT be set to any values other than the following: (0x00000000) or (0x00000001).</t>
  </si>
  <si>
    <t>2.2.3.17</t>
  </si>
  <si>
    <t>The 4 bytes '_wid' field of the CPMFetchValueIn message represents the document ID identifying the document for which a property should be fetched.</t>
  </si>
  <si>
    <t>The 4 bytes '_cbSoFar' field of the CPMFetchValueIn message represents the number of bytes previously transferred for this property.</t>
  </si>
  <si>
    <t xml:space="preserve">The 4 bytes '_cbSoFar' field of the CPMFetchValueIn message MUST be set to 0x00000000 in the first message. </t>
  </si>
  <si>
    <t>The 4 bytes '_cbPropSpec' field of the CPMFetchValueIn message is the size, in bytes, of the PropSpec field.</t>
  </si>
  <si>
    <t>The 4 bytes '_cbChunk' field of the CPMFetchValueIn message is the maximum number of bytes that the sender can accept in a CPMFetchValueOut message.</t>
  </si>
  <si>
    <t xml:space="preserve">&lt;12&gt;The 4 bytes '_cbChunk' field of the CPMFetchValueIn message is set to 0x00004000 ,for all versions of Windows.
</t>
  </si>
  <si>
    <t>R557:c</t>
  </si>
  <si>
    <t>The  'PropSpec' field of the CPMFetchValueIn message is an CFullPropSpec structure.</t>
  </si>
  <si>
    <t>The  '_padding' field of the CPMFetchValueIn message MUST be of the length necessary (0 to 3 bytes) to pad the message out to a multiple of 4 bytes in length.</t>
  </si>
  <si>
    <t>The  '_padding' field of the CPMFetchValueIn message MUST be ignored by the receiver.</t>
  </si>
  <si>
    <t>For any value of '_padding' field of the CPMFetchValueIn message, server response is successful.</t>
  </si>
  <si>
    <t>R561:p</t>
  </si>
  <si>
    <t>2.2.3.18</t>
  </si>
  <si>
    <t>The 4 bytes '_cbValue' field of the CPMFetchValueOut message is the total size, in bytes in vValue.</t>
  </si>
  <si>
    <t xml:space="preserve">The 4 bytes '_fMoreExists' field of the CPMFetchValueOut message is a Boolean value. </t>
  </si>
  <si>
    <t>The 4 bytes '_fMoreExists' field of the CPMFetchValueOut message  is one of the following: (0x00000000) or (0x00000001).</t>
  </si>
  <si>
    <t>The 4 bytes 'vType' field of the CPMFetchValueOut message is one of the following: VT_EMPTY(0x0000), VT_NULL(0x0001), VT_I1(0x0010), VT_UI1(0x0011), VT_I2(0x0002), VT_UI2(0x0012), VT_BOOL( 0x000B), VT_I4(0x0003), VT_UI4(0x0013), VT_R4(0x0004), VT_INT(0x0016), VT_UINT( 0x0017), VT_ERROR(0x000A), VT_I8(0x0014), VT_UI8(0x0015), VT_R8(0x0005), VT_CY(0x0006), VT_DATE(0x0007), VT_FILETIME(0x0040), VT_DECIMAL(0x000E) , VT_CLSID(0x0048), VT_BLOB(0x0041), VT_BLOB_OBJECT (0x0046), VT_BSTR(0x0008), VT_LPSTR(0x001E), VT_LPWSTR(0x001F), VT_COMPRESSED_LPWSTR(0x0023), VT_VARIANT(0x000C)</t>
  </si>
  <si>
    <t>If _fMoreExists is set to 0x00000001, the length of the 'vValue' field of the CPMFetchValueOut message, indicated by the _cbValue field, MUST be equal to the value of _cbChunk in CPMFetchValueIn.</t>
  </si>
  <si>
    <t>2.2.3.19</t>
  </si>
  <si>
    <t>CPMGetNotify message MUST NOT include a body; only the message header.</t>
  </si>
  <si>
    <t>2.2.3.20</t>
  </si>
  <si>
    <t>The 4 bytes '_watchNotify' field of the CPMSendNotifyOut message MUST be one of the following value:  DBWATCHNOTIFY_ROWSCHANGED(0x00000001), DBWATCHNOTIFY_QUERYDONE(0x00000002), DBWATCHNOTIFY_QUERYREEXECUTED(0x00000003).</t>
  </si>
  <si>
    <t>2.2.3.21</t>
  </si>
  <si>
    <t>The 4 bytes '_hCursor' field of the CPMGetApproximatePositionIn message represents the query cursor obtained from CPMCreateQueryOut for the rowset containing the bookmark.</t>
  </si>
  <si>
    <t>The 4 bytes '_chapt' field of the CPMGetApproximatePositionIn message represents the handle to the chapter containing the bookmark.</t>
  </si>
  <si>
    <t>The 4 bytes '_bmk' field of the CPMGetApproximatePositionIn message represents the  handle to the bookmark for which to retrieve the approximate position.</t>
  </si>
  <si>
    <t>2.2.3.22</t>
  </si>
  <si>
    <t>The 4 bytes '_numerator' field of the CPMGetApproximatePositionOut message specifies the row number of the bookmark in the rowset.</t>
  </si>
  <si>
    <t>If there are no rows, '_numerator' field of the CPMGetApproximatePositionOut message  MUST be set to 0x00000000.</t>
  </si>
  <si>
    <t>The 4 bytes '_denominator' field of the CPMGetApproximatePositionOut message specifies the number of rows in the rowset.</t>
  </si>
  <si>
    <t>2.2.3.23</t>
  </si>
  <si>
    <t>The 4 bytes 'hCursor' field of the CPMCompareBmkIn message specifies the handle from the CPMCreateQueryOut message for the rowset containing the bookmarks.</t>
  </si>
  <si>
    <t>The 4 bytes 'chapt' field of the CPMCompareBmkIn message specifies the handle of the chapter containing the bookmarks to compare.</t>
  </si>
  <si>
    <t>The 4 bytes 'bmkFirst' field of the CPMCompareBmkIn message specifies the handle to the first bookmark to compare.</t>
  </si>
  <si>
    <t>The 4 bytes 'bmkSecond' field of the CPMCompareBmkIn message specifies the handle to the second bookmark to compare.</t>
  </si>
  <si>
    <t>2.2.3.24</t>
  </si>
  <si>
    <t>The 4 bytes 'dwComparison' field of the CPMCompareBmkOut message MUST be one of the following values: DBCOMPARE_LT(0x00000000), DBCOMPARE_EQ(0x00000001), DBCOMPARE_GT(0x00000002), DBCOMPARE_NE(0x00000003), DBCOMPARE_NOTCOMPARABLE(0x00000004).</t>
  </si>
  <si>
    <t>2.2.3.25</t>
  </si>
  <si>
    <t>The 4 bytes '_hCursor' field of the CPMRestartPositionIn message represents the handle obtained from a CPMCreateQueryOut message and that identifies the query for which to restart the position.</t>
  </si>
  <si>
    <t>The 4 bytes '_hCursor' field of the CPMRestartPositionIn message MUST be present when the message is sent by the client.</t>
  </si>
  <si>
    <t>The 4 bytes '_hCursor' field of the CPMRestartPositionIn message MUST be absent when the message is sent by the server.</t>
  </si>
  <si>
    <t>The 4 bytes '_chapt' field of the CPMRestartPositionIn message represents the handle of a chapter from which to retrieve rows.</t>
  </si>
  <si>
    <t>The 4 bytes '_chapt' field of the CPMRestartPositionIn message MUST be present when the message is sent by the client.</t>
  </si>
  <si>
    <t>The 4 bytes '_chapt' field of the CPMRestartPositionIn message MUST be absent when the message is sent by the server.</t>
  </si>
  <si>
    <t>2.2.3.26</t>
  </si>
  <si>
    <t>The 4 bytes '_hCursor' field of the CPMStopAsynchIn message is the handle from the CPMCreateQueryOut message identifying the query for which to stop asynchronous processing.</t>
  </si>
  <si>
    <t>2.2.3.27</t>
  </si>
  <si>
    <t>The 4 bytes '_hCursor' field of the CPMFreeCursorIn message is the handle of the cursor from the CPMCreateQueryOut message to release.</t>
  </si>
  <si>
    <t>2.2.3.28</t>
  </si>
  <si>
    <t>The 4 bytes '_cCursorsRemaining' field of the CPMFreeCursorOut message is the number of cursors still in use for the query.</t>
  </si>
  <si>
    <t>2.2.3.29</t>
  </si>
  <si>
    <t>CPMDisconnect message MUST NOT include a body; only the message header.</t>
  </si>
  <si>
    <t>2.2.4</t>
  </si>
  <si>
    <t>All Windows Search Protocol messages MUST return 0x00000000 to indicate success.</t>
  </si>
  <si>
    <t>In the case of failure, all Windows Search Protocol messages return a 32-bit nonzero error code that can either be an HRESULT or an NTSTATUS value.</t>
  </si>
  <si>
    <t>If a buffer is too small to fit a result, a status code of STATUS_INSUFFICIENT_RESOURCES (0xC0000009A) MUST be returned and the failing operation should be retried with a larger buffer.</t>
  </si>
  <si>
    <t>All  error values other than (0xC0000009A) MUST be treated the same.</t>
  </si>
  <si>
    <t>The error MUST be considered fatal and reported to the higher-level caller.</t>
  </si>
  <si>
    <t>Future messages MAY be sent over the same pipe as if no error had occurred.</t>
  </si>
  <si>
    <t>&lt;13&gt;After an error, In Windows the same pipe connection is used for the following messages, except when the error is returned in a CPMConnectOut message.</t>
  </si>
  <si>
    <t>3.0</t>
  </si>
  <si>
    <t>All messages MUST be preceded by an initial CPMConnectIn message.</t>
  </si>
  <si>
    <t xml:space="preserve">All of the Windows Search Protocol messages used for querying a remote Windows Search service catalog have the message sequence "CPMConnectIn, CPMConnectOut, CPMCreateQueryIn, CPMCreateQueryOut, CPMSetBindingsIn, Reply, CPMGetRowsIn, CPMGetRowsOut, CPMFreeCursorIn, CPMFreeCursorOut, CPMDisconnect" as a subset. </t>
  </si>
  <si>
    <t>A Windows Search service implementing the Windows Search Protocol MUST maintain the list of clients connected to the server.</t>
  </si>
  <si>
    <t>A Windows Search service implementing the Windows Search Protocol MUST maintain the client's version.</t>
  </si>
  <si>
    <t xml:space="preserve">A Windows Search service implementing the Windows Search Protocol MUST maintain the catalog associated with the client </t>
  </si>
  <si>
    <t>A Windows Search service implementing the Windows Search Protocol MUST maintain the client's search query.</t>
  </si>
  <si>
    <t>A Windows Search service implementing the Windows Search Protocol MUST maintain the list of cursor handles for the query and position in result set for each handle.</t>
  </si>
  <si>
    <t>A Windows Search service implementing the Windows Search Protocol MUST maintain the current set of bindings.</t>
  </si>
  <si>
    <t>A Windows Search service implementing the Windows Search Protocol MUST maintain,the current status of the query:  the number of rows in query result.</t>
  </si>
  <si>
    <t>A Windows Search service implementing the Windows Search Protocol MUST maintain, current status of the query: Numerator and denominator of query completion.</t>
  </si>
  <si>
    <t>A Windows Search service implementing the Windows Search Protocol MUST maintain, current status of the query: Last number of rows, reported by most recent CPMRatioFinishedOut message for this cursor.</t>
  </si>
  <si>
    <t>A Windows Search service implementing the Windows Search Protocol MUST maintain, current status of the query: Whether the query is monitored by the server for changes in query results, and, if it is monitored, what changed in the query results since it was last reported to the client by CPMSendNotifyOut.</t>
  </si>
  <si>
    <t>A Windows Search service implementing the Windows Search Protocol MUST maintain, current status of the query: List of chapter handles, served by this query to a client.</t>
  </si>
  <si>
    <t>A Windows Search service implementing the Windows Search Protocol MUST maintain, current status of the query: List of bookmark handles for each cursor, served by this query to a client.</t>
  </si>
  <si>
    <t>A Windows Search service implementing the Windows Search Protocol MUST maintain the current state of the Windows Search service, that can be "not initialized", "running", or "shutting down".</t>
  </si>
  <si>
    <t>A Windows Search service implementing the Windows Search Protocol MUST maintain the per-catalog information: number of documents indexed, size of inverted index, number of unique keys, etc.</t>
  </si>
  <si>
    <t>A Windows Search service implementing the Windows Search Protocol MUST maintain, a database of alternate word forms including the base word, prefixes, and inflected forms, for each language supported.</t>
  </si>
  <si>
    <t>3.1.3</t>
  </si>
  <si>
    <t>Upon initialization, the server MUST set its state to "not initialized" and start listening for messages on the named pipe.</t>
  </si>
  <si>
    <t>After performing any other internal initialization, the server MUST transition to the "running" state.</t>
  </si>
  <si>
    <t>3.1.5</t>
  </si>
  <si>
    <t>Whenever an error occurs during processing of a message sent by a client, the server MUST Stop processing the message sent by the client.</t>
  </si>
  <si>
    <t>Whenever an error occurs during processing of a message sent by a client, the server MUST respond with the message header (only) of the message sent by the client, keeping the _msg field intact.</t>
  </si>
  <si>
    <t>Whenever an error occurs during processing of a message sent by a client, the server MUST set the _status field to the error code value.</t>
  </si>
  <si>
    <t>When a message arrives, the server MUST check the _msg field value to see if it is a known type.</t>
  </si>
  <si>
    <t>If the type of the _msg is not known, the server MUST report a STATUS_INVALID_PARAMETER (0xC000000D) error.</t>
  </si>
  <si>
    <t>The server MUST validate the _ulChecksum field value if the message type is one of the following messages: CPMConnectIn, CPMCreateQueryIn, CPMSetBindingsIn, CPMGetRowsIn, CPMFetchValueIn.</t>
  </si>
  <si>
    <t>To validate the _ulChecksum field value, the server MUST check the value the client specified in the _iClientVersion field in the CPMConnectIn message.</t>
  </si>
  <si>
    <t>If the _iClientVersion field value is 0x00000102 or greater and _ulChecksum is not equal to zero, the server MUST validate that the _ulChecksum field.</t>
  </si>
  <si>
    <t>If the _ulChecksum value is invalid, the server MUST report a STATUS_INVALID_PARAMETER (0xC000000D) error.</t>
  </si>
  <si>
    <t>After _ulChecksum is validated, the server checks which state it is in. If its state is "not initialized", the server MUST report a CI_E_NOT_INITIALIZED (0x8004180B) error.</t>
  </si>
  <si>
    <t>After _ulChecksum is validated, the server checks which state it is in.If the state is "shutting down", the server MUST report a CI_E_SHUTDOWN (0x80041812) error.</t>
  </si>
  <si>
    <t>After a header has been determined to be valid and the server to be in "running" state, further message-specific processing MUST be performed.</t>
  </si>
  <si>
    <t>3.1.5.1.1</t>
  </si>
  <si>
    <t>When the server receives a CPMCIStateInOut message request from the client, the server MUST first check if the client is in a list of connected clients.</t>
  </si>
  <si>
    <t>When the server receives a CPMCIStateInOut message request from the client, and if the client is not in the list of connected clients, the server MUST report a STATUS_INVALID_PARAMETER (0xC000000D) error.</t>
  </si>
  <si>
    <t>When the server receives a CPMCIStateInOut message request from the client, and if the client is in the list of connected clients, the server  MUST respond to the client with a CPMCIStateInOut message</t>
  </si>
  <si>
    <t>3.1.5.1.2</t>
  </si>
  <si>
    <t>When the server receives a CPMUpdateDocumentsIn message request, the server MUST check whether the client is in a list of connected clients.</t>
  </si>
  <si>
    <t>When the server receives a CPMUpdateDocumentsIn message request, if the client is not in the list of connected clients, the server MUST report a STATUS_INVALID_PARAMETER (0xC000000D) error.</t>
  </si>
  <si>
    <t>When the server receives a CPMUpdateDocumentsIn message request, the server MUST check whether the client has administrative access.</t>
  </si>
  <si>
    <t xml:space="preserve"> When the server receives a CPMUpdateDocumentsIn messange, if the client does not have administrative access to the server, the server MUST report a STATUS_ACCESS_DENIED (0xC0000022) error.</t>
  </si>
  <si>
    <t>When the server receives a CPMUpdateDocumentsIn message, it MUST begin the process of indexing the path specified by the client, doing a full or incremental scan, depending on the value of the _flag field in the CPMUpdateDocumentsIn message.</t>
  </si>
  <si>
    <t>When the server receives a CPMUpdateDocumentsIn messange,if the path specified by the client was not previously indexed, it MUST be added to the collection of indexed locations and a full scan performed.</t>
  </si>
  <si>
    <t>When the server receives a CPMUpdateDocumentsIn message, if an illegal value of the _flag field is specified, the server MUST act as if _flag was set to UPD_INIT and perform a full scan in the catalog assaciated with the client.</t>
  </si>
  <si>
    <t>When the server receives a CPMUpdateDocumentsIn message, it MUST respond to the client with the message header for the CPMUpdateDocumentsIn, and set the _status field to the results of the request.</t>
  </si>
  <si>
    <t>3.1.5.1.3</t>
  </si>
  <si>
    <t xml:space="preserve">When the server receives a CPMForceMergeIn message request, the server MUST Check if the client is in a list of connected clients (which have a catalog associated). </t>
  </si>
  <si>
    <t>When the server receives a CPMForceMergeIn message request, if the client is not in the list of connected clients, the server MUST report a STATUS_INVALID_PARAMETER (0xC000000D) error.</t>
  </si>
  <si>
    <t>When the server receives a CPMForceMergeIn message request, the server MUST check that client has administrative access.</t>
  </si>
  <si>
    <t>When the server receives a CPMForceMergeIn message request, if the client does not have administrative access, the server MUST report a STATUS_ACCESS_DENIED (0xC0000022) error.</t>
  </si>
  <si>
    <t>When the server receives a CPMForceMergeIn message request, the server MUST begin any process of maintenance necessary to improve query performance on a catalog associated with the client.</t>
  </si>
  <si>
    <t>When the server receives a CPMForceMergeIn message request, the server MUST respond to the client with a message header for the CPMForceMergeIn, and set the _status field to the results of the request.</t>
  </si>
  <si>
    <t>3.1.5.2.1</t>
  </si>
  <si>
    <t>When the server receives a CPMConnectIn request from a client, the server MUST check if the client is in the list of connected clients.</t>
  </si>
  <si>
    <t>When the server receives a CPMConnectIn request from a client, the server MUST report a STATUS_INVALID_PARAMETER (0xC000000D) error if the client is in the list of connected clients.</t>
  </si>
  <si>
    <t>When the server receives a CPMConnectIn request from a client, the server MUST check if the specified catalog exists and is not in the "stopped" state.</t>
  </si>
  <si>
    <t>When the server receives a CPMConnectIn request from a client, the server MUST report a CI_E_NO_CATALOG (0x8004181D) error if the specified catalog doesn't exist or is in "stopped" state.</t>
  </si>
  <si>
    <t>When the server receives a CPMConnectIn request from a client, the server MUST add the client to the list of connected clients.</t>
  </si>
  <si>
    <t>When the server receives a CPMConnectIn request from a client, the server MUST associate the catalog with the client.</t>
  </si>
  <si>
    <t>When the server receives a CPMConnectIn request from a client, the server MUST store the information passed in the CPMConnectIn message (such as catalog name or client version) in the client state.</t>
  </si>
  <si>
    <t>When the server receives a CPMConnectIn request from a client, the server MUST respond to the client with a CPMConnectOut message.</t>
  </si>
  <si>
    <t>3.1.5.2.2</t>
  </si>
  <si>
    <t>When the server receives a CPMCreateQueryIn message request from a client, the server MUST check if the client is in the list of connected clients.</t>
  </si>
  <si>
    <t>When the server receives a CPMCreateQueryIn message request from a client, the server MUST report a STATUS_INVALID_PARAMETER (0xC000000D) error if the client is not in the list of connected clients.</t>
  </si>
  <si>
    <t>When the server receives a CPMCreateQueryIn message request from a client, the server MUST check if the client already has a query associated with it.</t>
  </si>
  <si>
    <t>When the server receives a CPMCreateQueryIn message request from a client, the server MUST report a STATUS_INVALID_PARAMETER (0xC000000D) error if the client already has a query associated with it.</t>
  </si>
  <si>
    <t>When the server receives a CPMCreateQueryIn message request from a client, the server MUST check if the catalog associated with the client is in a state that allows the query to be processed (CICAT_READONLY or CICAT_WRITABLE).</t>
  </si>
  <si>
    <t>When the server receives a CPMCreateQueryIn message request from a client, the server MUST report a QUERY_S_NO_QUERY (0x8004160C) error if the catalog associated with the client is not in a state that allows the query to be processed.</t>
  </si>
  <si>
    <t>When the server receives a CPMCreateQueryIn message request from a client, the server MUST parse the restriction set, sort orders, and groupings that are specified in the query.</t>
  </si>
  <si>
    <t>When the server receives a CPMCreateQueryIn message request from a client, the server MUST report an appropriate error if the server encounters an error while parsing the restriction set, sort orders, and groupings that are specified in the query.</t>
  </si>
  <si>
    <t>When the server receives a CPMCreateQueryIn message request from a client, the server MUST report the error encountered if parsing the restriction set, sort orders, and groupings that are specified in the query fails for any other reason.</t>
  </si>
  <si>
    <t>When the server receives a CPMCreateQueryIn message request from a client, the server MUST save the search query in the state for the client.</t>
  </si>
  <si>
    <t>When the server receives a CPMCreateQueryIn message request from a client, the server MUST make any preparations needed to serve rows to a client and associate the query with appropriate cursor handles.</t>
  </si>
  <si>
    <t>When the server receives a CPMCreateQueryIn message request from a client, the server MUST add the cursor handles to the client's list of cursor handles, and initialize lists of chapter handles and bookmarks.</t>
  </si>
  <si>
    <t>When the server receives a CPMCreateQueryIn message request from a client, the server MUST initialize the list of chapter handles for every cursor in this query to DB_NULL_HCHAPTER</t>
  </si>
  <si>
    <t>When the server receives a CPMCreateQueryIn message request from a client, the server MUST initialize the list of bookmark handles for every cursor in this query to a set of DBBMK_FIRST and DBBMK_LAST.</t>
  </si>
  <si>
    <t>When the server receives a CPMCreateQueryIn message request from a client, the server MUST mark the query as not monitored for changes.</t>
  </si>
  <si>
    <t>When the server receives a CPMCreateQueryIn message request from a client, it MUST Initialize the number of rows to the currently calculated number of rows, and initialize the numerator and denominator of a query-completion ratio used to indicate the completion percentage of the query.</t>
  </si>
  <si>
    <t>When the server receives a CPMCreateQueryIn message request from a client, the server MUST respond to the client with a CPMCreateQueryOut message.</t>
  </si>
  <si>
    <t>3.1.5.2.3</t>
  </si>
  <si>
    <t>When the server receives a CPMGetQueryStatusIn message request from a client, the server MUST check whether the client has a query associated with it.</t>
  </si>
  <si>
    <t>When the server receives a CPMGetQueryStatusIn message request from a client, the server MUST report a STATUS_INVALID_PARAMETER (0xC000000D) error if the client do not have a query associated with it.</t>
  </si>
  <si>
    <t>When the server receives a CPMGetQueryStatusIn message request from a client, the server MUST check whether the cursor handle is in a list of the client's cursor handles.</t>
  </si>
  <si>
    <t>When the server receives a CPMGetQueryStatusIn message request from a client, the server MUST report an E_FAIL (0x80004005) error if the cursor handle  is not in the list of the client's cursor handles.</t>
  </si>
  <si>
    <t>When the server receives a CPMGetQueryStatusIn message request from a client, the server MUST prepare a CPMGetQueryStatusOut message.</t>
  </si>
  <si>
    <t>When the server receives a CPMGetQueryStatusIn message request from a client, the server MUST retrieve the current query status and set it in the _QStatus field.</t>
  </si>
  <si>
    <t>When the server receives a CPMGetQueryStatusIn message request from a client, the server MUST report an error if it fails to retrieve current query status and set it in _Qstatus field for any reason.</t>
  </si>
  <si>
    <t>When the server receives a CPMGetQueryStatusIn message request from a client, the server MUST respond to the client with the CPMGetQueryStatusOut message.</t>
  </si>
  <si>
    <t>3.1.5.2.4</t>
  </si>
  <si>
    <t>When the server receives a CPMGetQueryStatusExIn message request from a client, the server MUST check whether the client has a query associated with it.</t>
  </si>
  <si>
    <t>When the server receives a CPMGetQueryStatusExIn message request from a client, the server MUST report a STATUS_INVALID_PARAMETER (0xC000000D) error if the client do not have a query associated with it.</t>
  </si>
  <si>
    <t>When the server receives a CPMGetQueryStatusExIn message request from a client, the server MUST check whether the cursor handle passed is in a list of the client's cursor handles</t>
  </si>
  <si>
    <t>When the server receives a CPMGetQueryStatusExIn message request from a client, the server MUST report an E_FAIL (0x80004005) error if the cursor handle passed is not in a list of the client's cursor handles.</t>
  </si>
  <si>
    <t>When the server receives a CPMGetQueryStatusExIn message request from a client, the server MUST Prepare a CPMGetQueryStatusExOut message.</t>
  </si>
  <si>
    <t>When the server receives a CPMGetQueryStatusExIn message request from a client, the server MUST retrieve the current query status and query progress and set QStatus, _dwRatioFinishedDenominator and _dwRatioFinishedNumerator respectively.</t>
  </si>
  <si>
    <t>When the server receives a CPMGetQueryStatusExIn message request from a client, the server MUST set the number of rows in the query results to _cRowsTotal.</t>
  </si>
  <si>
    <t>When the server receives a CPMGetQueryStatusExIn message request from a client, the server MUST report that an error was encountered if it fails to set values in the CPMGetQueryStatusExOut message.</t>
  </si>
  <si>
    <t>When the server receives a CPMGetQueryStatusExIn message request from a client, the server MUST retrieve information about the client's catalog and fill in _cFilteredDocuments and _cDocumentsToFilter.</t>
  </si>
  <si>
    <t>When the server receives a CPMGetQueryStatusExIn message request from a client, the server MUST report an error if it fails to retrieve information about the client's catalog and fill in _cFilteredDocuments and _cDocumentsToFilter.</t>
  </si>
  <si>
    <t>When the server receives a CPMGetQueryStatusExIn message request from a client, the server MUST retrieve the position of the bookmark indicated by the handle in the _bmk field, and fill in the remaining _iRowBmk field in the CPMGetQueryStatusExOut message.</t>
  </si>
  <si>
    <t>When the server receives a CPMGetQueryStatusExIn message request from a client, the server MUST report that an error was encountered if it fails to fill in the remaining _iRowBmk field.</t>
  </si>
  <si>
    <t>When the server receives a CPMGetQueryStatusExIn message request from a client, the server MUST respond to the client with the CPMGetQueryStatusExOut message.</t>
  </si>
  <si>
    <t>3.1.5.2.5</t>
  </si>
  <si>
    <t>When the server receives a CPMRatioFinishedIn message request from a client, the server MUST check whether the client has a query associated with it.</t>
  </si>
  <si>
    <t>When the server receives a CPMRatioFinishedIn message request from a client, the server MUST report a STATUS_INVALID_PARAMETER (0xC000000D) error if the client doesn’t have a query associated with it.</t>
  </si>
  <si>
    <t>When the server receives a CPMRatioFinishedIn message request from a client, the server MUST check whether the cursor handle passed is in the list of the clients cursor handles.</t>
  </si>
  <si>
    <t>When the server receives a CPMRatioFinishedIn message request from a client, the server MUST report an E_FAIL (0x80004005) error if the cursor handle passed is not in the list of the clients cursor handles.</t>
  </si>
  <si>
    <t>When the server receives a CPMRatioFinishedIn message request from a client, the server MUST prepare a CPMRatioFinishedOut message.</t>
  </si>
  <si>
    <t>When the server receives a CPMRatioFinishedIn message request from a client, the server MUST retrieve the client's query status and fill in the _ulNumerator, _ulDenominator, and _cRows fields.</t>
  </si>
  <si>
    <t>When the server receives a CPMRatioFinishedIn message request from a client, the server MUST report that an error was encountered it it fails to retrieve the client's query status and fill in the _ulNumerator, _ulDenominator, and _cRows fields.</t>
  </si>
  <si>
    <t>When the server receives a CPMRatioFinishedIn message request from a client, the server MUST set _fNewRows to 0x00000000 if _cRows is equal to the last reported number of rows for this query; otherwise set it to 0x00000001.</t>
  </si>
  <si>
    <t>When the server receives a CPMRatioFinishedIn message request from a client, the server MUST update the last reported number of rows for this query to the value of _cRows.</t>
  </si>
  <si>
    <t>When the server receives a CPMRatioFinishedIn message request from a client, the server MUST respond to the client with the CPMRatioFinishedOut message</t>
  </si>
  <si>
    <t>3.1.5.2.6</t>
  </si>
  <si>
    <t>When the server receives a CPMGetRowsIn message request from a client, the server MUST check whether the client has a query associated with it.</t>
  </si>
  <si>
    <t>When the server receives a CPMGetRowsIn message request from a client, the server MUST report a STATUS_INVALID_PARAMETER (0xC000000D) error if the client do not have a query associated with it.</t>
  </si>
  <si>
    <t>When the server receives a CPMGetRowsIn message request from a client, the server MUST Check if the cursor handle passed is in the list of the clients cursor handles.</t>
  </si>
  <si>
    <t>When the server receives a CPMGetRowsIn message request from a client, the server MUST report an E_FAIL (0x80004005) error if the cursor handle passed is not in the list of the clients cursor handles.</t>
  </si>
  <si>
    <t>When the server receives a CPMGetRowsIn message request from a client, the server MUST check whether the client has a current set of bindings.</t>
  </si>
  <si>
    <t>When the server receives a CPMGetRowsIn message request from a client, the server MUST report an E_FAIL (0x80004005) error if the client doesn’t have the current set of bindings.</t>
  </si>
  <si>
    <t>When the server receives a CPMGetRowsIn message request from a client, the server MUST prepare a CPMGetRowsOut message.</t>
  </si>
  <si>
    <t>When the server receives a CPMGetRowsIn message request from a client, the server MUST position the cursor in the query results as indicated by the seek description.</t>
  </si>
  <si>
    <t>When the server receives a CPMGetRowsIn message request from a client, the server MUST fetch as many rows as fit in a buffer, the size of which is indicated by _cbReadBuffer, but not more than indicated by _cRowsToTransfer.</t>
  </si>
  <si>
    <t>When the server receives a CPMGetRowsIn message request from a client, the server MUST compare each selected column's property value type to the type that is specified in the client's current set of bindings when fetching rows.</t>
  </si>
  <si>
    <t>If the type in the binding is not VT_VARIANT, the server MUST attempt to convert the column's property value to that type.when the server receives a CPMGetRowsIn message request from a client.</t>
  </si>
  <si>
    <t>If the DBPROP_USEEXTENDEDDBTYPES flag is set in the client's DBPROPSET_QUERYEXT property set, or if the column's property value is not a VT_VECTOR type, the property value MUST be returned in its normal type when the server receives a CPMGetRowsIn message request from a client.</t>
  </si>
  <si>
    <t>When the server receives a CPMGetRowsIn message request from a client, if the server has a VT_VECTOR type, and the client does not support VT_Vector, the server MUST attempt to convert it to a VT_ARRAY type as follows:
-- VT_I8, VT_UI8, VT_FILETIME, and VT_CLSID array elements cannot be converted and instead fail.
-- VT_LPSTR and VT_LPWSTR array elements MUST be converted to VT_BSTR.
-- Array elements of all other types MUST remain unchanged.</t>
  </si>
  <si>
    <t>If row columns contain chapter handle or bookmark handle, the server MUST update the corresponding lists when the server receives a CPMGetRowsIn message request from a client.</t>
  </si>
  <si>
    <t>When the server receives a CPMGetRowsIn message request from a client, the server MUST report that an error was encountered if it fails to update the corresponding lists when the row columns contain chapter handle or bookmark handle.</t>
  </si>
  <si>
    <t>When the server receives a CPMGetRowsIn message request from a client, the server MUST store the actual number of rows fetched in _cRowsReturned.</t>
  </si>
  <si>
    <t>When the server receives a CPMGetRowsIn message request from a client, the server MUST copy the seek description and chapter field from CPMGetRowsIn to a CPMGetRowsOut message to be sent.</t>
  </si>
  <si>
    <t>When the server receives a CPMGetRowsIn message request from a client, the server MUST Store fetched rows in the Rows field.</t>
  </si>
  <si>
    <t>When the server receives a CPMGetRowsIn message request from a client, if StatusUsed is set to 0x01 in the CTableColumn of the CPMSetBindingIn message for the column, the server MUST set the status byte to either 0x00 or 0x01 or 0x02.</t>
  </si>
  <si>
    <t>When the server receives a CPMGetRowsIn message request from a client, the server MUST respond to the client with the CPMGetRowsOut message.</t>
  </si>
  <si>
    <t>When the server receives a CPMGetRowsIn message request from a client, if the property value is absent in the CPMGetRowsOut message to be sent by the server, it MUST set the status byte to StatusNull.</t>
  </si>
  <si>
    <t>When the server receives a CPMGetRowsIn message request from a client, if the property value is value is too big to be transferred in the CPMGetRowsOut message to be sent by the server, it MUST set the status byte toStatusDeferred.</t>
  </si>
  <si>
    <t>When the server receives a CPMGetRowsIn message request from a client, if the property value is present and is not too big in the CPMGetRowsOut message to be sent by the server, it MUST set the status byte to StatusOK.</t>
  </si>
  <si>
    <t>3.1.5.2.7</t>
  </si>
  <si>
    <t>When the server receives a CPMFetchValueIn message request from a client, the server MUST check whether the client has a query associated with it.</t>
  </si>
  <si>
    <t>When the server receives a CPMFetchValueIn message request from a client, the server MUST report a STATUS_INVALID_PARAMETER (0xC000000D) error if the client doesn't have a query associated with it.</t>
  </si>
  <si>
    <t>When the server receives a CPMFetchValueIn message request from a client, the server MUST  prepare a CPMFetchValueOut message.</t>
  </si>
  <si>
    <t>When the server receives a CPMFetchValueIn message request from a client, the server MUST report an error if it fails to prepare CPMFetchValueOut message.</t>
  </si>
  <si>
    <t>When the server receives a CPMFetchValueIn message request from a client, the server MUST find the document indicated by the _wid field and check if the property ID for this document indicated by the PropSpec structure is available for this client.</t>
  </si>
  <si>
    <t>When the server receives a CPMFetchValueIn message request from a client, if the property ID value is not available, the server MUST set _fValueExists to 0x00000000.</t>
  </si>
  <si>
    <t>When the server receives a CPMFetchValueIn message request from a client, the server MUST  if the property ID value is available, the server MUST set _fValueExists to 0x00000001.</t>
  </si>
  <si>
    <t>When the server receives a CPMFetchValueIn message request from a client, the server MUST report an error if it fails to check the property ID value.</t>
  </si>
  <si>
    <t>When the server receives a CPMFetchValueIn message request from a client, if _fValueExists is equal to 0x00000001, the server MUST serialize the property value to a SERIALIZEDPROPERTYVALUE structure and copy, starting from the _cbSoFar offset, at most _cbChunk bytes (but not past the end of the serialized property) to the vValue field.</t>
  </si>
  <si>
    <t>When the server receives a CPMFetchValueIn message request from a client, the server MUST report an error if it fails to serialize the property value or copy the value to vValue field.</t>
  </si>
  <si>
    <t>When the server receives a CPMFetchValueIn message request from a client, if _fValueExists is equal to 0x00000001, the server MUST set _cbValue to the number of bytes copied.</t>
  </si>
  <si>
    <t>When the server receives a CPMFetchValueIn message request from a client, if _fValueExists is equal to 0x00000001, the server MUST set vType to the property type of the property value.</t>
  </si>
  <si>
    <t>When the server receives a CPMFetchValueIn message request from a client,  if _fValueExists is equal to 0x00000001 and if the length of the serialized property is greater than _cbSoFar added to _cbValue, the server MUST set _fMoreExists to 0x00000001.</t>
  </si>
  <si>
    <t>When the server receives a CPMFetchValueIn message request from a client,  if _fValueExists is equal to 0x00000001 and if the length of the serialized property is not greater than _cbSoFar added to _cbValue, the server MUST set _fMoreExists to 0x00000000.</t>
  </si>
  <si>
    <t>When the server receives a CPMFetchValueIn message request from a client, the server MUST respond to the client with the CPMFetchValueOut message.</t>
  </si>
  <si>
    <t>3.1.5.2.8</t>
  </si>
  <si>
    <t>When the server receives a CPMSetBindingsIn message request from a client, the server MUST check whether the client has a query associated with it.</t>
  </si>
  <si>
    <t>When the server receives a CPMSetBindingsIn message request from a client, the server MUST report a STATUS_INVALID_PARAMETER (0xC000000D) error if the client does not have a query associated with it.</t>
  </si>
  <si>
    <t>When the server receives a CPMSetBindingsIn message request from a client, the server MUST check whether the cursor handle passed is in the list of the client's cursor handles.</t>
  </si>
  <si>
    <t>When the server receives a CPMSetBindingsIn message request from a client, the server MUST report an E_FAIL (0x80004005) error if the cursor handle passed is not there in the list of the client's cursor handles.</t>
  </si>
  <si>
    <t>When the server receives a CPMSetBindingsIn message request from a client, the server MUST verify that bindings information is valid.</t>
  </si>
  <si>
    <t>When the server receives a CPMSetBindingsIn message request from a client, the server MUST report a DB_E_BADBINDINFO (0x80040E08) error if the bindings information is not valid.</t>
  </si>
  <si>
    <t>When the server receives a CPMSetBindingsIn message request from a client, the server MUST save the binding information associated with the columns specified in the aColumns field.</t>
  </si>
  <si>
    <t>When the server receives a CPMSetBindingsIn message request from a client, the server MUST report that an error was encountered if it fails to save the binding information.</t>
  </si>
  <si>
    <t>When the server receives a CPMSetBindingsIn message request from a client, the server MUST respond to the client with a message header (only) with _msg set to CPMSetBindingsIn, and _status set to the results of the specified binding.</t>
  </si>
  <si>
    <t>3.1.5.2.9</t>
  </si>
  <si>
    <t>When the server receives a CPMGetNotify message from a client, the server MUST check whether the client has a query associated with it.</t>
  </si>
  <si>
    <t>When the server receives a CPMGetNotify message from a client, the server MUST  report a STATUS_INVALID_PARAMETER (0xC000000D) error if the client doesn't have a query associated with it.</t>
  </si>
  <si>
    <t>When the server receives a CPMGetNotify message from a client, if there were no changes in the query result set since the last CPMSendNotifyOut message for this client, or if the query is not currently monitored for changes in the results set, the server MUST respond with a CPMGetNotify message and start to monitor the query for changes in the results set.</t>
  </si>
  <si>
    <t>When the server receives a CPMGetNotify message from a client, if there is a change in the query results set since the last CPMSendNotifyOut message, the server MUST send exactly one CPMSendNotifyOut message to the client.</t>
  </si>
  <si>
    <t>When the server receives a CPMGetNotify message from a client, if there is a change in the query results set since the last CPMSendNotifyOut message, the server MUST   specify the change in the _watchNotify field.</t>
  </si>
  <si>
    <t>When the server receives a CPMGetNotify message from a client, in the case of many changes to query results, DBWATCHNOTIFY_ROWSCHANGED takes priority (that is, if the query was performed, re-executed, and then the number of rows changed and the query was performed again, then the event reported would be DBWATCHNOTIFY_ROWSCHANGED).</t>
  </si>
  <si>
    <t>3.1.5.2.10</t>
  </si>
  <si>
    <t>When the server receives a CPMGetApproximatePositionIn message request from the client, the server MUST check whether the client has a query associated with it.</t>
  </si>
  <si>
    <t>When the server receives a CPMGetApproximatePositionIn message request from the client, the server MUST  report a STATUS_INVALID_PARAMETER (0xC000000D) error if the client does not have a query associated with it.</t>
  </si>
  <si>
    <t>When the server receives a CPMGetApproximatePositionIn message request from the client, the server MUST check whether the cursor handle, chapter handle, and bookmark handle passed are in corresponding lists.</t>
  </si>
  <si>
    <t>When the server receives a CPMGetApproximatePositionIn message request from the client, the server MUST report an E_FAIL (0x80004005) if the cursor handle or chapter handle or bookmark handle passed are not in corresponding lists.</t>
  </si>
  <si>
    <t>When the server receives a CPMGetApproximatePositionIn message request from the client, the server MUST find a row that is associated with the bookmark handle in the query results and approximate the position of the row in the rowset, referred to by the chapter handle, and determine the numerator and denominator for the position.</t>
  </si>
  <si>
    <t>When the server receives a CPMGetApproximatePositionIn message request from the client,when the chapter handle is DB_NULL_HCHAPTER, the corresponding chapter is the main rowset of the query.</t>
  </si>
  <si>
    <t>When the server receives a CPMGetApproximatePositionIn message request from the client, the server MUST report an error if it fails to find a row that is associated with the bookmark handle in the query results.</t>
  </si>
  <si>
    <t>When the server receives a CPMGetApproximatePositionIn message request from the client, the server MUST respond to the client with a CPMGetApproximatePositionOut message.</t>
  </si>
  <si>
    <t>3.1.5.2.11</t>
  </si>
  <si>
    <t>When the server receives a CPMCompareBmkIn message request from the client, the server MUST check whether the client has a query associated with it.</t>
  </si>
  <si>
    <t>When the server receives a CPMCompareBmkIn message request from the client, the server MUST report a STATUS_INVALID_PARAMETER (0xC000000D) error if the client doesn't have a query associated with it.</t>
  </si>
  <si>
    <t>When the server receives a CPMCompareBmkIn message request from the client, the server MUST check if the cursor handle, chapter handle and bookmark handles passed are in corresponding lists.</t>
  </si>
  <si>
    <t>When the server receives a CPMCompareBmkIn message request from the client, the server MUST report an E_FAIL (0x80004005) error if the cursor handle, chapter handle and bookmark handles passed are not in corresponding lists.</t>
  </si>
  <si>
    <t>When the server receives a CPMCompareBmkIn message request from the client, the server MUST prepare a CPMCompareBmkOut message.</t>
  </si>
  <si>
    <t>When the server receives a CPMCompareBmkIn message request from the client, if the bookmark handles are equal, _dwComparison MUST be set to DBCOMPARE_EQ in CPMCompareBmkOut message.</t>
  </si>
  <si>
    <t>When the server receives a CPMCompareBmkIn message request from the client, if one of the bookmark handles is DBBMK_FIRST or DBBMK_LAST, _dwComparison MUST be set to DBCOMPARE_NE in CPMCompareBmkOut message..</t>
  </si>
  <si>
    <t>When the server receives a CPMCompareBmkIn message request from the client, while preparing CPMCompareBmkOut message if the bookmarks are not equal and if none of the book marks is not DBBMK_FIRST or DBBMK_LAST, the server MUST  find rows that are referred to by each bookmark handle in the query results.</t>
  </si>
  <si>
    <t>When the server receives a CPMCompareBmkIn message request from the client, while preparing CPMCompareBmkOut message if the bookmarks are not equal and if none of the book marks is not DBBMK_FIRST or DBBMK_LAST, and if any one of the rows is not in the chapter indicated by the chapter handle in CPMCompareBmkIn, then _dwComparison MUST be set to DBCOMPARE_NOTCOMPARABLE.</t>
  </si>
  <si>
    <t>When the server receives a CPMCompareBmkIn message request from the client, while preparing CPMCompareBmkOut message if the bookmarks are not equal and if none of the book marks is not DBBMK_FIRST or DBBMK_LAST, when both rows are in the same chapter, the server MUST approximate a position of those rows in the rowset referred to by this chapter's handle.</t>
  </si>
  <si>
    <t>When the server receives a CPMCompareBmkIn message request from the client, while preparing CPMCompareBmkOut message if the bookmarks are not equal and if none of the book marks is not DBBMK_FIRST or DBBMK_LAST, when both rows are in the same chapter, the server MUST compare position values and set _dwComparison to DBCOMPARE_LT if the position of the first row is smaller than the position of the second row.</t>
  </si>
  <si>
    <t>When the server receives a CPMCompareBmkIn message request from the client, while preparing CPMCompareBmkOut message if the bookmarks are not equal and if none of the book marks is not DBBMK_FIRST or DBBMK_LAST, when both rows are in the same chapter, the server MUST compare position values and set _dwComparison to DBCOMPARE_GT if the position of the first row is greater than the position of the second row.</t>
  </si>
  <si>
    <t>When the server receives a CPMCompareBmkIn message request from the client, the server MUST respond to the client with the filled CPMCompareBmkOut message</t>
  </si>
  <si>
    <t>3.1.5.2.12</t>
  </si>
  <si>
    <t>When the server receives the CPMRestartPositionIn message request from the client, the server MUST check whether the client has a query associated with it.</t>
  </si>
  <si>
    <t>When the server receives the CPMRestartPositionIn message request from the client, the server MUST report a STATUS_INVALID_PARAMETER (0xC000000D) error if the client doesn't have the query associated with it.</t>
  </si>
  <si>
    <t>When the server receives the CPMRestartPositionIn message request from the client, the server MUST check whether the cursor handle and chapter handle passed are in corresponding lists.</t>
  </si>
  <si>
    <t>When the server receives the CPMRestartPositionIn message request from the client, the server MUST report an E_FAIL (0x80004005) error if the cursor handle and chapter handle passed are not in corresponding lists.</t>
  </si>
  <si>
    <t>When the server receives the CPMRestartPositionIn message request from the client, move the cursor to the beginning of the chapter, identified by the chapter handle. Note that when the chapter handle is DB_NULL_HCHAPTER, the corresponding chapter is the main rowset of the query.</t>
  </si>
  <si>
    <t>When the server receives the CPMRestartPositionIn message request from the client, the server MUST report an error if any error occurs while moving the cursor to beginning of the chapter.</t>
  </si>
  <si>
    <t>When the server receives the CPMRestartPositionIn message request from the client, the server MUST respond to the client with a CPMRestartPositionIn message.</t>
  </si>
  <si>
    <t>3.1.5.2.13</t>
  </si>
  <si>
    <t>When the server receives a CPMStopAsynchIn message request from the client, the server MUST check whether the client has a query associated with it.</t>
  </si>
  <si>
    <t>When the server receives a CPMStopAsynchIn message request from the client, the server MUST report a STATUS_INVALID_PARAMETER (0xC000000D) error if the client doesnot have a query associated with it.</t>
  </si>
  <si>
    <t>When the server receives a CPMStopAsynchIn message request from the client, the server MUST check whether the cursor handle passed is in the list of the client's cursor handles and the cursor was created with the eAsynchronous flag (0x00000008) set.</t>
  </si>
  <si>
    <t>When the server receives a CPMStopAsynchIn message request from the client, the server MUST report an E_FAIL (0x80004005) error if the handle is not in the list of client's cursor handles or if the cursor was not created with the eAynchronous flag set.</t>
  </si>
  <si>
    <t>When the server receives a CPMStopAsynchIn message request from the client, the server MUST stop asynchronous query processing.</t>
  </si>
  <si>
    <t>When the server receives a CPMStopAsynchIn message request from the client, the server MUST respond to the client with the message header for the CPMStopAsynchIn, and set the _status field to the result of the action : stopping asynchronous query processing.</t>
  </si>
  <si>
    <t>3.1.5.2.14</t>
  </si>
  <si>
    <t>When the server receives a CPMFreeCursorIn message request from the client, the server MUST check whether the client has a query associated with it.</t>
  </si>
  <si>
    <t>When the server receives a CPMFreeCursorIn message request from the client, the server MUST report a STATUS_INVALID_PARAMETER (0xC000000D) error if the client doesnot have a query associated with it.</t>
  </si>
  <si>
    <t>When the server receives a CPMFreeCursorIn message request from the client, the server MUST check whether the cursor handle passed is in the list of the client's cursor handles.</t>
  </si>
  <si>
    <t>When the server receives a CPMFreeCursorIn message request from the client, the server MUST report an E_FAIL (0x80004005) error if the cursor handle passed is not in the list of the client's cursor handles.</t>
  </si>
  <si>
    <t>When the server receives a CPMFreeCursorIn message request from the client, the server MUST release the cursor and associated resources for this cursor handle.</t>
  </si>
  <si>
    <t>When the server receives a CPMFreeCursorIn message request from the client, the server MUST remove the cursor from the list of cursors for that client.</t>
  </si>
  <si>
    <t>When the server receives a CPMFreeCursorIn message request from the client, the server MUST respond with a CPMFreeCursorOut message.</t>
  </si>
  <si>
    <t>When the server receives a CPMFreeCursorIn message request from the client, if there are no more cursors for this client, the server MUST release the query and associated resources.</t>
  </si>
  <si>
    <t>3.1.5.2.15</t>
  </si>
  <si>
    <t>When the server receives a CPMDisconnect message request from the client, the server MUST remove the client from the list of connected clients and release all resources associated with the client.</t>
  </si>
  <si>
    <t>3.1.7</t>
  </si>
  <si>
    <t>When the server is stopped, it MUST first transition to the "shutting down" state.</t>
  </si>
  <si>
    <t>The server when in "shutting down" state, MUST stop listening to the pipe, perform any other implementation-specific shutdown tasks, and then transition into the "stopped" state.</t>
  </si>
  <si>
    <t>3.2.4</t>
  </si>
  <si>
    <t>When a request is received from a higher layer, the client MUST create a named pipe connection to the server.</t>
  </si>
  <si>
    <t>If the client fails to create a named pipe connection to the server, the higher-layer request MUST be failed.</t>
  </si>
  <si>
    <t>In case of a failure to connect, it is the responsibility of the higher level to retry.</t>
  </si>
  <si>
    <t>A header MUST be pre-pended with fields set. (msg, _status, _ulChecksum, _ulReserved2)</t>
  </si>
  <si>
    <t>The contents of the message after the _ulReserved2 field in the message header MUST be interpreted as a sequence of 32-bit integers.</t>
  </si>
  <si>
    <t>The _ulChecksum value MUST be calculated as :The client MUST calculate the sum of the numeric values of the message after the _ulReserved2 field. Calculate the bitwise XOR of this value with 0x59533959. Subtract the value given by _msg from the value that results from the bitwise XOR.</t>
  </si>
  <si>
    <t>3.2.4.1</t>
  </si>
  <si>
    <t>There is no message sequence enforced by the client for the Windows Search Protocol message requests for remotely managing the catalog.</t>
  </si>
  <si>
    <t>The server will only reply with success if the client previously connected by means of a CPMConnectIn message.</t>
  </si>
  <si>
    <t>R632 R635 R643 R657 R674 R682 R695 R705 R729</t>
  </si>
  <si>
    <t>R631 R634 R642 R656 R673 R681 R694 R704 R728</t>
  </si>
  <si>
    <t>3.2.4.1.1</t>
  </si>
  <si>
    <t>The higher layer asks the protocol client to send a CPMCiStateInOut message when it requires information about the Windows Search service on the server.</t>
  </si>
  <si>
    <t>When requested to send the CPMCiStateInOut message, the client MUST send a CPMCiStateInOut message to the server.</t>
  </si>
  <si>
    <t>R630</t>
  </si>
  <si>
    <t xml:space="preserve">R631 </t>
  </si>
  <si>
    <t>When requested to send the CPMCiStateInOut message, the client MUST wait to receive a CPMCiStateInOut message from the server, silently discarding all other messages.</t>
  </si>
  <si>
    <t xml:space="preserve">When requested to send the CPMCiStateInOut message, the client MUST report the value of the _status field of the response. </t>
  </si>
  <si>
    <t>When requested to send the CPMCiStateInOut message, the client MUST report the informational structure back to the higher layer if it successfully reports the value of the _status field..</t>
  </si>
  <si>
    <t>3.2.4.1.2</t>
  </si>
  <si>
    <t>The higher layer typically asks to send the CPMUpdateDocumentsIn message when it needs to either update documents in an existing path or add a new file path to the inverted index. Thus the higher layer is to provide the path and type of scan, which is specified in section 2.2.3.2, where an incremental or full update is meant for existing paths and new initialization is meant for new paths.</t>
  </si>
  <si>
    <t>After receiving request to send CPMUpdateDocumentsIn message, the client MUST send a CPMUpdateDocumentsIn message to the server.</t>
  </si>
  <si>
    <t>After receiving request to send CPMUpdateDocumentsIn message, the client MUST wait to receive a CPMUpdateDocumentsIn message back from the server, silently discarding all other messages.</t>
  </si>
  <si>
    <t>R633</t>
  </si>
  <si>
    <t>R634</t>
  </si>
  <si>
    <t>After receiving request to send CPMUpdateDocumentsIn message, the client MUST report the value of the _status field of the response back to the higher layer.</t>
  </si>
  <si>
    <t>3.2.4.1.3</t>
  </si>
  <si>
    <t>The higher layer makes a request to send a CPMForceMergeIn Request message when there is a need to improve query performance, or it is a part of scheduled Windows Search service maintenance.</t>
  </si>
  <si>
    <t>When requested to send the CPMForceMergeIn message, the client MUST send a CPMForceMergeIn message to the server.</t>
  </si>
  <si>
    <t>R641</t>
  </si>
  <si>
    <t>R642</t>
  </si>
  <si>
    <t>When requested to send the CPMForceMergeIn message, the client MUST wait to receive a CPMUpdateDocumentsIn message back from the server, silently discarding all other messages.</t>
  </si>
  <si>
    <t>When requested to send the CPMForceMergeIn message, the client MUST report the value of the _status field of the response back to the higher layer.</t>
  </si>
  <si>
    <t>3.2.4.2</t>
  </si>
  <si>
    <t>With the exception of CPMGetRowsIn/CPMGetRowsOut, and CPMFetchValueIn/CPMFetchValueOut, there is a one-to-one relationship between the Windows Search Protocol messages and higher-layer requests.</t>
  </si>
  <si>
    <t>For the two CPMGetRowsIn/CPMGetRowsOut, and CPMFetchValueIn/CPMFetchValueOut , there can be multiple messages generated by the client to either satisfy size requirements or to retrieve a complete property.</t>
  </si>
  <si>
    <t>The higher layer typically keeps track of all query-specific information (such as cursor handles opened, legal values for bookmark and chapter handles, and _wid values for deferred property values) and also tracks if the client is in a connected state, but this is not enforced in any way by the client.</t>
  </si>
  <si>
    <t>3.2.4.2.1</t>
  </si>
  <si>
    <t>The message CPMConnectIn is typically the very first request from the higher layer. The higher level provides the protocol client with information necessary to connect.</t>
  </si>
  <si>
    <t>When requested to send the CPMConnectIn message, the client MUST fill in the message, using information provided by the higher-layer client in _iClientVersion, MachineName, UserName, PropertySet1, PropertySet2, and aPropertySet.</t>
  </si>
  <si>
    <t>When requested to send the CPMConnectIn message, the client MUST set _fClientIsRemote, _cbBlob, _cbBlob2, cPropSet, and cExtPropSet.</t>
  </si>
  <si>
    <t>When requested to send the CPMConnectIn message, the client MUST set the checksum in the _ulChecksum field.</t>
  </si>
  <si>
    <t>When requested to send the CPMConnectIn message, the client MUST send the CPMConnectIn message to the server.</t>
  </si>
  <si>
    <t>When requested to send the CPMConnectIn message, the client MUST wait to receive a CPMConnectOut message back from the server, silently discarding all other messages.</t>
  </si>
  <si>
    <t>When requested to send the CPMConnectIn message, the client MUST report the value of the _status field of the response and, if it was successful, report the value of the _serverVersion back to the higher layer.</t>
  </si>
  <si>
    <t>It is expected that higher layers will typically use remote Windows Search service catalog management messages for administrative tasks upon successful connection, but these are not enforced by the Windows Search Protocol client.</t>
  </si>
  <si>
    <t>It is expected that higher layers will typically use a CPMCreateQueryIn request to create a search query for the purpose of retrieving results from the catalog upon successful connection, but these are not enforced by the Windows Search Protocol client.</t>
  </si>
  <si>
    <t>3.2.4.2.2</t>
  </si>
  <si>
    <t>The higher layer will typically provide information for the query creation after the protocol client is connected. The higher layer provides the client with a restrictions set, column set, sort order rules, and categorization set (each of which can be omitted), rowset properties, and property ID mapper structure.</t>
  </si>
  <si>
    <t>When the request CPMCreateQueryIn is received from a higher layer, the client MUST prepare a CPMCreateQueryIn.</t>
  </si>
  <si>
    <t>When the request CPMCreateQueryIn is received from a higher layer, while preparing CPMCreateQueryIn, if a columns set is present, the client MUST set CColumnsSetPresent to 0x01 and fill the ColumnsSet field.</t>
  </si>
  <si>
    <t>When the request CPMCreateQueryIn is received from a higher layer, while preparing CPMCreateQueryIn, if restrictions are present, the client MUST set CRestrictionPresent to 0x01 and fill the Restriction field.</t>
  </si>
  <si>
    <t>When the request CPMCreateQueryIn is received from a higher layer, while preparing CPMCreateQueryIn, if a sort set is present, the client MUST fill the SortSet field.</t>
  </si>
  <si>
    <t>When the request CPMCreateQueryIn is received from a higher layer, while preparing CPMCreateQueryIn, if a categorization set is present, the client MUST set CSortSetPresent to 0x01 and fill the CategorizationSet field.</t>
  </si>
  <si>
    <t>When the request CPMCreateQueryIn is received from a higher layer, while preparing CPMCreateQueryIn, the client MUST set the rest of fields as specified.</t>
  </si>
  <si>
    <t>When the request CPMCreateQueryIn is received from a higher layer, the client MUST calculate _ulCheckSum field in the header.</t>
  </si>
  <si>
    <t>When the request CPMCreateQueryIn is received from a higher layer, the client MUST send the CPMCreateQueryIn message to the server.</t>
  </si>
  <si>
    <t>R655</t>
  </si>
  <si>
    <t>R656</t>
  </si>
  <si>
    <t>When the request CPMCreateQueryIn is received from a higher layer, the client MUST wait to receive the CPMCreateQueryOut message, silently discarding all other messages.</t>
  </si>
  <si>
    <t>When the request CPMCreateQueryIn is received from a higher layer, the client MUST report the value of the _status field of the response and, if it was successful, report the array of cursor handles and informative Boolean values back to the higher layer.</t>
  </si>
  <si>
    <t>3.2.4.2.3</t>
  </si>
  <si>
    <t>When the request CPMSetBindingsIn is received from the higher layer, the client MUST calculate the number of CTableColumn structures in the aColumns array, and set the cColumns field to this value.</t>
  </si>
  <si>
    <t>When the request CPMSetBindingsIn is received from the higher layer, the client MUST calculate the total size in bytes of the cColumns and aColumns fields, and set the _cbBindingDesc field to this value.</t>
  </si>
  <si>
    <t xml:space="preserve">When the request CPMSetBindingsIn is received from the higher layer, the client MUST set specified fields in the CPMSetBindingsIn message to the values provided by the higher application layer. </t>
  </si>
  <si>
    <t>When the request CPMSetBindingsIn is received from the higher layer, the client MUST set the _ulChecksum field to the value calculated.</t>
  </si>
  <si>
    <t>When the request CPMSetBindingsIn is received from the higher layer, the client MUST send the completed CPMSetBindingsIn message to the server.</t>
  </si>
  <si>
    <t>R742</t>
  </si>
  <si>
    <t>R743</t>
  </si>
  <si>
    <t>When the request CPMSetBindingsIn is received from the higher layer, the client MUST wait to receive a CPMSetBindingsIn message from server, discarding other messages.</t>
  </si>
  <si>
    <t>When the request CPMSetBindingsIn is received from the higher layer, the client MUST indicate the status from the _status field of the response to the higher layer.</t>
  </si>
  <si>
    <t>It is expected that higher layers will typically request a client to send a CPMGetRowsIn message, but this is not enforced by the Windows Search Protocol.</t>
  </si>
  <si>
    <t>3.2.4.2.4</t>
  </si>
  <si>
    <t>When the request CPMGetRowsIn is received from the higher layer, the client MUST Determine what unsigned integer value to specify for the _cbReadBuffer field.</t>
  </si>
  <si>
    <t>When the request CPMGetRowsIn is received from the higher layer, to get the value of _cbReadBuffer field the client MUST take the maximum value of, one thousand times the value of the c_RowsToTransfer field and Value of _cbRowWidth, rounded up to the nearest 512 byte multiple, up to the 16K limit. In cases where a single row is larger than 16K, the server cannot return results to this query.</t>
  </si>
  <si>
    <t>When the request CPMGetRowsIn is received from the higher layer, the client MUST specify a client base for variable-sized row data in the client address space in the _ulClientBase field.</t>
  </si>
  <si>
    <t xml:space="preserve">&lt;14&gt;In windows for a 32-bit client talking to a 32-bit server, or a 64-bit client talking to a 64-bit server, the value of _ulClientBase field is set to a memory address of the receiving buffer in the application process. This allows for pointers received in the Rows field of CPMGetRowsOut to be correct memory pointers in a client application process. </t>
  </si>
  <si>
    <t>&lt;14&gt;In windows the _ulClientBase field is set to 0x00000000 for the environment not having  32-bit client talking to a 32-bit server, or a 64-bit client talking to a 64-bit server.</t>
  </si>
  <si>
    <t>When the request CPMGetRowsIn is received from the higher layer, the client MUST calculate the size of the seek description and set it in the _cbSeek field.</t>
  </si>
  <si>
    <t>R710</t>
  </si>
  <si>
    <t>R711</t>
  </si>
  <si>
    <t>When the request CPMGetRowsIn is received from the higher layer, the client MUST Set the value of cbReserved to the value of _cbSeek plus 0x14.</t>
  </si>
  <si>
    <t>When the request CPMGetRowsIn is received from the higher layer, the client MUST send a CPMGetRowsIn message to the server.</t>
  </si>
  <si>
    <t>3.2.4.2.5</t>
  </si>
  <si>
    <t>If the client receives a CPMGetRowsOut response from the server with the column's Status field set to StatusDeferred (0x01), it means that the property value was not included in the Rows field of the CPMGetRowsOut message.</t>
  </si>
  <si>
    <t>If the client receives a CPMGetRowsOut response from the server with the column's Status field set to StatusDeferred (0x01), the higher layer typically asks the protocol client to retrieve the value by means of a CPMFetchValueIn message, and provides the PropSpec and _wid value for a deferred property, which the protocol client MUST use in the first CPMFetchValueIn message.</t>
  </si>
  <si>
    <t>If this is the first CPMFetchValueIn message the client has sent to request the specified property, the client MUST set all the fields in a message.</t>
  </si>
  <si>
    <t>R735</t>
  </si>
  <si>
    <t>R736</t>
  </si>
  <si>
    <t>If this is the first CPMFetchValueIn message the client has sent to request the specified property, the client MUST set _cbSoFar to 0x00000000.</t>
  </si>
  <si>
    <t>If this is the first CPMFetchValueIn message the client has sent to request the specified property, the client MUST set current bytes received to 0.</t>
  </si>
  <si>
    <t>If this is the first CPMFetchValueIn message the client has sent to request the specified property, the client MUST send the CPMFetchValueIn message to the server.</t>
  </si>
  <si>
    <t>3.2.4.2.6</t>
  </si>
  <si>
    <t>After the higher level is no longer using the search query, it can release the resources on the server by asking the client to send a CPMFreeCursorIn message.</t>
  </si>
  <si>
    <t>When the CPMFreeCursorIn request is received, the client MUST send a CPMFreeCursorIn message to the server containing the handle specified by the upper layer</t>
  </si>
  <si>
    <t>R791</t>
  </si>
  <si>
    <t>R792</t>
  </si>
  <si>
    <t>3.2.4.2.7</t>
  </si>
  <si>
    <t>If the higher layer has no more queries for the Windows Search service, to free up more server resources, the application may request that the client send a CPMDisconnect message to the server.</t>
  </si>
  <si>
    <t>When the client is requested for CPMDisconnect is received, it MUST simply send the message as requested. There is no response to this message from the server.</t>
  </si>
  <si>
    <t>3.2.5</t>
  </si>
  <si>
    <t>When the client receives a message response from the server, the client MUST use the Last Sent Message to determine if the message received from the server is the one expected by the client.</t>
  </si>
  <si>
    <t>All messages received by the client with the _msg field different from the one in the Last Sent Message MUST be ignored.</t>
  </si>
  <si>
    <t>3.2.5.1</t>
  </si>
  <si>
    <t>When the client receives a CPMCreateQueryOut message response from the server, the client MUST return _status, if the status is successfully, return the cursor handle values back to the higher layer.</t>
  </si>
  <si>
    <t>The cursor handles are returned in the following order: the first handle is to the unchaptered rowset and the second handle is to the first chaptered rowset.</t>
  </si>
  <si>
    <t>It is expected that higher layers can use CPMSetBindingsIn to set bindings for individual columns and perform any subsequent actions on query the path, but it is are not enforced by the Windows Search Protocol client.</t>
  </si>
  <si>
    <t>It is expected that higher layers can use CPMGetQueryStatusIn to check on the execution progress of a query., but it is are not enforced by the Windows Search Protocol client.</t>
  </si>
  <si>
    <t>It is expected that higher layers can use CPMRatioFinishedIn to request the completion percentage of the query, but it is are not enforced by the Windows Search Protocol client.</t>
  </si>
  <si>
    <t>3.2.5.2</t>
  </si>
  <si>
    <t>When the client receives a CPMGetRowsOut message response from the server, the client MUST check whether the _status field in the header indicates success or failure.</t>
  </si>
  <si>
    <t xml:space="preserve">When the client receives a CPMGetRowsOut message response from the server, if the _status value is STATUS_BUFFER_TOO_SMALL (0xC0000023), the client MUST check the Last Message Sent state. </t>
  </si>
  <si>
    <t>When the client receives a CPMGetRowsOut message response from the server, if the _status value is STATUS_BUFFER_TOO_SMALL  and Last Message Sent state does not contain a CPMGetRowsIn message, the received message MUST be silently ignored.</t>
  </si>
  <si>
    <t>When the client receives a CPMGetRowsOut message response from the server, if the _status value is STATUS_BUFFER_TOO_SMALL  and Last Message Sent state contains a CPMGetRowsIn message, the client MUST send to the server a new CPMGetRowsIn message with all fields identical to the stored one, except that the _cbReadBuffer MUST be increased by 512 (but not greater than 0x4000).</t>
  </si>
  <si>
    <t>When the client receives a CPMGetRowsOut message response from the server, if _status is STATUS_BUFFER_TOO_SMALL (0xC0000023), and the Last Message Sent already has _cbReadBuffer equal to 0x4000, the client MUST report the error up to the higher level.</t>
  </si>
  <si>
    <t>When the client receives a CPMGetRowsOut message response from the server,if the _status value is any other error value, the client MUST indicate the failure up to the higher layer.</t>
  </si>
  <si>
    <t>When the client receives a CPMGetRowsOut message response from the server, if the _status value indicates success, the results MUST be indicated up to the higher layer requesting the information, and further actions are up to the higher layer.</t>
  </si>
  <si>
    <t>It is expected that higher layers will typically perform the action,"If the values in rows represent the document IDs, chapter, or bookmark handles, the higher layer will typically store them for use in subsequent operations that involve valid document IDs, chapter, or bookmark handles" but it is not enforced by the Windows Search Protocol client.</t>
  </si>
  <si>
    <t>It is expected that higher layers will typically perform the action,"The higher layer will typically store or display or otherwise use the data from row values." but it is not enforced by the Windows Search Protocol client.</t>
  </si>
  <si>
    <t>It is expected that higher layers will typically perform the action,"For the values that were marked as deferred, the higher layer will fetch the value using CPMFetchValueIn messages" but it is not enforced by the Windows Search Protocol client.</t>
  </si>
  <si>
    <t>It is expected that higher layers will typically perform the action,"The seek description is returned back to the higher layer as well, and can be reused or examined by the higher layer" but it is not enforced by the Windows Search Protocol client.</t>
  </si>
  <si>
    <t>When the client receives a CPMGetRowsOut message response from the server, if the higher layer requested handles to chapters and bookmarks that were received in the rows, use CPMGetQueryStatusExIn to check on the execution progress of a query as well as additional status information, such as the number of filtered documents, documents remaining to be filtered, the ratio of documents processed by the query, the total number of rows in the query, and the position of the bookmark in the rowset.</t>
  </si>
  <si>
    <t>When the client receives a CPMGetRowsOut message response from the server, if the higher layer requested handles to chapters and bookmarks that were received in the rows, Use CPMGetNotify to request that the server notify the client of rowset changes.</t>
  </si>
  <si>
    <t>When the client receives a CPMGetRowsOut message response from the server, if the higher layer requested handles to chapters and bookmarks that were received in the rows, Use CPMGetApproximatePositionIn to request the approximate position of a bookmark in a chapter.</t>
  </si>
  <si>
    <t>When the client receives a CPMGetRowsOut message response from the server, if the higher layer requested handles to chapters and bookmarks that were received in the rows, Use CPMCompareBmkIn to request a comparison of two bookmarks in a chapter.</t>
  </si>
  <si>
    <t>When the client receives a CPMGetRowsOut message response from the server, if the higher layer requested handles to chapters and bookmarks that were received in the rows, Use CPMRestartPositionIn to request the server changes the location of the cursor to the start of rowset.</t>
  </si>
  <si>
    <t>3.2.5.3</t>
  </si>
  <si>
    <t>When the client receives a CPMFetchValueOut message response from the server, the client MUST check whether the _status field in the header indicates success or failure. In a case of failure, notify the higher layer.</t>
  </si>
  <si>
    <t>When the client receives a CPMFetchValueOut message response from the server, the client MUST check _fValueExist, and if set to 0x00000000, notify the higher layer that the value was not found.</t>
  </si>
  <si>
    <t>When the client receives a CPMFetchValueOut message response from the server, the client MUST append _cbValue bytes from vValue to the Current Property Value.</t>
  </si>
  <si>
    <t>When the client receives a CPMFetchValueOut message response from the server, if _fMoreExists is set to 0x00000001, the client MUST increment _Current Bytes Received by _cbValue and send a CPMFetchValueIn message to the server, setting _cbSoFar to the value of Current Bytes Received, _cbPropSpec to zero, and _cbChunk to the buffer size required by the higher layer.</t>
  </si>
  <si>
    <t xml:space="preserve">When the client receives a CPMFetchValueOut message response from the server, If _fMoreExists is set to 0x00000000, the client MUST indicate the property value from the Current Property Value to the higher layer. </t>
  </si>
  <si>
    <t>3.2.5.4</t>
  </si>
  <si>
    <t>When the client receives a successful CPMFreeCursorOut message response from the server, the client MUST return the _cCursorsRemaining value to the higher layer.</t>
  </si>
  <si>
    <t>The higher layer is expected to keep track of cursor handles and not to use those which have already been freed. This information is given for informative purposes only and is not enforced by the Windows Search Protocol client.</t>
  </si>
  <si>
    <t>When the value of _cCursorsRemaining is equal to 0x00000000, the higher layer can use the connection to specify another query (using a CPMCreateQueryIn message). This information is given for informative purposes only and is not enforced by the Windows Search Protocol client.</t>
  </si>
  <si>
    <t>MS-WSP</t>
  </si>
  <si>
    <t>MS-WSP_R2</t>
  </si>
  <si>
    <t>MS-WSP_R1</t>
  </si>
  <si>
    <t>MS-WSP_R3</t>
  </si>
  <si>
    <t>MS-WSP_R4</t>
  </si>
  <si>
    <t>MS-WSP_R5</t>
  </si>
  <si>
    <t>MS-WSP_R6</t>
  </si>
  <si>
    <t>MS-WSP_R7</t>
  </si>
  <si>
    <t>MS-WSP_R8</t>
  </si>
  <si>
    <t>MS-WSP_R9</t>
  </si>
  <si>
    <t>MS-WSP_R10</t>
  </si>
  <si>
    <t>MS-WSP_R11</t>
  </si>
  <si>
    <t>MS-WSP_R12</t>
  </si>
  <si>
    <t>MS-WSP_R13</t>
  </si>
  <si>
    <t>MS-WSP_R14</t>
  </si>
  <si>
    <t>MS-WSP_R15</t>
  </si>
  <si>
    <t>MS-WSP_R16</t>
  </si>
  <si>
    <t>MS-WSP_R17</t>
  </si>
  <si>
    <t>MS-WSP_R18</t>
  </si>
  <si>
    <t>MS-WSP_R19</t>
  </si>
  <si>
    <t>MS-WSP_R20</t>
  </si>
  <si>
    <t>MS-WSP_R21</t>
  </si>
  <si>
    <t>MS-WSP_R22</t>
  </si>
  <si>
    <t>MS-WSP_R23</t>
  </si>
  <si>
    <t>MS-WSP_R24</t>
  </si>
  <si>
    <t>MS-WSP_R25</t>
  </si>
  <si>
    <t>MS-WSP_R26</t>
  </si>
  <si>
    <t>MS-WSP_R27</t>
  </si>
  <si>
    <t>MS-WSP_R28</t>
  </si>
  <si>
    <t>MS-WSP_R29</t>
  </si>
  <si>
    <t>MS-WSP_R30</t>
  </si>
  <si>
    <t>MS-WSP_R31</t>
  </si>
  <si>
    <t>MS-WSP_R32</t>
  </si>
  <si>
    <t>MS-WSP_R33</t>
  </si>
  <si>
    <t>MS-WSP_R34</t>
  </si>
  <si>
    <t>MS-WSP_R35</t>
  </si>
  <si>
    <t>MS-WSP_R36</t>
  </si>
  <si>
    <t>MS-WSP_R37</t>
  </si>
  <si>
    <t>MS-WSP_R38</t>
  </si>
  <si>
    <t>MS-WSP_R39</t>
  </si>
  <si>
    <t>MS-WSP_R40</t>
  </si>
  <si>
    <t>MS-WSP_R41</t>
  </si>
  <si>
    <t>MS-WSP_R42</t>
  </si>
  <si>
    <t>MS-WSP_R43</t>
  </si>
  <si>
    <t>MS-WSP_R44</t>
  </si>
  <si>
    <t>MS-WSP_R45</t>
  </si>
  <si>
    <t>MS-WSP_R46</t>
  </si>
  <si>
    <t>MS-WSP_R47</t>
  </si>
  <si>
    <t>MS-WSP_R48</t>
  </si>
  <si>
    <t>MS-WSP_R49</t>
  </si>
  <si>
    <t>MS-WSP_R50</t>
  </si>
  <si>
    <t>MS-WSP_R51</t>
  </si>
  <si>
    <t>MS-WSP_R52</t>
  </si>
  <si>
    <t>MS-WSP_R53</t>
  </si>
  <si>
    <t>MS-WSP_R54</t>
  </si>
  <si>
    <t>MS-WSP_R55</t>
  </si>
  <si>
    <t>MS-WSP_R56</t>
  </si>
  <si>
    <t>MS-WSP_R57</t>
  </si>
  <si>
    <t>MS-WSP_R58</t>
  </si>
  <si>
    <t>MS-WSP_R59</t>
  </si>
  <si>
    <t>MS-WSP_R60</t>
  </si>
  <si>
    <t>MS-WSP_R61</t>
  </si>
  <si>
    <t>MS-WSP_R62</t>
  </si>
  <si>
    <t>MS-WSP_R63</t>
  </si>
  <si>
    <t>MS-WSP_R64</t>
  </si>
  <si>
    <t>MS-WSP_R65</t>
  </si>
  <si>
    <t>MS-WSP_R66</t>
  </si>
  <si>
    <t>MS-WSP_R67</t>
  </si>
  <si>
    <t>MS-WSP_R68</t>
  </si>
  <si>
    <t>MS-WSP_R69</t>
  </si>
  <si>
    <t>MS-WSP_R70</t>
  </si>
  <si>
    <t>MS-WSP_R71</t>
  </si>
  <si>
    <t>MS-WSP_R72</t>
  </si>
  <si>
    <t>MS-WSP_R73</t>
  </si>
  <si>
    <t>MS-WSP_R74</t>
  </si>
  <si>
    <t>MS-WSP_R75</t>
  </si>
  <si>
    <t>MS-WSP_R76</t>
  </si>
  <si>
    <t>MS-WSP_R77</t>
  </si>
  <si>
    <t>MS-WSP_R78</t>
  </si>
  <si>
    <t>MS-WSP_R79</t>
  </si>
  <si>
    <t>MS-WSP_R80</t>
  </si>
  <si>
    <t>MS-WSP_R81</t>
  </si>
  <si>
    <t>MS-WSP_R82</t>
  </si>
  <si>
    <t>MS-WSP_R83</t>
  </si>
  <si>
    <t>MS-WSP_R84</t>
  </si>
  <si>
    <t>MS-WSP_R85</t>
  </si>
  <si>
    <t>MS-WSP_R86</t>
  </si>
  <si>
    <t>MS-WSP_R87</t>
  </si>
  <si>
    <t>MS-WSP_R88</t>
  </si>
  <si>
    <t>MS-WSP_R89</t>
  </si>
  <si>
    <t>MS-WSP_R90</t>
  </si>
  <si>
    <t>MS-WSP_R91</t>
  </si>
  <si>
    <t>MS-WSP_R92</t>
  </si>
  <si>
    <t>MS-WSP_R93</t>
  </si>
  <si>
    <t>MS-WSP_R94</t>
  </si>
  <si>
    <t>MS-WSP_R95</t>
  </si>
  <si>
    <t>MS-WSP_R96</t>
  </si>
  <si>
    <t>MS-WSP_R97</t>
  </si>
  <si>
    <t>MS-WSP_R98</t>
  </si>
  <si>
    <t>MS-WSP_R99</t>
  </si>
  <si>
    <t>MS-WSP_R100</t>
  </si>
  <si>
    <t>MS-WSP_R101</t>
  </si>
  <si>
    <t>MS-WSP_R102</t>
  </si>
  <si>
    <t>MS-WSP_R103</t>
  </si>
  <si>
    <t>MS-WSP_R104</t>
  </si>
  <si>
    <t>MS-WSP_R105</t>
  </si>
  <si>
    <t>MS-WSP_R106</t>
  </si>
  <si>
    <t>MS-WSP_R107</t>
  </si>
  <si>
    <t>MS-WSP_R108</t>
  </si>
  <si>
    <t>MS-WSP_R109</t>
  </si>
  <si>
    <t>MS-WSP_R110</t>
  </si>
  <si>
    <t>MS-WSP_R111</t>
  </si>
  <si>
    <t>MS-WSP_R112</t>
  </si>
  <si>
    <t>MS-WSP_R113</t>
  </si>
  <si>
    <t>MS-WSP_R114</t>
  </si>
  <si>
    <t>MS-WSP_R115</t>
  </si>
  <si>
    <t>MS-WSP_R116</t>
  </si>
  <si>
    <t>MS-WSP_R117</t>
  </si>
  <si>
    <t>MS-WSP_R118</t>
  </si>
  <si>
    <t>MS-WSP_R119</t>
  </si>
  <si>
    <t>MS-WSP_R120</t>
  </si>
  <si>
    <t>MS-WSP_R121</t>
  </si>
  <si>
    <t>MS-WSP_R122</t>
  </si>
  <si>
    <t>MS-WSP_R123</t>
  </si>
  <si>
    <t>MS-WSP_R124</t>
  </si>
  <si>
    <t>MS-WSP_R125</t>
  </si>
  <si>
    <t>MS-WSP_R126</t>
  </si>
  <si>
    <t>MS-WSP_R127</t>
  </si>
  <si>
    <t>MS-WSP_R128</t>
  </si>
  <si>
    <t>MS-WSP_R129</t>
  </si>
  <si>
    <t>MS-WSP_R130</t>
  </si>
  <si>
    <t>MS-WSP_R131</t>
  </si>
  <si>
    <t>MS-WSP_R132</t>
  </si>
  <si>
    <t>MS-WSP_R133</t>
  </si>
  <si>
    <t>MS-WSP_R134</t>
  </si>
  <si>
    <t>MS-WSP_R135</t>
  </si>
  <si>
    <t>MS-WSP_R136</t>
  </si>
  <si>
    <t>MS-WSP_R137</t>
  </si>
  <si>
    <t>MS-WSP_R138</t>
  </si>
  <si>
    <t>MS-WSP_R139</t>
  </si>
  <si>
    <t>MS-WSP_R140</t>
  </si>
  <si>
    <t>MS-WSP_R141</t>
  </si>
  <si>
    <t>MS-WSP_R142</t>
  </si>
  <si>
    <t>MS-WSP_R143</t>
  </si>
  <si>
    <t>MS-WSP_R144</t>
  </si>
  <si>
    <t>MS-WSP_R145</t>
  </si>
  <si>
    <t>MS-WSP_R146</t>
  </si>
  <si>
    <t>MS-WSP_R147</t>
  </si>
  <si>
    <t>MS-WSP_R148</t>
  </si>
  <si>
    <t>MS-WSP_R149</t>
  </si>
  <si>
    <t>MS-WSP_R150</t>
  </si>
  <si>
    <t>MS-WSP_R151</t>
  </si>
  <si>
    <t>MS-WSP_R152</t>
  </si>
  <si>
    <t>MS-WSP_R153</t>
  </si>
  <si>
    <t>MS-WSP_R154</t>
  </si>
  <si>
    <t>MS-WSP_R155</t>
  </si>
  <si>
    <t>MS-WSP_R156</t>
  </si>
  <si>
    <t>MS-WSP_R157</t>
  </si>
  <si>
    <t>MS-WSP_R158</t>
  </si>
  <si>
    <t>MS-WSP_R159</t>
  </si>
  <si>
    <t>MS-WSP_R160</t>
  </si>
  <si>
    <t>MS-WSP_R161</t>
  </si>
  <si>
    <t>MS-WSP_R162</t>
  </si>
  <si>
    <t>MS-WSP_R163</t>
  </si>
  <si>
    <t>MS-WSP_R164</t>
  </si>
  <si>
    <t>MS-WSP_R165</t>
  </si>
  <si>
    <t>MS-WSP_R166</t>
  </si>
  <si>
    <t>MS-WSP_R167</t>
  </si>
  <si>
    <t>MS-WSP_R168</t>
  </si>
  <si>
    <t>MS-WSP_R169</t>
  </si>
  <si>
    <t>MS-WSP_R170</t>
  </si>
  <si>
    <t>MS-WSP_R171</t>
  </si>
  <si>
    <t>MS-WSP_R172</t>
  </si>
  <si>
    <t>MS-WSP_R173</t>
  </si>
  <si>
    <t>MS-WSP_R174</t>
  </si>
  <si>
    <t>MS-WSP_R175</t>
  </si>
  <si>
    <t>MS-WSP_R176</t>
  </si>
  <si>
    <t>MS-WSP_R177</t>
  </si>
  <si>
    <t>MS-WSP_R178</t>
  </si>
  <si>
    <t>MS-WSP_R179</t>
  </si>
  <si>
    <t>MS-WSP_R180</t>
  </si>
  <si>
    <t>MS-WSP_R181</t>
  </si>
  <si>
    <t>MS-WSP_R182</t>
  </si>
  <si>
    <t>MS-WSP_R183</t>
  </si>
  <si>
    <t>MS-WSP_R184</t>
  </si>
  <si>
    <t>MS-WSP_R185</t>
  </si>
  <si>
    <t>MS-WSP_R186</t>
  </si>
  <si>
    <t>MS-WSP_R187</t>
  </si>
  <si>
    <t>MS-WSP_R188</t>
  </si>
  <si>
    <t>MS-WSP_R189</t>
  </si>
  <si>
    <t>MS-WSP_R190</t>
  </si>
  <si>
    <t>MS-WSP_R191</t>
  </si>
  <si>
    <t>MS-WSP_R192</t>
  </si>
  <si>
    <t>MS-WSP_R193</t>
  </si>
  <si>
    <t>MS-WSP_R194</t>
  </si>
  <si>
    <t>MS-WSP_R195</t>
  </si>
  <si>
    <t>MS-WSP_R196</t>
  </si>
  <si>
    <t>MS-WSP_R197</t>
  </si>
  <si>
    <t>MS-WSP_R198</t>
  </si>
  <si>
    <t>MS-WSP_R199</t>
  </si>
  <si>
    <t>MS-WSP_R200</t>
  </si>
  <si>
    <t>MS-WSP_R201</t>
  </si>
  <si>
    <t>MS-WSP_R202</t>
  </si>
  <si>
    <t>MS-WSP_R203</t>
  </si>
  <si>
    <t>MS-WSP_R204</t>
  </si>
  <si>
    <t>MS-WSP_R205</t>
  </si>
  <si>
    <t>MS-WSP_R206</t>
  </si>
  <si>
    <t>MS-WSP_R207</t>
  </si>
  <si>
    <t>MS-WSP_R208</t>
  </si>
  <si>
    <t>MS-WSP_R209</t>
  </si>
  <si>
    <t>MS-WSP_R210</t>
  </si>
  <si>
    <t>MS-WSP_R211</t>
  </si>
  <si>
    <t>MS-WSP_R212</t>
  </si>
  <si>
    <t>MS-WSP_R213</t>
  </si>
  <si>
    <t>MS-WSP_R214</t>
  </si>
  <si>
    <t>MS-WSP_R215</t>
  </si>
  <si>
    <t>MS-WSP_R216</t>
  </si>
  <si>
    <t>MS-WSP_R217</t>
  </si>
  <si>
    <t>MS-WSP_R218</t>
  </si>
  <si>
    <t>MS-WSP_R219</t>
  </si>
  <si>
    <t>MS-WSP_R220</t>
  </si>
  <si>
    <t>MS-WSP_R221</t>
  </si>
  <si>
    <t>MS-WSP_R222</t>
  </si>
  <si>
    <t>MS-WSP_R223</t>
  </si>
  <si>
    <t>MS-WSP_R224</t>
  </si>
  <si>
    <t>MS-WSP_R225</t>
  </si>
  <si>
    <t>MS-WSP_R226</t>
  </si>
  <si>
    <t>MS-WSP_R227</t>
  </si>
  <si>
    <t>MS-WSP_R228</t>
  </si>
  <si>
    <t>MS-WSP_R229</t>
  </si>
  <si>
    <t>MS-WSP_R230</t>
  </si>
  <si>
    <t>MS-WSP_R231</t>
  </si>
  <si>
    <t>MS-WSP_R232</t>
  </si>
  <si>
    <t>MS-WSP_R233</t>
  </si>
  <si>
    <t>MS-WSP_R234</t>
  </si>
  <si>
    <t>MS-WSP_R235</t>
  </si>
  <si>
    <t>MS-WSP_R236</t>
  </si>
  <si>
    <t>MS-WSP_R237</t>
  </si>
  <si>
    <t>MS-WSP_R238</t>
  </si>
  <si>
    <t>MS-WSP_R239</t>
  </si>
  <si>
    <t>MS-WSP_R240</t>
  </si>
  <si>
    <t>MS-WSP_R241</t>
  </si>
  <si>
    <t>MS-WSP_R242</t>
  </si>
  <si>
    <t>MS-WSP_R243</t>
  </si>
  <si>
    <t>MS-WSP_R244</t>
  </si>
  <si>
    <t>MS-WSP_R245</t>
  </si>
  <si>
    <t>MS-WSP_R246</t>
  </si>
  <si>
    <t>MS-WSP_R247</t>
  </si>
  <si>
    <t>MS-WSP_R248</t>
  </si>
  <si>
    <t>MS-WSP_R249</t>
  </si>
  <si>
    <t>MS-WSP_R250</t>
  </si>
  <si>
    <t>MS-WSP_R251</t>
  </si>
  <si>
    <t>MS-WSP_R252</t>
  </si>
  <si>
    <t>MS-WSP_R253</t>
  </si>
  <si>
    <t>MS-WSP_R254</t>
  </si>
  <si>
    <t>MS-WSP_R255</t>
  </si>
  <si>
    <t>MS-WSP_R256</t>
  </si>
  <si>
    <t>MS-WSP_R257</t>
  </si>
  <si>
    <t>MS-WSP_R258</t>
  </si>
  <si>
    <t>MS-WSP_R259</t>
  </si>
  <si>
    <t>MS-WSP_R260</t>
  </si>
  <si>
    <t>MS-WSP_R261</t>
  </si>
  <si>
    <t>MS-WSP_R262</t>
  </si>
  <si>
    <t>MS-WSP_R263</t>
  </si>
  <si>
    <t>MS-WSP_R264</t>
  </si>
  <si>
    <t>MS-WSP_R265</t>
  </si>
  <si>
    <t>MS-WSP_R266</t>
  </si>
  <si>
    <t>MS-WSP_R267</t>
  </si>
  <si>
    <t>MS-WSP_R268</t>
  </si>
  <si>
    <t>MS-WSP_R269</t>
  </si>
  <si>
    <t>MS-WSP_R270</t>
  </si>
  <si>
    <t>MS-WSP_R271</t>
  </si>
  <si>
    <t>MS-WSP_R272</t>
  </si>
  <si>
    <t>MS-WSP_R273</t>
  </si>
  <si>
    <t>MS-WSP_R274</t>
  </si>
  <si>
    <t>MS-WSP_R275</t>
  </si>
  <si>
    <t>MS-WSP_R276</t>
  </si>
  <si>
    <t>MS-WSP_R277</t>
  </si>
  <si>
    <t>MS-WSP_R278</t>
  </si>
  <si>
    <t>MS-WSP_R279</t>
  </si>
  <si>
    <t>MS-WSP_R280</t>
  </si>
  <si>
    <t>MS-WSP_R281</t>
  </si>
  <si>
    <t>MS-WSP_R282</t>
  </si>
  <si>
    <t>MS-WSP_R283</t>
  </si>
  <si>
    <t>MS-WSP_R284</t>
  </si>
  <si>
    <t>MS-WSP_R285</t>
  </si>
  <si>
    <t>MS-WSP_R286</t>
  </si>
  <si>
    <t>MS-WSP_R287</t>
  </si>
  <si>
    <t>MS-WSP_R288</t>
  </si>
  <si>
    <t>MS-WSP_R289</t>
  </si>
  <si>
    <t>MS-WSP_R290</t>
  </si>
  <si>
    <t>MS-WSP_R291</t>
  </si>
  <si>
    <t>MS-WSP_R292</t>
  </si>
  <si>
    <t>MS-WSP_R293</t>
  </si>
  <si>
    <t>MS-WSP_R294</t>
  </si>
  <si>
    <t>MS-WSP_R295</t>
  </si>
  <si>
    <t>MS-WSP_R296</t>
  </si>
  <si>
    <t>MS-WSP_R297</t>
  </si>
  <si>
    <t>MS-WSP_R298</t>
  </si>
  <si>
    <t>MS-WSP_R299</t>
  </si>
  <si>
    <t>MS-WSP_R300</t>
  </si>
  <si>
    <t>MS-WSP_R301</t>
  </si>
  <si>
    <t>MS-WSP_R302</t>
  </si>
  <si>
    <t>MS-WSP_R303</t>
  </si>
  <si>
    <t>MS-WSP_R304</t>
  </si>
  <si>
    <t>MS-WSP_R305</t>
  </si>
  <si>
    <t>MS-WSP_R306</t>
  </si>
  <si>
    <t>MS-WSP_R307</t>
  </si>
  <si>
    <t>MS-WSP_R308</t>
  </si>
  <si>
    <t>MS-WSP_R309</t>
  </si>
  <si>
    <t>MS-WSP_R310</t>
  </si>
  <si>
    <t>MS-WSP_R311</t>
  </si>
  <si>
    <t>MS-WSP_R312</t>
  </si>
  <si>
    <t>MS-WSP_R313</t>
  </si>
  <si>
    <t>MS-WSP_R314</t>
  </si>
  <si>
    <t>MS-WSP_R315</t>
  </si>
  <si>
    <t>MS-WSP_R316</t>
  </si>
  <si>
    <t>MS-WSP_R317</t>
  </si>
  <si>
    <t>MS-WSP_R318</t>
  </si>
  <si>
    <t>MS-WSP_R319</t>
  </si>
  <si>
    <t>MS-WSP_R320</t>
  </si>
  <si>
    <t>MS-WSP_R321</t>
  </si>
  <si>
    <t>MS-WSP_R322</t>
  </si>
  <si>
    <t>MS-WSP_R323</t>
  </si>
  <si>
    <t>MS-WSP_R324</t>
  </si>
  <si>
    <t>MS-WSP_R325</t>
  </si>
  <si>
    <t>MS-WSP_R326</t>
  </si>
  <si>
    <t>MS-WSP_R327</t>
  </si>
  <si>
    <t>MS-WSP_R328</t>
  </si>
  <si>
    <t>MS-WSP_R329</t>
  </si>
  <si>
    <t>MS-WSP_R330</t>
  </si>
  <si>
    <t>MS-WSP_R331</t>
  </si>
  <si>
    <t>MS-WSP_R332</t>
  </si>
  <si>
    <t>MS-WSP_R333</t>
  </si>
  <si>
    <t>MS-WSP_R334</t>
  </si>
  <si>
    <t>MS-WSP_R335</t>
  </si>
  <si>
    <t>MS-WSP_R336</t>
  </si>
  <si>
    <t>MS-WSP_R337</t>
  </si>
  <si>
    <t>MS-WSP_R338</t>
  </si>
  <si>
    <t>MS-WSP_R339</t>
  </si>
  <si>
    <t>MS-WSP_R340</t>
  </si>
  <si>
    <t>MS-WSP_R341</t>
  </si>
  <si>
    <t>MS-WSP_R342</t>
  </si>
  <si>
    <t>MS-WSP_R343</t>
  </si>
  <si>
    <t>MS-WSP_R344</t>
  </si>
  <si>
    <t>MS-WSP_R345</t>
  </si>
  <si>
    <t>MS-WSP_R346</t>
  </si>
  <si>
    <t>MS-WSP_R347</t>
  </si>
  <si>
    <t>MS-WSP_R348</t>
  </si>
  <si>
    <t>MS-WSP_R349</t>
  </si>
  <si>
    <t>MS-WSP_R350</t>
  </si>
  <si>
    <t>MS-WSP_R351</t>
  </si>
  <si>
    <t>MS-WSP_R352</t>
  </si>
  <si>
    <t>MS-WSP_R353</t>
  </si>
  <si>
    <t>MS-WSP_R354</t>
  </si>
  <si>
    <t>MS-WSP_R355</t>
  </si>
  <si>
    <t>MS-WSP_R356</t>
  </si>
  <si>
    <t>MS-WSP_R357</t>
  </si>
  <si>
    <t>MS-WSP_R358</t>
  </si>
  <si>
    <t>MS-WSP_R359</t>
  </si>
  <si>
    <t>MS-WSP_R360</t>
  </si>
  <si>
    <t>MS-WSP_R361</t>
  </si>
  <si>
    <t>MS-WSP_R362</t>
  </si>
  <si>
    <t>MS-WSP_R363</t>
  </si>
  <si>
    <t>MS-WSP_R364</t>
  </si>
  <si>
    <t>MS-WSP_R365</t>
  </si>
  <si>
    <t>MS-WSP_R366</t>
  </si>
  <si>
    <t>MS-WSP_R367</t>
  </si>
  <si>
    <t>MS-WSP_R368</t>
  </si>
  <si>
    <t>MS-WSP_R369</t>
  </si>
  <si>
    <t>MS-WSP_R370</t>
  </si>
  <si>
    <t>MS-WSP_R371</t>
  </si>
  <si>
    <t>MS-WSP_R372</t>
  </si>
  <si>
    <t>MS-WSP_R373</t>
  </si>
  <si>
    <t>MS-WSP_R374</t>
  </si>
  <si>
    <t>MS-WSP_R375</t>
  </si>
  <si>
    <t>MS-WSP_R376</t>
  </si>
  <si>
    <t>MS-WSP_R377</t>
  </si>
  <si>
    <t>MS-WSP_R378</t>
  </si>
  <si>
    <t>MS-WSP_R379</t>
  </si>
  <si>
    <t>MS-WSP_R380</t>
  </si>
  <si>
    <t>MS-WSP_R381</t>
  </si>
  <si>
    <t>MS-WSP_R382</t>
  </si>
  <si>
    <t>MS-WSP_R383</t>
  </si>
  <si>
    <t>MS-WSP_R384</t>
  </si>
  <si>
    <t>MS-WSP_R385</t>
  </si>
  <si>
    <t>MS-WSP_R386</t>
  </si>
  <si>
    <t>MS-WSP_R387</t>
  </si>
  <si>
    <t>MS-WSP_R388</t>
  </si>
  <si>
    <t>MS-WSP_R389</t>
  </si>
  <si>
    <t>MS-WSP_R390</t>
  </si>
  <si>
    <t>MS-WSP_R391</t>
  </si>
  <si>
    <t>MS-WSP_R392</t>
  </si>
  <si>
    <t>MS-WSP_R393</t>
  </si>
  <si>
    <t>MS-WSP_R394</t>
  </si>
  <si>
    <t>MS-WSP_R395</t>
  </si>
  <si>
    <t>MS-WSP_R396</t>
  </si>
  <si>
    <t>MS-WSP_R397</t>
  </si>
  <si>
    <t>MS-WSP_R398</t>
  </si>
  <si>
    <t>MS-WSP_R399</t>
  </si>
  <si>
    <t>MS-WSP_R400</t>
  </si>
  <si>
    <t>MS-WSP_R401</t>
  </si>
  <si>
    <t>MS-WSP_R402</t>
  </si>
  <si>
    <t>MS-WSP_R403</t>
  </si>
  <si>
    <t>MS-WSP_R404</t>
  </si>
  <si>
    <t>MS-WSP_R405</t>
  </si>
  <si>
    <t>MS-WSP_R406</t>
  </si>
  <si>
    <t>MS-WSP_R407</t>
  </si>
  <si>
    <t>MS-WSP_R408</t>
  </si>
  <si>
    <t>MS-WSP_R409</t>
  </si>
  <si>
    <t>MS-WSP_R410</t>
  </si>
  <si>
    <t>MS-WSP_R411</t>
  </si>
  <si>
    <t>MS-WSP_R412</t>
  </si>
  <si>
    <t>MS-WSP_R413</t>
  </si>
  <si>
    <t>MS-WSP_R414</t>
  </si>
  <si>
    <t>MS-WSP_R415</t>
  </si>
  <si>
    <t>MS-WSP_R416</t>
  </si>
  <si>
    <t>MS-WSP_R417</t>
  </si>
  <si>
    <t>MS-WSP_R418</t>
  </si>
  <si>
    <t>MS-WSP_R419</t>
  </si>
  <si>
    <t>MS-WSP_R420</t>
  </si>
  <si>
    <t>MS-WSP_R421</t>
  </si>
  <si>
    <t>MS-WSP_R422</t>
  </si>
  <si>
    <t>MS-WSP_R423</t>
  </si>
  <si>
    <t>MS-WSP_R424</t>
  </si>
  <si>
    <t>MS-WSP_R425</t>
  </si>
  <si>
    <t>MS-WSP_R426</t>
  </si>
  <si>
    <t>MS-WSP_R427</t>
  </si>
  <si>
    <t>MS-WSP_R428</t>
  </si>
  <si>
    <t>MS-WSP_R429</t>
  </si>
  <si>
    <t>MS-WSP_R430</t>
  </si>
  <si>
    <t>MS-WSP_R431</t>
  </si>
  <si>
    <t>MS-WSP_R432</t>
  </si>
  <si>
    <t>MS-WSP_R433</t>
  </si>
  <si>
    <t>MS-WSP_R434</t>
  </si>
  <si>
    <t>MS-WSP_R435</t>
  </si>
  <si>
    <t>MS-WSP_R436</t>
  </si>
  <si>
    <t>MS-WSP_R437</t>
  </si>
  <si>
    <t>MS-WSP_R438</t>
  </si>
  <si>
    <t>MS-WSP_R439</t>
  </si>
  <si>
    <t>MS-WSP_R440</t>
  </si>
  <si>
    <t>MS-WSP_R441</t>
  </si>
  <si>
    <t>MS-WSP_R442</t>
  </si>
  <si>
    <t>MS-WSP_R443</t>
  </si>
  <si>
    <t>MS-WSP_R444</t>
  </si>
  <si>
    <t>MS-WSP_R445</t>
  </si>
  <si>
    <t>MS-WSP_R446</t>
  </si>
  <si>
    <t>MS-WSP_R447</t>
  </si>
  <si>
    <t>MS-WSP_R448</t>
  </si>
  <si>
    <t>MS-WSP_R449</t>
  </si>
  <si>
    <t>MS-WSP_R450</t>
  </si>
  <si>
    <t>MS-WSP_R451</t>
  </si>
  <si>
    <t>MS-WSP_R452</t>
  </si>
  <si>
    <t>MS-WSP_R453</t>
  </si>
  <si>
    <t>MS-WSP_R454</t>
  </si>
  <si>
    <t>MS-WSP_R455</t>
  </si>
  <si>
    <t>MS-WSP_R456</t>
  </si>
  <si>
    <t>MS-WSP_R457</t>
  </si>
  <si>
    <t>MS-WSP_R458</t>
  </si>
  <si>
    <t>MS-WSP_R459</t>
  </si>
  <si>
    <t>MS-WSP_R460</t>
  </si>
  <si>
    <t>MS-WSP_R461</t>
  </si>
  <si>
    <t>MS-WSP_R462</t>
  </si>
  <si>
    <t>MS-WSP_R463</t>
  </si>
  <si>
    <t>MS-WSP_R464</t>
  </si>
  <si>
    <t>MS-WSP_R465</t>
  </si>
  <si>
    <t>MS-WSP_R466</t>
  </si>
  <si>
    <t>MS-WSP_R467</t>
  </si>
  <si>
    <t>MS-WSP_R468</t>
  </si>
  <si>
    <t>MS-WSP_R469</t>
  </si>
  <si>
    <t>MS-WSP_R470</t>
  </si>
  <si>
    <t>MS-WSP_R471</t>
  </si>
  <si>
    <t>MS-WSP_R472</t>
  </si>
  <si>
    <t>MS-WSP_R473</t>
  </si>
  <si>
    <t>MS-WSP_R474</t>
  </si>
  <si>
    <t>MS-WSP_R475</t>
  </si>
  <si>
    <t>MS-WSP_R476</t>
  </si>
  <si>
    <t>MS-WSP_R477</t>
  </si>
  <si>
    <t>MS-WSP_R478</t>
  </si>
  <si>
    <t>MS-WSP_R479</t>
  </si>
  <si>
    <t>MS-WSP_R480</t>
  </si>
  <si>
    <t>MS-WSP_R481</t>
  </si>
  <si>
    <t>MS-WSP_R482</t>
  </si>
  <si>
    <t>MS-WSP_R483</t>
  </si>
  <si>
    <t>MS-WSP_R484</t>
  </si>
  <si>
    <t>MS-WSP_R485</t>
  </si>
  <si>
    <t>MS-WSP_R486</t>
  </si>
  <si>
    <t>MS-WSP_R487</t>
  </si>
  <si>
    <t>MS-WSP_R488</t>
  </si>
  <si>
    <t>MS-WSP_R489</t>
  </si>
  <si>
    <t>MS-WSP_R490</t>
  </si>
  <si>
    <t>MS-WSP_R491</t>
  </si>
  <si>
    <t>MS-WSP_R492</t>
  </si>
  <si>
    <t>MS-WSP_R493</t>
  </si>
  <si>
    <t>MS-WSP_R494</t>
  </si>
  <si>
    <t>MS-WSP_R495</t>
  </si>
  <si>
    <t>MS-WSP_R496</t>
  </si>
  <si>
    <t>MS-WSP_R497</t>
  </si>
  <si>
    <t>MS-WSP_R498</t>
  </si>
  <si>
    <t>MS-WSP_R499</t>
  </si>
  <si>
    <t>MS-WSP_R500</t>
  </si>
  <si>
    <t>MS-WSP_R501</t>
  </si>
  <si>
    <t>MS-WSP_R502</t>
  </si>
  <si>
    <t>MS-WSP_R503</t>
  </si>
  <si>
    <t>MS-WSP_R504</t>
  </si>
  <si>
    <t>MS-WSP_R505</t>
  </si>
  <si>
    <t>MS-WSP_R506</t>
  </si>
  <si>
    <t>MS-WSP_R507</t>
  </si>
  <si>
    <t>MS-WSP_R508</t>
  </si>
  <si>
    <t>MS-WSP_R509</t>
  </si>
  <si>
    <t>MS-WSP_R510</t>
  </si>
  <si>
    <t>MS-WSP_R511</t>
  </si>
  <si>
    <t>MS-WSP_R512</t>
  </si>
  <si>
    <t>MS-WSP_R513</t>
  </si>
  <si>
    <t>MS-WSP_R514</t>
  </si>
  <si>
    <t>MS-WSP_R515</t>
  </si>
  <si>
    <t>MS-WSP_R516</t>
  </si>
  <si>
    <t>MS-WSP_R517</t>
  </si>
  <si>
    <t>MS-WSP_R518</t>
  </si>
  <si>
    <t>MS-WSP_R519</t>
  </si>
  <si>
    <t>MS-WSP_R520</t>
  </si>
  <si>
    <t>MS-WSP_R521</t>
  </si>
  <si>
    <t>MS-WSP_R522</t>
  </si>
  <si>
    <t>MS-WSP_R523</t>
  </si>
  <si>
    <t>MS-WSP_R524</t>
  </si>
  <si>
    <t>MS-WSP_R525</t>
  </si>
  <si>
    <t>MS-WSP_R526</t>
  </si>
  <si>
    <t>MS-WSP_R527</t>
  </si>
  <si>
    <t>MS-WSP_R528</t>
  </si>
  <si>
    <t>MS-WSP_R529</t>
  </si>
  <si>
    <t>MS-WSP_R530</t>
  </si>
  <si>
    <t>MS-WSP_R531</t>
  </si>
  <si>
    <t>MS-WSP_R532</t>
  </si>
  <si>
    <t>MS-WSP_R533</t>
  </si>
  <si>
    <t>MS-WSP_R534</t>
  </si>
  <si>
    <t>MS-WSP_R535</t>
  </si>
  <si>
    <t>MS-WSP_R536</t>
  </si>
  <si>
    <t>MS-WSP_R537</t>
  </si>
  <si>
    <t>MS-WSP_R538</t>
  </si>
  <si>
    <t>MS-WSP_R539</t>
  </si>
  <si>
    <t>MS-WSP_R540</t>
  </si>
  <si>
    <t>MS-WSP_R541</t>
  </si>
  <si>
    <t>MS-WSP_R542</t>
  </si>
  <si>
    <t>MS-WSP_R543</t>
  </si>
  <si>
    <t>MS-WSP_R544</t>
  </si>
  <si>
    <t>MS-WSP_R545</t>
  </si>
  <si>
    <t>MS-WSP_R546</t>
  </si>
  <si>
    <t>MS-WSP_R547</t>
  </si>
  <si>
    <t>MS-WSP_R548</t>
  </si>
  <si>
    <t>MS-WSP_R549</t>
  </si>
  <si>
    <t>MS-WSP_R550</t>
  </si>
  <si>
    <t>MS-WSP_R551</t>
  </si>
  <si>
    <t>MS-WSP_R552</t>
  </si>
  <si>
    <t>MS-WSP_R553</t>
  </si>
  <si>
    <t>MS-WSP_R554</t>
  </si>
  <si>
    <t>MS-WSP_R555</t>
  </si>
  <si>
    <t>MS-WSP_R556</t>
  </si>
  <si>
    <t>MS-WSP_R557</t>
  </si>
  <si>
    <t>MS-WSP_R558</t>
  </si>
  <si>
    <t>MS-WSP_R559</t>
  </si>
  <si>
    <t>MS-WSP_R560</t>
  </si>
  <si>
    <t>MS-WSP_R561</t>
  </si>
  <si>
    <t>MS-WSP_R562</t>
  </si>
  <si>
    <t>MS-WSP_R563</t>
  </si>
  <si>
    <t>MS-WSP_R564</t>
  </si>
  <si>
    <t>MS-WSP_R565</t>
  </si>
  <si>
    <t>MS-WSP_R566</t>
  </si>
  <si>
    <t>MS-WSP_R567</t>
  </si>
  <si>
    <t>MS-WSP_R568</t>
  </si>
  <si>
    <t>MS-WSP_R569</t>
  </si>
  <si>
    <t>MS-WSP_R570</t>
  </si>
  <si>
    <t>MS-WSP_R571</t>
  </si>
  <si>
    <t>MS-WSP_R572</t>
  </si>
  <si>
    <t>MS-WSP_R573</t>
  </si>
  <si>
    <t>MS-WSP_R574</t>
  </si>
  <si>
    <t>MS-WSP_R575</t>
  </si>
  <si>
    <t>MS-WSP_R576</t>
  </si>
  <si>
    <t>MS-WSP_R577</t>
  </si>
  <si>
    <t>MS-WSP_R578</t>
  </si>
  <si>
    <t>MS-WSP_R579</t>
  </si>
  <si>
    <t>MS-WSP_R580</t>
  </si>
  <si>
    <t>MS-WSP_R581</t>
  </si>
  <si>
    <t>MS-WSP_R582</t>
  </si>
  <si>
    <t>MS-WSP_R583</t>
  </si>
  <si>
    <t>MS-WSP_R584</t>
  </si>
  <si>
    <t>MS-WSP_R585</t>
  </si>
  <si>
    <t>MS-WSP_R586</t>
  </si>
  <si>
    <t>MS-WSP_R587</t>
  </si>
  <si>
    <t>MS-WSP_R588</t>
  </si>
  <si>
    <t>MS-WSP_R589</t>
  </si>
  <si>
    <t>MS-WSP_R590</t>
  </si>
  <si>
    <t>MS-WSP_R591</t>
  </si>
  <si>
    <t>MS-WSP_R592</t>
  </si>
  <si>
    <t>MS-WSP_R593</t>
  </si>
  <si>
    <t>MS-WSP_R594</t>
  </si>
  <si>
    <t>MS-WSP_R595</t>
  </si>
  <si>
    <t>MS-WSP_R596</t>
  </si>
  <si>
    <t>MS-WSP_R597</t>
  </si>
  <si>
    <t>MS-WSP_R598</t>
  </si>
  <si>
    <t>MS-WSP_R599</t>
  </si>
  <si>
    <t>MS-WSP_R600</t>
  </si>
  <si>
    <t>MS-WSP_R601</t>
  </si>
  <si>
    <t>MS-WSP_R602</t>
  </si>
  <si>
    <t>MS-WSP_R603</t>
  </si>
  <si>
    <t>MS-WSP_R604</t>
  </si>
  <si>
    <t>MS-WSP_R605</t>
  </si>
  <si>
    <t>MS-WSP_R606</t>
  </si>
  <si>
    <t>MS-WSP_R607</t>
  </si>
  <si>
    <t>MS-WSP_R608</t>
  </si>
  <si>
    <t>MS-WSP_R609</t>
  </si>
  <si>
    <t>MS-WSP_R610</t>
  </si>
  <si>
    <t>MS-WSP_R611</t>
  </si>
  <si>
    <t>MS-WSP_R612</t>
  </si>
  <si>
    <t>MS-WSP_R613</t>
  </si>
  <si>
    <t>MS-WSP_R614</t>
  </si>
  <si>
    <t>MS-WSP_R615</t>
  </si>
  <si>
    <t>MS-WSP_R616</t>
  </si>
  <si>
    <t>MS-WSP_R617</t>
  </si>
  <si>
    <t>MS-WSP_R618</t>
  </si>
  <si>
    <t>MS-WSP_R619</t>
  </si>
  <si>
    <t>MS-WSP_R620</t>
  </si>
  <si>
    <t>MS-WSP_R621</t>
  </si>
  <si>
    <t>MS-WSP_R622</t>
  </si>
  <si>
    <t>MS-WSP_R623</t>
  </si>
  <si>
    <t>MS-WSP_R624</t>
  </si>
  <si>
    <t>MS-WSP_R625</t>
  </si>
  <si>
    <t>MS-WSP_R626</t>
  </si>
  <si>
    <t>MS-WSP_R627</t>
  </si>
  <si>
    <t>MS-WSP_R628</t>
  </si>
  <si>
    <t>MS-WSP_R629</t>
  </si>
  <si>
    <t>MS-WSP_R630</t>
  </si>
  <si>
    <t>MS-WSP_R631</t>
  </si>
  <si>
    <t>MS-WSP_R632</t>
  </si>
  <si>
    <t>MS-WSP_R633</t>
  </si>
  <si>
    <t>MS-WSP_R634</t>
  </si>
  <si>
    <t>MS-WSP_R635</t>
  </si>
  <si>
    <t>MS-WSP_R636</t>
  </si>
  <si>
    <t>MS-WSP_R637</t>
  </si>
  <si>
    <t>MS-WSP_R638</t>
  </si>
  <si>
    <t>MS-WSP_R639</t>
  </si>
  <si>
    <t>MS-WSP_R640</t>
  </si>
  <si>
    <t>MS-WSP_R641</t>
  </si>
  <si>
    <t>MS-WSP_R642</t>
  </si>
  <si>
    <t>MS-WSP_R643</t>
  </si>
  <si>
    <t>MS-WSP_R644</t>
  </si>
  <si>
    <t>MS-WSP_R645</t>
  </si>
  <si>
    <t>MS-WSP_R646</t>
  </si>
  <si>
    <t>MS-WSP_R647</t>
  </si>
  <si>
    <t>MS-WSP_R648</t>
  </si>
  <si>
    <t>MS-WSP_R649</t>
  </si>
  <si>
    <t>MS-WSP_R650</t>
  </si>
  <si>
    <t>MS-WSP_R651</t>
  </si>
  <si>
    <t>MS-WSP_R652</t>
  </si>
  <si>
    <t>MS-WSP_R653</t>
  </si>
  <si>
    <t>MS-WSP_R654</t>
  </si>
  <si>
    <t>MS-WSP_R655</t>
  </si>
  <si>
    <t>MS-WSP_R656</t>
  </si>
  <si>
    <t>MS-WSP_R657</t>
  </si>
  <si>
    <t>MS-WSP_R658</t>
  </si>
  <si>
    <t>MS-WSP_R659</t>
  </si>
  <si>
    <t>MS-WSP_R660</t>
  </si>
  <si>
    <t>MS-WSP_R661</t>
  </si>
  <si>
    <t>MS-WSP_R662</t>
  </si>
  <si>
    <t>MS-WSP_R663</t>
  </si>
  <si>
    <t>MS-WSP_R664</t>
  </si>
  <si>
    <t>MS-WSP_R665</t>
  </si>
  <si>
    <t>MS-WSP_R666</t>
  </si>
  <si>
    <t>MS-WSP_R667</t>
  </si>
  <si>
    <t>MS-WSP_R668</t>
  </si>
  <si>
    <t>MS-WSP_R669</t>
  </si>
  <si>
    <t>MS-WSP_R670</t>
  </si>
  <si>
    <t>MS-WSP_R671</t>
  </si>
  <si>
    <t>MS-WSP_R672</t>
  </si>
  <si>
    <t>MS-WSP_R673</t>
  </si>
  <si>
    <t>MS-WSP_R674</t>
  </si>
  <si>
    <t>MS-WSP_R676</t>
  </si>
  <si>
    <t>MS-WSP_R677</t>
  </si>
  <si>
    <t>MS-WSP_R678</t>
  </si>
  <si>
    <t>MS-WSP_R679</t>
  </si>
  <si>
    <t>MS-WSP_R680</t>
  </si>
  <si>
    <t>MS-WSP_R681</t>
  </si>
  <si>
    <t>MS-WSP_R682</t>
  </si>
  <si>
    <t>MS-WSP_R683</t>
  </si>
  <si>
    <t>MS-WSP_R684</t>
  </si>
  <si>
    <t>MS-WSP_R685</t>
  </si>
  <si>
    <t>MS-WSP_R686</t>
  </si>
  <si>
    <t>MS-WSP_R687</t>
  </si>
  <si>
    <t>MS-WSP_R688</t>
  </si>
  <si>
    <t>MS-WSP_R689</t>
  </si>
  <si>
    <t>MS-WSP_R690</t>
  </si>
  <si>
    <t>MS-WSP_R691</t>
  </si>
  <si>
    <t>MS-WSP_R692</t>
  </si>
  <si>
    <t>MS-WSP_R693</t>
  </si>
  <si>
    <t>MS-WSP_R694</t>
  </si>
  <si>
    <t>MS-WSP_R695</t>
  </si>
  <si>
    <t>MS-WSP_R696</t>
  </si>
  <si>
    <t>MS-WSP_R697</t>
  </si>
  <si>
    <t>MS-WSP_R698</t>
  </si>
  <si>
    <t>MS-WSP_R699</t>
  </si>
  <si>
    <t>MS-WSP_R700</t>
  </si>
  <si>
    <t>MS-WSP_R701</t>
  </si>
  <si>
    <t>MS-WSP_R702</t>
  </si>
  <si>
    <t>MS-WSP_R703</t>
  </si>
  <si>
    <t>MS-WSP_R704</t>
  </si>
  <si>
    <t>MS-WSP_R705</t>
  </si>
  <si>
    <t>MS-WSP_R706</t>
  </si>
  <si>
    <t>MS-WSP_R707</t>
  </si>
  <si>
    <t>MS-WSP_R708</t>
  </si>
  <si>
    <t>MS-WSP_R709</t>
  </si>
  <si>
    <t>MS-WSP_R710</t>
  </si>
  <si>
    <t>MS-WSP_R711</t>
  </si>
  <si>
    <t>MS-WSP_R712</t>
  </si>
  <si>
    <t>MS-WSP_R713</t>
  </si>
  <si>
    <t>MS-WSP_R714</t>
  </si>
  <si>
    <t>MS-WSP_R715</t>
  </si>
  <si>
    <t>MS-WSP_R716</t>
  </si>
  <si>
    <t>MS-WSP_R717</t>
  </si>
  <si>
    <t>MS-WSP_R718</t>
  </si>
  <si>
    <t>MS-WSP_R719</t>
  </si>
  <si>
    <t>MS-WSP_R720</t>
  </si>
  <si>
    <t>MS-WSP_R721</t>
  </si>
  <si>
    <t>MS-WSP_R722</t>
  </si>
  <si>
    <t>MS-WSP_R723</t>
  </si>
  <si>
    <t>MS-WSP_R724</t>
  </si>
  <si>
    <t>MS-WSP_R725</t>
  </si>
  <si>
    <t>MS-WSP_R726</t>
  </si>
  <si>
    <t>MS-WSP_R727</t>
  </si>
  <si>
    <t>MS-WSP_R728</t>
  </si>
  <si>
    <t>MS-WSP_R729</t>
  </si>
  <si>
    <t>MS-WSP_R730</t>
  </si>
  <si>
    <t>MS-WSP_R731</t>
  </si>
  <si>
    <t>MS-WSP_R732</t>
  </si>
  <si>
    <t>MS-WSP_R733</t>
  </si>
  <si>
    <t>MS-WSP_R734</t>
  </si>
  <si>
    <t>MS-WSP_R735</t>
  </si>
  <si>
    <t>MS-WSP_R736</t>
  </si>
  <si>
    <t>MS-WSP_R737</t>
  </si>
  <si>
    <t>MS-WSP_R738</t>
  </si>
  <si>
    <t>MS-WSP_R739</t>
  </si>
  <si>
    <t>MS-WSP_R740</t>
  </si>
  <si>
    <t>MS-WSP_R741</t>
  </si>
  <si>
    <t>MS-WSP_R742</t>
  </si>
  <si>
    <t>MS-WSP_R743</t>
  </si>
  <si>
    <t>MS-WSP_R744</t>
  </si>
  <si>
    <t>MS-WSP_R745</t>
  </si>
  <si>
    <t>MS-WSP_R746</t>
  </si>
  <si>
    <t>MS-WSP_R747</t>
  </si>
  <si>
    <t>MS-WSP_R748</t>
  </si>
  <si>
    <t>MS-WSP_R749</t>
  </si>
  <si>
    <t>MS-WSP_R750</t>
  </si>
  <si>
    <t>MS-WSP_R751</t>
  </si>
  <si>
    <t>MS-WSP_R752</t>
  </si>
  <si>
    <t>MS-WSP_R753</t>
  </si>
  <si>
    <t>MS-WSP_R754</t>
  </si>
  <si>
    <t>MS-WSP_R755</t>
  </si>
  <si>
    <t>MS-WSP_R756</t>
  </si>
  <si>
    <t>MS-WSP_R757</t>
  </si>
  <si>
    <t>MS-WSP_R758</t>
  </si>
  <si>
    <t>MS-WSP_R759</t>
  </si>
  <si>
    <t>MS-WSP_R760</t>
  </si>
  <si>
    <t>MS-WSP_R761</t>
  </si>
  <si>
    <t>MS-WSP_R762</t>
  </si>
  <si>
    <t>MS-WSP_R763</t>
  </si>
  <si>
    <t>MS-WSP_R764</t>
  </si>
  <si>
    <t>MS-WSP_R765</t>
  </si>
  <si>
    <t>MS-WSP_R766</t>
  </si>
  <si>
    <t>MS-WSP_R767</t>
  </si>
  <si>
    <t>MS-WSP_R768</t>
  </si>
  <si>
    <t>MS-WSP_R769</t>
  </si>
  <si>
    <t>MS-WSP_R770</t>
  </si>
  <si>
    <t>MS-WSP_R771</t>
  </si>
  <si>
    <t>MS-WSP_R772</t>
  </si>
  <si>
    <t>MS-WSP_R773</t>
  </si>
  <si>
    <t>MS-WSP_R774</t>
  </si>
  <si>
    <t>MS-WSP_R775</t>
  </si>
  <si>
    <t>MS-WSP_R776</t>
  </si>
  <si>
    <t>MS-WSP_R777</t>
  </si>
  <si>
    <t>MS-WSP_R778</t>
  </si>
  <si>
    <t>MS-WSP_R779</t>
  </si>
  <si>
    <t>MS-WSP_R780</t>
  </si>
  <si>
    <t>MS-WSP_R781</t>
  </si>
  <si>
    <t>MS-WSP_R782</t>
  </si>
  <si>
    <t>MS-WSP_R783</t>
  </si>
  <si>
    <t>MS-WSP_R784</t>
  </si>
  <si>
    <t>MS-WSP_R785</t>
  </si>
  <si>
    <t>MS-WSP_R786</t>
  </si>
  <si>
    <t>MS-WSP_R787</t>
  </si>
  <si>
    <t>MS-WSP_R788</t>
  </si>
  <si>
    <t>MS-WSP_R789</t>
  </si>
  <si>
    <t>MS-WSP_R790</t>
  </si>
  <si>
    <t>MS-WSP_R791</t>
  </si>
  <si>
    <t>MS-WSP_R792</t>
  </si>
  <si>
    <t>MS-WSP_R793</t>
  </si>
  <si>
    <t>MS-WSP_R794</t>
  </si>
  <si>
    <t>MS-WSP_R795</t>
  </si>
  <si>
    <t>MS-WSP_R796</t>
  </si>
  <si>
    <t>MS-WSP_R797</t>
  </si>
  <si>
    <t>MS-WSP_R798</t>
  </si>
  <si>
    <t>MS-WSP_R799</t>
  </si>
  <si>
    <t>MS-WSP_R800</t>
  </si>
  <si>
    <t>MS-WSP_R801</t>
  </si>
  <si>
    <t>MS-WSP_R802</t>
  </si>
  <si>
    <t>MS-WSP_R803</t>
  </si>
  <si>
    <t>MS-WSP_R804</t>
  </si>
  <si>
    <t>MS-WSP_R805</t>
  </si>
  <si>
    <t>MS-WSP_R806</t>
  </si>
  <si>
    <t>MS-WSP_R807</t>
  </si>
  <si>
    <t>MS-WSP_R808</t>
  </si>
  <si>
    <t>MS-WSP_R809</t>
  </si>
  <si>
    <t>MS-WSP_R810</t>
  </si>
  <si>
    <t>MS-WSP_R811</t>
  </si>
  <si>
    <t>MS-WSP_R812</t>
  </si>
  <si>
    <t>MS-WSP_R813</t>
  </si>
  <si>
    <t>MS-WSP_R814</t>
  </si>
  <si>
    <t>MS-WSP_R815</t>
  </si>
  <si>
    <t>MS-WSP_R816</t>
  </si>
  <si>
    <t>MS-WSP_R817</t>
  </si>
  <si>
    <t>MS-WSP_R818</t>
  </si>
  <si>
    <t>MS-WSP_R819</t>
  </si>
  <si>
    <t>MS-WSP_R820</t>
  </si>
  <si>
    <t>MS-WSP_R821</t>
  </si>
  <si>
    <t>MS-WSP_R822</t>
  </si>
  <si>
    <t>MS-WSP_R823</t>
  </si>
  <si>
    <t>MS-WSP_R824</t>
  </si>
  <si>
    <t>MS-WSP_R825</t>
  </si>
  <si>
    <t>MS-WSP_R826</t>
  </si>
  <si>
    <t>MS-WSP_R827</t>
  </si>
  <si>
    <t>MS-WSP_R828</t>
  </si>
  <si>
    <t>MS-WSP_R829</t>
  </si>
  <si>
    <t>MS-WSP_R830</t>
  </si>
  <si>
    <t>MS-WSP_R831</t>
  </si>
  <si>
    <t>MS-WSP_R832</t>
  </si>
  <si>
    <t>MS-WSP_R833</t>
  </si>
  <si>
    <t>MS-WSP_R834</t>
  </si>
  <si>
    <t>MS-WSP_R835</t>
  </si>
  <si>
    <t>MS-WSP_R836</t>
  </si>
  <si>
    <t>MS-WSP_R837</t>
  </si>
  <si>
    <t>MS-WSP_R838</t>
  </si>
  <si>
    <t>MS-WSP_R839</t>
  </si>
  <si>
    <t>MS-WSP_R840</t>
  </si>
  <si>
    <t>MS-WSP_R841</t>
  </si>
  <si>
    <t>MS-WSP_R842</t>
  </si>
  <si>
    <t>MS-WSP_R843</t>
  </si>
  <si>
    <t>MS-WSP_R844</t>
  </si>
  <si>
    <t>MS-WSP_R845</t>
  </si>
  <si>
    <t>MS-WSP_R846</t>
  </si>
  <si>
    <t>MS-WSP_R847</t>
  </si>
  <si>
    <t>MS-WSP_R848</t>
  </si>
  <si>
    <t>MS-WSP_R849</t>
  </si>
  <si>
    <t>MS-WSP_R850</t>
  </si>
  <si>
    <t>MS-WSP_R851</t>
  </si>
  <si>
    <t>MS-WSP_R852</t>
  </si>
  <si>
    <t>MS-WSP_R853</t>
  </si>
  <si>
    <t>MS-WSP_R854</t>
  </si>
  <si>
    <t>MS-WSP_R855</t>
  </si>
  <si>
    <t>MS-WSP_R856</t>
  </si>
  <si>
    <t>MS-WSP_R857</t>
  </si>
  <si>
    <t>MS-WSP_R858</t>
  </si>
  <si>
    <t>MS-WSP_R859</t>
  </si>
  <si>
    <t>MS-WSP_R860</t>
  </si>
  <si>
    <t>MS-WSP_R861</t>
  </si>
  <si>
    <t>MS-WSP_R862</t>
  </si>
  <si>
    <t>MS-WSP_R863</t>
  </si>
  <si>
    <t>MS-WSP_R864</t>
  </si>
  <si>
    <t>MS-WSP_R865</t>
  </si>
  <si>
    <t>MS-WSP_R866</t>
  </si>
  <si>
    <t>MS-WSP_R867</t>
  </si>
  <si>
    <t>MS-WSP_R868</t>
  </si>
  <si>
    <t>MS-WSP_R869</t>
  </si>
  <si>
    <t>MS-WSP_R870</t>
  </si>
  <si>
    <t>MS-WSP_R871</t>
  </si>
  <si>
    <t>MS-WSP_R872</t>
  </si>
  <si>
    <t>MS-WSP_R873</t>
  </si>
  <si>
    <t>MS-WSP_R874</t>
  </si>
  <si>
    <t>MS-WSP_R875</t>
  </si>
  <si>
    <t>MS-WSP_R876</t>
  </si>
  <si>
    <t>MS-WSP_R877</t>
  </si>
  <si>
    <t>MS-WSP_R878</t>
  </si>
  <si>
    <t>MS-WSP_R879</t>
  </si>
  <si>
    <t>MS-WSP_R880</t>
  </si>
  <si>
    <t>MS-WSP_R881</t>
  </si>
  <si>
    <t>MS-WSP_R882</t>
  </si>
  <si>
    <t>MS-WSP_R883</t>
  </si>
  <si>
    <t>MS-WSP_R884</t>
  </si>
  <si>
    <t>MS-WSP_R885</t>
  </si>
  <si>
    <t>MS-WSP_R886</t>
  </si>
  <si>
    <t>MS-WSP_R887</t>
  </si>
  <si>
    <t>MS-WSP_R888</t>
  </si>
  <si>
    <t>MS-WSP_R889</t>
  </si>
  <si>
    <t>MS-WSP_R890</t>
  </si>
  <si>
    <t>MS-WSP_R891</t>
  </si>
  <si>
    <t>MS-WSP_R892</t>
  </si>
  <si>
    <t>MS-WSP_R893</t>
  </si>
  <si>
    <t>MS-WSP_R894</t>
  </si>
  <si>
    <t>MS-WSP_R895</t>
  </si>
  <si>
    <t>MS-WSP_R896</t>
  </si>
  <si>
    <t>MS-WSP_R897</t>
  </si>
  <si>
    <t>MS-WSP_R898</t>
  </si>
  <si>
    <t>MS-WSP_R899</t>
  </si>
  <si>
    <t>MS-WSP_R900</t>
  </si>
  <si>
    <t>MS-WSP_R901</t>
  </si>
  <si>
    <t>MS-WSP_R902</t>
  </si>
  <si>
    <t>For any arbitrary value of 'reserved1' field of the CRowVariant structure, server returns success.</t>
  </si>
  <si>
    <t>For any arbitrary value of 'reserved2' field of the CRowVariant structure, server returns success.</t>
  </si>
  <si>
    <t xml:space="preserve"> The 4 bytes '_partID' field of the CPMForceMergeIn message MUST be present when the message is sent by the client.</t>
  </si>
  <si>
    <t>S3,S5</t>
  </si>
  <si>
    <t>MS-WSP_R903</t>
  </si>
  <si>
    <t>MS-WSP_R904</t>
  </si>
  <si>
    <t>MS-WSP_R905</t>
  </si>
  <si>
    <t>MS-WSP_R906</t>
  </si>
  <si>
    <t>MS-WSP_R907</t>
  </si>
  <si>
    <t>MS-WSP_R908</t>
  </si>
  <si>
    <t>MS-WSP_R909</t>
  </si>
  <si>
    <t>MS-WSP_R910</t>
  </si>
  <si>
    <t>MS-WSP_R911</t>
  </si>
  <si>
    <t>MS-WSP_R912</t>
  </si>
  <si>
    <t>MS-WSP_R913</t>
  </si>
  <si>
    <t>MS-WSP_R914</t>
  </si>
  <si>
    <t>MS-WSP_R915</t>
  </si>
  <si>
    <t>MS-WSP_R916</t>
  </si>
  <si>
    <t>MS-WSP_R917</t>
  </si>
  <si>
    <t>MS-WSP_R918</t>
  </si>
  <si>
    <t>MS-WSP_R919</t>
  </si>
  <si>
    <t>MS-WSP_R920</t>
  </si>
  <si>
    <t>MS-WSP_R921</t>
  </si>
  <si>
    <t>MS-WSP_R922</t>
  </si>
  <si>
    <t>MS-WSP_R923</t>
  </si>
  <si>
    <t>MS-WSP_R924</t>
  </si>
  <si>
    <t>MS-WSP_R925</t>
  </si>
  <si>
    <t>MS-WSP_R926</t>
  </si>
  <si>
    <t>MS-WSP_R927</t>
  </si>
  <si>
    <t>MS-WSP_R928</t>
  </si>
  <si>
    <t>MS-WSP_R929</t>
  </si>
  <si>
    <t>MS-WSP_R930</t>
  </si>
  <si>
    <t>MS-WSP_R931</t>
  </si>
  <si>
    <t>MS-WSP_R932</t>
  </si>
  <si>
    <t>MS-WSP_R933</t>
  </si>
  <si>
    <t>MS-WSP_R934</t>
  </si>
  <si>
    <t>MS-WSP_R935</t>
  </si>
  <si>
    <t>MS-WSP_R936</t>
  </si>
  <si>
    <t>MS-WSP_R937</t>
  </si>
  <si>
    <t>The value of 4 bytes "msg" field for CPMConnectIn message is 0x000000C8.</t>
  </si>
  <si>
    <t>R363:c</t>
  </si>
  <si>
    <t>The value of 4 bytes "msg" field for CPMDisconnect message is 0x000000C9.</t>
  </si>
  <si>
    <t>The value of 4 bytes "msg" field for CPMCreateQueryIn message is 0x000000CA.</t>
  </si>
  <si>
    <t>The value of 4 bytes "msg" field for CPMFreeCursorIn message is 0x000000CB.</t>
  </si>
  <si>
    <t>The value of 4 bytes "msg" field for CPMGetRowsIn message is 0x000000CC.</t>
  </si>
  <si>
    <t>The value of 4 bytes "msg" field for CPMRatioFinishedIn message is 0x000000CD.</t>
  </si>
  <si>
    <t>The value of 4 bytes "msg" field for CPMCompareBmkIn message is 0x000000CE.</t>
  </si>
  <si>
    <t>The value of 4 bytes "msg" field for CPMGetApproximatePositionIn message is 0x000000CF.</t>
  </si>
  <si>
    <t>The value of 4 bytes "msg" field for CPMSetBindingsIn message is 0x000000D0.</t>
  </si>
  <si>
    <t>The value of 4 bytes "msg" field for CPMGetNotify message is 0x000000D1.</t>
  </si>
  <si>
    <t>The value of 4 bytes "msg" field for CPMGetQueryStatusIn message is 0x000000D7.</t>
  </si>
  <si>
    <t>The value of 4 bytes "msg" field for CPMCiStateInOut message is 0x000000D9.</t>
  </si>
  <si>
    <t>The value of 4 bytes "msg" field for CPMForceMergeIn message is 0x000000E1.</t>
  </si>
  <si>
    <t>The value of 4 bytes "msg" field for CPMFetchValueIn message is 0x000000E4.</t>
  </si>
  <si>
    <t>The value of 4 bytes "msg" field for CPMUpdateDocumentsIn message is 0x000000E6.</t>
  </si>
  <si>
    <t>The value of 4 bytes "msg" field for CPMGetQueryStatusExIn message is 0x000000E7.</t>
  </si>
  <si>
    <t>The value of 4 bytes "msg" field for CPMRestartPositionIn message is 0x000000E8.</t>
  </si>
  <si>
    <t>The value of 4 bytes "msg" field for CPMStopAsyncIn message is 0x000000E9.</t>
  </si>
  <si>
    <t>MS-WSP_R938</t>
  </si>
  <si>
    <t>MS-WSP_R939</t>
  </si>
  <si>
    <t>MS-WSP_R940</t>
  </si>
  <si>
    <t xml:space="preserve"> Values  greater than or equal to 0x00010000 ,of 4 bytes _serverVersion field of CPMConnectOut message , indicates 64-bit support. </t>
  </si>
  <si>
    <t>Values less than 0x00010000, of 4 bytes _serverVersion field of CPMConnectOut message ,indicates 32-bit support.</t>
  </si>
  <si>
    <t>MS-WSP_R941</t>
  </si>
  <si>
    <t>R435:c</t>
  </si>
  <si>
    <t>R434:c</t>
  </si>
  <si>
    <t>The value of 4 bytes 'msg' field for CPMConnectOut message is 0x000000C8.</t>
  </si>
  <si>
    <t>The value of 4 bytes 'msg' field for CPMCreateQueryOut message is 0x000000CA.</t>
  </si>
  <si>
    <t>The value of 4 bytes 'msg' field for CPMFreeCursorOut message is 0x000000CB.</t>
  </si>
  <si>
    <t>The value of 4 bytes 'msg' field for CPMGetRowsOut message is 0x000000CC.</t>
  </si>
  <si>
    <t>The value of 4 bytes 'msg' field for CPMRatioFinishedOut message is 0x000000CD.</t>
  </si>
  <si>
    <t>The value of 4 bytes 'msg' field for CPMCompareBmkOut message is 0x000000CE.</t>
  </si>
  <si>
    <t>The value of 4 bytes 'msg' field for CPMGetApproximatePositionOut message is 0x000000CF.</t>
  </si>
  <si>
    <t>The value of 4 bytes 'msg' field for the response of CPMSetBindingsIn message is 0x000000D0.</t>
  </si>
  <si>
    <t>The value of 4 bytes 'msg' field for CPMSendNotifyOut message is 0x000000D2.</t>
  </si>
  <si>
    <t>The value of 4 bytes 'msg' field for CPMGetQueryStatusOut message is 0x000000D7.</t>
  </si>
  <si>
    <t>The value of 4 bytes 'msg' field for the response of CPMCiStateInOut message is 0x000000D9.</t>
  </si>
  <si>
    <t>The value of 4 bytes 'msg' field for the response of CPMForceMergeIn message is 0x000000E1.</t>
  </si>
  <si>
    <t>The value of 4 bytes 'msg' field for CPMFetchValueOut message is 0x000000E4.</t>
  </si>
  <si>
    <t>The value of 4 bytes 'msg' field for the response of CPMUpdateDocumentsIn message is 0x000000E6.</t>
  </si>
  <si>
    <t>The value of 4 bytes 'msg' field for CPMGetQueryStatusExOut message is 0x000000E7.</t>
  </si>
  <si>
    <t>The value of 4 bytes 'msg' field for the response of CPMReStartPositionIn message is 0x000000E8.</t>
  </si>
  <si>
    <t>The value of 4 bytes 'msg' field for the response of CPMStopAsyncIn message is 0x000000E9.</t>
  </si>
  <si>
    <t>Not implemented on Windows.</t>
  </si>
  <si>
    <t>For  0x00000000 value of '_hRegion' field of the  CRowSeekAtRatio structure, server response is success.</t>
  </si>
  <si>
    <t>S1,S2,S3,S5,S6</t>
  </si>
  <si>
    <t>S1,S2,S6</t>
  </si>
  <si>
    <t>S1,S2,S3,S4,S5,S6</t>
  </si>
  <si>
    <t>S1,S2,S5,S6</t>
  </si>
  <si>
    <t>S1,S6</t>
  </si>
  <si>
    <t xml:space="preserve">
The '_whereID' field of the CPMGetQueryStatusExOut message is a 4 bytes unsigned integer</t>
  </si>
  <si>
    <t xml:space="preserve">The 4 bytes '_fValueExists' field of the CPMFetchValueOut message is a Boolean value. </t>
  </si>
  <si>
    <t>The 4 bytes '_fValeExists' field of the CPMFetchValueOut message  is one of the following: (0x00000000) or (0x00000001).</t>
  </si>
  <si>
    <t>If 32-bit offsets are being used, the Offset field of CRowVariant structure in the row data MUST contain a 32-bit value.</t>
  </si>
  <si>
    <t>Verified</t>
  </si>
  <si>
    <t>verified</t>
  </si>
  <si>
    <t>Deleted</t>
  </si>
  <si>
    <t>R597:c</t>
  </si>
  <si>
    <t>&lt;10&gt;0x00000102:OS is either 32-bit Windows Server 2008, or 32-bit Windows Vista.</t>
  </si>
  <si>
    <t>&lt;10&gt;0x00000109:OS is either 32-bit Windows XP, 32-bit Windows Server 2003, 32-bit Windows Vista with Windows Desktop Search 4, 32-bit Windows Server 2003 with Windows Desktop Search 4.</t>
  </si>
  <si>
    <t>&lt;10&gt;0x000010102:64-bit version of Windows Vista or Windows Server 2008.</t>
  </si>
  <si>
    <t>&lt;10&gt;0x00010109:64-bit version of Windows Vista or Windows Server 2008 with Windows Desktop Search 4 installed.</t>
  </si>
  <si>
    <t>If _fMoreExists is set to 0x00000000, the length of the 'vValue' field of the CPMFetchValueOut message, MUST be less than the value of _cbChunk in CPMFetchValueIn.</t>
  </si>
  <si>
    <t>If vType is set to VT_BSTR or VT_LPSTR, cbSize MUST be set to 0x00000000 when the string represented is an empty string.</t>
  </si>
  <si>
    <t xml:space="preserve"> If the iclientVersion is 0x00010000 or less than 0x00010000, Servers MUST format offsets to variable length data type as 32 bit integers</t>
  </si>
  <si>
    <t xml:space="preserve"> If the iclientVersion is greater than 0x00010000 and the serverVersion is set to 0x00010000 , Servers MUST format offsets to variable length data types in the row field as 32-bit integers. 
</t>
  </si>
  <si>
    <t xml:space="preserve"> If the iclientVersion is greater than 0x00010000 and the serverVersion is set to 0x00010000 , Servers MUST format offsets to variable length data types in the row field as 64-bit integers.</t>
  </si>
  <si>
    <t>When the server receives a CPMGetRowsIn message request from a client, the server MUST report that an error was encountered if it fails to position the cursor in the query results as indicated by the seek description.</t>
  </si>
  <si>
    <t>MS-WSP_R675</t>
  </si>
  <si>
    <t>Blocked due to TDI 19612 which is resolved but resolution not reflected in TD yet.</t>
  </si>
  <si>
    <t>Blocked due to active TDI   19482 .</t>
  </si>
  <si>
    <t>Blocked due to active TDI  19903</t>
  </si>
  <si>
    <t>Blocked due to active TDI 19912</t>
  </si>
  <si>
    <t>Blocked due to active TDI  19902</t>
  </si>
  <si>
    <t>Blocked due to active TDI  19907</t>
  </si>
  <si>
    <t>Blocked due to active TDI 19909</t>
  </si>
  <si>
    <t>Blocked due to active TDI  19905</t>
  </si>
  <si>
    <t>Blocked due to Active TDI 18000</t>
  </si>
  <si>
    <t>This statement no more exsits in the TD.</t>
  </si>
  <si>
    <t>Scenario to get these values could not be generated.</t>
  </si>
  <si>
    <t>Scenario to get these values could not be generated because Property to get this value on windows is not known</t>
  </si>
  <si>
    <t>Not implemented on Windows.(TDI 19554)</t>
  </si>
  <si>
    <t>Blocked due to active TDI  19921</t>
  </si>
  <si>
    <t>Blocked due to active TDI 19921</t>
  </si>
</sst>
</file>

<file path=xl/styles.xml><?xml version="1.0" encoding="utf-8"?>
<styleSheet xmlns="http://schemas.openxmlformats.org/spreadsheetml/2006/main">
  <numFmts count="1">
    <numFmt numFmtId="164" formatCode="yyyy\-mm\-dd"/>
  </numFmts>
  <fonts count="23">
    <font>
      <sz val="11"/>
      <color theme="1"/>
      <name val="Calibri"/>
      <family val="2"/>
      <scheme val="minor"/>
    </font>
    <font>
      <b/>
      <sz val="11"/>
      <color theme="1"/>
      <name val="Calibri"/>
      <family val="2"/>
      <scheme val="minor"/>
    </font>
    <font>
      <sz val="11"/>
      <color rgb="FF000000"/>
      <name val="Calibri"/>
      <family val="2"/>
    </font>
    <font>
      <b/>
      <sz val="12"/>
      <color theme="1"/>
      <name val="Calibri"/>
      <family val="2"/>
      <scheme val="minor"/>
    </font>
    <font>
      <sz val="10"/>
      <color theme="1"/>
      <name val="Calibri"/>
      <family val="2"/>
      <scheme val="minor"/>
    </font>
    <font>
      <b/>
      <sz val="16"/>
      <color theme="3" tint="0.39997558519241921"/>
      <name val="Cambria"/>
      <family val="1"/>
      <scheme val="major"/>
    </font>
    <font>
      <b/>
      <sz val="16"/>
      <color rgb="FF0070C0"/>
      <name val="Cambria"/>
      <family val="1"/>
      <scheme val="major"/>
    </font>
    <font>
      <sz val="10"/>
      <color theme="1"/>
      <name val="Arial"/>
      <family val="2"/>
    </font>
    <font>
      <b/>
      <sz val="10"/>
      <color rgb="FF000000"/>
      <name val="Arial"/>
      <family val="2"/>
    </font>
    <font>
      <sz val="10"/>
      <color rgb="FF000000"/>
      <name val="Arial"/>
      <family val="2"/>
    </font>
    <font>
      <sz val="7"/>
      <color theme="1"/>
      <name val="Times New Roman"/>
      <family val="1"/>
    </font>
    <font>
      <sz val="9"/>
      <name val="Calibri"/>
      <family val="3"/>
      <charset val="134"/>
      <scheme val="minor"/>
    </font>
    <font>
      <b/>
      <sz val="11"/>
      <color theme="0"/>
      <name val="Calibri"/>
      <family val="2"/>
      <scheme val="minor"/>
    </font>
    <font>
      <b/>
      <sz val="11"/>
      <color rgb="FF000000"/>
      <name val="Calibri"/>
      <family val="2"/>
      <scheme val="minor"/>
    </font>
    <font>
      <sz val="11"/>
      <color rgb="FF000000"/>
      <name val="Calibri"/>
      <family val="2"/>
      <scheme val="minor"/>
    </font>
    <font>
      <sz val="11"/>
      <color rgb="FF000000"/>
      <name val="Arial"/>
      <family val="2"/>
    </font>
    <font>
      <b/>
      <sz val="11"/>
      <color rgb="FF000000"/>
      <name val="Arial"/>
      <family val="2"/>
    </font>
    <font>
      <u/>
      <sz val="11"/>
      <color theme="10"/>
      <name val="Calibri"/>
      <family val="2"/>
    </font>
    <font>
      <sz val="12"/>
      <color theme="1"/>
      <name val="Calibri"/>
      <family val="2"/>
      <scheme val="minor"/>
    </font>
    <font>
      <sz val="11"/>
      <name val="Calibri"/>
      <family val="2"/>
      <scheme val="minor"/>
    </font>
    <font>
      <sz val="11"/>
      <name val="Calibri"/>
      <family val="2"/>
      <scheme val="minor"/>
    </font>
    <font>
      <b/>
      <sz val="11"/>
      <name val="Calibri"/>
      <family val="2"/>
      <scheme val="minor"/>
    </font>
    <font>
      <sz val="11"/>
      <name val="Calibri"/>
      <scheme val="minor"/>
    </font>
  </fonts>
  <fills count="8">
    <fill>
      <patternFill patternType="none"/>
    </fill>
    <fill>
      <patternFill patternType="gray125"/>
    </fill>
    <fill>
      <patternFill patternType="solid">
        <fgColor rgb="FFBFBFBF"/>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FFFF99"/>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bottom/>
      <diagonal/>
    </border>
  </borders>
  <cellStyleXfs count="2">
    <xf numFmtId="0" fontId="0" fillId="0" borderId="0"/>
    <xf numFmtId="0" fontId="17" fillId="0" borderId="0" applyNumberFormat="0" applyFill="0" applyBorder="0" applyAlignment="0" applyProtection="0">
      <alignment vertical="top"/>
      <protection locked="0"/>
    </xf>
  </cellStyleXfs>
  <cellXfs count="115">
    <xf numFmtId="0" fontId="0" fillId="0" borderId="0" xfId="0"/>
    <xf numFmtId="0" fontId="0" fillId="0" borderId="1" xfId="0" applyBorder="1"/>
    <xf numFmtId="0" fontId="2" fillId="2" borderId="1" xfId="0" applyFont="1" applyFill="1" applyBorder="1"/>
    <xf numFmtId="0" fontId="2" fillId="0" borderId="1" xfId="0" applyFont="1" applyBorder="1" applyAlignment="1">
      <alignment horizontal="center"/>
    </xf>
    <xf numFmtId="0" fontId="0" fillId="3" borderId="1" xfId="0" applyFill="1" applyBorder="1"/>
    <xf numFmtId="0" fontId="2" fillId="2" borderId="1" xfId="0" applyFont="1" applyFill="1" applyBorder="1" applyAlignment="1">
      <alignment wrapText="1"/>
    </xf>
    <xf numFmtId="0" fontId="2" fillId="0" borderId="1" xfId="0" applyFont="1" applyBorder="1" applyAlignment="1">
      <alignment horizontal="center" wrapText="1"/>
    </xf>
    <xf numFmtId="0" fontId="1" fillId="0" borderId="0" xfId="0" applyFont="1"/>
    <xf numFmtId="0" fontId="6" fillId="0" borderId="0" xfId="0" applyFont="1"/>
    <xf numFmtId="0" fontId="8" fillId="0" borderId="0" xfId="0" applyFont="1" applyAlignment="1">
      <alignment horizontal="justify"/>
    </xf>
    <xf numFmtId="0" fontId="9" fillId="0" borderId="0" xfId="0" applyFont="1" applyAlignment="1">
      <alignment horizontal="justify"/>
    </xf>
    <xf numFmtId="0" fontId="9" fillId="0" borderId="0" xfId="0" applyFont="1" applyAlignment="1">
      <alignment horizontal="justify" wrapText="1"/>
    </xf>
    <xf numFmtId="0" fontId="9"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2" fillId="0" borderId="4" xfId="0" applyFont="1" applyFill="1" applyBorder="1" applyAlignment="1">
      <alignment horizontal="center" wrapText="1"/>
    </xf>
    <xf numFmtId="0" fontId="4" fillId="0" borderId="0" xfId="0" applyFont="1" applyAlignment="1"/>
    <xf numFmtId="0" fontId="0" fillId="6" borderId="0" xfId="0" applyFill="1" applyAlignment="1"/>
    <xf numFmtId="0" fontId="0" fillId="6" borderId="0" xfId="0" applyNumberFormat="1" applyFill="1" applyAlignment="1"/>
    <xf numFmtId="0" fontId="1" fillId="4" borderId="1" xfId="0" applyNumberFormat="1" applyFont="1" applyFill="1" applyBorder="1"/>
    <xf numFmtId="0" fontId="0" fillId="5" borderId="1" xfId="0" applyNumberFormat="1" applyFill="1" applyBorder="1" applyAlignment="1">
      <alignment vertical="center" wrapText="1"/>
    </xf>
    <xf numFmtId="0" fontId="0" fillId="5" borderId="1" xfId="0" applyFill="1" applyBorder="1" applyAlignment="1">
      <alignment horizontal="left" vertical="center" wrapText="1"/>
    </xf>
    <xf numFmtId="0" fontId="4" fillId="0" borderId="0" xfId="0" applyFont="1" applyAlignment="1"/>
    <xf numFmtId="0" fontId="0" fillId="5" borderId="1" xfId="0" applyFill="1" applyBorder="1" applyAlignment="1">
      <alignment horizontal="left" vertical="center" wrapText="1"/>
    </xf>
    <xf numFmtId="0" fontId="0" fillId="7" borderId="1" xfId="0" applyFont="1" applyFill="1" applyBorder="1" applyAlignment="1">
      <alignment horizontal="center" vertical="center" wrapText="1"/>
    </xf>
    <xf numFmtId="0" fontId="0" fillId="7" borderId="2" xfId="0" applyFont="1" applyFill="1" applyBorder="1" applyAlignment="1">
      <alignment horizontal="right" vertical="center" wrapText="1"/>
    </xf>
    <xf numFmtId="0" fontId="12" fillId="4" borderId="6" xfId="0" applyNumberFormat="1" applyFont="1" applyFill="1" applyBorder="1" applyAlignment="1">
      <alignment horizontal="right"/>
    </xf>
    <xf numFmtId="0" fontId="12" fillId="4" borderId="7" xfId="0" applyNumberFormat="1" applyFont="1" applyFill="1" applyBorder="1" applyAlignment="1">
      <alignment horizontal="center"/>
    </xf>
    <xf numFmtId="0" fontId="0" fillId="7" borderId="10" xfId="0" applyFont="1" applyFill="1" applyBorder="1" applyAlignment="1">
      <alignment horizontal="right" vertical="center" wrapText="1"/>
    </xf>
    <xf numFmtId="0" fontId="0" fillId="7" borderId="11" xfId="0" applyFont="1" applyFill="1" applyBorder="1" applyAlignment="1">
      <alignment horizontal="center" vertical="center" wrapText="1"/>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1" fillId="4" borderId="0" xfId="0" applyFont="1" applyFill="1" applyBorder="1" applyAlignment="1">
      <alignment horizontal="center"/>
    </xf>
    <xf numFmtId="0" fontId="0" fillId="5" borderId="1" xfId="0" applyFill="1" applyBorder="1" applyAlignment="1">
      <alignment horizontal="left" vertical="top"/>
    </xf>
    <xf numFmtId="0" fontId="0" fillId="5" borderId="2" xfId="0" applyFill="1" applyBorder="1" applyAlignment="1">
      <alignment horizontal="left" vertical="center" wrapText="1"/>
    </xf>
    <xf numFmtId="0" fontId="0" fillId="0" borderId="0" xfId="0" applyFont="1"/>
    <xf numFmtId="0" fontId="0" fillId="7" borderId="2" xfId="0" applyFill="1" applyBorder="1" applyAlignment="1">
      <alignment horizontal="right" vertical="center" wrapText="1"/>
    </xf>
    <xf numFmtId="0" fontId="1" fillId="6" borderId="0" xfId="0" applyNumberFormat="1" applyFont="1" applyFill="1"/>
    <xf numFmtId="164" fontId="1" fillId="6" borderId="0" xfId="0" applyNumberFormat="1" applyFont="1" applyFill="1" applyAlignment="1">
      <alignment horizontal="left"/>
    </xf>
    <xf numFmtId="49" fontId="1" fillId="6" borderId="0" xfId="0" applyNumberFormat="1" applyFont="1" applyFill="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0" fillId="5" borderId="3" xfId="0" applyFill="1" applyBorder="1" applyAlignment="1">
      <alignment horizontal="left" vertical="top"/>
    </xf>
    <xf numFmtId="0" fontId="0" fillId="5" borderId="2" xfId="0" applyFill="1" applyBorder="1" applyAlignment="1">
      <alignment horizontal="left" vertical="top"/>
    </xf>
    <xf numFmtId="0" fontId="0" fillId="5" borderId="13" xfId="0" applyFill="1" applyBorder="1" applyAlignment="1">
      <alignment horizontal="left" vertical="top"/>
    </xf>
    <xf numFmtId="164" fontId="1" fillId="0" borderId="0" xfId="0" applyNumberFormat="1" applyFont="1" applyFill="1" applyAlignment="1">
      <alignment horizontal="left"/>
    </xf>
    <xf numFmtId="49" fontId="0" fillId="0" borderId="0" xfId="0" applyNumberFormat="1"/>
    <xf numFmtId="0" fontId="2" fillId="2" borderId="13" xfId="0" applyFont="1" applyFill="1" applyBorder="1" applyAlignment="1">
      <alignment wrapText="1"/>
    </xf>
    <xf numFmtId="0" fontId="15" fillId="0" borderId="0" xfId="0" applyFont="1" applyAlignment="1">
      <alignment horizontal="justify"/>
    </xf>
    <xf numFmtId="0" fontId="0" fillId="0" borderId="0" xfId="0" applyAlignment="1">
      <alignment wrapText="1"/>
    </xf>
    <xf numFmtId="0" fontId="0" fillId="0" borderId="0" xfId="0" applyFill="1"/>
    <xf numFmtId="0" fontId="7" fillId="0" borderId="0" xfId="0" applyFont="1" applyAlignment="1">
      <alignment horizontal="left" wrapText="1" indent="5"/>
    </xf>
    <xf numFmtId="0" fontId="17"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8" fillId="0" borderId="0" xfId="0" applyFont="1" applyAlignment="1">
      <alignment wrapText="1"/>
    </xf>
    <xf numFmtId="0" fontId="14" fillId="0" borderId="0" xfId="0" applyFont="1" applyAlignment="1">
      <alignment horizontal="left" wrapText="1"/>
    </xf>
    <xf numFmtId="0" fontId="0" fillId="0" borderId="4" xfId="0" applyFill="1" applyBorder="1"/>
    <xf numFmtId="0" fontId="0" fillId="0" borderId="0" xfId="0" applyFill="1" applyAlignment="1">
      <alignment wrapText="1"/>
    </xf>
    <xf numFmtId="49" fontId="19" fillId="0" borderId="1" xfId="0" applyNumberFormat="1" applyFont="1" applyFill="1" applyBorder="1"/>
    <xf numFmtId="49" fontId="20" fillId="0" borderId="1" xfId="0" applyNumberFormat="1" applyFont="1" applyFill="1" applyBorder="1" applyAlignment="1">
      <alignment wrapText="1"/>
    </xf>
    <xf numFmtId="49" fontId="20" fillId="0" borderId="1" xfId="0" applyNumberFormat="1" applyFont="1" applyFill="1" applyBorder="1"/>
    <xf numFmtId="0" fontId="19" fillId="0" borderId="0" xfId="0" applyFont="1" applyFill="1"/>
    <xf numFmtId="49" fontId="19" fillId="0" borderId="1" xfId="0" applyNumberFormat="1" applyFont="1" applyFill="1" applyBorder="1" applyAlignment="1">
      <alignment wrapText="1"/>
    </xf>
    <xf numFmtId="49" fontId="19" fillId="0" borderId="11" xfId="0" applyNumberFormat="1" applyFont="1" applyFill="1" applyBorder="1"/>
    <xf numFmtId="49" fontId="22" fillId="0" borderId="1" xfId="0" applyNumberFormat="1" applyFont="1" applyFill="1" applyBorder="1" applyAlignment="1">
      <alignment wrapText="1"/>
    </xf>
    <xf numFmtId="49" fontId="22" fillId="0" borderId="1" xfId="0" applyNumberFormat="1" applyFont="1" applyFill="1" applyBorder="1"/>
    <xf numFmtId="49" fontId="0" fillId="0" borderId="0" xfId="0" applyNumberFormat="1" applyFill="1"/>
    <xf numFmtId="49" fontId="19" fillId="0" borderId="2" xfId="0" applyNumberFormat="1" applyFont="1" applyFill="1" applyBorder="1"/>
    <xf numFmtId="49" fontId="22" fillId="0" borderId="2" xfId="0" applyNumberFormat="1" applyFont="1" applyFill="1" applyBorder="1"/>
    <xf numFmtId="49" fontId="0" fillId="0" borderId="0" xfId="0" applyNumberFormat="1" applyFill="1" applyAlignment="1">
      <alignment wrapText="1"/>
    </xf>
    <xf numFmtId="49" fontId="19" fillId="0" borderId="0" xfId="0" applyNumberFormat="1" applyFont="1" applyFill="1" applyAlignment="1">
      <alignment wrapText="1"/>
    </xf>
    <xf numFmtId="49" fontId="19" fillId="0" borderId="0" xfId="0" applyNumberFormat="1" applyFont="1" applyFill="1"/>
    <xf numFmtId="49" fontId="1" fillId="0" borderId="0" xfId="0" applyNumberFormat="1" applyFont="1" applyFill="1"/>
    <xf numFmtId="2" fontId="19" fillId="0" borderId="1" xfId="0" applyNumberFormat="1" applyFont="1" applyFill="1" applyBorder="1" applyAlignment="1">
      <alignment wrapText="1"/>
    </xf>
    <xf numFmtId="2" fontId="0" fillId="0" borderId="0" xfId="0" applyNumberFormat="1" applyFill="1" applyAlignment="1">
      <alignment wrapText="1"/>
    </xf>
    <xf numFmtId="2" fontId="0" fillId="0" borderId="0" xfId="0" applyNumberFormat="1"/>
    <xf numFmtId="2" fontId="0" fillId="6" borderId="0" xfId="0" applyNumberFormat="1" applyFill="1" applyAlignment="1"/>
    <xf numFmtId="2" fontId="1" fillId="6" borderId="0" xfId="0" applyNumberFormat="1" applyFont="1" applyFill="1"/>
    <xf numFmtId="2" fontId="0" fillId="5" borderId="2" xfId="0" applyNumberFormat="1" applyFill="1" applyBorder="1" applyAlignment="1">
      <alignment horizontal="left" vertical="top"/>
    </xf>
    <xf numFmtId="2" fontId="12" fillId="4" borderId="8" xfId="0" applyNumberFormat="1" applyFont="1" applyFill="1" applyBorder="1"/>
    <xf numFmtId="2" fontId="0" fillId="7" borderId="3" xfId="0" applyNumberFormat="1" applyFont="1" applyFill="1" applyBorder="1" applyAlignment="1">
      <alignment horizontal="left" vertical="center" wrapText="1"/>
    </xf>
    <xf numFmtId="2" fontId="0" fillId="7" borderId="9" xfId="0" applyNumberFormat="1" applyFont="1" applyFill="1" applyBorder="1" applyAlignment="1">
      <alignment horizontal="left" vertical="center" wrapText="1"/>
    </xf>
    <xf numFmtId="2" fontId="20" fillId="0" borderId="1" xfId="0" applyNumberFormat="1" applyFont="1" applyFill="1" applyBorder="1" applyAlignment="1">
      <alignment wrapText="1"/>
    </xf>
    <xf numFmtId="2" fontId="19" fillId="0" borderId="1" xfId="0" quotePrefix="1" applyNumberFormat="1" applyFont="1" applyFill="1" applyBorder="1" applyAlignment="1">
      <alignment wrapText="1"/>
    </xf>
    <xf numFmtId="2" fontId="19" fillId="0" borderId="11" xfId="0" applyNumberFormat="1" applyFont="1" applyFill="1" applyBorder="1" applyAlignment="1">
      <alignment wrapText="1"/>
    </xf>
    <xf numFmtId="10" fontId="0" fillId="0" borderId="0" xfId="0" applyNumberFormat="1"/>
    <xf numFmtId="0" fontId="0" fillId="5" borderId="1" xfId="0" applyFill="1" applyBorder="1" applyAlignment="1">
      <alignment horizontal="left" vertical="top"/>
    </xf>
    <xf numFmtId="164" fontId="1" fillId="6" borderId="0" xfId="0" applyNumberFormat="1" applyFont="1" applyFill="1"/>
    <xf numFmtId="0" fontId="0" fillId="5" borderId="3" xfId="0" applyFill="1" applyBorder="1" applyAlignment="1">
      <alignment horizontal="left" vertical="center" wrapText="1"/>
    </xf>
    <xf numFmtId="0" fontId="0" fillId="5" borderId="13" xfId="0" applyFill="1" applyBorder="1" applyAlignment="1">
      <alignment horizontal="left" vertical="center" wrapText="1"/>
    </xf>
    <xf numFmtId="0" fontId="0" fillId="5" borderId="2" xfId="0" applyFill="1" applyBorder="1" applyAlignment="1">
      <alignment horizontal="left" vertical="center" wrapText="1"/>
    </xf>
    <xf numFmtId="0" fontId="0" fillId="5" borderId="3" xfId="0" applyFill="1" applyBorder="1" applyAlignment="1">
      <alignment horizontal="left" vertical="top"/>
    </xf>
    <xf numFmtId="0" fontId="0" fillId="5" borderId="2" xfId="0" applyFill="1" applyBorder="1" applyAlignment="1">
      <alignment horizontal="left" vertical="top"/>
    </xf>
    <xf numFmtId="0" fontId="0" fillId="5" borderId="13" xfId="0" applyFill="1" applyBorder="1" applyAlignment="1">
      <alignment horizontal="left" vertical="top"/>
    </xf>
    <xf numFmtId="0" fontId="1" fillId="4" borderId="8" xfId="0" applyFont="1" applyFill="1" applyBorder="1" applyAlignment="1">
      <alignment horizontal="center"/>
    </xf>
    <xf numFmtId="0" fontId="1" fillId="4" borderId="12" xfId="0" applyFont="1" applyFill="1" applyBorder="1" applyAlignment="1">
      <alignment horizontal="center"/>
    </xf>
    <xf numFmtId="0" fontId="5" fillId="0" borderId="0" xfId="0" applyFont="1" applyBorder="1" applyAlignment="1">
      <alignment horizontal="left" vertical="center"/>
    </xf>
    <xf numFmtId="0" fontId="0" fillId="5" borderId="1" xfId="0" applyFill="1" applyBorder="1" applyAlignment="1">
      <alignment horizontal="left"/>
    </xf>
    <xf numFmtId="0" fontId="0" fillId="5" borderId="1" xfId="0" applyFill="1" applyBorder="1" applyAlignment="1">
      <alignment horizontal="left" vertical="center" wrapText="1"/>
    </xf>
    <xf numFmtId="0" fontId="0" fillId="5" borderId="9" xfId="0" applyFill="1" applyBorder="1" applyAlignment="1">
      <alignment horizontal="center" vertical="center" wrapText="1"/>
    </xf>
    <xf numFmtId="0" fontId="0" fillId="5" borderId="14"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5" xfId="0" applyFill="1" applyBorder="1" applyAlignment="1">
      <alignment horizontal="center" vertical="center" wrapText="1"/>
    </xf>
    <xf numFmtId="0" fontId="0" fillId="5" borderId="0" xfId="0" applyFill="1" applyBorder="1" applyAlignment="1">
      <alignment horizontal="center" vertical="center" wrapText="1"/>
    </xf>
    <xf numFmtId="0" fontId="0" fillId="5" borderId="15" xfId="0" applyFill="1" applyBorder="1" applyAlignment="1">
      <alignment horizontal="center" vertical="center" wrapText="1"/>
    </xf>
    <xf numFmtId="0" fontId="0" fillId="5" borderId="8" xfId="0" applyFill="1" applyBorder="1" applyAlignment="1">
      <alignment horizontal="center" vertical="center" wrapText="1"/>
    </xf>
    <xf numFmtId="0" fontId="0" fillId="5" borderId="12" xfId="0" applyFill="1" applyBorder="1" applyAlignment="1">
      <alignment horizontal="center" vertical="center" wrapText="1"/>
    </xf>
    <xf numFmtId="0" fontId="0" fillId="5" borderId="6" xfId="0" applyFill="1" applyBorder="1" applyAlignment="1">
      <alignment horizontal="center" vertical="center" wrapText="1"/>
    </xf>
    <xf numFmtId="0" fontId="3" fillId="0" borderId="0" xfId="0" applyFont="1" applyAlignment="1"/>
    <xf numFmtId="0" fontId="0" fillId="0" borderId="0" xfId="0" applyAlignment="1"/>
    <xf numFmtId="0" fontId="4" fillId="0" borderId="12" xfId="0" applyFont="1" applyBorder="1" applyAlignment="1">
      <alignment horizontal="left"/>
    </xf>
  </cellXfs>
  <cellStyles count="2">
    <cellStyle name="Hyperlink" xfId="1" builtinId="8"/>
    <cellStyle name="Normal" xfId="0" builtinId="0"/>
  </cellStyles>
  <dxfs count="30">
    <dxf>
      <font>
        <b/>
        <i val="0"/>
      </font>
    </dxf>
    <dxf>
      <font>
        <b/>
        <i val="0"/>
      </font>
    </dxf>
    <dxf>
      <font>
        <b/>
        <i val="0"/>
      </font>
    </dxf>
    <dxf>
      <font>
        <b/>
        <i val="0"/>
      </font>
    </dxf>
    <dxf>
      <font>
        <b/>
        <i val="0"/>
      </font>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left" vertical="center" textRotation="0" wrapText="1" indent="0" relativeIndent="0" justifyLastLine="0" shrinkToFit="0" mergeCell="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relativeIndent="0" justifyLastLine="0" shrinkToFit="0" mergeCell="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indent="0" relativeIndent="0" justifyLastLine="0" shrinkToFit="0" mergeCell="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ill>
        <patternFill patternType="solid">
          <fgColor indexed="64"/>
          <bgColor theme="0"/>
        </patternFill>
      </fill>
    </dxf>
    <dxf>
      <font>
        <b val="0"/>
        <i val="0"/>
        <strike val="0"/>
        <condense val="0"/>
        <extend val="0"/>
        <outline val="0"/>
        <shadow val="0"/>
        <u val="none"/>
        <vertAlign val="baseline"/>
        <sz val="11"/>
        <color auto="1"/>
        <name val="Calibri"/>
        <scheme val="minor"/>
      </font>
      <numFmt numFmtId="30" formatCode="@"/>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30" formatCode="@"/>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30" formatCode="@"/>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dxf>
    <dxf>
      <fill>
        <patternFill patternType="solid">
          <fgColor indexed="64"/>
          <bgColor theme="0" tint="-0.14999847407452621"/>
        </patternFill>
      </fill>
      <alignment horizontal="general" vertical="bottom" textRotation="0" wrapText="1" indent="0" relativeIndent="0" justifyLastLine="0" shrinkToFit="0" mergeCell="0" readingOrder="0"/>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2" formatCode="0.00"/>
      <alignment horizontal="general" vertical="bottom" textRotation="0" wrapText="1" indent="0" relativeIndent="255" justifyLastLine="0" shrinkToFit="0" mergeCell="0" readingOrder="0"/>
    </dxf>
    <dxf>
      <font>
        <b val="0"/>
        <i val="0"/>
        <strike val="0"/>
        <condense val="0"/>
        <extend val="0"/>
        <outline val="0"/>
        <shadow val="0"/>
        <u val="none"/>
        <vertAlign val="baseline"/>
        <sz val="11"/>
        <color auto="1"/>
        <name val="Calibri"/>
        <scheme val="minor"/>
      </font>
      <numFmt numFmtId="30" formatCode="@"/>
      <fill>
        <patternFill patternType="solid">
          <fgColor indexed="64"/>
          <bgColor theme="0"/>
        </patternFill>
      </fill>
      <alignment horizontal="general" vertical="bottom" textRotation="0" wrapText="1" indent="0" relativeIndent="255" justifyLastLine="0" shrinkToFit="0" mergeCell="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0"/>
        </patternFill>
      </fill>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theme="0"/>
        </patternFill>
      </fill>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s>
  <tableStyles count="0" defaultTableStyle="TableStyleMedium9" defaultPivotStyle="PivotStyleLight16"/>
  <colors>
    <mruColors>
      <color rgb="FFFFFF99"/>
    </mruColors>
  </colors>
</styleSheet>
</file>

<file path=xl/xmlMaps.xml><?xml version="1.0" encoding="utf-8"?>
<MapInfo xmlns="http://schemas.openxmlformats.org/spreadsheetml/2006/main" SelectionNamespaces="xmlns:ns1='http://schemas.microsoft.com/windows/ProtocolsTest/2007/07/RequirementTable'">
  <Schema ID="Schema2"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req_id_type">
        <xs:restriction base="xs:string">
          <!-- MS-XXX_R### RFCnnnn_R### -->
          <xs:pattern value="^MS-[A-Za-z0-9]{2,8}_R\d{1,4}$"/>
          <xs:pattern value="^RFC\d{2,5}_R\d{1,4}$"/>
        </xs:restriction>
      </xs:simpleType>
      <xs:simpleType name="doc_sec_type">
        <xs:restriction base="xs:string">
          <!-- n(.n) -->
          <xs:pattern value="\d{1,2}(.\d{1,3}){0,9}"/>
        </xs:restriction>
      </xs:simpleType>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restriction>
      </xs:simpleType>
      <xs:simpleType name="actor_type">
        <xs:restriction base="xs:string">
          <!-- Client, Server or Both -->
          <xs:enumeration value="Client"/>
          <xs:enumeration value="Server"/>
          <xs:enumeration value="Both"/>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restriction>
      </xs:simpleType>
      <!-- Root element, attributes of this element should not be changed. -->
      <xs:element name="ReqTable">
        <xs:complexType>
          <xs:sequence maxOccurs="unbounded">
            <xs:element name="Requirement">
              <xs:complexType>
                <xs:sequence>
                  <xs:element name="REQ_ID" type="rt:req_id_type"/>
                  <!-- <REQ_ID>MS-KILE_R1</REQ_ID> -->
                  <xs:element name="Doc_Sect" type="rt:doc_sec_type"/>
                  <!-- <Doc_Sect>3.2.2</Doc_Sect> -->
                  <xs:element name="Description" type="xs:string"/>
                  <!-- <Description>Verify Tickets are removed from the cache once they have expired.</Description> -->
                  <xs:element name="Scenario" type="xs:string"/>
                  <!-- <Scenario>S1, S2</Scenario> -->
                  <xs:element name="IsExtension" type="rt:isExtension_type"/>
                  <!-- <IsExtension>Extension</IsExtension> -->
                  <xs:element name="Behavior" type="rt:behavior_type"/>
                  <!-- <Behavior>Protocol</Behavior> -->
                  <xs:element name="Actor" type="rt:actor_type"/>
                  <!-- <Actor>Client</Actor> -->
                  <xs:element name="Priority" type="rt:priority_type"/>
                  <!-- <Priority>p1</Priority> -->
                  <xs:element name="IsNormative" type="rt:isNormative_type"/>
                  <!-- <IsNormative>TRUE</IsNormative> -->
                  <xs:element name="Verification" type="rt:verification_type"/>
                  <!-- <Verification>Adapter</Verification> -->
                  <xs:element name="VerificationComment" type="xs:string"/>
                  <!-- <VerificationComment>Why the requirement is non-verifiable or unverified</VerificationComment> -->
                </xs:sequence>
              </xs:complexType>
            </xs:element>
          </xs:sequence>
        </xs:complexType>
        <xs:unique name="Unique_REQ_ID">
          <xs:selector xpath="rt:Requirement"/>
          <xs:field xpath="rt:REQ_ID"/>
        </xs:unique>
      </xs:element>
    </xs:schema>
  </Schema>
  <Map ID="2" Name="ReqTable_Map" RootElement="ReqTable" SchemaID="Schema2"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ables/table1.xml><?xml version="1.0" encoding="utf-8"?>
<table xmlns="http://schemas.openxmlformats.org/spreadsheetml/2006/main" id="1" name="Table1" displayName="Table1" ref="A22:M966" tableType="xml" totalsRowShown="0" dataDxfId="23" headerRowCellStyle="Normal" dataCellStyle="Normal">
  <autoFilter ref="A22:M966">
    <filterColumn colId="8">
      <filters>
        <filter val="Both"/>
        <filter val="Server"/>
      </filters>
    </filterColumn>
    <filterColumn colId="10">
      <filters>
        <filter val="Normative"/>
      </filters>
    </filterColumn>
    <filterColumn colId="11"/>
    <filterColumn colId="12"/>
  </autoFilter>
  <tableColumns count="13">
    <tableColumn id="1" uniqueName="ns1:REQ_ID" name="Req ID" dataDxfId="22" dataCellStyle="Normal">
      <calculatedColumnFormula>"MS-WSP_R"&amp;ROW(A23)-22</calculatedColumnFormula>
      <xmlColumnPr mapId="2" xpath="/ns1:ReqTable/ns1:Requirement/ns1:REQ_ID" xmlDataType="string"/>
    </tableColumn>
    <tableColumn id="2" uniqueName="ns1:Doc_Sect" name="Doc Sect" dataDxfId="21" dataCellStyle="Normal">
      <xmlColumnPr mapId="2" xpath="/ns1:ReqTable/ns1:Requirement/ns1:Doc_Sect" xmlDataType="string"/>
    </tableColumn>
    <tableColumn id="3" uniqueName="ns1:Description" name="Description" dataDxfId="20" dataCellStyle="Normal">
      <xmlColumnPr mapId="2" xpath="/ns1:ReqTable/ns1:Requirement/ns1:Description" xmlDataType="string"/>
    </tableColumn>
    <tableColumn id="17" uniqueName="17" name="Pos" dataDxfId="19" dataCellStyle="Normal"/>
    <tableColumn id="19" uniqueName="19" name="Neg" dataDxfId="18" dataCellStyle="Normal"/>
    <tableColumn id="18" uniqueName="18" name="Derived" dataDxfId="17" dataCellStyle="Normal"/>
    <tableColumn id="4" uniqueName="ns1:Scenario" name="Scenario" dataDxfId="16" dataCellStyle="Normal">
      <xmlColumnPr mapId="2" xpath="/ns1:ReqTable/ns1:Requirement/ns1:Scenario" xmlDataType="string"/>
    </tableColumn>
    <tableColumn id="6" uniqueName="ns1:Behavior" name="Behavior" dataDxfId="15" dataCellStyle="Normal">
      <xmlColumnPr mapId="2" xpath="/ns1:ReqTable/ns1:Requirement/ns1:Behavior" xmlDataType="string"/>
    </tableColumn>
    <tableColumn id="7" uniqueName="ns1:Actor" name="Scope" dataDxfId="14" dataCellStyle="Normal">
      <xmlColumnPr mapId="2" xpath="/ns1:ReqTable/ns1:Requirement/ns1:Actor" xmlDataType="string"/>
    </tableColumn>
    <tableColumn id="8" uniqueName="ns1:Priority" name="Priority" dataDxfId="13" dataCellStyle="Normal">
      <xmlColumnPr mapId="2" xpath="/ns1:ReqTable/ns1:Requirement/ns1:Priority" xmlDataType="string"/>
    </tableColumn>
    <tableColumn id="9" uniqueName="ns1:IsNormative" name="Informative_x000a_/Normative" dataDxfId="12" dataCellStyle="Normal">
      <xmlColumnPr mapId="2" xpath="/ns1:ReqTable/ns1:Requirement/ns1:IsNormative" xmlDataType="string"/>
    </tableColumn>
    <tableColumn id="10" uniqueName="ns1:Verification" name="Verification" dataCellStyle="Normal">
      <xmlColumnPr mapId="2" xpath="/ns1:ReqTable/ns1:Requirement/ns1:Verification" xmlDataType="string"/>
    </tableColumn>
    <tableColumn id="11" uniqueName="ns1:VerificationComment" name="Verification Comment" dataDxfId="11" dataCellStyle="Normal"/>
  </tableColumns>
  <tableStyleInfo name="TableStyleMedium15" showFirstColumn="0" showLastColumn="0" showRowStripes="1" showColumnStripes="0"/>
</table>
</file>

<file path=xl/tables/table2.xml><?xml version="1.0" encoding="utf-8"?>
<table xmlns="http://schemas.openxmlformats.org/spreadsheetml/2006/main" id="2" name="Scope" displayName="Scope" ref="A14:C17" totalsRowShown="0" headerRowBorderDxfId="10" tableBorderDxfId="9" totalsRowBorderDxfId="8">
  <autoFilter ref="A14:C17"/>
  <tableColumns count="3">
    <tableColumn id="1" name="Role" dataDxfId="7"/>
    <tableColumn id="2" name="Scope" dataDxfId="6"/>
    <tableColumn id="3" name="Description" dataDxfId="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sheetPr codeName="Sheet1"/>
  <dimension ref="A1:M968"/>
  <sheetViews>
    <sheetView tabSelected="1" topLeftCell="A349" zoomScale="54" zoomScaleNormal="54" workbookViewId="0">
      <selection activeCell="C617" sqref="C617"/>
    </sheetView>
  </sheetViews>
  <sheetFormatPr defaultRowHeight="15"/>
  <cols>
    <col min="1" max="1" width="24" style="14" customWidth="1"/>
    <col min="2" max="2" width="19.140625" customWidth="1"/>
    <col min="3" max="3" width="51.85546875" style="79" customWidth="1"/>
    <col min="4" max="4" width="7.28515625" customWidth="1"/>
    <col min="5" max="5" width="6.42578125" customWidth="1"/>
    <col min="6" max="6" width="7.5703125" customWidth="1"/>
    <col min="7" max="7" width="10" customWidth="1"/>
    <col min="8" max="8" width="9.5703125" customWidth="1"/>
    <col min="9" max="9" width="8.5703125" customWidth="1"/>
    <col min="10" max="10" width="6.42578125" customWidth="1"/>
    <col min="11" max="11" width="13.28515625" customWidth="1"/>
    <col min="12" max="12" width="14.42578125" customWidth="1"/>
    <col min="13" max="13" width="52" customWidth="1"/>
  </cols>
  <sheetData>
    <row r="1" spans="1:13">
      <c r="A1" s="39" t="s">
        <v>1230</v>
      </c>
      <c r="B1" s="7" t="s">
        <v>99</v>
      </c>
      <c r="I1" s="15"/>
    </row>
    <row r="2" spans="1:13">
      <c r="A2" s="19" t="s">
        <v>98</v>
      </c>
      <c r="B2" s="18"/>
      <c r="C2" s="80" t="s">
        <v>146</v>
      </c>
      <c r="J2" s="32" t="s">
        <v>32</v>
      </c>
      <c r="K2" s="41" t="s">
        <v>869</v>
      </c>
    </row>
    <row r="3" spans="1:13">
      <c r="B3" t="s">
        <v>6</v>
      </c>
      <c r="C3" s="81">
        <v>5</v>
      </c>
      <c r="E3" s="32" t="s">
        <v>7</v>
      </c>
      <c r="F3" s="91">
        <v>39689</v>
      </c>
      <c r="G3" s="91"/>
      <c r="J3" s="32" t="s">
        <v>33</v>
      </c>
      <c r="K3" s="40">
        <v>39708</v>
      </c>
    </row>
    <row r="4" spans="1:13" ht="20.25">
      <c r="A4" s="100" t="s">
        <v>97</v>
      </c>
      <c r="B4" s="100"/>
      <c r="C4" s="100"/>
      <c r="D4" s="100"/>
      <c r="E4" s="100"/>
      <c r="F4" s="100"/>
      <c r="G4" s="100"/>
      <c r="H4" s="100"/>
      <c r="I4" s="100"/>
      <c r="J4" s="100"/>
      <c r="K4" s="100"/>
    </row>
    <row r="5" spans="1:13">
      <c r="A5" s="20" t="s">
        <v>112</v>
      </c>
      <c r="B5" s="98" t="s">
        <v>1</v>
      </c>
      <c r="C5" s="99"/>
      <c r="D5" s="34"/>
      <c r="E5" s="34"/>
      <c r="F5" s="34"/>
      <c r="G5" s="34"/>
      <c r="H5" s="34"/>
      <c r="I5" s="34"/>
      <c r="J5" s="34"/>
      <c r="K5" s="34"/>
      <c r="L5" s="34"/>
      <c r="M5" s="34"/>
    </row>
    <row r="6" spans="1:13">
      <c r="A6" s="21" t="s">
        <v>0</v>
      </c>
      <c r="B6" s="101" t="s">
        <v>36</v>
      </c>
      <c r="C6" s="101"/>
      <c r="D6" s="101"/>
      <c r="E6" s="101"/>
      <c r="F6" s="101"/>
      <c r="G6" s="101"/>
      <c r="H6" s="101"/>
      <c r="I6" s="101"/>
      <c r="J6" s="101"/>
      <c r="K6" s="101"/>
      <c r="L6" s="101"/>
      <c r="M6" s="101"/>
    </row>
    <row r="7" spans="1:13">
      <c r="A7" s="21" t="s">
        <v>5</v>
      </c>
      <c r="B7" s="90" t="s">
        <v>37</v>
      </c>
      <c r="C7" s="90"/>
      <c r="D7" s="90"/>
      <c r="E7" s="90"/>
      <c r="F7" s="90"/>
      <c r="G7" s="90"/>
      <c r="H7" s="90"/>
      <c r="I7" s="90"/>
      <c r="J7" s="90"/>
      <c r="K7" s="90"/>
      <c r="L7" s="90"/>
      <c r="M7" s="90"/>
    </row>
    <row r="8" spans="1:13">
      <c r="A8" s="21" t="s">
        <v>1</v>
      </c>
      <c r="B8" s="90" t="s">
        <v>38</v>
      </c>
      <c r="C8" s="90"/>
      <c r="D8" s="90"/>
      <c r="E8" s="90"/>
      <c r="F8" s="90"/>
      <c r="G8" s="90"/>
      <c r="H8" s="90"/>
      <c r="I8" s="90"/>
      <c r="J8" s="90"/>
      <c r="K8" s="90"/>
      <c r="L8" s="90"/>
      <c r="M8" s="90"/>
    </row>
    <row r="9" spans="1:13">
      <c r="A9" s="21" t="s">
        <v>113</v>
      </c>
      <c r="B9" s="95" t="s">
        <v>107</v>
      </c>
      <c r="C9" s="96"/>
      <c r="D9" s="95" t="s">
        <v>109</v>
      </c>
      <c r="E9" s="97"/>
      <c r="F9" s="97"/>
      <c r="G9" s="97"/>
      <c r="H9" s="97"/>
      <c r="I9" s="97"/>
      <c r="J9" s="97"/>
      <c r="K9" s="96"/>
      <c r="L9" s="35"/>
      <c r="M9" s="35"/>
    </row>
    <row r="10" spans="1:13">
      <c r="A10" s="21" t="s">
        <v>73</v>
      </c>
      <c r="B10" s="45" t="s">
        <v>110</v>
      </c>
      <c r="C10" s="82"/>
      <c r="D10" s="45" t="s">
        <v>111</v>
      </c>
      <c r="E10" s="47"/>
      <c r="F10" s="47"/>
      <c r="G10" s="47"/>
      <c r="H10" s="47"/>
      <c r="I10" s="47"/>
      <c r="J10" s="47"/>
      <c r="K10" s="46"/>
      <c r="L10" s="35"/>
      <c r="M10" s="35"/>
    </row>
    <row r="11" spans="1:13">
      <c r="A11" s="21" t="s">
        <v>24</v>
      </c>
      <c r="B11" s="90" t="s">
        <v>28</v>
      </c>
      <c r="C11" s="90"/>
      <c r="D11" s="90"/>
      <c r="E11" s="90"/>
      <c r="F11" s="90"/>
      <c r="G11" s="90"/>
      <c r="H11" s="90"/>
      <c r="I11" s="90"/>
      <c r="J11" s="90"/>
      <c r="K11" s="90"/>
      <c r="L11" s="90"/>
      <c r="M11" s="90"/>
    </row>
    <row r="12" spans="1:13" ht="34.5" customHeight="1">
      <c r="A12" s="21" t="s">
        <v>29</v>
      </c>
      <c r="B12" s="92" t="s">
        <v>93</v>
      </c>
      <c r="C12" s="94"/>
      <c r="D12" s="92" t="s">
        <v>100</v>
      </c>
      <c r="E12" s="93"/>
      <c r="F12" s="93"/>
      <c r="G12" s="93"/>
      <c r="H12" s="93"/>
      <c r="I12" s="93"/>
      <c r="J12" s="93"/>
      <c r="K12" s="93"/>
      <c r="L12" s="36"/>
      <c r="M12" s="24"/>
    </row>
    <row r="13" spans="1:13">
      <c r="A13" s="21" t="s">
        <v>59</v>
      </c>
      <c r="B13" s="102" t="s">
        <v>65</v>
      </c>
      <c r="C13" s="102"/>
      <c r="D13" s="102"/>
      <c r="E13" s="102"/>
      <c r="F13" s="102"/>
      <c r="G13" s="102"/>
      <c r="H13" s="102"/>
      <c r="I13" s="102"/>
      <c r="J13" s="102"/>
      <c r="K13" s="102"/>
      <c r="L13" s="102"/>
      <c r="M13" s="102"/>
    </row>
    <row r="14" spans="1:13">
      <c r="A14" s="27" t="s">
        <v>58</v>
      </c>
      <c r="B14" s="28" t="s">
        <v>59</v>
      </c>
      <c r="C14" s="83" t="s">
        <v>1</v>
      </c>
      <c r="D14" s="103"/>
      <c r="E14" s="104"/>
      <c r="F14" s="104"/>
      <c r="G14" s="104"/>
      <c r="H14" s="104"/>
      <c r="I14" s="104"/>
      <c r="J14" s="104"/>
      <c r="K14" s="105"/>
      <c r="L14" s="22"/>
      <c r="M14" s="22"/>
    </row>
    <row r="15" spans="1:13" ht="30.75" customHeight="1">
      <c r="A15" s="26" t="s">
        <v>41</v>
      </c>
      <c r="B15" s="25" t="s">
        <v>60</v>
      </c>
      <c r="C15" s="84" t="s">
        <v>61</v>
      </c>
      <c r="D15" s="106"/>
      <c r="E15" s="107"/>
      <c r="F15" s="107"/>
      <c r="G15" s="107"/>
      <c r="H15" s="107"/>
      <c r="I15" s="107"/>
      <c r="J15" s="107"/>
      <c r="K15" s="108"/>
      <c r="L15" s="22"/>
      <c r="M15" s="22"/>
    </row>
    <row r="16" spans="1:13" ht="29.25" customHeight="1">
      <c r="A16" s="38" t="s">
        <v>42</v>
      </c>
      <c r="B16" s="25" t="s">
        <v>62</v>
      </c>
      <c r="C16" s="85" t="s">
        <v>63</v>
      </c>
      <c r="D16" s="106"/>
      <c r="E16" s="107"/>
      <c r="F16" s="107"/>
      <c r="G16" s="107"/>
      <c r="H16" s="107"/>
      <c r="I16" s="107"/>
      <c r="J16" s="107"/>
      <c r="K16" s="108"/>
      <c r="L16" s="22"/>
      <c r="M16" s="22"/>
    </row>
    <row r="17" spans="1:13" ht="28.5" customHeight="1">
      <c r="A17" s="29" t="s">
        <v>30</v>
      </c>
      <c r="B17" s="30" t="s">
        <v>60</v>
      </c>
      <c r="C17" s="85" t="s">
        <v>64</v>
      </c>
      <c r="D17" s="109"/>
      <c r="E17" s="110"/>
      <c r="F17" s="110"/>
      <c r="G17" s="110"/>
      <c r="H17" s="110"/>
      <c r="I17" s="110"/>
      <c r="J17" s="110"/>
      <c r="K17" s="111"/>
      <c r="L17" s="22"/>
      <c r="M17" s="22"/>
    </row>
    <row r="18" spans="1:13" ht="15" customHeight="1">
      <c r="A18" s="21" t="s">
        <v>3</v>
      </c>
      <c r="B18" s="102" t="s">
        <v>102</v>
      </c>
      <c r="C18" s="102"/>
      <c r="D18" s="102"/>
      <c r="E18" s="102"/>
      <c r="F18" s="102"/>
      <c r="G18" s="102"/>
      <c r="H18" s="102"/>
      <c r="I18" s="102"/>
      <c r="J18" s="102"/>
      <c r="K18" s="102"/>
      <c r="L18" s="102"/>
      <c r="M18" s="102"/>
    </row>
    <row r="19" spans="1:13" ht="30" customHeight="1">
      <c r="A19" s="21" t="s">
        <v>10</v>
      </c>
      <c r="B19" s="102" t="s">
        <v>108</v>
      </c>
      <c r="C19" s="102"/>
      <c r="D19" s="102"/>
      <c r="E19" s="102"/>
      <c r="F19" s="102"/>
      <c r="G19" s="102"/>
      <c r="H19" s="102"/>
      <c r="I19" s="102"/>
      <c r="J19" s="102"/>
      <c r="K19" s="102"/>
      <c r="L19" s="102"/>
      <c r="M19" s="102"/>
    </row>
    <row r="20" spans="1:13" ht="65.25" customHeight="1">
      <c r="A20" s="21" t="s">
        <v>34</v>
      </c>
      <c r="B20" s="92" t="s">
        <v>92</v>
      </c>
      <c r="C20" s="93"/>
      <c r="D20" s="92" t="s">
        <v>101</v>
      </c>
      <c r="E20" s="93"/>
      <c r="F20" s="93"/>
      <c r="G20" s="93"/>
      <c r="H20" s="93"/>
      <c r="I20" s="93"/>
      <c r="J20" s="93"/>
      <c r="K20" s="93"/>
      <c r="L20" s="93"/>
      <c r="M20" s="94"/>
    </row>
    <row r="21" spans="1:13" ht="30" customHeight="1">
      <c r="A21" s="21" t="s">
        <v>35</v>
      </c>
      <c r="B21" s="102" t="s">
        <v>103</v>
      </c>
      <c r="C21" s="102"/>
      <c r="D21" s="102"/>
      <c r="E21" s="102"/>
      <c r="F21" s="102"/>
      <c r="G21" s="102"/>
      <c r="H21" s="102"/>
      <c r="I21" s="102"/>
      <c r="J21" s="102"/>
      <c r="K21" s="102"/>
      <c r="L21" s="102"/>
      <c r="M21" s="102"/>
    </row>
    <row r="22" spans="1:13" ht="27.6" customHeight="1">
      <c r="A22" t="s">
        <v>0</v>
      </c>
      <c r="B22" t="s">
        <v>5</v>
      </c>
      <c r="C22" s="79" t="s">
        <v>1</v>
      </c>
      <c r="D22" t="s">
        <v>71</v>
      </c>
      <c r="E22" t="s">
        <v>72</v>
      </c>
      <c r="F22" t="s">
        <v>73</v>
      </c>
      <c r="G22" t="s">
        <v>24</v>
      </c>
      <c r="H22" t="s">
        <v>29</v>
      </c>
      <c r="I22" t="s">
        <v>59</v>
      </c>
      <c r="J22" t="s">
        <v>3</v>
      </c>
      <c r="K22" s="52" t="s">
        <v>124</v>
      </c>
      <c r="L22" t="s">
        <v>34</v>
      </c>
      <c r="M22" t="s">
        <v>35</v>
      </c>
    </row>
    <row r="23" spans="1:13" s="53" customFormat="1" ht="33.75" customHeight="1">
      <c r="A23" s="70" t="s">
        <v>1232</v>
      </c>
      <c r="B23" s="70" t="s">
        <v>147</v>
      </c>
      <c r="C23" s="78" t="s">
        <v>148</v>
      </c>
      <c r="G23" s="70" t="s">
        <v>149</v>
      </c>
      <c r="H23" s="70" t="str">
        <f>IF(LEFT(B23,1)="6","Product","Protocol")</f>
        <v>Protocol</v>
      </c>
      <c r="I23" s="62" t="s">
        <v>30</v>
      </c>
      <c r="J23" s="70" t="s">
        <v>54</v>
      </c>
      <c r="K23" s="70" t="s">
        <v>9</v>
      </c>
      <c r="L23" s="70" t="s">
        <v>56</v>
      </c>
      <c r="M23" s="70" t="s">
        <v>2226</v>
      </c>
    </row>
    <row r="24" spans="1:13" s="53" customFormat="1" ht="34.5" customHeight="1">
      <c r="A24" s="71" t="s">
        <v>1231</v>
      </c>
      <c r="B24" s="63" t="s">
        <v>96</v>
      </c>
      <c r="C24" s="77" t="s">
        <v>150</v>
      </c>
      <c r="G24" s="70" t="s">
        <v>149</v>
      </c>
      <c r="H24" s="70" t="s">
        <v>142</v>
      </c>
      <c r="I24" s="64" t="s">
        <v>30</v>
      </c>
      <c r="J24" s="64" t="s">
        <v>54</v>
      </c>
      <c r="K24" s="64" t="s">
        <v>9</v>
      </c>
      <c r="L24" s="70" t="s">
        <v>56</v>
      </c>
      <c r="M24" s="70" t="s">
        <v>2227</v>
      </c>
    </row>
    <row r="25" spans="1:13" s="53" customFormat="1" ht="29.25" customHeight="1">
      <c r="A25" s="71" t="s">
        <v>1233</v>
      </c>
      <c r="B25" s="62" t="s">
        <v>67</v>
      </c>
      <c r="C25" s="77" t="s">
        <v>151</v>
      </c>
      <c r="G25" s="70" t="s">
        <v>149</v>
      </c>
      <c r="H25" s="70" t="str">
        <f t="shared" ref="H25:H45" si="0">IF(LEFT(B25,1)="6","Product","Protocol")</f>
        <v>Protocol</v>
      </c>
      <c r="I25" s="62" t="s">
        <v>30</v>
      </c>
      <c r="J25" s="62" t="s">
        <v>53</v>
      </c>
      <c r="K25" s="62" t="s">
        <v>9</v>
      </c>
      <c r="L25" s="70" t="s">
        <v>56</v>
      </c>
      <c r="M25" s="70" t="s">
        <v>2226</v>
      </c>
    </row>
    <row r="26" spans="1:13" s="53" customFormat="1" ht="50.25" hidden="1" customHeight="1">
      <c r="A26" s="71" t="s">
        <v>1234</v>
      </c>
      <c r="B26" s="62" t="s">
        <v>67</v>
      </c>
      <c r="C26" s="78" t="s">
        <v>152</v>
      </c>
      <c r="G26" s="70"/>
      <c r="H26" s="70" t="str">
        <f t="shared" si="0"/>
        <v>Protocol</v>
      </c>
      <c r="I26" s="62" t="s">
        <v>42</v>
      </c>
      <c r="J26" s="62" t="s">
        <v>53</v>
      </c>
      <c r="K26" s="62" t="s">
        <v>9</v>
      </c>
      <c r="L26" s="70" t="s">
        <v>50</v>
      </c>
      <c r="M26" s="70" t="s">
        <v>153</v>
      </c>
    </row>
    <row r="27" spans="1:13" s="65" customFormat="1" ht="42.75" customHeight="1">
      <c r="A27" s="71" t="s">
        <v>1235</v>
      </c>
      <c r="B27" s="62" t="s">
        <v>154</v>
      </c>
      <c r="C27" s="77" t="s">
        <v>155</v>
      </c>
      <c r="G27" s="74"/>
      <c r="H27" s="75" t="str">
        <f t="shared" si="0"/>
        <v>Protocol</v>
      </c>
      <c r="I27" s="62" t="s">
        <v>30</v>
      </c>
      <c r="J27" s="62" t="s">
        <v>53</v>
      </c>
      <c r="K27" s="62" t="s">
        <v>9</v>
      </c>
      <c r="L27" s="75" t="s">
        <v>50</v>
      </c>
      <c r="M27" s="75" t="s">
        <v>2251</v>
      </c>
    </row>
    <row r="28" spans="1:13" s="53" customFormat="1" ht="218.25" customHeight="1">
      <c r="A28" s="71" t="s">
        <v>1236</v>
      </c>
      <c r="B28" s="62" t="s">
        <v>156</v>
      </c>
      <c r="C28" s="78" t="s">
        <v>157</v>
      </c>
      <c r="G28" s="73" t="s">
        <v>2217</v>
      </c>
      <c r="H28" s="70" t="str">
        <f t="shared" si="0"/>
        <v>Protocol</v>
      </c>
      <c r="I28" s="62" t="s">
        <v>30</v>
      </c>
      <c r="J28" s="62" t="s">
        <v>53</v>
      </c>
      <c r="K28" s="62" t="s">
        <v>9</v>
      </c>
      <c r="L28" s="70" t="s">
        <v>56</v>
      </c>
      <c r="M28" s="70" t="s">
        <v>2226</v>
      </c>
    </row>
    <row r="29" spans="1:13" s="53" customFormat="1" ht="67.5" customHeight="1">
      <c r="A29" s="71" t="s">
        <v>1237</v>
      </c>
      <c r="B29" s="62" t="s">
        <v>156</v>
      </c>
      <c r="C29" s="77" t="s">
        <v>158</v>
      </c>
      <c r="G29" s="73" t="s">
        <v>2217</v>
      </c>
      <c r="H29" s="70" t="str">
        <f t="shared" si="0"/>
        <v>Protocol</v>
      </c>
      <c r="I29" s="62" t="s">
        <v>30</v>
      </c>
      <c r="J29" s="62" t="s">
        <v>53</v>
      </c>
      <c r="K29" s="62" t="s">
        <v>9</v>
      </c>
      <c r="L29" s="70" t="s">
        <v>56</v>
      </c>
      <c r="M29" s="70" t="s">
        <v>2226</v>
      </c>
    </row>
    <row r="30" spans="1:13" s="53" customFormat="1" ht="108" customHeight="1">
      <c r="A30" s="71" t="s">
        <v>1238</v>
      </c>
      <c r="B30" s="62" t="s">
        <v>156</v>
      </c>
      <c r="C30" s="78" t="s">
        <v>159</v>
      </c>
      <c r="G30" s="73" t="s">
        <v>2217</v>
      </c>
      <c r="H30" s="70" t="str">
        <f t="shared" si="0"/>
        <v>Protocol</v>
      </c>
      <c r="I30" s="62" t="s">
        <v>30</v>
      </c>
      <c r="J30" s="62" t="s">
        <v>53</v>
      </c>
      <c r="K30" s="62" t="s">
        <v>9</v>
      </c>
      <c r="L30" s="70" t="s">
        <v>56</v>
      </c>
      <c r="M30" s="70" t="s">
        <v>2226</v>
      </c>
    </row>
    <row r="31" spans="1:13" s="53" customFormat="1" ht="113.25" customHeight="1">
      <c r="A31" s="71" t="s">
        <v>1239</v>
      </c>
      <c r="B31" s="62" t="s">
        <v>156</v>
      </c>
      <c r="C31" s="77" t="s">
        <v>160</v>
      </c>
      <c r="G31" s="73" t="s">
        <v>2217</v>
      </c>
      <c r="H31" s="70" t="str">
        <f t="shared" si="0"/>
        <v>Protocol</v>
      </c>
      <c r="I31" s="62" t="s">
        <v>30</v>
      </c>
      <c r="J31" s="62" t="s">
        <v>53</v>
      </c>
      <c r="K31" s="62" t="s">
        <v>9</v>
      </c>
      <c r="L31" s="70" t="s">
        <v>56</v>
      </c>
      <c r="M31" s="70" t="s">
        <v>2226</v>
      </c>
    </row>
    <row r="32" spans="1:13" s="53" customFormat="1" ht="108" customHeight="1">
      <c r="A32" s="71" t="s">
        <v>1240</v>
      </c>
      <c r="B32" s="62" t="s">
        <v>156</v>
      </c>
      <c r="C32" s="78" t="s">
        <v>161</v>
      </c>
      <c r="G32" s="73" t="s">
        <v>2217</v>
      </c>
      <c r="H32" s="70" t="str">
        <f t="shared" si="0"/>
        <v>Protocol</v>
      </c>
      <c r="I32" s="62" t="s">
        <v>30</v>
      </c>
      <c r="J32" s="62" t="s">
        <v>53</v>
      </c>
      <c r="K32" s="62" t="s">
        <v>9</v>
      </c>
      <c r="L32" s="70" t="s">
        <v>56</v>
      </c>
      <c r="M32" s="70" t="s">
        <v>2226</v>
      </c>
    </row>
    <row r="33" spans="1:13" s="53" customFormat="1" ht="108.75" customHeight="1">
      <c r="A33" s="71" t="s">
        <v>1241</v>
      </c>
      <c r="B33" s="62" t="s">
        <v>156</v>
      </c>
      <c r="C33" s="77" t="s">
        <v>162</v>
      </c>
      <c r="G33" s="73" t="s">
        <v>2217</v>
      </c>
      <c r="H33" s="76" t="str">
        <f t="shared" si="0"/>
        <v>Protocol</v>
      </c>
      <c r="I33" s="62" t="s">
        <v>30</v>
      </c>
      <c r="J33" s="62" t="s">
        <v>53</v>
      </c>
      <c r="K33" s="62" t="s">
        <v>9</v>
      </c>
      <c r="L33" s="70" t="s">
        <v>56</v>
      </c>
      <c r="M33" s="70" t="s">
        <v>2227</v>
      </c>
    </row>
    <row r="34" spans="1:13" s="53" customFormat="1" ht="51" customHeight="1">
      <c r="A34" s="71" t="s">
        <v>1242</v>
      </c>
      <c r="B34" s="62" t="s">
        <v>156</v>
      </c>
      <c r="C34" s="78" t="s">
        <v>163</v>
      </c>
      <c r="G34" s="73"/>
      <c r="H34" s="70" t="str">
        <f t="shared" si="0"/>
        <v>Protocol</v>
      </c>
      <c r="I34" s="62" t="s">
        <v>30</v>
      </c>
      <c r="J34" s="62" t="s">
        <v>54</v>
      </c>
      <c r="K34" s="62" t="s">
        <v>9</v>
      </c>
      <c r="L34" s="70" t="s">
        <v>50</v>
      </c>
      <c r="M34" s="73" t="s">
        <v>2252</v>
      </c>
    </row>
    <row r="35" spans="1:13" s="53" customFormat="1" ht="111" customHeight="1">
      <c r="A35" s="71" t="s">
        <v>1243</v>
      </c>
      <c r="B35" s="62" t="s">
        <v>156</v>
      </c>
      <c r="C35" s="77" t="s">
        <v>164</v>
      </c>
      <c r="G35" s="73"/>
      <c r="H35" s="70" t="str">
        <f>IF(LEFT(B35,1)="6","Product","Protocol")</f>
        <v>Protocol</v>
      </c>
      <c r="I35" s="62" t="s">
        <v>30</v>
      </c>
      <c r="J35" s="62" t="s">
        <v>54</v>
      </c>
      <c r="K35" s="62" t="s">
        <v>9</v>
      </c>
      <c r="L35" s="70" t="s">
        <v>50</v>
      </c>
      <c r="M35" s="73" t="s">
        <v>2252</v>
      </c>
    </row>
    <row r="36" spans="1:13" s="53" customFormat="1" ht="115.5" customHeight="1">
      <c r="A36" s="71" t="s">
        <v>1244</v>
      </c>
      <c r="B36" s="62" t="s">
        <v>156</v>
      </c>
      <c r="C36" s="77" t="s">
        <v>165</v>
      </c>
      <c r="G36" s="73"/>
      <c r="H36" s="70" t="str">
        <f>IF(LEFT(B36,1)="6","Product","Protocol")</f>
        <v>Protocol</v>
      </c>
      <c r="I36" s="62" t="s">
        <v>30</v>
      </c>
      <c r="J36" s="62" t="s">
        <v>54</v>
      </c>
      <c r="K36" s="62" t="s">
        <v>9</v>
      </c>
      <c r="L36" s="70" t="s">
        <v>50</v>
      </c>
      <c r="M36" s="73" t="s">
        <v>2252</v>
      </c>
    </row>
    <row r="37" spans="1:13" s="53" customFormat="1" ht="114" customHeight="1">
      <c r="A37" s="71" t="s">
        <v>1245</v>
      </c>
      <c r="B37" s="62" t="s">
        <v>156</v>
      </c>
      <c r="C37" s="77" t="s">
        <v>166</v>
      </c>
      <c r="G37" s="73"/>
      <c r="H37" s="70" t="str">
        <f>IF(LEFT(B37,1)="6","Product","Protocol")</f>
        <v>Protocol</v>
      </c>
      <c r="I37" s="62" t="s">
        <v>30</v>
      </c>
      <c r="J37" s="62" t="s">
        <v>54</v>
      </c>
      <c r="K37" s="62" t="s">
        <v>9</v>
      </c>
      <c r="L37" s="70" t="s">
        <v>50</v>
      </c>
      <c r="M37" s="73" t="s">
        <v>2252</v>
      </c>
    </row>
    <row r="38" spans="1:13" s="53" customFormat="1" ht="105.75" customHeight="1">
      <c r="A38" s="71" t="s">
        <v>1246</v>
      </c>
      <c r="B38" s="62" t="s">
        <v>156</v>
      </c>
      <c r="C38" s="77" t="s">
        <v>167</v>
      </c>
      <c r="G38" s="73"/>
      <c r="H38" s="70" t="str">
        <f>IF(LEFT(B38,1)="6","Product","Protocol")</f>
        <v>Protocol</v>
      </c>
      <c r="I38" s="62" t="s">
        <v>30</v>
      </c>
      <c r="J38" s="62" t="s">
        <v>54</v>
      </c>
      <c r="K38" s="62" t="s">
        <v>9</v>
      </c>
      <c r="L38" s="70" t="s">
        <v>50</v>
      </c>
      <c r="M38" s="73" t="s">
        <v>2252</v>
      </c>
    </row>
    <row r="39" spans="1:13" s="53" customFormat="1" ht="115.5" customHeight="1">
      <c r="A39" s="71" t="s">
        <v>1247</v>
      </c>
      <c r="B39" s="62" t="s">
        <v>156</v>
      </c>
      <c r="C39" s="78" t="s">
        <v>168</v>
      </c>
      <c r="G39" s="73" t="s">
        <v>2217</v>
      </c>
      <c r="H39" s="70" t="str">
        <f t="shared" si="0"/>
        <v>Protocol</v>
      </c>
      <c r="I39" s="62" t="s">
        <v>30</v>
      </c>
      <c r="J39" s="62" t="s">
        <v>54</v>
      </c>
      <c r="K39" s="62" t="s">
        <v>9</v>
      </c>
      <c r="L39" s="70" t="s">
        <v>56</v>
      </c>
      <c r="M39" s="73" t="s">
        <v>2226</v>
      </c>
    </row>
    <row r="40" spans="1:13" s="53" customFormat="1" ht="106.5" customHeight="1">
      <c r="A40" s="71" t="s">
        <v>1248</v>
      </c>
      <c r="B40" s="62" t="s">
        <v>156</v>
      </c>
      <c r="C40" s="77" t="s">
        <v>169</v>
      </c>
      <c r="G40" s="73"/>
      <c r="H40" s="70" t="str">
        <f>IF(LEFT(B40,1)="6","Product","Protocol")</f>
        <v>Protocol</v>
      </c>
      <c r="I40" s="62" t="s">
        <v>30</v>
      </c>
      <c r="J40" s="62" t="s">
        <v>54</v>
      </c>
      <c r="K40" s="62" t="s">
        <v>9</v>
      </c>
      <c r="L40" s="70" t="s">
        <v>50</v>
      </c>
      <c r="M40" s="73" t="s">
        <v>2252</v>
      </c>
    </row>
    <row r="41" spans="1:13" s="53" customFormat="1" ht="120" customHeight="1">
      <c r="A41" s="71" t="s">
        <v>1249</v>
      </c>
      <c r="B41" s="62" t="s">
        <v>156</v>
      </c>
      <c r="C41" s="77" t="s">
        <v>170</v>
      </c>
      <c r="G41" s="73"/>
      <c r="H41" s="70" t="str">
        <f>IF(LEFT(B41,1)="6","Product","Protocol")</f>
        <v>Protocol</v>
      </c>
      <c r="I41" s="62" t="s">
        <v>30</v>
      </c>
      <c r="J41" s="62" t="s">
        <v>54</v>
      </c>
      <c r="K41" s="62" t="s">
        <v>9</v>
      </c>
      <c r="L41" s="70" t="s">
        <v>50</v>
      </c>
      <c r="M41" s="73" t="s">
        <v>2252</v>
      </c>
    </row>
    <row r="42" spans="1:13" s="53" customFormat="1" ht="109.5" customHeight="1">
      <c r="A42" s="71" t="s">
        <v>1250</v>
      </c>
      <c r="B42" s="62" t="s">
        <v>156</v>
      </c>
      <c r="C42" s="77" t="s">
        <v>171</v>
      </c>
      <c r="G42" s="73"/>
      <c r="H42" s="70" t="str">
        <f>IF(LEFT(B42,1)="6","Product","Protocol")</f>
        <v>Protocol</v>
      </c>
      <c r="I42" s="62" t="s">
        <v>30</v>
      </c>
      <c r="J42" s="62" t="s">
        <v>54</v>
      </c>
      <c r="K42" s="62" t="s">
        <v>9</v>
      </c>
      <c r="L42" s="70" t="s">
        <v>50</v>
      </c>
      <c r="M42" s="73" t="s">
        <v>2252</v>
      </c>
    </row>
    <row r="43" spans="1:13" s="53" customFormat="1" ht="105.75" customHeight="1">
      <c r="A43" s="71" t="s">
        <v>1251</v>
      </c>
      <c r="B43" s="62" t="s">
        <v>156</v>
      </c>
      <c r="C43" s="77" t="s">
        <v>172</v>
      </c>
      <c r="G43" s="73"/>
      <c r="H43" s="70" t="str">
        <f>IF(LEFT(B43,1)="6","Product","Protocol")</f>
        <v>Protocol</v>
      </c>
      <c r="I43" s="62" t="s">
        <v>30</v>
      </c>
      <c r="J43" s="62" t="s">
        <v>54</v>
      </c>
      <c r="K43" s="62" t="s">
        <v>9</v>
      </c>
      <c r="L43" s="70" t="s">
        <v>50</v>
      </c>
      <c r="M43" s="73" t="s">
        <v>2252</v>
      </c>
    </row>
    <row r="44" spans="1:13" s="53" customFormat="1" ht="45">
      <c r="A44" s="71" t="s">
        <v>1252</v>
      </c>
      <c r="B44" s="62" t="s">
        <v>156</v>
      </c>
      <c r="C44" s="77" t="s">
        <v>173</v>
      </c>
      <c r="G44" s="73"/>
      <c r="H44" s="70" t="str">
        <f>IF(LEFT(B44,1)="6","Product","Protocol")</f>
        <v>Protocol</v>
      </c>
      <c r="I44" s="62" t="s">
        <v>30</v>
      </c>
      <c r="J44" s="62" t="s">
        <v>54</v>
      </c>
      <c r="K44" s="62" t="s">
        <v>9</v>
      </c>
      <c r="L44" s="70" t="s">
        <v>50</v>
      </c>
      <c r="M44" s="73" t="s">
        <v>2252</v>
      </c>
    </row>
    <row r="45" spans="1:13" s="53" customFormat="1" ht="108" customHeight="1">
      <c r="A45" s="71" t="s">
        <v>1253</v>
      </c>
      <c r="B45" s="62" t="s">
        <v>156</v>
      </c>
      <c r="C45" s="77" t="s">
        <v>174</v>
      </c>
      <c r="G45" s="73"/>
      <c r="H45" s="70" t="str">
        <f t="shared" si="0"/>
        <v>Protocol</v>
      </c>
      <c r="I45" s="62" t="s">
        <v>30</v>
      </c>
      <c r="J45" s="62" t="s">
        <v>54</v>
      </c>
      <c r="K45" s="62" t="s">
        <v>9</v>
      </c>
      <c r="L45" s="70" t="s">
        <v>50</v>
      </c>
      <c r="M45" s="73" t="s">
        <v>2252</v>
      </c>
    </row>
    <row r="46" spans="1:13" s="53" customFormat="1" ht="30">
      <c r="A46" s="71" t="s">
        <v>1254</v>
      </c>
      <c r="B46" s="62" t="s">
        <v>156</v>
      </c>
      <c r="C46" s="77" t="s">
        <v>175</v>
      </c>
      <c r="G46" s="73" t="s">
        <v>2217</v>
      </c>
      <c r="H46" s="70" t="str">
        <f>IF(LEFT(B46,1)="6","Product","Protocol")</f>
        <v>Protocol</v>
      </c>
      <c r="I46" s="62" t="s">
        <v>30</v>
      </c>
      <c r="J46" s="62" t="s">
        <v>54</v>
      </c>
      <c r="K46" s="62" t="s">
        <v>9</v>
      </c>
      <c r="L46" s="70" t="s">
        <v>56</v>
      </c>
      <c r="M46" s="73" t="s">
        <v>2226</v>
      </c>
    </row>
    <row r="47" spans="1:13" s="53" customFormat="1" ht="111.75" customHeight="1">
      <c r="A47" s="71" t="s">
        <v>1255</v>
      </c>
      <c r="B47" s="62" t="s">
        <v>156</v>
      </c>
      <c r="C47" s="77" t="s">
        <v>176</v>
      </c>
      <c r="G47" s="73"/>
      <c r="H47" s="70" t="str">
        <f>IF(LEFT(B47,1)="6","Product","Protocol")</f>
        <v>Protocol</v>
      </c>
      <c r="I47" s="62" t="s">
        <v>30</v>
      </c>
      <c r="J47" s="62" t="s">
        <v>54</v>
      </c>
      <c r="K47" s="62" t="s">
        <v>9</v>
      </c>
      <c r="L47" s="70" t="s">
        <v>50</v>
      </c>
      <c r="M47" s="73" t="s">
        <v>2252</v>
      </c>
    </row>
    <row r="48" spans="1:13" s="53" customFormat="1" ht="112.5" customHeight="1">
      <c r="A48" s="71" t="s">
        <v>1256</v>
      </c>
      <c r="B48" s="62" t="s">
        <v>156</v>
      </c>
      <c r="C48" s="77" t="s">
        <v>177</v>
      </c>
      <c r="G48" s="73"/>
      <c r="H48" s="70" t="str">
        <f>IF(LEFT(B48,1)="6","Product","Protocol")</f>
        <v>Protocol</v>
      </c>
      <c r="I48" s="62" t="s">
        <v>30</v>
      </c>
      <c r="J48" s="62" t="s">
        <v>54</v>
      </c>
      <c r="K48" s="62" t="s">
        <v>9</v>
      </c>
      <c r="L48" s="70" t="s">
        <v>50</v>
      </c>
      <c r="M48" s="73" t="s">
        <v>2252</v>
      </c>
    </row>
    <row r="49" spans="1:13" s="53" customFormat="1" ht="114" customHeight="1">
      <c r="A49" s="71" t="s">
        <v>1257</v>
      </c>
      <c r="B49" s="62" t="s">
        <v>156</v>
      </c>
      <c r="C49" s="77" t="s">
        <v>178</v>
      </c>
      <c r="G49" s="73"/>
      <c r="H49" s="70" t="str">
        <f>IF(LEFT(B49,1)="6","Product","Protocol")</f>
        <v>Protocol</v>
      </c>
      <c r="I49" s="62" t="s">
        <v>30</v>
      </c>
      <c r="J49" s="62" t="s">
        <v>54</v>
      </c>
      <c r="K49" s="62" t="s">
        <v>9</v>
      </c>
      <c r="L49" s="70" t="s">
        <v>50</v>
      </c>
      <c r="M49" s="73" t="s">
        <v>2252</v>
      </c>
    </row>
    <row r="50" spans="1:13" s="53" customFormat="1" ht="117.75" customHeight="1">
      <c r="A50" s="71" t="s">
        <v>1258</v>
      </c>
      <c r="B50" s="62" t="s">
        <v>156</v>
      </c>
      <c r="C50" s="77" t="s">
        <v>179</v>
      </c>
      <c r="G50" s="73" t="s">
        <v>2217</v>
      </c>
      <c r="H50" s="70" t="str">
        <f>IF(LEFT(B50,1)="6","Product","Protocol")</f>
        <v>Protocol</v>
      </c>
      <c r="I50" s="62" t="s">
        <v>30</v>
      </c>
      <c r="J50" s="62" t="s">
        <v>54</v>
      </c>
      <c r="K50" s="62" t="s">
        <v>9</v>
      </c>
      <c r="L50" s="70" t="s">
        <v>56</v>
      </c>
      <c r="M50" s="73" t="s">
        <v>2226</v>
      </c>
    </row>
    <row r="51" spans="1:13" s="53" customFormat="1" ht="111.75" customHeight="1">
      <c r="A51" s="71" t="s">
        <v>1259</v>
      </c>
      <c r="B51" s="62" t="s">
        <v>156</v>
      </c>
      <c r="C51" s="78" t="s">
        <v>180</v>
      </c>
      <c r="G51" s="73"/>
      <c r="H51" s="70" t="str">
        <f t="shared" ref="H51:H130" si="1">IF(LEFT(B51,1)="6","Product","Protocol")</f>
        <v>Protocol</v>
      </c>
      <c r="I51" s="62" t="s">
        <v>30</v>
      </c>
      <c r="J51" s="62" t="s">
        <v>54</v>
      </c>
      <c r="K51" s="62" t="s">
        <v>9</v>
      </c>
      <c r="L51" s="70" t="s">
        <v>50</v>
      </c>
      <c r="M51" s="73" t="s">
        <v>2252</v>
      </c>
    </row>
    <row r="52" spans="1:13" s="53" customFormat="1" ht="102" customHeight="1">
      <c r="A52" s="71" t="s">
        <v>1260</v>
      </c>
      <c r="B52" s="62" t="s">
        <v>156</v>
      </c>
      <c r="C52" s="77" t="s">
        <v>181</v>
      </c>
      <c r="G52" s="73" t="s">
        <v>2217</v>
      </c>
      <c r="H52" s="70" t="str">
        <f>IF(LEFT(B52,1)="6","Product","Protocol")</f>
        <v>Protocol</v>
      </c>
      <c r="I52" s="62" t="s">
        <v>30</v>
      </c>
      <c r="J52" s="62" t="s">
        <v>54</v>
      </c>
      <c r="K52" s="62" t="s">
        <v>9</v>
      </c>
      <c r="L52" s="70" t="s">
        <v>50</v>
      </c>
      <c r="M52" s="73" t="s">
        <v>2252</v>
      </c>
    </row>
    <row r="53" spans="1:13" s="53" customFormat="1" ht="103.5" customHeight="1">
      <c r="A53" s="71" t="s">
        <v>1261</v>
      </c>
      <c r="B53" s="62" t="s">
        <v>156</v>
      </c>
      <c r="C53" s="77" t="s">
        <v>182</v>
      </c>
      <c r="G53" s="73" t="s">
        <v>2217</v>
      </c>
      <c r="H53" s="70" t="str">
        <f>IF(LEFT(B53,1)="6","Product","Protocol")</f>
        <v>Protocol</v>
      </c>
      <c r="I53" s="62" t="s">
        <v>30</v>
      </c>
      <c r="J53" s="62" t="s">
        <v>54</v>
      </c>
      <c r="K53" s="62" t="s">
        <v>9</v>
      </c>
      <c r="L53" s="70" t="s">
        <v>56</v>
      </c>
      <c r="M53" s="73" t="s">
        <v>2226</v>
      </c>
    </row>
    <row r="54" spans="1:13" s="53" customFormat="1" ht="100.5" customHeight="1">
      <c r="A54" s="71" t="s">
        <v>1262</v>
      </c>
      <c r="B54" s="62" t="s">
        <v>156</v>
      </c>
      <c r="C54" s="77" t="s">
        <v>2235</v>
      </c>
      <c r="G54" s="73" t="s">
        <v>2217</v>
      </c>
      <c r="H54" s="70" t="str">
        <f t="shared" si="1"/>
        <v>Protocol</v>
      </c>
      <c r="I54" s="62" t="s">
        <v>30</v>
      </c>
      <c r="J54" s="62" t="s">
        <v>53</v>
      </c>
      <c r="K54" s="62" t="s">
        <v>9</v>
      </c>
      <c r="L54" s="70" t="s">
        <v>50</v>
      </c>
      <c r="M54" s="73" t="s">
        <v>2252</v>
      </c>
    </row>
    <row r="55" spans="1:13" s="53" customFormat="1" ht="110.25" customHeight="1">
      <c r="A55" s="71" t="s">
        <v>1263</v>
      </c>
      <c r="B55" s="62" t="s">
        <v>156</v>
      </c>
      <c r="C55" s="78" t="s">
        <v>183</v>
      </c>
      <c r="G55" s="73" t="s">
        <v>2217</v>
      </c>
      <c r="H55" s="70" t="str">
        <f t="shared" si="1"/>
        <v>Protocol</v>
      </c>
      <c r="I55" s="62" t="s">
        <v>30</v>
      </c>
      <c r="J55" s="62" t="s">
        <v>53</v>
      </c>
      <c r="K55" s="62" t="s">
        <v>9</v>
      </c>
      <c r="L55" s="70" t="s">
        <v>56</v>
      </c>
      <c r="M55" s="70" t="s">
        <v>2226</v>
      </c>
    </row>
    <row r="56" spans="1:13" s="53" customFormat="1" ht="105.75" customHeight="1">
      <c r="A56" s="71" t="s">
        <v>1264</v>
      </c>
      <c r="B56" s="62" t="s">
        <v>156</v>
      </c>
      <c r="C56" s="77" t="s">
        <v>184</v>
      </c>
      <c r="G56" s="73"/>
      <c r="H56" s="70" t="str">
        <f t="shared" si="1"/>
        <v>Protocol</v>
      </c>
      <c r="I56" s="62" t="s">
        <v>30</v>
      </c>
      <c r="J56" s="62" t="s">
        <v>53</v>
      </c>
      <c r="K56" s="62" t="s">
        <v>9</v>
      </c>
      <c r="L56" s="70" t="s">
        <v>51</v>
      </c>
      <c r="M56" s="70" t="s">
        <v>225</v>
      </c>
    </row>
    <row r="57" spans="1:13" s="53" customFormat="1" ht="105.75" customHeight="1">
      <c r="A57" s="71" t="s">
        <v>1265</v>
      </c>
      <c r="B57" s="62" t="s">
        <v>156</v>
      </c>
      <c r="C57" s="78" t="s">
        <v>185</v>
      </c>
      <c r="G57" s="73" t="s">
        <v>2217</v>
      </c>
      <c r="H57" s="70" t="str">
        <f t="shared" si="1"/>
        <v>Protocol</v>
      </c>
      <c r="I57" s="62" t="s">
        <v>30</v>
      </c>
      <c r="J57" s="62" t="s">
        <v>54</v>
      </c>
      <c r="K57" s="62" t="s">
        <v>9</v>
      </c>
      <c r="L57" s="70" t="s">
        <v>56</v>
      </c>
      <c r="M57" s="70" t="s">
        <v>2226</v>
      </c>
    </row>
    <row r="58" spans="1:13" s="53" customFormat="1" ht="111" customHeight="1">
      <c r="A58" s="71" t="s">
        <v>1266</v>
      </c>
      <c r="B58" s="62" t="s">
        <v>156</v>
      </c>
      <c r="C58" s="77" t="s">
        <v>186</v>
      </c>
      <c r="G58" s="73"/>
      <c r="H58" s="70" t="str">
        <f t="shared" si="1"/>
        <v>Protocol</v>
      </c>
      <c r="I58" s="62" t="s">
        <v>30</v>
      </c>
      <c r="J58" s="62" t="s">
        <v>54</v>
      </c>
      <c r="K58" s="62" t="s">
        <v>9</v>
      </c>
      <c r="L58" s="70" t="s">
        <v>50</v>
      </c>
      <c r="M58" s="73" t="s">
        <v>2252</v>
      </c>
    </row>
    <row r="59" spans="1:13" s="53" customFormat="1" ht="109.5" customHeight="1">
      <c r="A59" s="71" t="s">
        <v>1267</v>
      </c>
      <c r="B59" s="62" t="s">
        <v>156</v>
      </c>
      <c r="C59" s="78" t="s">
        <v>187</v>
      </c>
      <c r="G59" s="73" t="s">
        <v>2217</v>
      </c>
      <c r="H59" s="70" t="str">
        <f t="shared" si="1"/>
        <v>Protocol</v>
      </c>
      <c r="I59" s="62" t="s">
        <v>30</v>
      </c>
      <c r="J59" s="62" t="s">
        <v>54</v>
      </c>
      <c r="K59" s="62" t="s">
        <v>9</v>
      </c>
      <c r="L59" s="70" t="s">
        <v>56</v>
      </c>
      <c r="M59" s="70" t="s">
        <v>2226</v>
      </c>
    </row>
    <row r="60" spans="1:13" s="53" customFormat="1" ht="109.5" customHeight="1">
      <c r="A60" s="71" t="s">
        <v>1268</v>
      </c>
      <c r="B60" s="63" t="s">
        <v>156</v>
      </c>
      <c r="C60" s="86" t="s">
        <v>188</v>
      </c>
      <c r="G60" s="73" t="s">
        <v>2217</v>
      </c>
      <c r="H60" s="70" t="str">
        <f>IF(LEFT(B60,1)="6","Product","Protocol")</f>
        <v>Protocol</v>
      </c>
      <c r="I60" s="62" t="s">
        <v>30</v>
      </c>
      <c r="J60" s="64" t="s">
        <v>54</v>
      </c>
      <c r="K60" s="62" t="s">
        <v>9</v>
      </c>
      <c r="L60" s="70" t="s">
        <v>56</v>
      </c>
      <c r="M60" s="70" t="s">
        <v>2226</v>
      </c>
    </row>
    <row r="61" spans="1:13" s="53" customFormat="1" ht="106.5" customHeight="1">
      <c r="A61" s="71" t="s">
        <v>1269</v>
      </c>
      <c r="B61" s="71" t="s">
        <v>156</v>
      </c>
      <c r="C61" s="77" t="s">
        <v>189</v>
      </c>
      <c r="G61" s="73"/>
      <c r="H61" s="70" t="str">
        <f t="shared" si="1"/>
        <v>Protocol</v>
      </c>
      <c r="I61" s="62" t="s">
        <v>30</v>
      </c>
      <c r="J61" s="62" t="s">
        <v>53</v>
      </c>
      <c r="K61" s="62" t="s">
        <v>9</v>
      </c>
      <c r="L61" s="70" t="s">
        <v>50</v>
      </c>
      <c r="M61" s="73" t="s">
        <v>2252</v>
      </c>
    </row>
    <row r="62" spans="1:13" s="53" customFormat="1" ht="108.75" customHeight="1">
      <c r="A62" s="71" t="s">
        <v>1270</v>
      </c>
      <c r="B62" s="62" t="s">
        <v>190</v>
      </c>
      <c r="C62" s="78" t="s">
        <v>191</v>
      </c>
      <c r="G62" s="73"/>
      <c r="H62" s="70" t="str">
        <f t="shared" si="1"/>
        <v>Protocol</v>
      </c>
      <c r="I62" s="62" t="s">
        <v>30</v>
      </c>
      <c r="J62" s="62" t="s">
        <v>53</v>
      </c>
      <c r="K62" s="62" t="s">
        <v>9</v>
      </c>
      <c r="L62" s="70" t="s">
        <v>50</v>
      </c>
      <c r="M62" s="73" t="s">
        <v>2252</v>
      </c>
    </row>
    <row r="63" spans="1:13" s="53" customFormat="1" ht="116.25" customHeight="1">
      <c r="A63" s="71" t="s">
        <v>1271</v>
      </c>
      <c r="B63" s="62" t="s">
        <v>190</v>
      </c>
      <c r="C63" s="77" t="s">
        <v>192</v>
      </c>
      <c r="G63" s="73"/>
      <c r="H63" s="70" t="str">
        <f t="shared" si="1"/>
        <v>Protocol</v>
      </c>
      <c r="I63" s="62" t="s">
        <v>30</v>
      </c>
      <c r="J63" s="62" t="s">
        <v>53</v>
      </c>
      <c r="K63" s="62" t="s">
        <v>9</v>
      </c>
      <c r="L63" s="70" t="s">
        <v>50</v>
      </c>
      <c r="M63" s="73" t="s">
        <v>2252</v>
      </c>
    </row>
    <row r="64" spans="1:13" s="53" customFormat="1" ht="107.25" customHeight="1">
      <c r="A64" s="71" t="s">
        <v>1272</v>
      </c>
      <c r="B64" s="62" t="s">
        <v>190</v>
      </c>
      <c r="C64" s="78" t="s">
        <v>193</v>
      </c>
      <c r="G64" s="73"/>
      <c r="H64" s="70" t="str">
        <f t="shared" si="1"/>
        <v>Protocol</v>
      </c>
      <c r="I64" s="62" t="s">
        <v>30</v>
      </c>
      <c r="J64" s="62" t="s">
        <v>53</v>
      </c>
      <c r="K64" s="62" t="s">
        <v>9</v>
      </c>
      <c r="L64" s="70" t="s">
        <v>50</v>
      </c>
      <c r="M64" s="73" t="s">
        <v>2252</v>
      </c>
    </row>
    <row r="65" spans="1:13" s="53" customFormat="1" ht="110.25" customHeight="1">
      <c r="A65" s="71" t="s">
        <v>1273</v>
      </c>
      <c r="B65" s="62" t="s">
        <v>190</v>
      </c>
      <c r="C65" s="77" t="s">
        <v>194</v>
      </c>
      <c r="G65" s="73"/>
      <c r="H65" s="70" t="str">
        <f t="shared" si="1"/>
        <v>Protocol</v>
      </c>
      <c r="I65" s="62" t="s">
        <v>30</v>
      </c>
      <c r="J65" s="62" t="s">
        <v>54</v>
      </c>
      <c r="K65" s="62" t="s">
        <v>9</v>
      </c>
      <c r="L65" s="70" t="s">
        <v>50</v>
      </c>
      <c r="M65" s="73" t="s">
        <v>2252</v>
      </c>
    </row>
    <row r="66" spans="1:13" s="53" customFormat="1" ht="108" customHeight="1">
      <c r="A66" s="71" t="s">
        <v>1274</v>
      </c>
      <c r="B66" s="62" t="s">
        <v>190</v>
      </c>
      <c r="C66" s="86" t="s">
        <v>195</v>
      </c>
      <c r="G66" s="73"/>
      <c r="H66" s="70" t="str">
        <f>IF(LEFT(B66,1)="6","Product","Protocol")</f>
        <v>Protocol</v>
      </c>
      <c r="I66" s="62" t="s">
        <v>30</v>
      </c>
      <c r="J66" s="64" t="s">
        <v>54</v>
      </c>
      <c r="K66" s="62" t="s">
        <v>9</v>
      </c>
      <c r="L66" s="70" t="s">
        <v>50</v>
      </c>
      <c r="M66" s="73" t="s">
        <v>2252</v>
      </c>
    </row>
    <row r="67" spans="1:13" s="53" customFormat="1" ht="107.25" customHeight="1">
      <c r="A67" s="71" t="s">
        <v>1275</v>
      </c>
      <c r="B67" s="62" t="s">
        <v>190</v>
      </c>
      <c r="C67" s="77" t="s">
        <v>196</v>
      </c>
      <c r="G67" s="73"/>
      <c r="H67" s="70" t="str">
        <f>IF(LEFT(B67,1)="6","Product","Protocol")</f>
        <v>Protocol</v>
      </c>
      <c r="I67" s="62" t="s">
        <v>30</v>
      </c>
      <c r="J67" s="62" t="s">
        <v>54</v>
      </c>
      <c r="K67" s="62" t="s">
        <v>9</v>
      </c>
      <c r="L67" s="70" t="s">
        <v>50</v>
      </c>
      <c r="M67" s="73" t="s">
        <v>2252</v>
      </c>
    </row>
    <row r="68" spans="1:13" s="53" customFormat="1" ht="107.25" customHeight="1">
      <c r="A68" s="71" t="s">
        <v>1276</v>
      </c>
      <c r="B68" s="62" t="s">
        <v>197</v>
      </c>
      <c r="C68" s="78" t="s">
        <v>198</v>
      </c>
      <c r="G68" s="73"/>
      <c r="H68" s="70" t="str">
        <f t="shared" si="1"/>
        <v>Protocol</v>
      </c>
      <c r="I68" s="62" t="s">
        <v>30</v>
      </c>
      <c r="J68" s="62" t="s">
        <v>54</v>
      </c>
      <c r="K68" s="62" t="s">
        <v>9</v>
      </c>
      <c r="L68" s="70" t="s">
        <v>50</v>
      </c>
      <c r="M68" s="73" t="s">
        <v>2252</v>
      </c>
    </row>
    <row r="69" spans="1:13" s="53" customFormat="1" ht="106.5" customHeight="1">
      <c r="A69" s="71" t="s">
        <v>1277</v>
      </c>
      <c r="B69" s="62" t="s">
        <v>197</v>
      </c>
      <c r="C69" s="77" t="s">
        <v>199</v>
      </c>
      <c r="G69" s="73"/>
      <c r="H69" s="70" t="str">
        <f t="shared" si="1"/>
        <v>Protocol</v>
      </c>
      <c r="I69" s="62" t="s">
        <v>30</v>
      </c>
      <c r="J69" s="62" t="s">
        <v>54</v>
      </c>
      <c r="K69" s="62" t="s">
        <v>9</v>
      </c>
      <c r="L69" s="70" t="s">
        <v>50</v>
      </c>
      <c r="M69" s="73" t="s">
        <v>2252</v>
      </c>
    </row>
    <row r="70" spans="1:13" s="53" customFormat="1" ht="107.25" customHeight="1">
      <c r="A70" s="71" t="s">
        <v>1278</v>
      </c>
      <c r="B70" s="62" t="s">
        <v>197</v>
      </c>
      <c r="C70" s="78" t="s">
        <v>200</v>
      </c>
      <c r="G70" s="73"/>
      <c r="H70" s="70" t="str">
        <f t="shared" si="1"/>
        <v>Protocol</v>
      </c>
      <c r="I70" s="62" t="s">
        <v>30</v>
      </c>
      <c r="J70" s="62" t="s">
        <v>53</v>
      </c>
      <c r="K70" s="62" t="s">
        <v>9</v>
      </c>
      <c r="L70" s="70" t="s">
        <v>50</v>
      </c>
      <c r="M70" s="73" t="s">
        <v>2252</v>
      </c>
    </row>
    <row r="71" spans="1:13" s="53" customFormat="1" ht="105" customHeight="1">
      <c r="A71" s="71" t="s">
        <v>1279</v>
      </c>
      <c r="B71" s="62" t="s">
        <v>197</v>
      </c>
      <c r="C71" s="77" t="s">
        <v>201</v>
      </c>
      <c r="G71" s="73"/>
      <c r="H71" s="70" t="str">
        <f t="shared" si="1"/>
        <v>Protocol</v>
      </c>
      <c r="I71" s="62" t="s">
        <v>41</v>
      </c>
      <c r="J71" s="62" t="s">
        <v>53</v>
      </c>
      <c r="K71" s="62" t="s">
        <v>9</v>
      </c>
      <c r="L71" s="70" t="s">
        <v>50</v>
      </c>
      <c r="M71" s="73" t="s">
        <v>2252</v>
      </c>
    </row>
    <row r="72" spans="1:13" s="53" customFormat="1" ht="111" customHeight="1">
      <c r="A72" s="71" t="s">
        <v>1280</v>
      </c>
      <c r="B72" s="62" t="s">
        <v>202</v>
      </c>
      <c r="C72" s="86" t="s">
        <v>203</v>
      </c>
      <c r="G72" s="73"/>
      <c r="H72" s="70" t="str">
        <f>IF(LEFT(B72,1)="6","Product","Protocol")</f>
        <v>Protocol</v>
      </c>
      <c r="I72" s="62" t="s">
        <v>30</v>
      </c>
      <c r="J72" s="62" t="s">
        <v>54</v>
      </c>
      <c r="K72" s="62" t="s">
        <v>9</v>
      </c>
      <c r="L72" s="70" t="s">
        <v>50</v>
      </c>
      <c r="M72" s="73" t="s">
        <v>2252</v>
      </c>
    </row>
    <row r="73" spans="1:13" s="53" customFormat="1" ht="47.25" hidden="1" customHeight="1">
      <c r="A73" s="71" t="s">
        <v>1281</v>
      </c>
      <c r="B73" s="62" t="s">
        <v>204</v>
      </c>
      <c r="C73" s="78" t="s">
        <v>205</v>
      </c>
      <c r="G73" s="70"/>
      <c r="H73" s="70" t="str">
        <f t="shared" si="1"/>
        <v>Protocol</v>
      </c>
      <c r="I73" s="62" t="s">
        <v>42</v>
      </c>
      <c r="J73" s="62" t="s">
        <v>54</v>
      </c>
      <c r="K73" s="62" t="s">
        <v>9</v>
      </c>
      <c r="L73" s="70" t="s">
        <v>50</v>
      </c>
      <c r="M73" s="70" t="s">
        <v>153</v>
      </c>
    </row>
    <row r="74" spans="1:13" s="53" customFormat="1" ht="36.75" hidden="1" customHeight="1">
      <c r="A74" s="71" t="s">
        <v>1282</v>
      </c>
      <c r="B74" s="62" t="s">
        <v>204</v>
      </c>
      <c r="C74" s="77" t="s">
        <v>206</v>
      </c>
      <c r="G74" s="70"/>
      <c r="H74" s="70" t="str">
        <f t="shared" si="1"/>
        <v>Protocol</v>
      </c>
      <c r="I74" s="62" t="s">
        <v>42</v>
      </c>
      <c r="J74" s="62" t="s">
        <v>53</v>
      </c>
      <c r="K74" s="62" t="s">
        <v>9</v>
      </c>
      <c r="L74" s="70" t="s">
        <v>50</v>
      </c>
      <c r="M74" s="70" t="s">
        <v>153</v>
      </c>
    </row>
    <row r="75" spans="1:13" s="53" customFormat="1" ht="36" hidden="1" customHeight="1">
      <c r="A75" s="71" t="s">
        <v>1283</v>
      </c>
      <c r="B75" s="62" t="s">
        <v>204</v>
      </c>
      <c r="C75" s="78" t="s">
        <v>207</v>
      </c>
      <c r="G75" s="70"/>
      <c r="H75" s="70" t="str">
        <f t="shared" si="1"/>
        <v>Protocol</v>
      </c>
      <c r="I75" s="62" t="s">
        <v>42</v>
      </c>
      <c r="J75" s="62" t="s">
        <v>54</v>
      </c>
      <c r="K75" s="62" t="s">
        <v>9</v>
      </c>
      <c r="L75" s="70" t="s">
        <v>50</v>
      </c>
      <c r="M75" s="70" t="s">
        <v>153</v>
      </c>
    </row>
    <row r="76" spans="1:13" s="53" customFormat="1" ht="44.25" hidden="1" customHeight="1">
      <c r="A76" s="71" t="s">
        <v>1284</v>
      </c>
      <c r="B76" s="62" t="s">
        <v>204</v>
      </c>
      <c r="C76" s="77" t="s">
        <v>208</v>
      </c>
      <c r="G76" s="70"/>
      <c r="H76" s="70" t="str">
        <f t="shared" si="1"/>
        <v>Protocol</v>
      </c>
      <c r="I76" s="62" t="s">
        <v>42</v>
      </c>
      <c r="J76" s="62" t="s">
        <v>54</v>
      </c>
      <c r="K76" s="62" t="s">
        <v>9</v>
      </c>
      <c r="L76" s="70" t="s">
        <v>50</v>
      </c>
      <c r="M76" s="70" t="s">
        <v>153</v>
      </c>
    </row>
    <row r="77" spans="1:13" s="53" customFormat="1" ht="48" hidden="1" customHeight="1">
      <c r="A77" s="71" t="s">
        <v>1285</v>
      </c>
      <c r="B77" s="62" t="s">
        <v>204</v>
      </c>
      <c r="C77" s="78" t="s">
        <v>209</v>
      </c>
      <c r="G77" s="70"/>
      <c r="H77" s="70" t="str">
        <f t="shared" si="1"/>
        <v>Protocol</v>
      </c>
      <c r="I77" s="62" t="s">
        <v>42</v>
      </c>
      <c r="J77" s="62" t="s">
        <v>54</v>
      </c>
      <c r="K77" s="62" t="s">
        <v>9</v>
      </c>
      <c r="L77" s="70" t="s">
        <v>50</v>
      </c>
      <c r="M77" s="70" t="s">
        <v>153</v>
      </c>
    </row>
    <row r="78" spans="1:13" s="53" customFormat="1" ht="51" hidden="1" customHeight="1">
      <c r="A78" s="71" t="s">
        <v>1286</v>
      </c>
      <c r="B78" s="62" t="s">
        <v>210</v>
      </c>
      <c r="C78" s="77" t="s">
        <v>211</v>
      </c>
      <c r="G78" s="70"/>
      <c r="H78" s="70" t="str">
        <f t="shared" si="1"/>
        <v>Protocol</v>
      </c>
      <c r="I78" s="62" t="s">
        <v>42</v>
      </c>
      <c r="J78" s="62" t="s">
        <v>54</v>
      </c>
      <c r="K78" s="62" t="s">
        <v>9</v>
      </c>
      <c r="L78" s="70" t="s">
        <v>50</v>
      </c>
      <c r="M78" s="70" t="s">
        <v>153</v>
      </c>
    </row>
    <row r="79" spans="1:13" s="53" customFormat="1" ht="51.75" hidden="1" customHeight="1">
      <c r="A79" s="71" t="s">
        <v>1287</v>
      </c>
      <c r="B79" s="62" t="s">
        <v>210</v>
      </c>
      <c r="C79" s="78" t="s">
        <v>212</v>
      </c>
      <c r="G79" s="70"/>
      <c r="H79" s="70" t="str">
        <f t="shared" si="1"/>
        <v>Protocol</v>
      </c>
      <c r="I79" s="62" t="s">
        <v>42</v>
      </c>
      <c r="J79" s="62" t="s">
        <v>54</v>
      </c>
      <c r="K79" s="62" t="s">
        <v>9</v>
      </c>
      <c r="L79" s="70" t="s">
        <v>50</v>
      </c>
      <c r="M79" s="70" t="s">
        <v>153</v>
      </c>
    </row>
    <row r="80" spans="1:13" s="53" customFormat="1" ht="48" hidden="1" customHeight="1">
      <c r="A80" s="71" t="s">
        <v>1288</v>
      </c>
      <c r="B80" s="62" t="s">
        <v>213</v>
      </c>
      <c r="C80" s="77" t="s">
        <v>214</v>
      </c>
      <c r="G80" s="70"/>
      <c r="H80" s="70" t="str">
        <f t="shared" si="1"/>
        <v>Protocol</v>
      </c>
      <c r="I80" s="62" t="s">
        <v>42</v>
      </c>
      <c r="J80" s="62" t="s">
        <v>54</v>
      </c>
      <c r="K80" s="62" t="s">
        <v>9</v>
      </c>
      <c r="L80" s="70" t="s">
        <v>50</v>
      </c>
      <c r="M80" s="70" t="s">
        <v>153</v>
      </c>
    </row>
    <row r="81" spans="1:13" s="53" customFormat="1" ht="51" hidden="1" customHeight="1">
      <c r="A81" s="71" t="s">
        <v>1289</v>
      </c>
      <c r="B81" s="62" t="s">
        <v>213</v>
      </c>
      <c r="C81" s="78" t="s">
        <v>215</v>
      </c>
      <c r="G81" s="70"/>
      <c r="H81" s="70" t="str">
        <f t="shared" si="1"/>
        <v>Protocol</v>
      </c>
      <c r="I81" s="62" t="s">
        <v>42</v>
      </c>
      <c r="J81" s="62" t="s">
        <v>54</v>
      </c>
      <c r="K81" s="62" t="s">
        <v>9</v>
      </c>
      <c r="L81" s="70" t="s">
        <v>50</v>
      </c>
      <c r="M81" s="70" t="s">
        <v>153</v>
      </c>
    </row>
    <row r="82" spans="1:13" s="53" customFormat="1" ht="60.75" hidden="1" customHeight="1">
      <c r="A82" s="71" t="s">
        <v>1290</v>
      </c>
      <c r="B82" s="62" t="s">
        <v>213</v>
      </c>
      <c r="C82" s="77" t="s">
        <v>216</v>
      </c>
      <c r="G82" s="70"/>
      <c r="H82" s="70" t="str">
        <f t="shared" si="1"/>
        <v>Protocol</v>
      </c>
      <c r="I82" s="62" t="s">
        <v>42</v>
      </c>
      <c r="J82" s="62" t="s">
        <v>54</v>
      </c>
      <c r="K82" s="62" t="s">
        <v>9</v>
      </c>
      <c r="L82" s="70" t="s">
        <v>50</v>
      </c>
      <c r="M82" s="70" t="s">
        <v>153</v>
      </c>
    </row>
    <row r="83" spans="1:13" s="53" customFormat="1" ht="65.25" hidden="1" customHeight="1">
      <c r="A83" s="71" t="s">
        <v>1291</v>
      </c>
      <c r="B83" s="62" t="s">
        <v>217</v>
      </c>
      <c r="C83" s="78" t="s">
        <v>218</v>
      </c>
      <c r="G83" s="70"/>
      <c r="H83" s="70" t="str">
        <f t="shared" si="1"/>
        <v>Protocol</v>
      </c>
      <c r="I83" s="62" t="s">
        <v>42</v>
      </c>
      <c r="J83" s="62" t="s">
        <v>54</v>
      </c>
      <c r="K83" s="62" t="s">
        <v>9</v>
      </c>
      <c r="L83" s="70" t="s">
        <v>50</v>
      </c>
      <c r="M83" s="70" t="s">
        <v>153</v>
      </c>
    </row>
    <row r="84" spans="1:13" s="53" customFormat="1" ht="34.5" hidden="1" customHeight="1">
      <c r="A84" s="71" t="s">
        <v>1292</v>
      </c>
      <c r="B84" s="62" t="s">
        <v>217</v>
      </c>
      <c r="C84" s="77" t="s">
        <v>219</v>
      </c>
      <c r="G84" s="70"/>
      <c r="H84" s="70" t="str">
        <f>IF(LEFT(B84,1)="6","Product","Protocol")</f>
        <v>Protocol</v>
      </c>
      <c r="I84" s="62" t="s">
        <v>42</v>
      </c>
      <c r="J84" s="62" t="s">
        <v>54</v>
      </c>
      <c r="K84" s="62" t="s">
        <v>9</v>
      </c>
      <c r="L84" s="70" t="s">
        <v>50</v>
      </c>
      <c r="M84" s="70" t="s">
        <v>153</v>
      </c>
    </row>
    <row r="85" spans="1:13" s="53" customFormat="1" ht="48" hidden="1" customHeight="1">
      <c r="A85" s="71" t="s">
        <v>1293</v>
      </c>
      <c r="B85" s="62" t="s">
        <v>217</v>
      </c>
      <c r="C85" s="77" t="s">
        <v>220</v>
      </c>
      <c r="G85" s="70"/>
      <c r="H85" s="70" t="str">
        <f t="shared" si="1"/>
        <v>Protocol</v>
      </c>
      <c r="I85" s="62" t="s">
        <v>42</v>
      </c>
      <c r="J85" s="62" t="s">
        <v>53</v>
      </c>
      <c r="K85" s="62" t="s">
        <v>9</v>
      </c>
      <c r="L85" s="70" t="s">
        <v>50</v>
      </c>
      <c r="M85" s="70" t="s">
        <v>153</v>
      </c>
    </row>
    <row r="86" spans="1:13" s="53" customFormat="1" ht="41.25" hidden="1" customHeight="1">
      <c r="A86" s="71" t="s">
        <v>1294</v>
      </c>
      <c r="B86" s="62" t="s">
        <v>221</v>
      </c>
      <c r="C86" s="78" t="s">
        <v>222</v>
      </c>
      <c r="G86" s="70"/>
      <c r="H86" s="70" t="str">
        <f t="shared" si="1"/>
        <v>Protocol</v>
      </c>
      <c r="I86" s="62" t="s">
        <v>42</v>
      </c>
      <c r="J86" s="62" t="s">
        <v>53</v>
      </c>
      <c r="K86" s="62" t="s">
        <v>9</v>
      </c>
      <c r="L86" s="70" t="s">
        <v>50</v>
      </c>
      <c r="M86" s="70" t="s">
        <v>153</v>
      </c>
    </row>
    <row r="87" spans="1:13" s="53" customFormat="1" ht="63.75" hidden="1" customHeight="1">
      <c r="A87" s="71" t="s">
        <v>1295</v>
      </c>
      <c r="B87" s="62" t="s">
        <v>221</v>
      </c>
      <c r="C87" s="77" t="s">
        <v>223</v>
      </c>
      <c r="G87" s="70"/>
      <c r="H87" s="70" t="str">
        <f t="shared" si="1"/>
        <v>Protocol</v>
      </c>
      <c r="I87" s="62" t="s">
        <v>42</v>
      </c>
      <c r="J87" s="62" t="s">
        <v>53</v>
      </c>
      <c r="K87" s="62" t="s">
        <v>9</v>
      </c>
      <c r="L87" s="70" t="s">
        <v>50</v>
      </c>
      <c r="M87" s="70" t="s">
        <v>153</v>
      </c>
    </row>
    <row r="88" spans="1:13" s="53" customFormat="1" ht="36.75" customHeight="1">
      <c r="A88" s="71" t="s">
        <v>1296</v>
      </c>
      <c r="B88" s="62" t="s">
        <v>221</v>
      </c>
      <c r="C88" s="78" t="s">
        <v>224</v>
      </c>
      <c r="G88" s="70"/>
      <c r="H88" s="70" t="str">
        <f t="shared" si="1"/>
        <v>Protocol</v>
      </c>
      <c r="I88" s="62" t="s">
        <v>41</v>
      </c>
      <c r="J88" s="62" t="s">
        <v>53</v>
      </c>
      <c r="K88" s="62" t="s">
        <v>9</v>
      </c>
      <c r="L88" s="70" t="s">
        <v>51</v>
      </c>
      <c r="M88" s="70" t="s">
        <v>225</v>
      </c>
    </row>
    <row r="89" spans="1:13" s="53" customFormat="1" ht="96" customHeight="1">
      <c r="A89" s="71" t="s">
        <v>1297</v>
      </c>
      <c r="B89" s="62" t="s">
        <v>221</v>
      </c>
      <c r="C89" s="77" t="s">
        <v>226</v>
      </c>
      <c r="F89" s="53" t="s">
        <v>227</v>
      </c>
      <c r="G89" s="73" t="s">
        <v>2218</v>
      </c>
      <c r="H89" s="70" t="str">
        <f>IF(LEFT(B89,1)="6","Product","Protocol")</f>
        <v>Protocol</v>
      </c>
      <c r="I89" s="64" t="s">
        <v>41</v>
      </c>
      <c r="J89" s="64" t="s">
        <v>54</v>
      </c>
      <c r="K89" s="64" t="s">
        <v>9</v>
      </c>
      <c r="L89" s="70" t="s">
        <v>56</v>
      </c>
      <c r="M89" s="70" t="s">
        <v>2226</v>
      </c>
    </row>
    <row r="90" spans="1:13" s="53" customFormat="1" ht="48" hidden="1" customHeight="1">
      <c r="A90" s="71" t="s">
        <v>1298</v>
      </c>
      <c r="B90" s="62" t="s">
        <v>221</v>
      </c>
      <c r="C90" s="77" t="s">
        <v>228</v>
      </c>
      <c r="G90" s="70"/>
      <c r="H90" s="70" t="str">
        <f>IF(LEFT(B90,1)="6","Product","Protocol")</f>
        <v>Protocol</v>
      </c>
      <c r="I90" s="62" t="s">
        <v>42</v>
      </c>
      <c r="J90" s="62" t="s">
        <v>54</v>
      </c>
      <c r="K90" s="62" t="s">
        <v>9</v>
      </c>
      <c r="L90" s="70" t="s">
        <v>50</v>
      </c>
      <c r="M90" s="70" t="s">
        <v>153</v>
      </c>
    </row>
    <row r="91" spans="1:13" s="53" customFormat="1" ht="64.5" hidden="1" customHeight="1">
      <c r="A91" s="71" t="s">
        <v>1299</v>
      </c>
      <c r="B91" s="62" t="s">
        <v>221</v>
      </c>
      <c r="C91" s="77" t="s">
        <v>229</v>
      </c>
      <c r="G91" s="70"/>
      <c r="H91" s="70" t="str">
        <f t="shared" si="1"/>
        <v>Protocol</v>
      </c>
      <c r="I91" s="62" t="s">
        <v>42</v>
      </c>
      <c r="J91" s="62" t="s">
        <v>53</v>
      </c>
      <c r="K91" s="62" t="s">
        <v>9</v>
      </c>
      <c r="L91" s="70" t="s">
        <v>50</v>
      </c>
      <c r="M91" s="70" t="s">
        <v>153</v>
      </c>
    </row>
    <row r="92" spans="1:13" s="53" customFormat="1" ht="72" hidden="1" customHeight="1">
      <c r="A92" s="71" t="s">
        <v>1300</v>
      </c>
      <c r="B92" s="62" t="s">
        <v>221</v>
      </c>
      <c r="C92" s="78" t="s">
        <v>230</v>
      </c>
      <c r="G92" s="70"/>
      <c r="H92" s="70" t="str">
        <f t="shared" si="1"/>
        <v>Protocol</v>
      </c>
      <c r="I92" s="62" t="s">
        <v>42</v>
      </c>
      <c r="J92" s="62" t="s">
        <v>54</v>
      </c>
      <c r="K92" s="62" t="s">
        <v>8</v>
      </c>
      <c r="L92" s="70" t="s">
        <v>50</v>
      </c>
      <c r="M92" s="70" t="s">
        <v>231</v>
      </c>
    </row>
    <row r="93" spans="1:13" s="53" customFormat="1" ht="60" hidden="1" customHeight="1">
      <c r="A93" s="71" t="s">
        <v>1301</v>
      </c>
      <c r="B93" s="62" t="s">
        <v>221</v>
      </c>
      <c r="C93" s="77" t="s">
        <v>232</v>
      </c>
      <c r="G93" s="70"/>
      <c r="H93" s="70" t="str">
        <f t="shared" si="1"/>
        <v>Protocol</v>
      </c>
      <c r="I93" s="62" t="s">
        <v>42</v>
      </c>
      <c r="J93" s="62" t="s">
        <v>54</v>
      </c>
      <c r="K93" s="62" t="s">
        <v>8</v>
      </c>
      <c r="L93" s="70" t="s">
        <v>50</v>
      </c>
      <c r="M93" s="70" t="s">
        <v>231</v>
      </c>
    </row>
    <row r="94" spans="1:13" s="53" customFormat="1" ht="42" hidden="1" customHeight="1">
      <c r="A94" s="71" t="s">
        <v>1302</v>
      </c>
      <c r="B94" s="62" t="s">
        <v>221</v>
      </c>
      <c r="C94" s="78" t="s">
        <v>233</v>
      </c>
      <c r="G94" s="70"/>
      <c r="H94" s="70" t="str">
        <f t="shared" si="1"/>
        <v>Protocol</v>
      </c>
      <c r="I94" s="62" t="s">
        <v>42</v>
      </c>
      <c r="J94" s="62" t="s">
        <v>53</v>
      </c>
      <c r="K94" s="62" t="s">
        <v>9</v>
      </c>
      <c r="L94" s="70" t="s">
        <v>50</v>
      </c>
      <c r="M94" s="70" t="s">
        <v>153</v>
      </c>
    </row>
    <row r="95" spans="1:13" s="53" customFormat="1" ht="52.5" hidden="1" customHeight="1">
      <c r="A95" s="71" t="s">
        <v>1303</v>
      </c>
      <c r="B95" s="62" t="s">
        <v>221</v>
      </c>
      <c r="C95" s="87" t="s">
        <v>234</v>
      </c>
      <c r="G95" s="70"/>
      <c r="H95" s="70" t="str">
        <f t="shared" si="1"/>
        <v>Protocol</v>
      </c>
      <c r="I95" s="62" t="s">
        <v>42</v>
      </c>
      <c r="J95" s="62" t="s">
        <v>53</v>
      </c>
      <c r="K95" s="62" t="s">
        <v>9</v>
      </c>
      <c r="L95" s="70" t="s">
        <v>50</v>
      </c>
      <c r="M95" s="70" t="s">
        <v>153</v>
      </c>
    </row>
    <row r="96" spans="1:13" s="53" customFormat="1" ht="35.25" hidden="1" customHeight="1">
      <c r="A96" s="71" t="s">
        <v>1304</v>
      </c>
      <c r="B96" s="62" t="s">
        <v>235</v>
      </c>
      <c r="C96" s="78" t="s">
        <v>236</v>
      </c>
      <c r="G96" s="70"/>
      <c r="H96" s="70" t="str">
        <f t="shared" si="1"/>
        <v>Protocol</v>
      </c>
      <c r="I96" s="62" t="s">
        <v>42</v>
      </c>
      <c r="J96" s="62" t="s">
        <v>54</v>
      </c>
      <c r="K96" s="62" t="s">
        <v>9</v>
      </c>
      <c r="L96" s="70" t="s">
        <v>50</v>
      </c>
      <c r="M96" s="70" t="s">
        <v>153</v>
      </c>
    </row>
    <row r="97" spans="1:13" s="53" customFormat="1" ht="34.5" hidden="1" customHeight="1">
      <c r="A97" s="71" t="s">
        <v>1305</v>
      </c>
      <c r="B97" s="62" t="s">
        <v>235</v>
      </c>
      <c r="C97" s="77" t="s">
        <v>237</v>
      </c>
      <c r="G97" s="70"/>
      <c r="H97" s="70" t="str">
        <f t="shared" si="1"/>
        <v>Protocol</v>
      </c>
      <c r="I97" s="62" t="s">
        <v>42</v>
      </c>
      <c r="J97" s="62" t="s">
        <v>53</v>
      </c>
      <c r="K97" s="62" t="s">
        <v>9</v>
      </c>
      <c r="L97" s="70" t="s">
        <v>50</v>
      </c>
      <c r="M97" s="70" t="s">
        <v>153</v>
      </c>
    </row>
    <row r="98" spans="1:13" s="53" customFormat="1" ht="69.75" hidden="1" customHeight="1">
      <c r="A98" s="71" t="s">
        <v>1306</v>
      </c>
      <c r="B98" s="62" t="s">
        <v>235</v>
      </c>
      <c r="C98" s="78" t="s">
        <v>238</v>
      </c>
      <c r="G98" s="70"/>
      <c r="H98" s="70" t="str">
        <f t="shared" si="1"/>
        <v>Protocol</v>
      </c>
      <c r="I98" s="62" t="s">
        <v>42</v>
      </c>
      <c r="J98" s="62" t="s">
        <v>53</v>
      </c>
      <c r="K98" s="62" t="s">
        <v>9</v>
      </c>
      <c r="L98" s="70" t="s">
        <v>50</v>
      </c>
      <c r="M98" s="70" t="s">
        <v>153</v>
      </c>
    </row>
    <row r="99" spans="1:13" s="53" customFormat="1" ht="55.5" customHeight="1">
      <c r="A99" s="71" t="s">
        <v>1307</v>
      </c>
      <c r="B99" s="62" t="s">
        <v>235</v>
      </c>
      <c r="C99" s="77" t="s">
        <v>239</v>
      </c>
      <c r="G99" s="70"/>
      <c r="H99" s="70" t="str">
        <f t="shared" si="1"/>
        <v>Protocol</v>
      </c>
      <c r="I99" s="62" t="s">
        <v>41</v>
      </c>
      <c r="J99" s="62" t="s">
        <v>53</v>
      </c>
      <c r="K99" s="62" t="s">
        <v>9</v>
      </c>
      <c r="L99" s="70" t="s">
        <v>51</v>
      </c>
      <c r="M99" s="70" t="s">
        <v>225</v>
      </c>
    </row>
    <row r="100" spans="1:13" s="53" customFormat="1" ht="96" customHeight="1">
      <c r="A100" s="71" t="s">
        <v>1308</v>
      </c>
      <c r="B100" s="62" t="s">
        <v>235</v>
      </c>
      <c r="C100" s="86" t="s">
        <v>240</v>
      </c>
      <c r="F100" s="53" t="s">
        <v>241</v>
      </c>
      <c r="G100" s="73" t="s">
        <v>2218</v>
      </c>
      <c r="H100" s="70" t="str">
        <f>IF(LEFT(B100,1)="6","Product","Protocol")</f>
        <v>Protocol</v>
      </c>
      <c r="I100" s="64" t="s">
        <v>41</v>
      </c>
      <c r="J100" s="64" t="s">
        <v>54</v>
      </c>
      <c r="K100" s="64" t="s">
        <v>9</v>
      </c>
      <c r="L100" s="70" t="s">
        <v>56</v>
      </c>
      <c r="M100" s="70" t="s">
        <v>2226</v>
      </c>
    </row>
    <row r="101" spans="1:13" s="53" customFormat="1" ht="51.75" hidden="1" customHeight="1">
      <c r="A101" s="71" t="s">
        <v>1309</v>
      </c>
      <c r="B101" s="62" t="s">
        <v>235</v>
      </c>
      <c r="C101" s="78" t="s">
        <v>242</v>
      </c>
      <c r="G101" s="70"/>
      <c r="H101" s="70" t="str">
        <f t="shared" si="1"/>
        <v>Protocol</v>
      </c>
      <c r="I101" s="62" t="s">
        <v>42</v>
      </c>
      <c r="J101" s="62" t="s">
        <v>54</v>
      </c>
      <c r="K101" s="62" t="s">
        <v>9</v>
      </c>
      <c r="L101" s="70" t="s">
        <v>50</v>
      </c>
      <c r="M101" s="70" t="s">
        <v>153</v>
      </c>
    </row>
    <row r="102" spans="1:13" s="53" customFormat="1" ht="33.75" hidden="1" customHeight="1">
      <c r="A102" s="71" t="s">
        <v>1310</v>
      </c>
      <c r="B102" s="62" t="s">
        <v>235</v>
      </c>
      <c r="C102" s="77" t="s">
        <v>243</v>
      </c>
      <c r="G102" s="70"/>
      <c r="H102" s="70" t="str">
        <f>IF(LEFT(B102,1)="6","Product","Protocol")</f>
        <v>Protocol</v>
      </c>
      <c r="I102" s="62" t="s">
        <v>42</v>
      </c>
      <c r="J102" s="62" t="s">
        <v>54</v>
      </c>
      <c r="K102" s="62" t="s">
        <v>9</v>
      </c>
      <c r="L102" s="70" t="s">
        <v>50</v>
      </c>
      <c r="M102" s="70" t="s">
        <v>153</v>
      </c>
    </row>
    <row r="103" spans="1:13" s="53" customFormat="1" ht="33" hidden="1" customHeight="1">
      <c r="A103" s="71" t="s">
        <v>1311</v>
      </c>
      <c r="B103" s="62" t="s">
        <v>235</v>
      </c>
      <c r="C103" s="77" t="s">
        <v>244</v>
      </c>
      <c r="G103" s="70"/>
      <c r="H103" s="70" t="str">
        <f t="shared" si="1"/>
        <v>Protocol</v>
      </c>
      <c r="I103" s="62" t="s">
        <v>42</v>
      </c>
      <c r="J103" s="62" t="s">
        <v>53</v>
      </c>
      <c r="K103" s="62" t="s">
        <v>9</v>
      </c>
      <c r="L103" s="70" t="s">
        <v>50</v>
      </c>
      <c r="M103" s="70" t="s">
        <v>153</v>
      </c>
    </row>
    <row r="104" spans="1:13" s="53" customFormat="1" ht="30" hidden="1" customHeight="1">
      <c r="A104" s="71" t="s">
        <v>1312</v>
      </c>
      <c r="B104" s="62" t="s">
        <v>235</v>
      </c>
      <c r="C104" s="78" t="s">
        <v>245</v>
      </c>
      <c r="G104" s="70"/>
      <c r="H104" s="70" t="str">
        <f t="shared" si="1"/>
        <v>Protocol</v>
      </c>
      <c r="I104" s="62" t="s">
        <v>42</v>
      </c>
      <c r="J104" s="62" t="s">
        <v>53</v>
      </c>
      <c r="K104" s="62" t="s">
        <v>9</v>
      </c>
      <c r="L104" s="70" t="s">
        <v>50</v>
      </c>
      <c r="M104" s="70" t="s">
        <v>153</v>
      </c>
    </row>
    <row r="105" spans="1:13" s="53" customFormat="1" ht="65.25" hidden="1" customHeight="1">
      <c r="A105" s="71" t="s">
        <v>1313</v>
      </c>
      <c r="B105" s="62" t="s">
        <v>235</v>
      </c>
      <c r="C105" s="77" t="s">
        <v>246</v>
      </c>
      <c r="G105" s="70"/>
      <c r="H105" s="70" t="str">
        <f t="shared" si="1"/>
        <v>Protocol</v>
      </c>
      <c r="I105" s="62" t="s">
        <v>42</v>
      </c>
      <c r="J105" s="62" t="s">
        <v>53</v>
      </c>
      <c r="K105" s="62" t="s">
        <v>9</v>
      </c>
      <c r="L105" s="70" t="s">
        <v>50</v>
      </c>
      <c r="M105" s="70" t="s">
        <v>153</v>
      </c>
    </row>
    <row r="106" spans="1:13" s="53" customFormat="1" ht="68.25" customHeight="1">
      <c r="A106" s="71" t="s">
        <v>1314</v>
      </c>
      <c r="B106" s="62" t="s">
        <v>235</v>
      </c>
      <c r="C106" s="78" t="s">
        <v>247</v>
      </c>
      <c r="G106" s="70"/>
      <c r="H106" s="70" t="str">
        <f t="shared" si="1"/>
        <v>Protocol</v>
      </c>
      <c r="I106" s="62" t="s">
        <v>41</v>
      </c>
      <c r="J106" s="62" t="s">
        <v>53</v>
      </c>
      <c r="K106" s="62" t="s">
        <v>9</v>
      </c>
      <c r="L106" s="70" t="s">
        <v>51</v>
      </c>
      <c r="M106" s="70" t="s">
        <v>225</v>
      </c>
    </row>
    <row r="107" spans="1:13" s="53" customFormat="1" ht="30">
      <c r="A107" s="71" t="s">
        <v>1315</v>
      </c>
      <c r="B107" s="62" t="s">
        <v>235</v>
      </c>
      <c r="C107" s="86" t="s">
        <v>248</v>
      </c>
      <c r="F107" s="53" t="s">
        <v>249</v>
      </c>
      <c r="G107" s="73" t="s">
        <v>2218</v>
      </c>
      <c r="H107" s="70" t="str">
        <f>IF(LEFT(B107,1)="6","Product","Protocol")</f>
        <v>Protocol</v>
      </c>
      <c r="I107" s="64" t="s">
        <v>41</v>
      </c>
      <c r="J107" s="64" t="s">
        <v>54</v>
      </c>
      <c r="K107" s="64" t="s">
        <v>9</v>
      </c>
      <c r="L107" s="70" t="s">
        <v>56</v>
      </c>
      <c r="M107" s="70" t="s">
        <v>2226</v>
      </c>
    </row>
    <row r="108" spans="1:13" s="53" customFormat="1" ht="40.5" hidden="1" customHeight="1">
      <c r="A108" s="71" t="s">
        <v>1316</v>
      </c>
      <c r="B108" s="62" t="s">
        <v>235</v>
      </c>
      <c r="C108" s="77" t="s">
        <v>250</v>
      </c>
      <c r="G108" s="70"/>
      <c r="H108" s="70" t="str">
        <f t="shared" si="1"/>
        <v>Protocol</v>
      </c>
      <c r="I108" s="62" t="s">
        <v>42</v>
      </c>
      <c r="J108" s="62" t="s">
        <v>54</v>
      </c>
      <c r="K108" s="62" t="s">
        <v>9</v>
      </c>
      <c r="L108" s="70" t="s">
        <v>50</v>
      </c>
      <c r="M108" s="70" t="s">
        <v>153</v>
      </c>
    </row>
    <row r="109" spans="1:13" s="53" customFormat="1" ht="72.75" hidden="1" customHeight="1">
      <c r="A109" s="71" t="s">
        <v>1317</v>
      </c>
      <c r="B109" s="62" t="s">
        <v>235</v>
      </c>
      <c r="C109" s="78" t="s">
        <v>251</v>
      </c>
      <c r="G109" s="70"/>
      <c r="H109" s="70" t="str">
        <f t="shared" si="1"/>
        <v>Protocol</v>
      </c>
      <c r="I109" s="62" t="s">
        <v>42</v>
      </c>
      <c r="J109" s="62" t="s">
        <v>54</v>
      </c>
      <c r="K109" s="62" t="s">
        <v>9</v>
      </c>
      <c r="L109" s="70" t="s">
        <v>50</v>
      </c>
      <c r="M109" s="70" t="s">
        <v>153</v>
      </c>
    </row>
    <row r="110" spans="1:13" s="53" customFormat="1" ht="40.5" hidden="1" customHeight="1">
      <c r="A110" s="71" t="s">
        <v>1318</v>
      </c>
      <c r="B110" s="62" t="s">
        <v>252</v>
      </c>
      <c r="C110" s="77" t="s">
        <v>253</v>
      </c>
      <c r="G110" s="70"/>
      <c r="H110" s="70" t="str">
        <f t="shared" si="1"/>
        <v>Protocol</v>
      </c>
      <c r="I110" s="62" t="s">
        <v>42</v>
      </c>
      <c r="J110" s="62" t="s">
        <v>53</v>
      </c>
      <c r="K110" s="62" t="s">
        <v>9</v>
      </c>
      <c r="L110" s="70" t="s">
        <v>50</v>
      </c>
      <c r="M110" s="70" t="s">
        <v>153</v>
      </c>
    </row>
    <row r="111" spans="1:13" s="53" customFormat="1" ht="38.25" hidden="1" customHeight="1">
      <c r="A111" s="71" t="s">
        <v>1319</v>
      </c>
      <c r="B111" s="62" t="s">
        <v>252</v>
      </c>
      <c r="C111" s="78" t="s">
        <v>254</v>
      </c>
      <c r="G111" s="70"/>
      <c r="H111" s="70" t="str">
        <f t="shared" si="1"/>
        <v>Protocol</v>
      </c>
      <c r="I111" s="62" t="s">
        <v>42</v>
      </c>
      <c r="J111" s="62" t="s">
        <v>53</v>
      </c>
      <c r="K111" s="62" t="s">
        <v>9</v>
      </c>
      <c r="L111" s="70" t="s">
        <v>50</v>
      </c>
      <c r="M111" s="70" t="s">
        <v>153</v>
      </c>
    </row>
    <row r="112" spans="1:13" s="53" customFormat="1" ht="39" hidden="1" customHeight="1">
      <c r="A112" s="71" t="s">
        <v>1320</v>
      </c>
      <c r="B112" s="62" t="s">
        <v>252</v>
      </c>
      <c r="C112" s="77" t="s">
        <v>255</v>
      </c>
      <c r="G112" s="70"/>
      <c r="H112" s="70" t="str">
        <f t="shared" si="1"/>
        <v>Protocol</v>
      </c>
      <c r="I112" s="62" t="s">
        <v>42</v>
      </c>
      <c r="J112" s="62" t="s">
        <v>54</v>
      </c>
      <c r="K112" s="62" t="s">
        <v>8</v>
      </c>
      <c r="L112" s="70" t="s">
        <v>50</v>
      </c>
      <c r="M112" s="70" t="s">
        <v>231</v>
      </c>
    </row>
    <row r="113" spans="1:13" s="53" customFormat="1" ht="37.5" hidden="1" customHeight="1">
      <c r="A113" s="71" t="s">
        <v>1321</v>
      </c>
      <c r="B113" s="62" t="s">
        <v>252</v>
      </c>
      <c r="C113" s="78" t="s">
        <v>256</v>
      </c>
      <c r="G113" s="70"/>
      <c r="H113" s="70" t="str">
        <f t="shared" si="1"/>
        <v>Protocol</v>
      </c>
      <c r="I113" s="62" t="s">
        <v>42</v>
      </c>
      <c r="J113" s="62" t="s">
        <v>54</v>
      </c>
      <c r="K113" s="62" t="s">
        <v>9</v>
      </c>
      <c r="L113" s="70" t="s">
        <v>50</v>
      </c>
      <c r="M113" s="70" t="s">
        <v>153</v>
      </c>
    </row>
    <row r="114" spans="1:13" s="53" customFormat="1" ht="112.5" hidden="1" customHeight="1">
      <c r="A114" s="71" t="s">
        <v>1322</v>
      </c>
      <c r="B114" s="62" t="s">
        <v>257</v>
      </c>
      <c r="C114" s="77" t="s">
        <v>258</v>
      </c>
      <c r="G114" s="70"/>
      <c r="H114" s="70" t="str">
        <f t="shared" si="1"/>
        <v>Protocol</v>
      </c>
      <c r="I114" s="62" t="s">
        <v>42</v>
      </c>
      <c r="J114" s="62" t="s">
        <v>53</v>
      </c>
      <c r="K114" s="62" t="s">
        <v>9</v>
      </c>
      <c r="L114" s="70" t="s">
        <v>50</v>
      </c>
      <c r="M114" s="70" t="s">
        <v>153</v>
      </c>
    </row>
    <row r="115" spans="1:13" s="53" customFormat="1" ht="53.25" hidden="1" customHeight="1">
      <c r="A115" s="71" t="s">
        <v>1323</v>
      </c>
      <c r="B115" s="62" t="s">
        <v>257</v>
      </c>
      <c r="C115" s="78" t="s">
        <v>259</v>
      </c>
      <c r="G115" s="70"/>
      <c r="H115" s="70" t="str">
        <f t="shared" si="1"/>
        <v>Protocol</v>
      </c>
      <c r="I115" s="62" t="s">
        <v>42</v>
      </c>
      <c r="J115" s="62" t="s">
        <v>54</v>
      </c>
      <c r="K115" s="62" t="s">
        <v>9</v>
      </c>
      <c r="L115" s="70" t="s">
        <v>50</v>
      </c>
      <c r="M115" s="70" t="s">
        <v>153</v>
      </c>
    </row>
    <row r="116" spans="1:13" s="53" customFormat="1" ht="133.5" hidden="1" customHeight="1">
      <c r="A116" s="71" t="s">
        <v>1324</v>
      </c>
      <c r="B116" s="62" t="s">
        <v>257</v>
      </c>
      <c r="C116" s="77" t="s">
        <v>260</v>
      </c>
      <c r="G116" s="70"/>
      <c r="H116" s="70" t="str">
        <f t="shared" si="1"/>
        <v>Protocol</v>
      </c>
      <c r="I116" s="62" t="s">
        <v>42</v>
      </c>
      <c r="J116" s="62" t="s">
        <v>55</v>
      </c>
      <c r="K116" s="62" t="s">
        <v>9</v>
      </c>
      <c r="L116" s="70" t="s">
        <v>50</v>
      </c>
      <c r="M116" s="70" t="s">
        <v>153</v>
      </c>
    </row>
    <row r="117" spans="1:13" s="53" customFormat="1" ht="71.25" hidden="1" customHeight="1">
      <c r="A117" s="71" t="s">
        <v>1325</v>
      </c>
      <c r="B117" s="62" t="s">
        <v>257</v>
      </c>
      <c r="C117" s="78" t="s">
        <v>261</v>
      </c>
      <c r="G117" s="70"/>
      <c r="H117" s="70" t="str">
        <f t="shared" si="1"/>
        <v>Protocol</v>
      </c>
      <c r="I117" s="62" t="s">
        <v>42</v>
      </c>
      <c r="J117" s="62" t="s">
        <v>54</v>
      </c>
      <c r="K117" s="62" t="s">
        <v>9</v>
      </c>
      <c r="L117" s="70" t="s">
        <v>50</v>
      </c>
      <c r="M117" s="70" t="s">
        <v>153</v>
      </c>
    </row>
    <row r="118" spans="1:13" s="53" customFormat="1" ht="51" hidden="1" customHeight="1">
      <c r="A118" s="71" t="s">
        <v>1326</v>
      </c>
      <c r="B118" s="62" t="s">
        <v>257</v>
      </c>
      <c r="C118" s="77" t="s">
        <v>262</v>
      </c>
      <c r="G118" s="70"/>
      <c r="H118" s="70" t="str">
        <f t="shared" si="1"/>
        <v>Protocol</v>
      </c>
      <c r="I118" s="62" t="s">
        <v>42</v>
      </c>
      <c r="J118" s="62" t="s">
        <v>53</v>
      </c>
      <c r="K118" s="62" t="s">
        <v>9</v>
      </c>
      <c r="L118" s="70" t="s">
        <v>50</v>
      </c>
      <c r="M118" s="70" t="s">
        <v>153</v>
      </c>
    </row>
    <row r="119" spans="1:13" s="53" customFormat="1" ht="49.5" hidden="1" customHeight="1">
      <c r="A119" s="71" t="s">
        <v>1327</v>
      </c>
      <c r="B119" s="62" t="s">
        <v>257</v>
      </c>
      <c r="C119" s="77" t="s">
        <v>263</v>
      </c>
      <c r="G119" s="70"/>
      <c r="H119" s="70" t="str">
        <f>IF(LEFT(B119,1)="6","Product","Protocol")</f>
        <v>Protocol</v>
      </c>
      <c r="I119" s="62" t="s">
        <v>42</v>
      </c>
      <c r="J119" s="62" t="s">
        <v>54</v>
      </c>
      <c r="K119" s="62" t="s">
        <v>9</v>
      </c>
      <c r="L119" s="70" t="s">
        <v>50</v>
      </c>
      <c r="M119" s="70" t="s">
        <v>153</v>
      </c>
    </row>
    <row r="120" spans="1:13" s="53" customFormat="1" ht="54" hidden="1" customHeight="1">
      <c r="A120" s="71" t="s">
        <v>1328</v>
      </c>
      <c r="B120" s="62" t="s">
        <v>257</v>
      </c>
      <c r="C120" s="77" t="s">
        <v>264</v>
      </c>
      <c r="G120" s="70"/>
      <c r="H120" s="70" t="str">
        <f>IF(LEFT(B120,1)="6","Product","Protocol")</f>
        <v>Protocol</v>
      </c>
      <c r="I120" s="62" t="s">
        <v>42</v>
      </c>
      <c r="J120" s="62" t="s">
        <v>54</v>
      </c>
      <c r="K120" s="62" t="s">
        <v>9</v>
      </c>
      <c r="L120" s="70" t="s">
        <v>50</v>
      </c>
      <c r="M120" s="70" t="s">
        <v>153</v>
      </c>
    </row>
    <row r="121" spans="1:13" s="53" customFormat="1" ht="53.25" hidden="1" customHeight="1">
      <c r="A121" s="71" t="s">
        <v>1329</v>
      </c>
      <c r="B121" s="62" t="s">
        <v>257</v>
      </c>
      <c r="C121" s="78" t="s">
        <v>265</v>
      </c>
      <c r="G121" s="70"/>
      <c r="H121" s="70" t="str">
        <f t="shared" si="1"/>
        <v>Protocol</v>
      </c>
      <c r="I121" s="62" t="s">
        <v>42</v>
      </c>
      <c r="J121" s="62" t="s">
        <v>54</v>
      </c>
      <c r="K121" s="62" t="s">
        <v>9</v>
      </c>
      <c r="L121" s="70" t="s">
        <v>50</v>
      </c>
      <c r="M121" s="70" t="s">
        <v>153</v>
      </c>
    </row>
    <row r="122" spans="1:13" s="53" customFormat="1" ht="39.75" hidden="1" customHeight="1">
      <c r="A122" s="71" t="s">
        <v>1330</v>
      </c>
      <c r="B122" s="62" t="s">
        <v>266</v>
      </c>
      <c r="C122" s="77" t="s">
        <v>267</v>
      </c>
      <c r="G122" s="70"/>
      <c r="H122" s="70" t="str">
        <f t="shared" si="1"/>
        <v>Protocol</v>
      </c>
      <c r="I122" s="62" t="s">
        <v>42</v>
      </c>
      <c r="J122" s="62" t="s">
        <v>54</v>
      </c>
      <c r="K122" s="62" t="s">
        <v>9</v>
      </c>
      <c r="L122" s="70" t="s">
        <v>50</v>
      </c>
      <c r="M122" s="70" t="s">
        <v>153</v>
      </c>
    </row>
    <row r="123" spans="1:13" s="53" customFormat="1" ht="39" hidden="1" customHeight="1">
      <c r="A123" s="71" t="s">
        <v>1331</v>
      </c>
      <c r="B123" s="62" t="s">
        <v>266</v>
      </c>
      <c r="C123" s="78" t="s">
        <v>268</v>
      </c>
      <c r="G123" s="70"/>
      <c r="H123" s="70" t="str">
        <f t="shared" si="1"/>
        <v>Protocol</v>
      </c>
      <c r="I123" s="62" t="s">
        <v>42</v>
      </c>
      <c r="J123" s="62" t="s">
        <v>53</v>
      </c>
      <c r="K123" s="62" t="s">
        <v>9</v>
      </c>
      <c r="L123" s="70" t="s">
        <v>50</v>
      </c>
      <c r="M123" s="70" t="s">
        <v>153</v>
      </c>
    </row>
    <row r="124" spans="1:13" s="53" customFormat="1" ht="86.25" hidden="1" customHeight="1">
      <c r="A124" s="71" t="s">
        <v>1332</v>
      </c>
      <c r="B124" s="62" t="s">
        <v>266</v>
      </c>
      <c r="C124" s="77" t="s">
        <v>269</v>
      </c>
      <c r="G124" s="70"/>
      <c r="H124" s="70" t="str">
        <f t="shared" si="1"/>
        <v>Protocol</v>
      </c>
      <c r="I124" s="62" t="s">
        <v>42</v>
      </c>
      <c r="J124" s="62" t="s">
        <v>53</v>
      </c>
      <c r="K124" s="62" t="s">
        <v>9</v>
      </c>
      <c r="L124" s="70" t="s">
        <v>50</v>
      </c>
      <c r="M124" s="70" t="s">
        <v>153</v>
      </c>
    </row>
    <row r="125" spans="1:13" s="53" customFormat="1" ht="52.5" customHeight="1">
      <c r="A125" s="71" t="s">
        <v>1333</v>
      </c>
      <c r="B125" s="62" t="s">
        <v>266</v>
      </c>
      <c r="C125" s="78" t="s">
        <v>270</v>
      </c>
      <c r="G125" s="70"/>
      <c r="H125" s="70" t="str">
        <f t="shared" si="1"/>
        <v>Protocol</v>
      </c>
      <c r="I125" s="62" t="s">
        <v>41</v>
      </c>
      <c r="J125" s="62" t="s">
        <v>53</v>
      </c>
      <c r="K125" s="62" t="s">
        <v>9</v>
      </c>
      <c r="L125" s="70" t="s">
        <v>51</v>
      </c>
      <c r="M125" s="70" t="s">
        <v>225</v>
      </c>
    </row>
    <row r="126" spans="1:13" s="53" customFormat="1" ht="90.75" customHeight="1">
      <c r="A126" s="71" t="s">
        <v>1334</v>
      </c>
      <c r="B126" s="62" t="s">
        <v>266</v>
      </c>
      <c r="C126" s="77" t="s">
        <v>271</v>
      </c>
      <c r="F126" s="53" t="s">
        <v>272</v>
      </c>
      <c r="G126" s="73" t="s">
        <v>2218</v>
      </c>
      <c r="H126" s="70" t="str">
        <f>IF(LEFT(B126,1)="6","Product","Protocol")</f>
        <v>Protocol</v>
      </c>
      <c r="I126" s="64" t="s">
        <v>41</v>
      </c>
      <c r="J126" s="64" t="s">
        <v>54</v>
      </c>
      <c r="K126" s="64" t="s">
        <v>9</v>
      </c>
      <c r="L126" s="70" t="s">
        <v>56</v>
      </c>
      <c r="M126" s="70" t="s">
        <v>2226</v>
      </c>
    </row>
    <row r="127" spans="1:13" s="53" customFormat="1" ht="53.25" hidden="1" customHeight="1">
      <c r="A127" s="71" t="s">
        <v>1335</v>
      </c>
      <c r="B127" s="62" t="s">
        <v>266</v>
      </c>
      <c r="C127" s="77" t="s">
        <v>273</v>
      </c>
      <c r="G127" s="70"/>
      <c r="H127" s="70" t="str">
        <f t="shared" si="1"/>
        <v>Protocol</v>
      </c>
      <c r="I127" s="62" t="s">
        <v>42</v>
      </c>
      <c r="J127" s="62" t="s">
        <v>54</v>
      </c>
      <c r="K127" s="62" t="s">
        <v>9</v>
      </c>
      <c r="L127" s="70" t="s">
        <v>50</v>
      </c>
      <c r="M127" s="70" t="s">
        <v>153</v>
      </c>
    </row>
    <row r="128" spans="1:13" s="53" customFormat="1" ht="37.5" hidden="1" customHeight="1">
      <c r="A128" s="71" t="s">
        <v>1336</v>
      </c>
      <c r="B128" s="62" t="s">
        <v>266</v>
      </c>
      <c r="C128" s="77" t="s">
        <v>274</v>
      </c>
      <c r="G128" s="70"/>
      <c r="H128" s="70" t="str">
        <f>IF(LEFT(B128,1)="6","Product","Protocol")</f>
        <v>Protocol</v>
      </c>
      <c r="I128" s="62" t="s">
        <v>42</v>
      </c>
      <c r="J128" s="62" t="s">
        <v>54</v>
      </c>
      <c r="K128" s="62" t="s">
        <v>9</v>
      </c>
      <c r="L128" s="70" t="s">
        <v>50</v>
      </c>
      <c r="M128" s="70" t="s">
        <v>153</v>
      </c>
    </row>
    <row r="129" spans="1:13" s="53" customFormat="1" ht="33" hidden="1" customHeight="1">
      <c r="A129" s="71" t="s">
        <v>1337</v>
      </c>
      <c r="B129" s="62" t="s">
        <v>266</v>
      </c>
      <c r="C129" s="78" t="s">
        <v>275</v>
      </c>
      <c r="G129" s="70"/>
      <c r="H129" s="70" t="str">
        <f t="shared" si="1"/>
        <v>Protocol</v>
      </c>
      <c r="I129" s="62" t="s">
        <v>42</v>
      </c>
      <c r="J129" s="62" t="s">
        <v>53</v>
      </c>
      <c r="K129" s="62" t="s">
        <v>9</v>
      </c>
      <c r="L129" s="70" t="s">
        <v>50</v>
      </c>
      <c r="M129" s="70" t="s">
        <v>153</v>
      </c>
    </row>
    <row r="130" spans="1:13" s="53" customFormat="1" ht="40.5" hidden="1" customHeight="1">
      <c r="A130" s="71" t="s">
        <v>1338</v>
      </c>
      <c r="B130" s="62" t="s">
        <v>266</v>
      </c>
      <c r="C130" s="77" t="s">
        <v>276</v>
      </c>
      <c r="G130" s="70"/>
      <c r="H130" s="70" t="str">
        <f t="shared" si="1"/>
        <v>Protocol</v>
      </c>
      <c r="I130" s="62" t="s">
        <v>42</v>
      </c>
      <c r="J130" s="62" t="s">
        <v>53</v>
      </c>
      <c r="K130" s="62" t="s">
        <v>9</v>
      </c>
      <c r="L130" s="70" t="s">
        <v>50</v>
      </c>
      <c r="M130" s="70" t="s">
        <v>153</v>
      </c>
    </row>
    <row r="131" spans="1:13" s="53" customFormat="1" ht="85.5" hidden="1" customHeight="1">
      <c r="A131" s="71" t="s">
        <v>1339</v>
      </c>
      <c r="B131" s="62" t="s">
        <v>266</v>
      </c>
      <c r="C131" s="78" t="s">
        <v>277</v>
      </c>
      <c r="G131" s="70"/>
      <c r="H131" s="70" t="str">
        <f t="shared" ref="H131:H202" si="2">IF(LEFT(B131,1)="6","Product","Protocol")</f>
        <v>Protocol</v>
      </c>
      <c r="I131" s="62" t="s">
        <v>42</v>
      </c>
      <c r="J131" s="62" t="s">
        <v>53</v>
      </c>
      <c r="K131" s="62" t="s">
        <v>9</v>
      </c>
      <c r="L131" s="70" t="s">
        <v>50</v>
      </c>
      <c r="M131" s="70" t="s">
        <v>153</v>
      </c>
    </row>
    <row r="132" spans="1:13" s="53" customFormat="1" ht="51" customHeight="1">
      <c r="A132" s="71" t="s">
        <v>1340</v>
      </c>
      <c r="B132" s="62" t="s">
        <v>266</v>
      </c>
      <c r="C132" s="77" t="s">
        <v>278</v>
      </c>
      <c r="G132" s="70"/>
      <c r="H132" s="70" t="str">
        <f t="shared" si="2"/>
        <v>Protocol</v>
      </c>
      <c r="I132" s="62" t="s">
        <v>41</v>
      </c>
      <c r="J132" s="62" t="s">
        <v>53</v>
      </c>
      <c r="K132" s="62" t="s">
        <v>9</v>
      </c>
      <c r="L132" s="70" t="s">
        <v>51</v>
      </c>
      <c r="M132" s="70" t="s">
        <v>225</v>
      </c>
    </row>
    <row r="133" spans="1:13" s="53" customFormat="1" ht="30">
      <c r="A133" s="71" t="s">
        <v>1341</v>
      </c>
      <c r="B133" s="62" t="s">
        <v>266</v>
      </c>
      <c r="C133" s="77" t="s">
        <v>279</v>
      </c>
      <c r="F133" s="53" t="s">
        <v>280</v>
      </c>
      <c r="G133" s="73" t="s">
        <v>2218</v>
      </c>
      <c r="H133" s="70" t="str">
        <f>IF(LEFT(B133,1)="6","Product","Protocol")</f>
        <v>Protocol</v>
      </c>
      <c r="I133" s="64" t="s">
        <v>41</v>
      </c>
      <c r="J133" s="64" t="s">
        <v>54</v>
      </c>
      <c r="K133" s="64" t="s">
        <v>9</v>
      </c>
      <c r="L133" s="70" t="s">
        <v>56</v>
      </c>
      <c r="M133" s="70" t="s">
        <v>2226</v>
      </c>
    </row>
    <row r="134" spans="1:13" s="53" customFormat="1" ht="57.75" hidden="1" customHeight="1">
      <c r="A134" s="71" t="s">
        <v>1342</v>
      </c>
      <c r="B134" s="62" t="s">
        <v>266</v>
      </c>
      <c r="C134" s="78" t="s">
        <v>281</v>
      </c>
      <c r="G134" s="70"/>
      <c r="H134" s="70" t="str">
        <f t="shared" si="2"/>
        <v>Protocol</v>
      </c>
      <c r="I134" s="62" t="s">
        <v>42</v>
      </c>
      <c r="J134" s="62" t="s">
        <v>54</v>
      </c>
      <c r="K134" s="62" t="s">
        <v>9</v>
      </c>
      <c r="L134" s="70" t="s">
        <v>50</v>
      </c>
      <c r="M134" s="70" t="s">
        <v>153</v>
      </c>
    </row>
    <row r="135" spans="1:13" s="53" customFormat="1" ht="50.25" hidden="1" customHeight="1">
      <c r="A135" s="71" t="s">
        <v>1343</v>
      </c>
      <c r="B135" s="62" t="s">
        <v>282</v>
      </c>
      <c r="C135" s="77" t="s">
        <v>283</v>
      </c>
      <c r="G135" s="70"/>
      <c r="H135" s="70" t="str">
        <f t="shared" si="2"/>
        <v>Protocol</v>
      </c>
      <c r="I135" s="62" t="s">
        <v>42</v>
      </c>
      <c r="J135" s="62" t="s">
        <v>54</v>
      </c>
      <c r="K135" s="62" t="s">
        <v>9</v>
      </c>
      <c r="L135" s="70" t="s">
        <v>50</v>
      </c>
      <c r="M135" s="70" t="s">
        <v>153</v>
      </c>
    </row>
    <row r="136" spans="1:13" s="53" customFormat="1" ht="94.5" hidden="1" customHeight="1">
      <c r="A136" s="71" t="s">
        <v>1344</v>
      </c>
      <c r="B136" s="62" t="s">
        <v>282</v>
      </c>
      <c r="C136" s="78" t="s">
        <v>284</v>
      </c>
      <c r="G136" s="70"/>
      <c r="H136" s="70" t="str">
        <f t="shared" si="2"/>
        <v>Protocol</v>
      </c>
      <c r="I136" s="62" t="s">
        <v>42</v>
      </c>
      <c r="J136" s="62" t="s">
        <v>53</v>
      </c>
      <c r="K136" s="62" t="s">
        <v>9</v>
      </c>
      <c r="L136" s="70" t="s">
        <v>50</v>
      </c>
      <c r="M136" s="70" t="s">
        <v>153</v>
      </c>
    </row>
    <row r="137" spans="1:13" s="53" customFormat="1" ht="53.25" customHeight="1">
      <c r="A137" s="71" t="s">
        <v>1345</v>
      </c>
      <c r="B137" s="62" t="s">
        <v>282</v>
      </c>
      <c r="C137" s="77" t="s">
        <v>285</v>
      </c>
      <c r="G137" s="70"/>
      <c r="H137" s="70" t="str">
        <f t="shared" si="2"/>
        <v>Protocol</v>
      </c>
      <c r="I137" s="62" t="s">
        <v>41</v>
      </c>
      <c r="J137" s="62" t="s">
        <v>53</v>
      </c>
      <c r="K137" s="62" t="s">
        <v>9</v>
      </c>
      <c r="L137" s="70" t="s">
        <v>51</v>
      </c>
      <c r="M137" s="70" t="s">
        <v>225</v>
      </c>
    </row>
    <row r="138" spans="1:13" s="53" customFormat="1" ht="30">
      <c r="A138" s="71" t="s">
        <v>1346</v>
      </c>
      <c r="B138" s="62" t="s">
        <v>282</v>
      </c>
      <c r="C138" s="86" t="s">
        <v>286</v>
      </c>
      <c r="F138" s="53" t="s">
        <v>287</v>
      </c>
      <c r="G138" s="73" t="s">
        <v>2218</v>
      </c>
      <c r="H138" s="70" t="str">
        <f>IF(LEFT(B138,1)="6","Product","Protocol")</f>
        <v>Protocol</v>
      </c>
      <c r="I138" s="64" t="s">
        <v>41</v>
      </c>
      <c r="J138" s="64" t="s">
        <v>54</v>
      </c>
      <c r="K138" s="64" t="s">
        <v>9</v>
      </c>
      <c r="L138" s="70" t="s">
        <v>56</v>
      </c>
      <c r="M138" s="70" t="s">
        <v>2226</v>
      </c>
    </row>
    <row r="139" spans="1:13" s="53" customFormat="1" ht="117" hidden="1" customHeight="1">
      <c r="A139" s="71" t="s">
        <v>1347</v>
      </c>
      <c r="B139" s="62" t="s">
        <v>288</v>
      </c>
      <c r="C139" s="78" t="s">
        <v>289</v>
      </c>
      <c r="G139" s="70"/>
      <c r="H139" s="70" t="str">
        <f t="shared" si="2"/>
        <v>Protocol</v>
      </c>
      <c r="I139" s="62" t="s">
        <v>42</v>
      </c>
      <c r="J139" s="62" t="s">
        <v>53</v>
      </c>
      <c r="K139" s="62" t="s">
        <v>9</v>
      </c>
      <c r="L139" s="70" t="s">
        <v>50</v>
      </c>
      <c r="M139" s="70" t="s">
        <v>153</v>
      </c>
    </row>
    <row r="140" spans="1:13" s="53" customFormat="1" ht="36" hidden="1" customHeight="1">
      <c r="A140" s="71" t="s">
        <v>1348</v>
      </c>
      <c r="B140" s="62" t="s">
        <v>288</v>
      </c>
      <c r="C140" s="77" t="s">
        <v>290</v>
      </c>
      <c r="G140" s="70"/>
      <c r="H140" s="70" t="str">
        <f t="shared" si="2"/>
        <v>Protocol</v>
      </c>
      <c r="I140" s="62" t="s">
        <v>42</v>
      </c>
      <c r="J140" s="62" t="s">
        <v>54</v>
      </c>
      <c r="K140" s="62" t="s">
        <v>9</v>
      </c>
      <c r="L140" s="70" t="s">
        <v>50</v>
      </c>
      <c r="M140" s="70" t="s">
        <v>153</v>
      </c>
    </row>
    <row r="141" spans="1:13" s="53" customFormat="1" ht="129.75" hidden="1" customHeight="1">
      <c r="A141" s="71" t="s">
        <v>1349</v>
      </c>
      <c r="B141" s="62" t="s">
        <v>288</v>
      </c>
      <c r="C141" s="78" t="s">
        <v>291</v>
      </c>
      <c r="G141" s="70"/>
      <c r="H141" s="70" t="str">
        <f t="shared" si="2"/>
        <v>Protocol</v>
      </c>
      <c r="I141" s="62" t="s">
        <v>42</v>
      </c>
      <c r="J141" s="62" t="s">
        <v>53</v>
      </c>
      <c r="K141" s="62" t="s">
        <v>9</v>
      </c>
      <c r="L141" s="70" t="s">
        <v>50</v>
      </c>
      <c r="M141" s="70" t="s">
        <v>153</v>
      </c>
    </row>
    <row r="142" spans="1:13" s="53" customFormat="1" ht="36" hidden="1" customHeight="1">
      <c r="A142" s="71" t="s">
        <v>1350</v>
      </c>
      <c r="B142" s="62" t="s">
        <v>288</v>
      </c>
      <c r="C142" s="77" t="s">
        <v>292</v>
      </c>
      <c r="G142" s="70"/>
      <c r="H142" s="70" t="str">
        <f t="shared" si="2"/>
        <v>Protocol</v>
      </c>
      <c r="I142" s="62" t="s">
        <v>42</v>
      </c>
      <c r="J142" s="62" t="s">
        <v>53</v>
      </c>
      <c r="K142" s="62" t="s">
        <v>9</v>
      </c>
      <c r="L142" s="70" t="s">
        <v>50</v>
      </c>
      <c r="M142" s="70" t="s">
        <v>153</v>
      </c>
    </row>
    <row r="143" spans="1:13" s="53" customFormat="1" ht="79.5" hidden="1" customHeight="1">
      <c r="A143" s="71" t="s">
        <v>1351</v>
      </c>
      <c r="B143" s="62" t="s">
        <v>288</v>
      </c>
      <c r="C143" s="78" t="s">
        <v>293</v>
      </c>
      <c r="G143" s="70"/>
      <c r="H143" s="70" t="str">
        <f t="shared" si="2"/>
        <v>Protocol</v>
      </c>
      <c r="I143" s="62" t="s">
        <v>42</v>
      </c>
      <c r="J143" s="62" t="s">
        <v>53</v>
      </c>
      <c r="K143" s="62" t="s">
        <v>9</v>
      </c>
      <c r="L143" s="70" t="s">
        <v>50</v>
      </c>
      <c r="M143" s="70" t="s">
        <v>153</v>
      </c>
    </row>
    <row r="144" spans="1:13" s="53" customFormat="1" ht="45" customHeight="1">
      <c r="A144" s="71" t="s">
        <v>1352</v>
      </c>
      <c r="B144" s="62" t="s">
        <v>288</v>
      </c>
      <c r="C144" s="77" t="s">
        <v>294</v>
      </c>
      <c r="G144" s="70"/>
      <c r="H144" s="70" t="str">
        <f t="shared" si="2"/>
        <v>Protocol</v>
      </c>
      <c r="I144" s="62" t="s">
        <v>41</v>
      </c>
      <c r="J144" s="62" t="s">
        <v>53</v>
      </c>
      <c r="K144" s="62" t="s">
        <v>9</v>
      </c>
      <c r="L144" s="70" t="s">
        <v>51</v>
      </c>
      <c r="M144" s="70" t="s">
        <v>225</v>
      </c>
    </row>
    <row r="145" spans="1:13" s="53" customFormat="1" ht="45">
      <c r="A145" s="71" t="s">
        <v>1353</v>
      </c>
      <c r="B145" s="62" t="s">
        <v>288</v>
      </c>
      <c r="C145" s="86" t="s">
        <v>295</v>
      </c>
      <c r="F145" s="53" t="s">
        <v>296</v>
      </c>
      <c r="G145" s="73" t="s">
        <v>2218</v>
      </c>
      <c r="H145" s="70" t="str">
        <f>IF(LEFT(B145,1)="6","Product","Protocol")</f>
        <v>Protocol</v>
      </c>
      <c r="I145" s="64" t="s">
        <v>41</v>
      </c>
      <c r="J145" s="64" t="s">
        <v>54</v>
      </c>
      <c r="K145" s="64" t="s">
        <v>9</v>
      </c>
      <c r="L145" s="70" t="s">
        <v>56</v>
      </c>
      <c r="M145" s="70" t="s">
        <v>2226</v>
      </c>
    </row>
    <row r="146" spans="1:13" s="53" customFormat="1" ht="51.75" hidden="1" customHeight="1">
      <c r="A146" s="71" t="s">
        <v>1354</v>
      </c>
      <c r="B146" s="62" t="s">
        <v>288</v>
      </c>
      <c r="C146" s="78" t="s">
        <v>297</v>
      </c>
      <c r="G146" s="70"/>
      <c r="H146" s="70" t="str">
        <f t="shared" si="2"/>
        <v>Protocol</v>
      </c>
      <c r="I146" s="62" t="s">
        <v>42</v>
      </c>
      <c r="J146" s="62" t="s">
        <v>54</v>
      </c>
      <c r="K146" s="62" t="s">
        <v>9</v>
      </c>
      <c r="L146" s="70" t="s">
        <v>50</v>
      </c>
      <c r="M146" s="70" t="s">
        <v>153</v>
      </c>
    </row>
    <row r="147" spans="1:13" s="53" customFormat="1" ht="35.25" hidden="1" customHeight="1">
      <c r="A147" s="71" t="s">
        <v>1355</v>
      </c>
      <c r="B147" s="62" t="s">
        <v>298</v>
      </c>
      <c r="C147" s="77" t="s">
        <v>299</v>
      </c>
      <c r="G147" s="70"/>
      <c r="H147" s="70" t="str">
        <f t="shared" si="2"/>
        <v>Protocol</v>
      </c>
      <c r="I147" s="62" t="s">
        <v>42</v>
      </c>
      <c r="J147" s="62" t="s">
        <v>54</v>
      </c>
      <c r="K147" s="62" t="s">
        <v>9</v>
      </c>
      <c r="L147" s="70" t="s">
        <v>50</v>
      </c>
      <c r="M147" s="70" t="s">
        <v>153</v>
      </c>
    </row>
    <row r="148" spans="1:13" s="53" customFormat="1" ht="54.75" hidden="1" customHeight="1">
      <c r="A148" s="71" t="s">
        <v>1356</v>
      </c>
      <c r="B148" s="62" t="s">
        <v>300</v>
      </c>
      <c r="C148" s="78" t="s">
        <v>301</v>
      </c>
      <c r="G148" s="70"/>
      <c r="H148" s="70" t="str">
        <f t="shared" si="2"/>
        <v>Protocol</v>
      </c>
      <c r="I148" s="62" t="s">
        <v>42</v>
      </c>
      <c r="J148" s="62" t="s">
        <v>54</v>
      </c>
      <c r="K148" s="62" t="s">
        <v>9</v>
      </c>
      <c r="L148" s="70" t="s">
        <v>50</v>
      </c>
      <c r="M148" s="70" t="s">
        <v>153</v>
      </c>
    </row>
    <row r="149" spans="1:13" s="53" customFormat="1" ht="52.5" hidden="1" customHeight="1">
      <c r="A149" s="71" t="s">
        <v>1357</v>
      </c>
      <c r="B149" s="62" t="s">
        <v>300</v>
      </c>
      <c r="C149" s="77" t="s">
        <v>302</v>
      </c>
      <c r="G149" s="70"/>
      <c r="H149" s="70" t="str">
        <f t="shared" si="2"/>
        <v>Protocol</v>
      </c>
      <c r="I149" s="62" t="s">
        <v>42</v>
      </c>
      <c r="J149" s="62" t="s">
        <v>54</v>
      </c>
      <c r="K149" s="62" t="s">
        <v>9</v>
      </c>
      <c r="L149" s="70" t="s">
        <v>50</v>
      </c>
      <c r="M149" s="70" t="s">
        <v>153</v>
      </c>
    </row>
    <row r="150" spans="1:13" s="53" customFormat="1" ht="39" hidden="1" customHeight="1">
      <c r="A150" s="71" t="s">
        <v>1358</v>
      </c>
      <c r="B150" s="62" t="s">
        <v>300</v>
      </c>
      <c r="C150" s="78" t="s">
        <v>303</v>
      </c>
      <c r="G150" s="70"/>
      <c r="H150" s="70" t="str">
        <f t="shared" si="2"/>
        <v>Protocol</v>
      </c>
      <c r="I150" s="62" t="s">
        <v>42</v>
      </c>
      <c r="J150" s="62" t="s">
        <v>53</v>
      </c>
      <c r="K150" s="62" t="s">
        <v>9</v>
      </c>
      <c r="L150" s="70" t="s">
        <v>50</v>
      </c>
      <c r="M150" s="70" t="s">
        <v>153</v>
      </c>
    </row>
    <row r="151" spans="1:13" s="53" customFormat="1" ht="65.25" hidden="1" customHeight="1">
      <c r="A151" s="71" t="s">
        <v>1359</v>
      </c>
      <c r="B151" s="62" t="s">
        <v>300</v>
      </c>
      <c r="C151" s="77" t="s">
        <v>304</v>
      </c>
      <c r="G151" s="70"/>
      <c r="H151" s="70" t="str">
        <f t="shared" si="2"/>
        <v>Protocol</v>
      </c>
      <c r="I151" s="62" t="s">
        <v>42</v>
      </c>
      <c r="J151" s="62" t="s">
        <v>53</v>
      </c>
      <c r="K151" s="62" t="s">
        <v>9</v>
      </c>
      <c r="L151" s="70" t="s">
        <v>50</v>
      </c>
      <c r="M151" s="70" t="s">
        <v>153</v>
      </c>
    </row>
    <row r="152" spans="1:13" s="53" customFormat="1" ht="38.25" customHeight="1">
      <c r="A152" s="71" t="s">
        <v>1360</v>
      </c>
      <c r="B152" s="62" t="s">
        <v>300</v>
      </c>
      <c r="C152" s="78" t="s">
        <v>305</v>
      </c>
      <c r="G152" s="70"/>
      <c r="H152" s="70" t="str">
        <f t="shared" si="2"/>
        <v>Protocol</v>
      </c>
      <c r="I152" s="62" t="s">
        <v>41</v>
      </c>
      <c r="J152" s="62" t="s">
        <v>53</v>
      </c>
      <c r="K152" s="62" t="s">
        <v>9</v>
      </c>
      <c r="L152" s="70" t="s">
        <v>51</v>
      </c>
      <c r="M152" s="70" t="s">
        <v>225</v>
      </c>
    </row>
    <row r="153" spans="1:13" s="53" customFormat="1" ht="30">
      <c r="A153" s="71" t="s">
        <v>1361</v>
      </c>
      <c r="B153" s="62" t="s">
        <v>300</v>
      </c>
      <c r="C153" s="86" t="s">
        <v>306</v>
      </c>
      <c r="F153" s="53" t="s">
        <v>307</v>
      </c>
      <c r="G153" s="73" t="s">
        <v>2218</v>
      </c>
      <c r="H153" s="70" t="str">
        <f>IF(LEFT(B153,1)="6","Product","Protocol")</f>
        <v>Protocol</v>
      </c>
      <c r="I153" s="64" t="s">
        <v>41</v>
      </c>
      <c r="J153" s="64" t="s">
        <v>54</v>
      </c>
      <c r="K153" s="64" t="s">
        <v>9</v>
      </c>
      <c r="L153" s="70" t="s">
        <v>56</v>
      </c>
      <c r="M153" s="70" t="s">
        <v>2226</v>
      </c>
    </row>
    <row r="154" spans="1:13" s="53" customFormat="1" ht="54.75" hidden="1" customHeight="1">
      <c r="A154" s="71" t="s">
        <v>1362</v>
      </c>
      <c r="B154" s="62" t="s">
        <v>300</v>
      </c>
      <c r="C154" s="77" t="s">
        <v>308</v>
      </c>
      <c r="G154" s="70"/>
      <c r="H154" s="70" t="str">
        <f t="shared" si="2"/>
        <v>Protocol</v>
      </c>
      <c r="I154" s="62" t="s">
        <v>42</v>
      </c>
      <c r="J154" s="62" t="s">
        <v>53</v>
      </c>
      <c r="K154" s="62" t="s">
        <v>9</v>
      </c>
      <c r="L154" s="70" t="s">
        <v>50</v>
      </c>
      <c r="M154" s="70" t="s">
        <v>153</v>
      </c>
    </row>
    <row r="155" spans="1:13" s="53" customFormat="1" ht="54.75" hidden="1" customHeight="1">
      <c r="A155" s="71" t="s">
        <v>1363</v>
      </c>
      <c r="B155" s="62" t="s">
        <v>300</v>
      </c>
      <c r="C155" s="78" t="s">
        <v>309</v>
      </c>
      <c r="G155" s="70"/>
      <c r="H155" s="70" t="str">
        <f t="shared" si="2"/>
        <v>Protocol</v>
      </c>
      <c r="I155" s="62" t="s">
        <v>42</v>
      </c>
      <c r="J155" s="62" t="s">
        <v>53</v>
      </c>
      <c r="K155" s="62" t="s">
        <v>9</v>
      </c>
      <c r="L155" s="70" t="s">
        <v>50</v>
      </c>
      <c r="M155" s="70" t="s">
        <v>153</v>
      </c>
    </row>
    <row r="156" spans="1:13" s="53" customFormat="1" ht="51" hidden="1" customHeight="1">
      <c r="A156" s="71" t="s">
        <v>1364</v>
      </c>
      <c r="B156" s="62" t="s">
        <v>300</v>
      </c>
      <c r="C156" s="77" t="s">
        <v>310</v>
      </c>
      <c r="G156" s="70"/>
      <c r="H156" s="70" t="str">
        <f t="shared" si="2"/>
        <v>Protocol</v>
      </c>
      <c r="I156" s="62" t="s">
        <v>42</v>
      </c>
      <c r="J156" s="62" t="s">
        <v>53</v>
      </c>
      <c r="K156" s="62" t="s">
        <v>9</v>
      </c>
      <c r="L156" s="70" t="s">
        <v>50</v>
      </c>
      <c r="M156" s="70" t="s">
        <v>153</v>
      </c>
    </row>
    <row r="157" spans="1:13" s="53" customFormat="1" ht="51.75" hidden="1" customHeight="1">
      <c r="A157" s="71" t="s">
        <v>1365</v>
      </c>
      <c r="B157" s="62" t="s">
        <v>311</v>
      </c>
      <c r="C157" s="78" t="s">
        <v>312</v>
      </c>
      <c r="G157" s="70"/>
      <c r="H157" s="70" t="str">
        <f t="shared" si="2"/>
        <v>Protocol</v>
      </c>
      <c r="I157" s="62" t="s">
        <v>42</v>
      </c>
      <c r="J157" s="62" t="s">
        <v>54</v>
      </c>
      <c r="K157" s="62" t="s">
        <v>9</v>
      </c>
      <c r="L157" s="70" t="s">
        <v>50</v>
      </c>
      <c r="M157" s="70" t="s">
        <v>153</v>
      </c>
    </row>
    <row r="158" spans="1:13" s="53" customFormat="1" ht="62.25" hidden="1" customHeight="1">
      <c r="A158" s="71" t="s">
        <v>1366</v>
      </c>
      <c r="B158" s="62" t="s">
        <v>311</v>
      </c>
      <c r="C158" s="77" t="s">
        <v>313</v>
      </c>
      <c r="G158" s="70"/>
      <c r="H158" s="70" t="str">
        <f t="shared" si="2"/>
        <v>Protocol</v>
      </c>
      <c r="I158" s="62" t="s">
        <v>42</v>
      </c>
      <c r="J158" s="62" t="s">
        <v>53</v>
      </c>
      <c r="K158" s="62" t="s">
        <v>9</v>
      </c>
      <c r="L158" s="70" t="s">
        <v>50</v>
      </c>
      <c r="M158" s="70" t="s">
        <v>153</v>
      </c>
    </row>
    <row r="159" spans="1:13" s="53" customFormat="1" ht="63.75" hidden="1" customHeight="1">
      <c r="A159" s="71" t="s">
        <v>1367</v>
      </c>
      <c r="B159" s="62" t="s">
        <v>311</v>
      </c>
      <c r="C159" s="78" t="s">
        <v>314</v>
      </c>
      <c r="G159" s="70"/>
      <c r="H159" s="70" t="str">
        <f t="shared" si="2"/>
        <v>Protocol</v>
      </c>
      <c r="I159" s="62" t="s">
        <v>42</v>
      </c>
      <c r="J159" s="62" t="s">
        <v>53</v>
      </c>
      <c r="K159" s="62" t="s">
        <v>9</v>
      </c>
      <c r="L159" s="70" t="s">
        <v>50</v>
      </c>
      <c r="M159" s="70" t="s">
        <v>153</v>
      </c>
    </row>
    <row r="160" spans="1:13" s="53" customFormat="1" ht="52.5" hidden="1" customHeight="1">
      <c r="A160" s="71" t="s">
        <v>1368</v>
      </c>
      <c r="B160" s="62" t="s">
        <v>311</v>
      </c>
      <c r="C160" s="77" t="s">
        <v>315</v>
      </c>
      <c r="G160" s="70"/>
      <c r="H160" s="70" t="str">
        <f t="shared" si="2"/>
        <v>Protocol</v>
      </c>
      <c r="I160" s="62" t="s">
        <v>42</v>
      </c>
      <c r="J160" s="62" t="s">
        <v>55</v>
      </c>
      <c r="K160" s="62" t="s">
        <v>8</v>
      </c>
      <c r="L160" s="70" t="s">
        <v>50</v>
      </c>
      <c r="M160" s="70" t="s">
        <v>231</v>
      </c>
    </row>
    <row r="161" spans="1:13" s="53" customFormat="1" ht="38.25" hidden="1" customHeight="1">
      <c r="A161" s="71" t="s">
        <v>1369</v>
      </c>
      <c r="B161" s="62" t="s">
        <v>316</v>
      </c>
      <c r="C161" s="78" t="s">
        <v>317</v>
      </c>
      <c r="G161" s="70"/>
      <c r="H161" s="70" t="str">
        <f t="shared" si="2"/>
        <v>Protocol</v>
      </c>
      <c r="I161" s="62" t="s">
        <v>42</v>
      </c>
      <c r="J161" s="62" t="s">
        <v>54</v>
      </c>
      <c r="K161" s="62" t="s">
        <v>9</v>
      </c>
      <c r="L161" s="70" t="s">
        <v>50</v>
      </c>
      <c r="M161" s="70" t="s">
        <v>153</v>
      </c>
    </row>
    <row r="162" spans="1:13" s="53" customFormat="1" ht="36.75" hidden="1" customHeight="1">
      <c r="A162" s="71" t="s">
        <v>1370</v>
      </c>
      <c r="B162" s="62" t="s">
        <v>316</v>
      </c>
      <c r="C162" s="77" t="s">
        <v>318</v>
      </c>
      <c r="G162" s="70"/>
      <c r="H162" s="70" t="str">
        <f t="shared" si="2"/>
        <v>Protocol</v>
      </c>
      <c r="I162" s="62" t="s">
        <v>42</v>
      </c>
      <c r="J162" s="62" t="s">
        <v>53</v>
      </c>
      <c r="K162" s="62" t="s">
        <v>9</v>
      </c>
      <c r="L162" s="70" t="s">
        <v>50</v>
      </c>
      <c r="M162" s="70" t="s">
        <v>153</v>
      </c>
    </row>
    <row r="163" spans="1:13" s="53" customFormat="1" ht="69.75" hidden="1" customHeight="1">
      <c r="A163" s="71" t="s">
        <v>1371</v>
      </c>
      <c r="B163" s="62" t="s">
        <v>316</v>
      </c>
      <c r="C163" s="78" t="s">
        <v>319</v>
      </c>
      <c r="G163" s="70"/>
      <c r="H163" s="70" t="str">
        <f t="shared" si="2"/>
        <v>Protocol</v>
      </c>
      <c r="I163" s="62" t="s">
        <v>42</v>
      </c>
      <c r="J163" s="62" t="s">
        <v>53</v>
      </c>
      <c r="K163" s="62" t="s">
        <v>9</v>
      </c>
      <c r="L163" s="70" t="s">
        <v>50</v>
      </c>
      <c r="M163" s="70" t="s">
        <v>153</v>
      </c>
    </row>
    <row r="164" spans="1:13" s="53" customFormat="1" ht="32.25" customHeight="1">
      <c r="A164" s="71" t="s">
        <v>1372</v>
      </c>
      <c r="B164" s="62" t="s">
        <v>316</v>
      </c>
      <c r="C164" s="77" t="s">
        <v>320</v>
      </c>
      <c r="G164" s="70"/>
      <c r="H164" s="70" t="str">
        <f t="shared" si="2"/>
        <v>Protocol</v>
      </c>
      <c r="I164" s="62" t="s">
        <v>41</v>
      </c>
      <c r="J164" s="62" t="s">
        <v>53</v>
      </c>
      <c r="K164" s="62" t="s">
        <v>9</v>
      </c>
      <c r="L164" s="70" t="s">
        <v>51</v>
      </c>
      <c r="M164" s="70" t="s">
        <v>225</v>
      </c>
    </row>
    <row r="165" spans="1:13" s="53" customFormat="1" ht="92.25" customHeight="1">
      <c r="A165" s="71" t="s">
        <v>1373</v>
      </c>
      <c r="B165" s="62" t="s">
        <v>316</v>
      </c>
      <c r="C165" s="77" t="s">
        <v>321</v>
      </c>
      <c r="F165" s="53" t="s">
        <v>322</v>
      </c>
      <c r="G165" s="73" t="s">
        <v>2218</v>
      </c>
      <c r="H165" s="70" t="str">
        <f>IF(LEFT(B165,1)="6","Product","Protocol")</f>
        <v>Protocol</v>
      </c>
      <c r="I165" s="64" t="s">
        <v>41</v>
      </c>
      <c r="J165" s="64" t="s">
        <v>53</v>
      </c>
      <c r="K165" s="64" t="s">
        <v>9</v>
      </c>
      <c r="L165" s="70" t="s">
        <v>56</v>
      </c>
      <c r="M165" s="70" t="s">
        <v>2226</v>
      </c>
    </row>
    <row r="166" spans="1:13" s="53" customFormat="1" ht="112.5" hidden="1" customHeight="1">
      <c r="A166" s="71" t="s">
        <v>1374</v>
      </c>
      <c r="B166" s="62" t="s">
        <v>316</v>
      </c>
      <c r="C166" s="78" t="s">
        <v>323</v>
      </c>
      <c r="G166" s="70"/>
      <c r="H166" s="70" t="str">
        <f t="shared" si="2"/>
        <v>Protocol</v>
      </c>
      <c r="I166" s="62" t="s">
        <v>42</v>
      </c>
      <c r="J166" s="62" t="s">
        <v>53</v>
      </c>
      <c r="K166" s="62" t="s">
        <v>9</v>
      </c>
      <c r="L166" s="70" t="s">
        <v>50</v>
      </c>
      <c r="M166" s="70" t="s">
        <v>153</v>
      </c>
    </row>
    <row r="167" spans="1:13" s="53" customFormat="1" ht="74.25" hidden="1" customHeight="1">
      <c r="A167" s="71" t="s">
        <v>1375</v>
      </c>
      <c r="B167" s="62" t="s">
        <v>324</v>
      </c>
      <c r="C167" s="77" t="s">
        <v>325</v>
      </c>
      <c r="G167" s="70"/>
      <c r="H167" s="70" t="str">
        <f t="shared" si="2"/>
        <v>Protocol</v>
      </c>
      <c r="I167" s="62" t="s">
        <v>42</v>
      </c>
      <c r="J167" s="62" t="s">
        <v>54</v>
      </c>
      <c r="K167" s="62" t="s">
        <v>9</v>
      </c>
      <c r="L167" s="70" t="s">
        <v>50</v>
      </c>
      <c r="M167" s="70" t="s">
        <v>153</v>
      </c>
    </row>
    <row r="168" spans="1:13" s="53" customFormat="1" ht="68.25" hidden="1" customHeight="1">
      <c r="A168" s="71" t="s">
        <v>1376</v>
      </c>
      <c r="B168" s="62" t="s">
        <v>324</v>
      </c>
      <c r="C168" s="78" t="s">
        <v>326</v>
      </c>
      <c r="G168" s="70"/>
      <c r="H168" s="70" t="str">
        <f t="shared" si="2"/>
        <v>Protocol</v>
      </c>
      <c r="I168" s="62" t="s">
        <v>42</v>
      </c>
      <c r="J168" s="62" t="s">
        <v>53</v>
      </c>
      <c r="K168" s="62" t="s">
        <v>9</v>
      </c>
      <c r="L168" s="70" t="s">
        <v>50</v>
      </c>
      <c r="M168" s="70" t="s">
        <v>153</v>
      </c>
    </row>
    <row r="169" spans="1:13" s="53" customFormat="1" ht="72" hidden="1" customHeight="1">
      <c r="A169" s="71" t="s">
        <v>1377</v>
      </c>
      <c r="B169" s="62" t="s">
        <v>324</v>
      </c>
      <c r="C169" s="77" t="s">
        <v>327</v>
      </c>
      <c r="G169" s="70"/>
      <c r="H169" s="70" t="str">
        <f t="shared" si="2"/>
        <v>Protocol</v>
      </c>
      <c r="I169" s="62" t="s">
        <v>42</v>
      </c>
      <c r="J169" s="62" t="s">
        <v>53</v>
      </c>
      <c r="K169" s="62" t="s">
        <v>9</v>
      </c>
      <c r="L169" s="70" t="s">
        <v>50</v>
      </c>
      <c r="M169" s="70" t="s">
        <v>153</v>
      </c>
    </row>
    <row r="170" spans="1:13" s="53" customFormat="1" ht="36.75" hidden="1" customHeight="1">
      <c r="A170" s="71" t="s">
        <v>1378</v>
      </c>
      <c r="B170" s="62" t="s">
        <v>324</v>
      </c>
      <c r="C170" s="78" t="s">
        <v>328</v>
      </c>
      <c r="G170" s="70"/>
      <c r="H170" s="70" t="str">
        <f t="shared" si="2"/>
        <v>Protocol</v>
      </c>
      <c r="I170" s="62" t="s">
        <v>42</v>
      </c>
      <c r="J170" s="62" t="s">
        <v>54</v>
      </c>
      <c r="K170" s="62" t="s">
        <v>9</v>
      </c>
      <c r="L170" s="70" t="s">
        <v>50</v>
      </c>
      <c r="M170" s="70" t="s">
        <v>153</v>
      </c>
    </row>
    <row r="171" spans="1:13" s="53" customFormat="1" ht="39" hidden="1" customHeight="1">
      <c r="A171" s="71" t="s">
        <v>1379</v>
      </c>
      <c r="B171" s="62" t="s">
        <v>329</v>
      </c>
      <c r="C171" s="77" t="s">
        <v>330</v>
      </c>
      <c r="G171" s="70"/>
      <c r="H171" s="70" t="str">
        <f t="shared" si="2"/>
        <v>Protocol</v>
      </c>
      <c r="I171" s="62" t="s">
        <v>42</v>
      </c>
      <c r="J171" s="62" t="s">
        <v>54</v>
      </c>
      <c r="K171" s="62" t="s">
        <v>9</v>
      </c>
      <c r="L171" s="70" t="s">
        <v>50</v>
      </c>
      <c r="M171" s="70" t="s">
        <v>153</v>
      </c>
    </row>
    <row r="172" spans="1:13" s="53" customFormat="1" ht="51" hidden="1" customHeight="1">
      <c r="A172" s="71" t="s">
        <v>1380</v>
      </c>
      <c r="B172" s="62" t="s">
        <v>329</v>
      </c>
      <c r="C172" s="78" t="s">
        <v>331</v>
      </c>
      <c r="G172" s="70"/>
      <c r="H172" s="70" t="str">
        <f t="shared" si="2"/>
        <v>Protocol</v>
      </c>
      <c r="I172" s="62" t="s">
        <v>42</v>
      </c>
      <c r="J172" s="62" t="s">
        <v>53</v>
      </c>
      <c r="K172" s="62" t="s">
        <v>9</v>
      </c>
      <c r="L172" s="70" t="s">
        <v>50</v>
      </c>
      <c r="M172" s="70" t="s">
        <v>153</v>
      </c>
    </row>
    <row r="173" spans="1:13" s="53" customFormat="1" ht="54.75" hidden="1" customHeight="1">
      <c r="A173" s="71" t="s">
        <v>1381</v>
      </c>
      <c r="B173" s="62" t="s">
        <v>329</v>
      </c>
      <c r="C173" s="77" t="s">
        <v>332</v>
      </c>
      <c r="G173" s="70"/>
      <c r="H173" s="70" t="str">
        <f t="shared" si="2"/>
        <v>Protocol</v>
      </c>
      <c r="I173" s="62" t="s">
        <v>42</v>
      </c>
      <c r="J173" s="62" t="s">
        <v>53</v>
      </c>
      <c r="K173" s="62" t="s">
        <v>9</v>
      </c>
      <c r="L173" s="70" t="s">
        <v>50</v>
      </c>
      <c r="M173" s="70" t="s">
        <v>153</v>
      </c>
    </row>
    <row r="174" spans="1:13" s="53" customFormat="1" ht="93.75" hidden="1" customHeight="1">
      <c r="A174" s="71" t="s">
        <v>1382</v>
      </c>
      <c r="B174" s="62" t="s">
        <v>329</v>
      </c>
      <c r="C174" s="78" t="s">
        <v>333</v>
      </c>
      <c r="G174" s="70"/>
      <c r="H174" s="70" t="str">
        <f t="shared" si="2"/>
        <v>Protocol</v>
      </c>
      <c r="I174" s="62" t="s">
        <v>42</v>
      </c>
      <c r="J174" s="62" t="s">
        <v>53</v>
      </c>
      <c r="K174" s="62" t="s">
        <v>9</v>
      </c>
      <c r="L174" s="70" t="s">
        <v>50</v>
      </c>
      <c r="M174" s="70" t="s">
        <v>153</v>
      </c>
    </row>
    <row r="175" spans="1:13" s="53" customFormat="1" ht="40.5" hidden="1" customHeight="1">
      <c r="A175" s="71" t="s">
        <v>1383</v>
      </c>
      <c r="B175" s="62" t="s">
        <v>334</v>
      </c>
      <c r="C175" s="77" t="s">
        <v>335</v>
      </c>
      <c r="G175" s="70"/>
      <c r="H175" s="70" t="str">
        <f t="shared" si="2"/>
        <v>Protocol</v>
      </c>
      <c r="I175" s="62" t="s">
        <v>42</v>
      </c>
      <c r="J175" s="62" t="s">
        <v>53</v>
      </c>
      <c r="K175" s="62" t="s">
        <v>9</v>
      </c>
      <c r="L175" s="70" t="s">
        <v>50</v>
      </c>
      <c r="M175" s="70" t="s">
        <v>153</v>
      </c>
    </row>
    <row r="176" spans="1:13" s="53" customFormat="1" ht="38.25" hidden="1" customHeight="1">
      <c r="A176" s="71" t="s">
        <v>1384</v>
      </c>
      <c r="B176" s="62" t="s">
        <v>334</v>
      </c>
      <c r="C176" s="78" t="s">
        <v>336</v>
      </c>
      <c r="G176" s="70"/>
      <c r="H176" s="70" t="str">
        <f t="shared" si="2"/>
        <v>Protocol</v>
      </c>
      <c r="I176" s="62" t="s">
        <v>42</v>
      </c>
      <c r="J176" s="62" t="s">
        <v>53</v>
      </c>
      <c r="K176" s="62" t="s">
        <v>9</v>
      </c>
      <c r="L176" s="70" t="s">
        <v>50</v>
      </c>
      <c r="M176" s="70" t="s">
        <v>153</v>
      </c>
    </row>
    <row r="177" spans="1:13" s="53" customFormat="1" ht="38.25" hidden="1" customHeight="1">
      <c r="A177" s="71" t="s">
        <v>1385</v>
      </c>
      <c r="B177" s="62" t="s">
        <v>334</v>
      </c>
      <c r="C177" s="77" t="s">
        <v>337</v>
      </c>
      <c r="G177" s="70"/>
      <c r="H177" s="70" t="str">
        <f t="shared" si="2"/>
        <v>Protocol</v>
      </c>
      <c r="I177" s="62" t="s">
        <v>42</v>
      </c>
      <c r="J177" s="62" t="s">
        <v>53</v>
      </c>
      <c r="K177" s="62" t="s">
        <v>9</v>
      </c>
      <c r="L177" s="70" t="s">
        <v>50</v>
      </c>
      <c r="M177" s="70" t="s">
        <v>153</v>
      </c>
    </row>
    <row r="178" spans="1:13" s="53" customFormat="1" ht="46.5" hidden="1" customHeight="1">
      <c r="A178" s="71" t="s">
        <v>1386</v>
      </c>
      <c r="B178" s="62" t="s">
        <v>338</v>
      </c>
      <c r="C178" s="78" t="s">
        <v>339</v>
      </c>
      <c r="G178" s="70"/>
      <c r="H178" s="70" t="str">
        <f t="shared" si="2"/>
        <v>Protocol</v>
      </c>
      <c r="I178" s="62" t="s">
        <v>42</v>
      </c>
      <c r="J178" s="62" t="s">
        <v>54</v>
      </c>
      <c r="K178" s="62" t="s">
        <v>9</v>
      </c>
      <c r="L178" s="70" t="s">
        <v>50</v>
      </c>
      <c r="M178" s="70" t="s">
        <v>153</v>
      </c>
    </row>
    <row r="179" spans="1:13" s="53" customFormat="1" ht="34.5" hidden="1" customHeight="1">
      <c r="A179" s="71" t="s">
        <v>1387</v>
      </c>
      <c r="B179" s="62" t="s">
        <v>338</v>
      </c>
      <c r="C179" s="77" t="s">
        <v>340</v>
      </c>
      <c r="G179" s="70"/>
      <c r="H179" s="70" t="str">
        <f t="shared" si="2"/>
        <v>Protocol</v>
      </c>
      <c r="I179" s="62" t="s">
        <v>42</v>
      </c>
      <c r="J179" s="62" t="s">
        <v>54</v>
      </c>
      <c r="K179" s="62" t="s">
        <v>9</v>
      </c>
      <c r="L179" s="70" t="s">
        <v>50</v>
      </c>
      <c r="M179" s="70" t="s">
        <v>153</v>
      </c>
    </row>
    <row r="180" spans="1:13" s="53" customFormat="1" ht="47.25" hidden="1" customHeight="1">
      <c r="A180" s="71" t="s">
        <v>1388</v>
      </c>
      <c r="B180" s="62" t="s">
        <v>341</v>
      </c>
      <c r="C180" s="78" t="s">
        <v>342</v>
      </c>
      <c r="G180" s="70"/>
      <c r="H180" s="70" t="str">
        <f t="shared" si="2"/>
        <v>Protocol</v>
      </c>
      <c r="I180" s="62" t="s">
        <v>42</v>
      </c>
      <c r="J180" s="62" t="s">
        <v>53</v>
      </c>
      <c r="K180" s="62" t="s">
        <v>9</v>
      </c>
      <c r="L180" s="70" t="s">
        <v>50</v>
      </c>
      <c r="M180" s="70" t="s">
        <v>153</v>
      </c>
    </row>
    <row r="181" spans="1:13" s="53" customFormat="1" ht="51.75" hidden="1" customHeight="1">
      <c r="A181" s="71" t="s">
        <v>1389</v>
      </c>
      <c r="B181" s="62" t="s">
        <v>341</v>
      </c>
      <c r="C181" s="77" t="s">
        <v>343</v>
      </c>
      <c r="G181" s="70"/>
      <c r="H181" s="70" t="str">
        <f t="shared" si="2"/>
        <v>Protocol</v>
      </c>
      <c r="I181" s="62" t="s">
        <v>42</v>
      </c>
      <c r="J181" s="62" t="s">
        <v>53</v>
      </c>
      <c r="K181" s="62" t="s">
        <v>9</v>
      </c>
      <c r="L181" s="70" t="s">
        <v>50</v>
      </c>
      <c r="M181" s="70" t="s">
        <v>153</v>
      </c>
    </row>
    <row r="182" spans="1:13" s="53" customFormat="1" ht="50.25" hidden="1" customHeight="1">
      <c r="A182" s="71" t="s">
        <v>1390</v>
      </c>
      <c r="B182" s="62" t="s">
        <v>341</v>
      </c>
      <c r="C182" s="78" t="s">
        <v>344</v>
      </c>
      <c r="G182" s="70"/>
      <c r="H182" s="70" t="str">
        <f t="shared" si="2"/>
        <v>Protocol</v>
      </c>
      <c r="I182" s="62" t="s">
        <v>42</v>
      </c>
      <c r="J182" s="62" t="s">
        <v>53</v>
      </c>
      <c r="K182" s="62" t="s">
        <v>9</v>
      </c>
      <c r="L182" s="70" t="s">
        <v>50</v>
      </c>
      <c r="M182" s="70" t="s">
        <v>153</v>
      </c>
    </row>
    <row r="183" spans="1:13" s="53" customFormat="1" ht="39" hidden="1" customHeight="1">
      <c r="A183" s="71" t="s">
        <v>1391</v>
      </c>
      <c r="B183" s="62" t="s">
        <v>341</v>
      </c>
      <c r="C183" s="77" t="s">
        <v>345</v>
      </c>
      <c r="D183" s="61"/>
      <c r="G183" s="70"/>
      <c r="H183" s="70" t="str">
        <f>IF(LEFT(B183,1)="6","Product","Protocol")</f>
        <v>Protocol</v>
      </c>
      <c r="I183" s="62" t="s">
        <v>42</v>
      </c>
      <c r="J183" s="62" t="s">
        <v>54</v>
      </c>
      <c r="K183" s="62" t="s">
        <v>9</v>
      </c>
      <c r="L183" s="70" t="s">
        <v>50</v>
      </c>
      <c r="M183" s="70" t="s">
        <v>153</v>
      </c>
    </row>
    <row r="184" spans="1:13" s="53" customFormat="1" ht="36" hidden="1" customHeight="1">
      <c r="A184" s="71" t="s">
        <v>1392</v>
      </c>
      <c r="B184" s="62" t="s">
        <v>341</v>
      </c>
      <c r="C184" s="77" t="s">
        <v>346</v>
      </c>
      <c r="G184" s="70"/>
      <c r="H184" s="70" t="str">
        <f>IF(LEFT(B184,1)="6","Product","Protocol")</f>
        <v>Protocol</v>
      </c>
      <c r="I184" s="62" t="s">
        <v>42</v>
      </c>
      <c r="J184" s="62" t="s">
        <v>54</v>
      </c>
      <c r="K184" s="62" t="s">
        <v>9</v>
      </c>
      <c r="L184" s="70" t="s">
        <v>50</v>
      </c>
      <c r="M184" s="70" t="s">
        <v>153</v>
      </c>
    </row>
    <row r="185" spans="1:13" s="53" customFormat="1" ht="32.25" hidden="1" customHeight="1">
      <c r="A185" s="71" t="s">
        <v>1393</v>
      </c>
      <c r="B185" s="62" t="s">
        <v>341</v>
      </c>
      <c r="C185" s="77" t="s">
        <v>347</v>
      </c>
      <c r="G185" s="70"/>
      <c r="H185" s="70" t="str">
        <f t="shared" si="2"/>
        <v>Protocol</v>
      </c>
      <c r="I185" s="62" t="s">
        <v>42</v>
      </c>
      <c r="J185" s="62" t="s">
        <v>53</v>
      </c>
      <c r="K185" s="62" t="s">
        <v>9</v>
      </c>
      <c r="L185" s="70" t="s">
        <v>50</v>
      </c>
      <c r="M185" s="70" t="s">
        <v>153</v>
      </c>
    </row>
    <row r="186" spans="1:13" s="53" customFormat="1" ht="75" hidden="1" customHeight="1">
      <c r="A186" s="71" t="s">
        <v>1394</v>
      </c>
      <c r="B186" s="62" t="s">
        <v>341</v>
      </c>
      <c r="C186" s="78" t="s">
        <v>348</v>
      </c>
      <c r="G186" s="70"/>
      <c r="H186" s="70" t="str">
        <f t="shared" si="2"/>
        <v>Protocol</v>
      </c>
      <c r="I186" s="62" t="s">
        <v>42</v>
      </c>
      <c r="J186" s="62" t="s">
        <v>53</v>
      </c>
      <c r="K186" s="62" t="s">
        <v>9</v>
      </c>
      <c r="L186" s="70" t="s">
        <v>50</v>
      </c>
      <c r="M186" s="70" t="s">
        <v>153</v>
      </c>
    </row>
    <row r="187" spans="1:13" s="53" customFormat="1" ht="46.5" customHeight="1">
      <c r="A187" s="71" t="s">
        <v>1395</v>
      </c>
      <c r="B187" s="62" t="s">
        <v>341</v>
      </c>
      <c r="C187" s="77" t="s">
        <v>349</v>
      </c>
      <c r="G187" s="70"/>
      <c r="H187" s="70" t="str">
        <f t="shared" si="2"/>
        <v>Protocol</v>
      </c>
      <c r="I187" s="62" t="s">
        <v>41</v>
      </c>
      <c r="J187" s="62" t="s">
        <v>53</v>
      </c>
      <c r="K187" s="62" t="s">
        <v>9</v>
      </c>
      <c r="L187" s="70" t="s">
        <v>51</v>
      </c>
      <c r="M187" s="70" t="s">
        <v>225</v>
      </c>
    </row>
    <row r="188" spans="1:13" s="53" customFormat="1" ht="93.75" customHeight="1">
      <c r="A188" s="71" t="s">
        <v>1396</v>
      </c>
      <c r="B188" s="62" t="s">
        <v>341</v>
      </c>
      <c r="C188" s="77" t="s">
        <v>350</v>
      </c>
      <c r="F188" s="53" t="s">
        <v>351</v>
      </c>
      <c r="G188" s="73" t="s">
        <v>2218</v>
      </c>
      <c r="H188" s="70" t="str">
        <f>IF(LEFT(B188,1)="6","Product","Protocol")</f>
        <v>Protocol</v>
      </c>
      <c r="I188" s="64" t="s">
        <v>41</v>
      </c>
      <c r="J188" s="64" t="s">
        <v>54</v>
      </c>
      <c r="K188" s="64" t="s">
        <v>9</v>
      </c>
      <c r="L188" s="70" t="s">
        <v>56</v>
      </c>
      <c r="M188" s="70" t="s">
        <v>2226</v>
      </c>
    </row>
    <row r="189" spans="1:13" s="53" customFormat="1" ht="43.5" hidden="1" customHeight="1">
      <c r="A189" s="71" t="s">
        <v>1397</v>
      </c>
      <c r="B189" s="62" t="s">
        <v>341</v>
      </c>
      <c r="C189" s="78" t="s">
        <v>352</v>
      </c>
      <c r="G189" s="70"/>
      <c r="H189" s="70" t="str">
        <f t="shared" si="2"/>
        <v>Protocol</v>
      </c>
      <c r="I189" s="62" t="s">
        <v>42</v>
      </c>
      <c r="J189" s="62" t="s">
        <v>53</v>
      </c>
      <c r="K189" s="62" t="s">
        <v>9</v>
      </c>
      <c r="L189" s="70" t="s">
        <v>50</v>
      </c>
      <c r="M189" s="70" t="s">
        <v>153</v>
      </c>
    </row>
    <row r="190" spans="1:13" s="53" customFormat="1" ht="30.75" hidden="1" customHeight="1">
      <c r="A190" s="71" t="s">
        <v>1398</v>
      </c>
      <c r="B190" s="62" t="s">
        <v>341</v>
      </c>
      <c r="C190" s="77" t="s">
        <v>353</v>
      </c>
      <c r="G190" s="70"/>
      <c r="H190" s="70" t="str">
        <f t="shared" si="2"/>
        <v>Protocol</v>
      </c>
      <c r="I190" s="62" t="s">
        <v>42</v>
      </c>
      <c r="J190" s="62" t="s">
        <v>53</v>
      </c>
      <c r="K190" s="62" t="s">
        <v>9</v>
      </c>
      <c r="L190" s="70" t="s">
        <v>50</v>
      </c>
      <c r="M190" s="70" t="s">
        <v>153</v>
      </c>
    </row>
    <row r="191" spans="1:13" s="53" customFormat="1" ht="48" hidden="1" customHeight="1">
      <c r="A191" s="71" t="s">
        <v>1399</v>
      </c>
      <c r="B191" s="62" t="s">
        <v>341</v>
      </c>
      <c r="C191" s="78" t="s">
        <v>354</v>
      </c>
      <c r="G191" s="70"/>
      <c r="H191" s="70" t="str">
        <f t="shared" si="2"/>
        <v>Protocol</v>
      </c>
      <c r="I191" s="62" t="s">
        <v>42</v>
      </c>
      <c r="J191" s="62" t="s">
        <v>53</v>
      </c>
      <c r="K191" s="62" t="s">
        <v>9</v>
      </c>
      <c r="L191" s="70" t="s">
        <v>50</v>
      </c>
      <c r="M191" s="70" t="s">
        <v>153</v>
      </c>
    </row>
    <row r="192" spans="1:13" s="53" customFormat="1" ht="207.75" hidden="1" customHeight="1">
      <c r="A192" s="71" t="s">
        <v>1400</v>
      </c>
      <c r="B192" s="62" t="s">
        <v>355</v>
      </c>
      <c r="C192" s="77" t="s">
        <v>356</v>
      </c>
      <c r="G192" s="70"/>
      <c r="H192" s="70" t="str">
        <f t="shared" si="2"/>
        <v>Protocol</v>
      </c>
      <c r="I192" s="62" t="s">
        <v>42</v>
      </c>
      <c r="J192" s="62" t="s">
        <v>53</v>
      </c>
      <c r="K192" s="62" t="s">
        <v>9</v>
      </c>
      <c r="L192" s="70" t="s">
        <v>50</v>
      </c>
      <c r="M192" s="70" t="s">
        <v>153</v>
      </c>
    </row>
    <row r="193" spans="1:13" s="53" customFormat="1" ht="46.5" hidden="1" customHeight="1">
      <c r="A193" s="71" t="s">
        <v>1401</v>
      </c>
      <c r="B193" s="62" t="s">
        <v>355</v>
      </c>
      <c r="C193" s="78" t="s">
        <v>357</v>
      </c>
      <c r="G193" s="70"/>
      <c r="H193" s="70" t="str">
        <f t="shared" si="2"/>
        <v>Protocol</v>
      </c>
      <c r="I193" s="62" t="s">
        <v>42</v>
      </c>
      <c r="J193" s="62" t="s">
        <v>53</v>
      </c>
      <c r="K193" s="62" t="s">
        <v>9</v>
      </c>
      <c r="L193" s="70" t="s">
        <v>50</v>
      </c>
      <c r="M193" s="70" t="s">
        <v>153</v>
      </c>
    </row>
    <row r="194" spans="1:13" s="53" customFormat="1" ht="32.25" hidden="1" customHeight="1">
      <c r="A194" s="71" t="s">
        <v>1402</v>
      </c>
      <c r="B194" s="62" t="s">
        <v>358</v>
      </c>
      <c r="C194" s="77" t="s">
        <v>359</v>
      </c>
      <c r="G194" s="70"/>
      <c r="H194" s="70" t="str">
        <f t="shared" si="2"/>
        <v>Protocol</v>
      </c>
      <c r="I194" s="62" t="s">
        <v>42</v>
      </c>
      <c r="J194" s="62" t="s">
        <v>54</v>
      </c>
      <c r="K194" s="62" t="s">
        <v>9</v>
      </c>
      <c r="L194" s="70" t="s">
        <v>50</v>
      </c>
      <c r="M194" s="70" t="s">
        <v>153</v>
      </c>
    </row>
    <row r="195" spans="1:13" s="53" customFormat="1" ht="69.75" hidden="1" customHeight="1">
      <c r="A195" s="71" t="s">
        <v>1403</v>
      </c>
      <c r="B195" s="62" t="s">
        <v>358</v>
      </c>
      <c r="C195" s="78" t="s">
        <v>360</v>
      </c>
      <c r="G195" s="70"/>
      <c r="H195" s="70" t="str">
        <f t="shared" si="2"/>
        <v>Protocol</v>
      </c>
      <c r="I195" s="62" t="s">
        <v>42</v>
      </c>
      <c r="J195" s="62" t="s">
        <v>54</v>
      </c>
      <c r="K195" s="62" t="s">
        <v>9</v>
      </c>
      <c r="L195" s="70" t="s">
        <v>50</v>
      </c>
      <c r="M195" s="70" t="s">
        <v>153</v>
      </c>
    </row>
    <row r="196" spans="1:13" s="53" customFormat="1" ht="38.25" hidden="1" customHeight="1">
      <c r="A196" s="71" t="s">
        <v>1404</v>
      </c>
      <c r="B196" s="62" t="s">
        <v>361</v>
      </c>
      <c r="C196" s="77" t="s">
        <v>362</v>
      </c>
      <c r="G196" s="70"/>
      <c r="H196" s="70" t="str">
        <f t="shared" si="2"/>
        <v>Protocol</v>
      </c>
      <c r="I196" s="62" t="s">
        <v>42</v>
      </c>
      <c r="J196" s="62" t="s">
        <v>54</v>
      </c>
      <c r="K196" s="62" t="s">
        <v>9</v>
      </c>
      <c r="L196" s="70" t="s">
        <v>50</v>
      </c>
      <c r="M196" s="70" t="s">
        <v>153</v>
      </c>
    </row>
    <row r="197" spans="1:13" s="53" customFormat="1" ht="39" hidden="1" customHeight="1">
      <c r="A197" s="71" t="s">
        <v>1405</v>
      </c>
      <c r="B197" s="62" t="s">
        <v>361</v>
      </c>
      <c r="C197" s="78" t="s">
        <v>363</v>
      </c>
      <c r="G197" s="70"/>
      <c r="H197" s="70" t="str">
        <f t="shared" si="2"/>
        <v>Protocol</v>
      </c>
      <c r="I197" s="62" t="s">
        <v>42</v>
      </c>
      <c r="J197" s="62" t="s">
        <v>54</v>
      </c>
      <c r="K197" s="62" t="s">
        <v>9</v>
      </c>
      <c r="L197" s="70" t="s">
        <v>50</v>
      </c>
      <c r="M197" s="70" t="s">
        <v>153</v>
      </c>
    </row>
    <row r="198" spans="1:13" s="53" customFormat="1" ht="37.5" hidden="1" customHeight="1">
      <c r="A198" s="71" t="s">
        <v>1406</v>
      </c>
      <c r="B198" s="62" t="s">
        <v>364</v>
      </c>
      <c r="C198" s="77" t="s">
        <v>365</v>
      </c>
      <c r="G198" s="70"/>
      <c r="H198" s="70" t="str">
        <f t="shared" si="2"/>
        <v>Protocol</v>
      </c>
      <c r="I198" s="62" t="s">
        <v>42</v>
      </c>
      <c r="J198" s="62" t="s">
        <v>54</v>
      </c>
      <c r="K198" s="62" t="s">
        <v>9</v>
      </c>
      <c r="L198" s="70" t="s">
        <v>50</v>
      </c>
      <c r="M198" s="70" t="s">
        <v>153</v>
      </c>
    </row>
    <row r="199" spans="1:13" s="53" customFormat="1" ht="33" hidden="1" customHeight="1">
      <c r="A199" s="71" t="s">
        <v>1407</v>
      </c>
      <c r="B199" s="62" t="s">
        <v>364</v>
      </c>
      <c r="C199" s="78" t="s">
        <v>366</v>
      </c>
      <c r="G199" s="70"/>
      <c r="H199" s="70" t="str">
        <f t="shared" si="2"/>
        <v>Protocol</v>
      </c>
      <c r="I199" s="62" t="s">
        <v>42</v>
      </c>
      <c r="J199" s="62" t="s">
        <v>54</v>
      </c>
      <c r="K199" s="62" t="s">
        <v>9</v>
      </c>
      <c r="L199" s="70" t="s">
        <v>50</v>
      </c>
      <c r="M199" s="70" t="s">
        <v>153</v>
      </c>
    </row>
    <row r="200" spans="1:13" s="53" customFormat="1" ht="30" hidden="1">
      <c r="A200" s="71" t="s">
        <v>1408</v>
      </c>
      <c r="B200" s="62" t="s">
        <v>364</v>
      </c>
      <c r="C200" s="77" t="s">
        <v>367</v>
      </c>
      <c r="G200" s="70"/>
      <c r="H200" s="70" t="str">
        <f t="shared" si="2"/>
        <v>Protocol</v>
      </c>
      <c r="I200" s="62" t="s">
        <v>42</v>
      </c>
      <c r="J200" s="62" t="s">
        <v>54</v>
      </c>
      <c r="K200" s="62" t="s">
        <v>9</v>
      </c>
      <c r="L200" s="70" t="s">
        <v>50</v>
      </c>
      <c r="M200" s="70" t="s">
        <v>153</v>
      </c>
    </row>
    <row r="201" spans="1:13" s="53" customFormat="1" ht="30" hidden="1">
      <c r="A201" s="71" t="s">
        <v>1409</v>
      </c>
      <c r="B201" s="62" t="s">
        <v>364</v>
      </c>
      <c r="C201" s="78" t="s">
        <v>368</v>
      </c>
      <c r="G201" s="70"/>
      <c r="H201" s="70" t="str">
        <f t="shared" si="2"/>
        <v>Protocol</v>
      </c>
      <c r="I201" s="62" t="s">
        <v>42</v>
      </c>
      <c r="J201" s="62" t="s">
        <v>54</v>
      </c>
      <c r="K201" s="62" t="s">
        <v>9</v>
      </c>
      <c r="L201" s="70" t="s">
        <v>50</v>
      </c>
      <c r="M201" s="70" t="s">
        <v>153</v>
      </c>
    </row>
    <row r="202" spans="1:13" s="53" customFormat="1" ht="45" hidden="1">
      <c r="A202" s="71" t="s">
        <v>1410</v>
      </c>
      <c r="B202" s="62" t="s">
        <v>364</v>
      </c>
      <c r="C202" s="77" t="s">
        <v>369</v>
      </c>
      <c r="G202" s="70"/>
      <c r="H202" s="70" t="str">
        <f t="shared" si="2"/>
        <v>Protocol</v>
      </c>
      <c r="I202" s="62" t="s">
        <v>42</v>
      </c>
      <c r="J202" s="62" t="s">
        <v>53</v>
      </c>
      <c r="K202" s="62" t="s">
        <v>9</v>
      </c>
      <c r="L202" s="70" t="s">
        <v>50</v>
      </c>
      <c r="M202" s="70" t="s">
        <v>153</v>
      </c>
    </row>
    <row r="203" spans="1:13" s="53" customFormat="1" ht="45" hidden="1">
      <c r="A203" s="71" t="s">
        <v>1411</v>
      </c>
      <c r="B203" s="62" t="s">
        <v>364</v>
      </c>
      <c r="C203" s="78" t="s">
        <v>370</v>
      </c>
      <c r="G203" s="70"/>
      <c r="H203" s="70" t="str">
        <f t="shared" ref="H203:H279" si="3">IF(LEFT(B203,1)="6","Product","Protocol")</f>
        <v>Protocol</v>
      </c>
      <c r="I203" s="62" t="s">
        <v>42</v>
      </c>
      <c r="J203" s="62" t="s">
        <v>53</v>
      </c>
      <c r="K203" s="62" t="s">
        <v>9</v>
      </c>
      <c r="L203" s="70" t="s">
        <v>50</v>
      </c>
      <c r="M203" s="70" t="s">
        <v>153</v>
      </c>
    </row>
    <row r="204" spans="1:13" s="53" customFormat="1" ht="60" hidden="1">
      <c r="A204" s="71" t="s">
        <v>1412</v>
      </c>
      <c r="B204" s="62" t="s">
        <v>371</v>
      </c>
      <c r="C204" s="77" t="s">
        <v>372</v>
      </c>
      <c r="G204" s="70"/>
      <c r="H204" s="70" t="str">
        <f t="shared" si="3"/>
        <v>Protocol</v>
      </c>
      <c r="I204" s="62" t="s">
        <v>42</v>
      </c>
      <c r="J204" s="62" t="s">
        <v>53</v>
      </c>
      <c r="K204" s="62" t="s">
        <v>9</v>
      </c>
      <c r="L204" s="70" t="s">
        <v>50</v>
      </c>
      <c r="M204" s="70" t="s">
        <v>153</v>
      </c>
    </row>
    <row r="205" spans="1:13" s="53" customFormat="1" ht="45" hidden="1">
      <c r="A205" s="71" t="s">
        <v>1413</v>
      </c>
      <c r="B205" s="62" t="s">
        <v>371</v>
      </c>
      <c r="C205" s="77" t="s">
        <v>373</v>
      </c>
      <c r="G205" s="70"/>
      <c r="H205" s="70" t="str">
        <f>IF(LEFT(B205,1)="6","Product","Protocol")</f>
        <v>Protocol</v>
      </c>
      <c r="I205" s="62" t="s">
        <v>42</v>
      </c>
      <c r="J205" s="62" t="s">
        <v>54</v>
      </c>
      <c r="K205" s="62" t="s">
        <v>9</v>
      </c>
      <c r="L205" s="70" t="s">
        <v>50</v>
      </c>
      <c r="M205" s="70" t="s">
        <v>153</v>
      </c>
    </row>
    <row r="206" spans="1:13" s="53" customFormat="1" ht="45" hidden="1">
      <c r="A206" s="71" t="s">
        <v>1414</v>
      </c>
      <c r="B206" s="62" t="s">
        <v>371</v>
      </c>
      <c r="C206" s="77" t="s">
        <v>374</v>
      </c>
      <c r="G206" s="70"/>
      <c r="H206" s="70" t="str">
        <f>IF(LEFT(B206,1)="6","Product","Protocol")</f>
        <v>Protocol</v>
      </c>
      <c r="I206" s="62" t="s">
        <v>42</v>
      </c>
      <c r="J206" s="62" t="s">
        <v>54</v>
      </c>
      <c r="K206" s="62" t="s">
        <v>9</v>
      </c>
      <c r="L206" s="70" t="s">
        <v>50</v>
      </c>
      <c r="M206" s="70" t="s">
        <v>153</v>
      </c>
    </row>
    <row r="207" spans="1:13" s="53" customFormat="1" ht="30" hidden="1">
      <c r="A207" s="71" t="s">
        <v>1415</v>
      </c>
      <c r="B207" s="62" t="s">
        <v>371</v>
      </c>
      <c r="C207" s="77" t="s">
        <v>375</v>
      </c>
      <c r="G207" s="70"/>
      <c r="H207" s="70" t="str">
        <f t="shared" si="3"/>
        <v>Protocol</v>
      </c>
      <c r="I207" s="62" t="s">
        <v>42</v>
      </c>
      <c r="J207" s="62" t="s">
        <v>54</v>
      </c>
      <c r="K207" s="62" t="s">
        <v>9</v>
      </c>
      <c r="L207" s="70" t="s">
        <v>50</v>
      </c>
      <c r="M207" s="70" t="s">
        <v>153</v>
      </c>
    </row>
    <row r="208" spans="1:13" s="53" customFormat="1" ht="60" hidden="1">
      <c r="A208" s="71" t="s">
        <v>1416</v>
      </c>
      <c r="B208" s="62" t="s">
        <v>371</v>
      </c>
      <c r="C208" s="77" t="s">
        <v>376</v>
      </c>
      <c r="G208" s="70"/>
      <c r="H208" s="70" t="str">
        <f t="shared" si="3"/>
        <v>Protocol</v>
      </c>
      <c r="I208" s="62" t="s">
        <v>42</v>
      </c>
      <c r="J208" s="62" t="s">
        <v>53</v>
      </c>
      <c r="K208" s="62" t="s">
        <v>9</v>
      </c>
      <c r="L208" s="70" t="s">
        <v>50</v>
      </c>
      <c r="M208" s="70" t="s">
        <v>153</v>
      </c>
    </row>
    <row r="209" spans="1:13" s="53" customFormat="1" ht="60" hidden="1">
      <c r="A209" s="71" t="s">
        <v>1417</v>
      </c>
      <c r="B209" s="62" t="s">
        <v>371</v>
      </c>
      <c r="C209" s="77" t="s">
        <v>377</v>
      </c>
      <c r="G209" s="70"/>
      <c r="H209" s="70" t="str">
        <f t="shared" si="3"/>
        <v>Protocol</v>
      </c>
      <c r="I209" s="62" t="s">
        <v>42</v>
      </c>
      <c r="J209" s="62" t="s">
        <v>53</v>
      </c>
      <c r="K209" s="62" t="s">
        <v>9</v>
      </c>
      <c r="L209" s="70" t="s">
        <v>50</v>
      </c>
      <c r="M209" s="70" t="s">
        <v>153</v>
      </c>
    </row>
    <row r="210" spans="1:13" s="53" customFormat="1" ht="30" hidden="1">
      <c r="A210" s="71" t="s">
        <v>1418</v>
      </c>
      <c r="B210" s="62" t="s">
        <v>378</v>
      </c>
      <c r="C210" s="77" t="s">
        <v>379</v>
      </c>
      <c r="G210" s="70"/>
      <c r="H210" s="70" t="str">
        <f t="shared" si="3"/>
        <v>Protocol</v>
      </c>
      <c r="I210" s="62" t="s">
        <v>42</v>
      </c>
      <c r="J210" s="62" t="s">
        <v>54</v>
      </c>
      <c r="K210" s="62" t="s">
        <v>9</v>
      </c>
      <c r="L210" s="70" t="s">
        <v>50</v>
      </c>
      <c r="M210" s="70" t="s">
        <v>153</v>
      </c>
    </row>
    <row r="211" spans="1:13" s="53" customFormat="1" ht="30" hidden="1">
      <c r="A211" s="71" t="s">
        <v>1419</v>
      </c>
      <c r="B211" s="62" t="s">
        <v>96</v>
      </c>
      <c r="C211" s="77" t="s">
        <v>380</v>
      </c>
      <c r="F211" s="53" t="s">
        <v>381</v>
      </c>
      <c r="G211" s="73"/>
      <c r="H211" s="70" t="s">
        <v>142</v>
      </c>
      <c r="I211" s="62" t="s">
        <v>41</v>
      </c>
      <c r="J211" s="62" t="s">
        <v>54</v>
      </c>
      <c r="K211" s="62" t="s">
        <v>8</v>
      </c>
      <c r="L211" s="70" t="s">
        <v>2228</v>
      </c>
      <c r="M211" s="70" t="s">
        <v>2250</v>
      </c>
    </row>
    <row r="212" spans="1:13" s="53" customFormat="1" ht="45">
      <c r="A212" s="71" t="s">
        <v>1420</v>
      </c>
      <c r="B212" s="62" t="s">
        <v>378</v>
      </c>
      <c r="C212" s="77" t="s">
        <v>382</v>
      </c>
      <c r="G212" s="70"/>
      <c r="H212" s="70" t="str">
        <f t="shared" si="3"/>
        <v>Protocol</v>
      </c>
      <c r="I212" s="62" t="s">
        <v>41</v>
      </c>
      <c r="J212" s="62" t="s">
        <v>53</v>
      </c>
      <c r="K212" s="62" t="s">
        <v>9</v>
      </c>
      <c r="L212" s="70" t="s">
        <v>51</v>
      </c>
      <c r="M212" s="70" t="s">
        <v>225</v>
      </c>
    </row>
    <row r="213" spans="1:13" s="53" customFormat="1" ht="45" hidden="1">
      <c r="A213" s="71" t="s">
        <v>1421</v>
      </c>
      <c r="B213" s="62" t="s">
        <v>378</v>
      </c>
      <c r="C213" s="77" t="s">
        <v>383</v>
      </c>
      <c r="G213" s="70"/>
      <c r="H213" s="70" t="str">
        <f t="shared" si="3"/>
        <v>Protocol</v>
      </c>
      <c r="I213" s="62" t="s">
        <v>42</v>
      </c>
      <c r="J213" s="62" t="s">
        <v>54</v>
      </c>
      <c r="K213" s="62" t="s">
        <v>9</v>
      </c>
      <c r="L213" s="70" t="s">
        <v>50</v>
      </c>
      <c r="M213" s="70" t="s">
        <v>153</v>
      </c>
    </row>
    <row r="214" spans="1:13" s="53" customFormat="1" ht="37.5" hidden="1" customHeight="1">
      <c r="A214" s="71" t="s">
        <v>1422</v>
      </c>
      <c r="B214" s="62" t="s">
        <v>378</v>
      </c>
      <c r="C214" s="77" t="s">
        <v>384</v>
      </c>
      <c r="G214" s="70"/>
      <c r="H214" s="70" t="str">
        <f t="shared" si="3"/>
        <v>Protocol</v>
      </c>
      <c r="I214" s="62" t="s">
        <v>42</v>
      </c>
      <c r="J214" s="62" t="s">
        <v>54</v>
      </c>
      <c r="K214" s="62" t="s">
        <v>9</v>
      </c>
      <c r="L214" s="70" t="s">
        <v>50</v>
      </c>
      <c r="M214" s="70" t="s">
        <v>153</v>
      </c>
    </row>
    <row r="215" spans="1:13" s="53" customFormat="1" ht="85.5" hidden="1" customHeight="1">
      <c r="A215" s="71" t="s">
        <v>1423</v>
      </c>
      <c r="B215" s="62" t="s">
        <v>385</v>
      </c>
      <c r="C215" s="77" t="s">
        <v>386</v>
      </c>
      <c r="G215" s="70"/>
      <c r="H215" s="70" t="str">
        <f t="shared" si="3"/>
        <v>Protocol</v>
      </c>
      <c r="I215" s="62" t="s">
        <v>42</v>
      </c>
      <c r="J215" s="62" t="s">
        <v>53</v>
      </c>
      <c r="K215" s="62" t="s">
        <v>9</v>
      </c>
      <c r="L215" s="70" t="s">
        <v>50</v>
      </c>
      <c r="M215" s="70" t="s">
        <v>153</v>
      </c>
    </row>
    <row r="216" spans="1:13" s="53" customFormat="1" ht="65.25" hidden="1" customHeight="1">
      <c r="A216" s="71" t="s">
        <v>1424</v>
      </c>
      <c r="B216" s="62" t="s">
        <v>385</v>
      </c>
      <c r="C216" s="77" t="s">
        <v>387</v>
      </c>
      <c r="G216" s="70"/>
      <c r="H216" s="70" t="str">
        <f t="shared" si="3"/>
        <v>Protocol</v>
      </c>
      <c r="I216" s="62" t="s">
        <v>42</v>
      </c>
      <c r="J216" s="62" t="s">
        <v>53</v>
      </c>
      <c r="K216" s="62" t="s">
        <v>9</v>
      </c>
      <c r="L216" s="70" t="s">
        <v>50</v>
      </c>
      <c r="M216" s="70" t="s">
        <v>153</v>
      </c>
    </row>
    <row r="217" spans="1:13" s="53" customFormat="1" ht="66" hidden="1" customHeight="1">
      <c r="A217" s="71" t="s">
        <v>1425</v>
      </c>
      <c r="B217" s="62" t="s">
        <v>385</v>
      </c>
      <c r="C217" s="77" t="s">
        <v>388</v>
      </c>
      <c r="G217" s="70"/>
      <c r="H217" s="70" t="str">
        <f t="shared" si="3"/>
        <v>Protocol</v>
      </c>
      <c r="I217" s="62" t="s">
        <v>42</v>
      </c>
      <c r="J217" s="62" t="s">
        <v>53</v>
      </c>
      <c r="K217" s="62" t="s">
        <v>9</v>
      </c>
      <c r="L217" s="70" t="s">
        <v>50</v>
      </c>
      <c r="M217" s="70" t="s">
        <v>153</v>
      </c>
    </row>
    <row r="218" spans="1:13" s="53" customFormat="1" ht="81.75" hidden="1" customHeight="1">
      <c r="A218" s="71" t="s">
        <v>1426</v>
      </c>
      <c r="B218" s="62" t="s">
        <v>385</v>
      </c>
      <c r="C218" s="78" t="s">
        <v>389</v>
      </c>
      <c r="G218" s="70"/>
      <c r="H218" s="70" t="str">
        <f t="shared" si="3"/>
        <v>Protocol</v>
      </c>
      <c r="I218" s="62" t="s">
        <v>42</v>
      </c>
      <c r="J218" s="62" t="s">
        <v>53</v>
      </c>
      <c r="K218" s="62" t="s">
        <v>9</v>
      </c>
      <c r="L218" s="70" t="s">
        <v>50</v>
      </c>
      <c r="M218" s="70" t="s">
        <v>153</v>
      </c>
    </row>
    <row r="219" spans="1:13" s="53" customFormat="1" ht="35.25" hidden="1" customHeight="1">
      <c r="A219" s="71" t="s">
        <v>1427</v>
      </c>
      <c r="B219" s="62" t="s">
        <v>385</v>
      </c>
      <c r="C219" s="77" t="s">
        <v>390</v>
      </c>
      <c r="G219" s="70"/>
      <c r="H219" s="70" t="str">
        <f>IF(LEFT(B219,1)="6","Product","Protocol")</f>
        <v>Protocol</v>
      </c>
      <c r="I219" s="62" t="s">
        <v>42</v>
      </c>
      <c r="J219" s="62" t="s">
        <v>54</v>
      </c>
      <c r="K219" s="62" t="s">
        <v>9</v>
      </c>
      <c r="L219" s="70" t="s">
        <v>50</v>
      </c>
      <c r="M219" s="70" t="s">
        <v>153</v>
      </c>
    </row>
    <row r="220" spans="1:13" s="53" customFormat="1" ht="49.5" hidden="1" customHeight="1">
      <c r="A220" s="71" t="s">
        <v>1428</v>
      </c>
      <c r="B220" s="62" t="s">
        <v>385</v>
      </c>
      <c r="C220" s="77" t="s">
        <v>391</v>
      </c>
      <c r="G220" s="70"/>
      <c r="H220" s="70" t="str">
        <f t="shared" si="3"/>
        <v>Protocol</v>
      </c>
      <c r="I220" s="62" t="s">
        <v>42</v>
      </c>
      <c r="J220" s="62" t="s">
        <v>53</v>
      </c>
      <c r="K220" s="62" t="s">
        <v>9</v>
      </c>
      <c r="L220" s="70" t="s">
        <v>50</v>
      </c>
      <c r="M220" s="70" t="s">
        <v>153</v>
      </c>
    </row>
    <row r="221" spans="1:13" s="53" customFormat="1" ht="54.75" hidden="1" customHeight="1">
      <c r="A221" s="71" t="s">
        <v>1429</v>
      </c>
      <c r="B221" s="62" t="s">
        <v>385</v>
      </c>
      <c r="C221" s="77" t="s">
        <v>392</v>
      </c>
      <c r="D221" s="61"/>
      <c r="G221" s="70"/>
      <c r="H221" s="70" t="str">
        <f>IF(LEFT(B221,1)="6","Product","Protocol")</f>
        <v>Protocol</v>
      </c>
      <c r="I221" s="62" t="s">
        <v>42</v>
      </c>
      <c r="J221" s="62" t="s">
        <v>54</v>
      </c>
      <c r="K221" s="62" t="s">
        <v>9</v>
      </c>
      <c r="L221" s="70" t="s">
        <v>50</v>
      </c>
      <c r="M221" s="70" t="s">
        <v>153</v>
      </c>
    </row>
    <row r="222" spans="1:13" s="53" customFormat="1" ht="48" hidden="1" customHeight="1">
      <c r="A222" s="71" t="s">
        <v>1430</v>
      </c>
      <c r="B222" s="62" t="s">
        <v>385</v>
      </c>
      <c r="C222" s="77" t="s">
        <v>393</v>
      </c>
      <c r="D222" s="61"/>
      <c r="G222" s="70"/>
      <c r="H222" s="70" t="str">
        <f>IF(LEFT(B222,1)="6","Product","Protocol")</f>
        <v>Protocol</v>
      </c>
      <c r="I222" s="62" t="s">
        <v>42</v>
      </c>
      <c r="J222" s="62" t="s">
        <v>54</v>
      </c>
      <c r="K222" s="62" t="s">
        <v>9</v>
      </c>
      <c r="L222" s="70" t="s">
        <v>50</v>
      </c>
      <c r="M222" s="70" t="s">
        <v>153</v>
      </c>
    </row>
    <row r="223" spans="1:13" s="53" customFormat="1" ht="35.25" hidden="1" customHeight="1">
      <c r="A223" s="71" t="s">
        <v>1431</v>
      </c>
      <c r="B223" s="62" t="s">
        <v>385</v>
      </c>
      <c r="C223" s="77" t="s">
        <v>394</v>
      </c>
      <c r="G223" s="70"/>
      <c r="H223" s="70" t="str">
        <f t="shared" si="3"/>
        <v>Protocol</v>
      </c>
      <c r="I223" s="62" t="s">
        <v>42</v>
      </c>
      <c r="J223" s="62" t="s">
        <v>53</v>
      </c>
      <c r="K223" s="62" t="s">
        <v>9</v>
      </c>
      <c r="L223" s="70" t="s">
        <v>50</v>
      </c>
      <c r="M223" s="70" t="s">
        <v>153</v>
      </c>
    </row>
    <row r="224" spans="1:13" s="53" customFormat="1" ht="63" hidden="1" customHeight="1">
      <c r="A224" s="71" t="s">
        <v>1432</v>
      </c>
      <c r="B224" s="62" t="s">
        <v>385</v>
      </c>
      <c r="C224" s="77" t="s">
        <v>395</v>
      </c>
      <c r="G224" s="70"/>
      <c r="H224" s="70" t="str">
        <f t="shared" si="3"/>
        <v>Protocol</v>
      </c>
      <c r="I224" s="62" t="s">
        <v>42</v>
      </c>
      <c r="J224" s="62" t="s">
        <v>53</v>
      </c>
      <c r="K224" s="62" t="s">
        <v>9</v>
      </c>
      <c r="L224" s="70" t="s">
        <v>50</v>
      </c>
      <c r="M224" s="70" t="s">
        <v>153</v>
      </c>
    </row>
    <row r="225" spans="1:13" s="53" customFormat="1" ht="35.25" customHeight="1">
      <c r="A225" s="71" t="s">
        <v>1433</v>
      </c>
      <c r="B225" s="62" t="s">
        <v>385</v>
      </c>
      <c r="C225" s="77" t="s">
        <v>396</v>
      </c>
      <c r="G225" s="70"/>
      <c r="H225" s="70" t="str">
        <f t="shared" si="3"/>
        <v>Protocol</v>
      </c>
      <c r="I225" s="62" t="s">
        <v>41</v>
      </c>
      <c r="J225" s="62" t="s">
        <v>53</v>
      </c>
      <c r="K225" s="62" t="s">
        <v>9</v>
      </c>
      <c r="L225" s="70" t="s">
        <v>51</v>
      </c>
      <c r="M225" s="70" t="s">
        <v>225</v>
      </c>
    </row>
    <row r="226" spans="1:13" s="53" customFormat="1" ht="115.5" customHeight="1">
      <c r="A226" s="71" t="s">
        <v>1434</v>
      </c>
      <c r="B226" s="62" t="s">
        <v>385</v>
      </c>
      <c r="C226" s="77" t="s">
        <v>397</v>
      </c>
      <c r="F226" s="53" t="s">
        <v>398</v>
      </c>
      <c r="G226" s="73" t="s">
        <v>2217</v>
      </c>
      <c r="H226" s="70" t="str">
        <f>IF(LEFT(B226,1)="6","Product","Protocol")</f>
        <v>Protocol</v>
      </c>
      <c r="I226" s="64" t="s">
        <v>41</v>
      </c>
      <c r="J226" s="64" t="s">
        <v>54</v>
      </c>
      <c r="K226" s="64" t="s">
        <v>9</v>
      </c>
      <c r="L226" s="70" t="s">
        <v>56</v>
      </c>
      <c r="M226" s="70" t="s">
        <v>2226</v>
      </c>
    </row>
    <row r="227" spans="1:13" s="53" customFormat="1" ht="53.25" hidden="1" customHeight="1">
      <c r="A227" s="71" t="s">
        <v>1435</v>
      </c>
      <c r="B227" s="62" t="s">
        <v>385</v>
      </c>
      <c r="C227" s="77" t="s">
        <v>399</v>
      </c>
      <c r="G227" s="70"/>
      <c r="H227" s="70" t="str">
        <f t="shared" si="3"/>
        <v>Protocol</v>
      </c>
      <c r="I227" s="62" t="s">
        <v>42</v>
      </c>
      <c r="J227" s="62" t="s">
        <v>53</v>
      </c>
      <c r="K227" s="62" t="s">
        <v>9</v>
      </c>
      <c r="L227" s="70" t="s">
        <v>50</v>
      </c>
      <c r="M227" s="70" t="s">
        <v>153</v>
      </c>
    </row>
    <row r="228" spans="1:13" s="53" customFormat="1" ht="51.75" hidden="1" customHeight="1">
      <c r="A228" s="71" t="s">
        <v>1436</v>
      </c>
      <c r="B228" s="62" t="s">
        <v>385</v>
      </c>
      <c r="C228" s="77" t="s">
        <v>400</v>
      </c>
      <c r="G228" s="70"/>
      <c r="H228" s="70" t="str">
        <f t="shared" si="3"/>
        <v>Protocol</v>
      </c>
      <c r="I228" s="62" t="s">
        <v>42</v>
      </c>
      <c r="J228" s="62" t="s">
        <v>53</v>
      </c>
      <c r="K228" s="62" t="s">
        <v>9</v>
      </c>
      <c r="L228" s="70" t="s">
        <v>50</v>
      </c>
      <c r="M228" s="70" t="s">
        <v>153</v>
      </c>
    </row>
    <row r="229" spans="1:13" s="53" customFormat="1" ht="46.5" hidden="1" customHeight="1">
      <c r="A229" s="71" t="s">
        <v>1437</v>
      </c>
      <c r="B229" s="62" t="s">
        <v>385</v>
      </c>
      <c r="C229" s="77" t="s">
        <v>401</v>
      </c>
      <c r="G229" s="70"/>
      <c r="H229" s="70" t="str">
        <f t="shared" si="3"/>
        <v>Protocol</v>
      </c>
      <c r="I229" s="62" t="s">
        <v>42</v>
      </c>
      <c r="J229" s="62" t="s">
        <v>53</v>
      </c>
      <c r="K229" s="62" t="s">
        <v>9</v>
      </c>
      <c r="L229" s="70" t="s">
        <v>50</v>
      </c>
      <c r="M229" s="70" t="s">
        <v>153</v>
      </c>
    </row>
    <row r="230" spans="1:13" s="53" customFormat="1" ht="46.5" hidden="1" customHeight="1">
      <c r="A230" s="71" t="s">
        <v>1438</v>
      </c>
      <c r="B230" s="62" t="s">
        <v>385</v>
      </c>
      <c r="C230" s="77" t="s">
        <v>402</v>
      </c>
      <c r="G230" s="70"/>
      <c r="H230" s="70" t="str">
        <f t="shared" si="3"/>
        <v>Protocol</v>
      </c>
      <c r="I230" s="62" t="s">
        <v>42</v>
      </c>
      <c r="J230" s="62" t="s">
        <v>53</v>
      </c>
      <c r="K230" s="62" t="s">
        <v>9</v>
      </c>
      <c r="L230" s="70" t="s">
        <v>50</v>
      </c>
      <c r="M230" s="70" t="s">
        <v>153</v>
      </c>
    </row>
    <row r="231" spans="1:13" s="53" customFormat="1" ht="44.25" hidden="1" customHeight="1">
      <c r="A231" s="71" t="s">
        <v>1439</v>
      </c>
      <c r="B231" s="62" t="s">
        <v>385</v>
      </c>
      <c r="C231" s="77" t="s">
        <v>403</v>
      </c>
      <c r="G231" s="70"/>
      <c r="H231" s="70" t="str">
        <f t="shared" si="3"/>
        <v>Protocol</v>
      </c>
      <c r="I231" s="62" t="s">
        <v>42</v>
      </c>
      <c r="J231" s="62" t="s">
        <v>53</v>
      </c>
      <c r="K231" s="62" t="s">
        <v>9</v>
      </c>
      <c r="L231" s="70" t="s">
        <v>50</v>
      </c>
      <c r="M231" s="70" t="s">
        <v>153</v>
      </c>
    </row>
    <row r="232" spans="1:13" s="53" customFormat="1" ht="33.75" hidden="1" customHeight="1">
      <c r="A232" s="71" t="s">
        <v>1440</v>
      </c>
      <c r="B232" s="62" t="s">
        <v>404</v>
      </c>
      <c r="C232" s="77" t="s">
        <v>405</v>
      </c>
      <c r="G232" s="70"/>
      <c r="H232" s="70" t="str">
        <f t="shared" si="3"/>
        <v>Protocol</v>
      </c>
      <c r="I232" s="62" t="s">
        <v>42</v>
      </c>
      <c r="J232" s="62" t="s">
        <v>54</v>
      </c>
      <c r="K232" s="62" t="s">
        <v>9</v>
      </c>
      <c r="L232" s="70" t="s">
        <v>50</v>
      </c>
      <c r="M232" s="70" t="s">
        <v>153</v>
      </c>
    </row>
    <row r="233" spans="1:13" s="53" customFormat="1" ht="33.75" hidden="1" customHeight="1">
      <c r="A233" s="71" t="s">
        <v>1441</v>
      </c>
      <c r="B233" s="62" t="s">
        <v>404</v>
      </c>
      <c r="C233" s="77" t="s">
        <v>406</v>
      </c>
      <c r="G233" s="70"/>
      <c r="H233" s="70" t="str">
        <f t="shared" si="3"/>
        <v>Protocol</v>
      </c>
      <c r="I233" s="62" t="s">
        <v>42</v>
      </c>
      <c r="J233" s="62" t="s">
        <v>54</v>
      </c>
      <c r="K233" s="62" t="s">
        <v>9</v>
      </c>
      <c r="L233" s="70" t="s">
        <v>50</v>
      </c>
      <c r="M233" s="70" t="s">
        <v>153</v>
      </c>
    </row>
    <row r="234" spans="1:13" s="53" customFormat="1" ht="109.5" hidden="1" customHeight="1">
      <c r="A234" s="71" t="s">
        <v>1442</v>
      </c>
      <c r="B234" s="62" t="s">
        <v>407</v>
      </c>
      <c r="C234" s="77" t="s">
        <v>408</v>
      </c>
      <c r="G234" s="70"/>
      <c r="H234" s="70" t="str">
        <f t="shared" si="3"/>
        <v>Protocol</v>
      </c>
      <c r="I234" s="62" t="s">
        <v>42</v>
      </c>
      <c r="J234" s="62" t="s">
        <v>53</v>
      </c>
      <c r="K234" s="62" t="s">
        <v>9</v>
      </c>
      <c r="L234" s="70" t="s">
        <v>50</v>
      </c>
      <c r="M234" s="70" t="s">
        <v>153</v>
      </c>
    </row>
    <row r="235" spans="1:13" s="53" customFormat="1" ht="36" hidden="1" customHeight="1">
      <c r="A235" s="71" t="s">
        <v>1443</v>
      </c>
      <c r="B235" s="62" t="s">
        <v>407</v>
      </c>
      <c r="C235" s="77" t="s">
        <v>409</v>
      </c>
      <c r="G235" s="70"/>
      <c r="H235" s="70" t="str">
        <f t="shared" si="3"/>
        <v>Protocol</v>
      </c>
      <c r="I235" s="62" t="s">
        <v>42</v>
      </c>
      <c r="J235" s="62" t="s">
        <v>53</v>
      </c>
      <c r="K235" s="62" t="s">
        <v>9</v>
      </c>
      <c r="L235" s="70" t="s">
        <v>50</v>
      </c>
      <c r="M235" s="70" t="s">
        <v>153</v>
      </c>
    </row>
    <row r="236" spans="1:13" s="53" customFormat="1" ht="39.75" customHeight="1">
      <c r="A236" s="71" t="s">
        <v>1444</v>
      </c>
      <c r="B236" s="62" t="s">
        <v>407</v>
      </c>
      <c r="C236" s="77" t="s">
        <v>410</v>
      </c>
      <c r="G236" s="70"/>
      <c r="H236" s="70" t="str">
        <f t="shared" si="3"/>
        <v>Protocol</v>
      </c>
      <c r="I236" s="62" t="s">
        <v>41</v>
      </c>
      <c r="J236" s="62" t="s">
        <v>53</v>
      </c>
      <c r="K236" s="62" t="s">
        <v>9</v>
      </c>
      <c r="L236" s="70" t="s">
        <v>51</v>
      </c>
      <c r="M236" s="70" t="s">
        <v>225</v>
      </c>
    </row>
    <row r="237" spans="1:13" s="53" customFormat="1" ht="92.25" customHeight="1">
      <c r="A237" s="71" t="s">
        <v>1445</v>
      </c>
      <c r="B237" s="62" t="s">
        <v>407</v>
      </c>
      <c r="C237" s="77" t="s">
        <v>411</v>
      </c>
      <c r="F237" s="53" t="s">
        <v>412</v>
      </c>
      <c r="G237" s="73" t="s">
        <v>2218</v>
      </c>
      <c r="H237" s="70" t="str">
        <f>IF(LEFT(B237,1)="6","Product","Protocol")</f>
        <v>Protocol</v>
      </c>
      <c r="I237" s="64" t="s">
        <v>41</v>
      </c>
      <c r="J237" s="64" t="s">
        <v>54</v>
      </c>
      <c r="K237" s="64" t="s">
        <v>9</v>
      </c>
      <c r="L237" s="70" t="s">
        <v>56</v>
      </c>
      <c r="M237" s="70" t="s">
        <v>2226</v>
      </c>
    </row>
    <row r="238" spans="1:13" s="53" customFormat="1" ht="35.25" hidden="1" customHeight="1">
      <c r="A238" s="71" t="s">
        <v>1446</v>
      </c>
      <c r="B238" s="62" t="s">
        <v>407</v>
      </c>
      <c r="C238" s="77" t="s">
        <v>413</v>
      </c>
      <c r="G238" s="70"/>
      <c r="H238" s="70" t="str">
        <f t="shared" si="3"/>
        <v>Protocol</v>
      </c>
      <c r="I238" s="62" t="s">
        <v>42</v>
      </c>
      <c r="J238" s="62" t="s">
        <v>54</v>
      </c>
      <c r="K238" s="62" t="s">
        <v>9</v>
      </c>
      <c r="L238" s="70" t="s">
        <v>50</v>
      </c>
      <c r="M238" s="70" t="s">
        <v>153</v>
      </c>
    </row>
    <row r="239" spans="1:13" s="53" customFormat="1" ht="31.5" hidden="1" customHeight="1">
      <c r="A239" s="71" t="s">
        <v>1447</v>
      </c>
      <c r="B239" s="62" t="s">
        <v>407</v>
      </c>
      <c r="C239" s="77" t="s">
        <v>414</v>
      </c>
      <c r="G239" s="70"/>
      <c r="H239" s="70" t="str">
        <f t="shared" si="3"/>
        <v>Protocol</v>
      </c>
      <c r="I239" s="62" t="s">
        <v>42</v>
      </c>
      <c r="J239" s="62" t="s">
        <v>54</v>
      </c>
      <c r="K239" s="62" t="s">
        <v>9</v>
      </c>
      <c r="L239" s="70" t="s">
        <v>50</v>
      </c>
      <c r="M239" s="70" t="s">
        <v>153</v>
      </c>
    </row>
    <row r="240" spans="1:13" s="53" customFormat="1" ht="33.75" hidden="1" customHeight="1">
      <c r="A240" s="71" t="s">
        <v>1448</v>
      </c>
      <c r="B240" s="62" t="s">
        <v>407</v>
      </c>
      <c r="C240" s="77" t="s">
        <v>415</v>
      </c>
      <c r="G240" s="70"/>
      <c r="H240" s="70" t="str">
        <f t="shared" si="3"/>
        <v>Protocol</v>
      </c>
      <c r="I240" s="62" t="s">
        <v>42</v>
      </c>
      <c r="J240" s="62" t="s">
        <v>54</v>
      </c>
      <c r="K240" s="62" t="s">
        <v>9</v>
      </c>
      <c r="L240" s="70" t="s">
        <v>50</v>
      </c>
      <c r="M240" s="70" t="s">
        <v>153</v>
      </c>
    </row>
    <row r="241" spans="1:13" s="53" customFormat="1" ht="38.25" hidden="1" customHeight="1">
      <c r="A241" s="71" t="s">
        <v>1449</v>
      </c>
      <c r="B241" s="62" t="s">
        <v>416</v>
      </c>
      <c r="C241" s="77" t="s">
        <v>417</v>
      </c>
      <c r="G241" s="70"/>
      <c r="H241" s="70" t="str">
        <f t="shared" si="3"/>
        <v>Protocol</v>
      </c>
      <c r="I241" s="62" t="s">
        <v>42</v>
      </c>
      <c r="J241" s="62" t="s">
        <v>54</v>
      </c>
      <c r="K241" s="62" t="s">
        <v>9</v>
      </c>
      <c r="L241" s="70" t="s">
        <v>50</v>
      </c>
      <c r="M241" s="70" t="s">
        <v>153</v>
      </c>
    </row>
    <row r="242" spans="1:13" s="53" customFormat="1" ht="33" hidden="1" customHeight="1">
      <c r="A242" s="71" t="s">
        <v>1450</v>
      </c>
      <c r="B242" s="62" t="s">
        <v>416</v>
      </c>
      <c r="C242" s="77" t="s">
        <v>418</v>
      </c>
      <c r="G242" s="70"/>
      <c r="H242" s="70" t="str">
        <f t="shared" si="3"/>
        <v>Protocol</v>
      </c>
      <c r="I242" s="62" t="s">
        <v>42</v>
      </c>
      <c r="J242" s="62" t="s">
        <v>54</v>
      </c>
      <c r="K242" s="62" t="s">
        <v>9</v>
      </c>
      <c r="L242" s="70" t="s">
        <v>50</v>
      </c>
      <c r="M242" s="70" t="s">
        <v>153</v>
      </c>
    </row>
    <row r="243" spans="1:13" s="53" customFormat="1" ht="66" hidden="1" customHeight="1">
      <c r="A243" s="71" t="s">
        <v>1451</v>
      </c>
      <c r="B243" s="62" t="s">
        <v>419</v>
      </c>
      <c r="C243" s="77" t="s">
        <v>420</v>
      </c>
      <c r="G243" s="70"/>
      <c r="H243" s="70" t="str">
        <f t="shared" si="3"/>
        <v>Protocol</v>
      </c>
      <c r="I243" s="62" t="s">
        <v>42</v>
      </c>
      <c r="J243" s="62" t="s">
        <v>53</v>
      </c>
      <c r="K243" s="62" t="s">
        <v>9</v>
      </c>
      <c r="L243" s="70" t="s">
        <v>50</v>
      </c>
      <c r="M243" s="70" t="s">
        <v>153</v>
      </c>
    </row>
    <row r="244" spans="1:13" s="53" customFormat="1" ht="33.75" hidden="1" customHeight="1">
      <c r="A244" s="71" t="s">
        <v>1452</v>
      </c>
      <c r="B244" s="62" t="s">
        <v>419</v>
      </c>
      <c r="C244" s="77" t="s">
        <v>421</v>
      </c>
      <c r="G244" s="70"/>
      <c r="H244" s="70" t="str">
        <f t="shared" si="3"/>
        <v>Protocol</v>
      </c>
      <c r="I244" s="62" t="s">
        <v>42</v>
      </c>
      <c r="J244" s="62" t="s">
        <v>54</v>
      </c>
      <c r="K244" s="62" t="s">
        <v>9</v>
      </c>
      <c r="L244" s="70" t="s">
        <v>50</v>
      </c>
      <c r="M244" s="70" t="s">
        <v>153</v>
      </c>
    </row>
    <row r="245" spans="1:13" s="53" customFormat="1" ht="42" hidden="1" customHeight="1">
      <c r="A245" s="71" t="s">
        <v>1453</v>
      </c>
      <c r="B245" s="62" t="s">
        <v>422</v>
      </c>
      <c r="C245" s="77" t="s">
        <v>423</v>
      </c>
      <c r="G245" s="70"/>
      <c r="H245" s="70" t="str">
        <f t="shared" si="3"/>
        <v>Protocol</v>
      </c>
      <c r="I245" s="62" t="s">
        <v>42</v>
      </c>
      <c r="J245" s="62" t="s">
        <v>54</v>
      </c>
      <c r="K245" s="62" t="s">
        <v>9</v>
      </c>
      <c r="L245" s="70" t="s">
        <v>50</v>
      </c>
      <c r="M245" s="70" t="s">
        <v>153</v>
      </c>
    </row>
    <row r="246" spans="1:13" s="53" customFormat="1" ht="30" hidden="1">
      <c r="A246" s="71" t="s">
        <v>1454</v>
      </c>
      <c r="B246" s="62" t="s">
        <v>422</v>
      </c>
      <c r="C246" s="77" t="s">
        <v>424</v>
      </c>
      <c r="G246" s="70"/>
      <c r="H246" s="70" t="str">
        <f t="shared" si="3"/>
        <v>Protocol</v>
      </c>
      <c r="I246" s="62" t="s">
        <v>42</v>
      </c>
      <c r="J246" s="62" t="s">
        <v>54</v>
      </c>
      <c r="K246" s="62" t="s">
        <v>9</v>
      </c>
      <c r="L246" s="70" t="s">
        <v>50</v>
      </c>
      <c r="M246" s="70" t="s">
        <v>153</v>
      </c>
    </row>
    <row r="247" spans="1:13" s="53" customFormat="1" ht="64.5" hidden="1" customHeight="1">
      <c r="A247" s="71" t="s">
        <v>1455</v>
      </c>
      <c r="B247" s="62" t="s">
        <v>425</v>
      </c>
      <c r="C247" s="77" t="s">
        <v>426</v>
      </c>
      <c r="G247" s="70"/>
      <c r="H247" s="70" t="str">
        <f t="shared" si="3"/>
        <v>Protocol</v>
      </c>
      <c r="I247" s="62" t="s">
        <v>42</v>
      </c>
      <c r="J247" s="62" t="s">
        <v>53</v>
      </c>
      <c r="K247" s="62" t="s">
        <v>9</v>
      </c>
      <c r="L247" s="70" t="s">
        <v>50</v>
      </c>
      <c r="M247" s="70" t="s">
        <v>153</v>
      </c>
    </row>
    <row r="248" spans="1:13" s="53" customFormat="1" ht="33.75" hidden="1" customHeight="1">
      <c r="A248" s="71" t="s">
        <v>1456</v>
      </c>
      <c r="B248" s="62" t="s">
        <v>425</v>
      </c>
      <c r="C248" s="77" t="s">
        <v>427</v>
      </c>
      <c r="G248" s="70"/>
      <c r="H248" s="70" t="str">
        <f t="shared" si="3"/>
        <v>Protocol</v>
      </c>
      <c r="I248" s="62" t="s">
        <v>42</v>
      </c>
      <c r="J248" s="62" t="s">
        <v>53</v>
      </c>
      <c r="K248" s="62" t="s">
        <v>9</v>
      </c>
      <c r="L248" s="70" t="s">
        <v>50</v>
      </c>
      <c r="M248" s="70" t="s">
        <v>153</v>
      </c>
    </row>
    <row r="249" spans="1:13" s="53" customFormat="1" ht="45.75" customHeight="1">
      <c r="A249" s="71" t="s">
        <v>1457</v>
      </c>
      <c r="B249" s="62" t="s">
        <v>425</v>
      </c>
      <c r="C249" s="77" t="s">
        <v>428</v>
      </c>
      <c r="G249" s="70"/>
      <c r="H249" s="70" t="str">
        <f t="shared" si="3"/>
        <v>Protocol</v>
      </c>
      <c r="I249" s="62" t="s">
        <v>41</v>
      </c>
      <c r="J249" s="62" t="s">
        <v>53</v>
      </c>
      <c r="K249" s="62" t="s">
        <v>9</v>
      </c>
      <c r="L249" s="70" t="s">
        <v>51</v>
      </c>
      <c r="M249" s="70" t="s">
        <v>225</v>
      </c>
    </row>
    <row r="250" spans="1:13" s="53" customFormat="1" ht="87.75" customHeight="1">
      <c r="A250" s="71" t="s">
        <v>1458</v>
      </c>
      <c r="B250" s="62" t="s">
        <v>425</v>
      </c>
      <c r="C250" s="77" t="s">
        <v>429</v>
      </c>
      <c r="F250" s="53" t="s">
        <v>430</v>
      </c>
      <c r="G250" s="73" t="s">
        <v>2218</v>
      </c>
      <c r="H250" s="70" t="str">
        <f>IF(LEFT(B250,1)="6","Product","Protocol")</f>
        <v>Protocol</v>
      </c>
      <c r="I250" s="64" t="s">
        <v>41</v>
      </c>
      <c r="J250" s="64" t="s">
        <v>54</v>
      </c>
      <c r="K250" s="64" t="s">
        <v>9</v>
      </c>
      <c r="L250" s="70" t="s">
        <v>56</v>
      </c>
      <c r="M250" s="70" t="s">
        <v>2226</v>
      </c>
    </row>
    <row r="251" spans="1:13" s="53" customFormat="1" ht="39" hidden="1" customHeight="1">
      <c r="A251" s="71" t="s">
        <v>1459</v>
      </c>
      <c r="B251" s="62" t="s">
        <v>425</v>
      </c>
      <c r="C251" s="77" t="s">
        <v>431</v>
      </c>
      <c r="G251" s="70"/>
      <c r="H251" s="70" t="str">
        <f t="shared" si="3"/>
        <v>Protocol</v>
      </c>
      <c r="I251" s="62" t="s">
        <v>42</v>
      </c>
      <c r="J251" s="62" t="s">
        <v>54</v>
      </c>
      <c r="K251" s="62" t="s">
        <v>9</v>
      </c>
      <c r="L251" s="70" t="s">
        <v>50</v>
      </c>
      <c r="M251" s="70" t="s">
        <v>153</v>
      </c>
    </row>
    <row r="252" spans="1:13" s="53" customFormat="1" ht="51" hidden="1" customHeight="1">
      <c r="A252" s="71" t="s">
        <v>1460</v>
      </c>
      <c r="B252" s="62" t="s">
        <v>425</v>
      </c>
      <c r="C252" s="77" t="s">
        <v>432</v>
      </c>
      <c r="G252" s="70"/>
      <c r="H252" s="70" t="str">
        <f t="shared" si="3"/>
        <v>Protocol</v>
      </c>
      <c r="I252" s="62" t="s">
        <v>42</v>
      </c>
      <c r="J252" s="62" t="s">
        <v>53</v>
      </c>
      <c r="K252" s="62" t="s">
        <v>9</v>
      </c>
      <c r="L252" s="70" t="s">
        <v>50</v>
      </c>
      <c r="M252" s="70" t="s">
        <v>153</v>
      </c>
    </row>
    <row r="253" spans="1:13" s="53" customFormat="1" ht="36.75" hidden="1" customHeight="1">
      <c r="A253" s="71" t="s">
        <v>1461</v>
      </c>
      <c r="B253" s="62" t="s">
        <v>425</v>
      </c>
      <c r="C253" s="77" t="s">
        <v>433</v>
      </c>
      <c r="G253" s="70"/>
      <c r="H253" s="70" t="str">
        <f t="shared" si="3"/>
        <v>Protocol</v>
      </c>
      <c r="I253" s="62" t="s">
        <v>42</v>
      </c>
      <c r="J253" s="62" t="s">
        <v>54</v>
      </c>
      <c r="K253" s="62" t="s">
        <v>9</v>
      </c>
      <c r="L253" s="70" t="s">
        <v>50</v>
      </c>
      <c r="M253" s="70" t="s">
        <v>153</v>
      </c>
    </row>
    <row r="254" spans="1:13" s="53" customFormat="1" ht="69.75" hidden="1" customHeight="1">
      <c r="A254" s="71" t="s">
        <v>1462</v>
      </c>
      <c r="B254" s="62" t="s">
        <v>434</v>
      </c>
      <c r="C254" s="77" t="s">
        <v>435</v>
      </c>
      <c r="G254" s="70"/>
      <c r="H254" s="70" t="str">
        <f t="shared" si="3"/>
        <v>Protocol</v>
      </c>
      <c r="I254" s="62" t="s">
        <v>42</v>
      </c>
      <c r="J254" s="62" t="s">
        <v>53</v>
      </c>
      <c r="K254" s="62" t="s">
        <v>9</v>
      </c>
      <c r="L254" s="70" t="s">
        <v>50</v>
      </c>
      <c r="M254" s="70" t="s">
        <v>153</v>
      </c>
    </row>
    <row r="255" spans="1:13" s="53" customFormat="1" ht="54.75" hidden="1" customHeight="1">
      <c r="A255" s="71" t="s">
        <v>1463</v>
      </c>
      <c r="B255" s="62" t="s">
        <v>434</v>
      </c>
      <c r="C255" s="77" t="s">
        <v>436</v>
      </c>
      <c r="G255" s="70"/>
      <c r="H255" s="70" t="str">
        <f>IF(LEFT(B255,1)="6","Product","Protocol")</f>
        <v>Protocol</v>
      </c>
      <c r="I255" s="62" t="s">
        <v>42</v>
      </c>
      <c r="J255" s="62" t="s">
        <v>54</v>
      </c>
      <c r="K255" s="62" t="s">
        <v>9</v>
      </c>
      <c r="L255" s="70" t="s">
        <v>50</v>
      </c>
      <c r="M255" s="70" t="s">
        <v>153</v>
      </c>
    </row>
    <row r="256" spans="1:13" s="53" customFormat="1" ht="46.5" hidden="1" customHeight="1">
      <c r="A256" s="71" t="s">
        <v>1464</v>
      </c>
      <c r="B256" s="62" t="s">
        <v>434</v>
      </c>
      <c r="C256" s="77" t="s">
        <v>437</v>
      </c>
      <c r="G256" s="70"/>
      <c r="H256" s="70" t="str">
        <f>IF(LEFT(B256,1)="6","Product","Protocol")</f>
        <v>Protocol</v>
      </c>
      <c r="I256" s="62" t="s">
        <v>42</v>
      </c>
      <c r="J256" s="62" t="s">
        <v>54</v>
      </c>
      <c r="K256" s="62" t="s">
        <v>9</v>
      </c>
      <c r="L256" s="70" t="s">
        <v>50</v>
      </c>
      <c r="M256" s="70" t="s">
        <v>153</v>
      </c>
    </row>
    <row r="257" spans="1:13" s="53" customFormat="1" ht="57" hidden="1" customHeight="1">
      <c r="A257" s="71" t="s">
        <v>1465</v>
      </c>
      <c r="B257" s="62" t="s">
        <v>434</v>
      </c>
      <c r="C257" s="77" t="s">
        <v>438</v>
      </c>
      <c r="G257" s="70"/>
      <c r="H257" s="70" t="str">
        <f t="shared" si="3"/>
        <v>Protocol</v>
      </c>
      <c r="I257" s="62" t="s">
        <v>42</v>
      </c>
      <c r="J257" s="62" t="s">
        <v>54</v>
      </c>
      <c r="K257" s="62" t="s">
        <v>9</v>
      </c>
      <c r="L257" s="70" t="s">
        <v>50</v>
      </c>
      <c r="M257" s="70" t="s">
        <v>153</v>
      </c>
    </row>
    <row r="258" spans="1:13" s="53" customFormat="1" ht="65.25" hidden="1" customHeight="1">
      <c r="A258" s="71" t="s">
        <v>1466</v>
      </c>
      <c r="B258" s="62" t="s">
        <v>434</v>
      </c>
      <c r="C258" s="77" t="s">
        <v>439</v>
      </c>
      <c r="G258" s="70"/>
      <c r="H258" s="70" t="str">
        <f t="shared" si="3"/>
        <v>Protocol</v>
      </c>
      <c r="I258" s="62" t="s">
        <v>42</v>
      </c>
      <c r="J258" s="62" t="s">
        <v>54</v>
      </c>
      <c r="K258" s="62" t="s">
        <v>9</v>
      </c>
      <c r="L258" s="70" t="s">
        <v>50</v>
      </c>
      <c r="M258" s="70" t="s">
        <v>153</v>
      </c>
    </row>
    <row r="259" spans="1:13" s="53" customFormat="1" ht="56.25" hidden="1" customHeight="1">
      <c r="A259" s="71" t="s">
        <v>1467</v>
      </c>
      <c r="B259" s="62" t="s">
        <v>434</v>
      </c>
      <c r="C259" s="77" t="s">
        <v>440</v>
      </c>
      <c r="G259" s="70"/>
      <c r="H259" s="70" t="str">
        <f t="shared" si="3"/>
        <v>Protocol</v>
      </c>
      <c r="I259" s="62" t="s">
        <v>42</v>
      </c>
      <c r="J259" s="62" t="s">
        <v>53</v>
      </c>
      <c r="K259" s="62" t="s">
        <v>9</v>
      </c>
      <c r="L259" s="70" t="s">
        <v>50</v>
      </c>
      <c r="M259" s="70" t="s">
        <v>153</v>
      </c>
    </row>
    <row r="260" spans="1:13" s="53" customFormat="1" ht="36" hidden="1" customHeight="1">
      <c r="A260" s="71" t="s">
        <v>1468</v>
      </c>
      <c r="B260" s="62" t="s">
        <v>441</v>
      </c>
      <c r="C260" s="77" t="s">
        <v>442</v>
      </c>
      <c r="G260" s="70"/>
      <c r="H260" s="70" t="str">
        <f t="shared" si="3"/>
        <v>Protocol</v>
      </c>
      <c r="I260" s="62" t="s">
        <v>42</v>
      </c>
      <c r="J260" s="62" t="s">
        <v>53</v>
      </c>
      <c r="K260" s="62" t="s">
        <v>9</v>
      </c>
      <c r="L260" s="70" t="s">
        <v>50</v>
      </c>
      <c r="M260" s="70" t="s">
        <v>153</v>
      </c>
    </row>
    <row r="261" spans="1:13" s="53" customFormat="1" ht="33" hidden="1" customHeight="1">
      <c r="A261" s="71" t="s">
        <v>1469</v>
      </c>
      <c r="B261" s="62" t="s">
        <v>441</v>
      </c>
      <c r="C261" s="77" t="s">
        <v>443</v>
      </c>
      <c r="G261" s="70"/>
      <c r="H261" s="70" t="str">
        <f t="shared" si="3"/>
        <v>Protocol</v>
      </c>
      <c r="I261" s="62" t="s">
        <v>42</v>
      </c>
      <c r="J261" s="62" t="s">
        <v>53</v>
      </c>
      <c r="K261" s="62" t="s">
        <v>9</v>
      </c>
      <c r="L261" s="70" t="s">
        <v>50</v>
      </c>
      <c r="M261" s="70" t="s">
        <v>153</v>
      </c>
    </row>
    <row r="262" spans="1:13" s="53" customFormat="1" ht="33" hidden="1" customHeight="1">
      <c r="A262" s="71" t="s">
        <v>1470</v>
      </c>
      <c r="B262" s="62" t="s">
        <v>441</v>
      </c>
      <c r="C262" s="77" t="s">
        <v>444</v>
      </c>
      <c r="G262" s="70"/>
      <c r="H262" s="70" t="str">
        <f t="shared" si="3"/>
        <v>Protocol</v>
      </c>
      <c r="I262" s="62" t="s">
        <v>42</v>
      </c>
      <c r="J262" s="62" t="s">
        <v>54</v>
      </c>
      <c r="K262" s="62" t="s">
        <v>9</v>
      </c>
      <c r="L262" s="70" t="s">
        <v>50</v>
      </c>
      <c r="M262" s="70" t="s">
        <v>153</v>
      </c>
    </row>
    <row r="263" spans="1:13" s="53" customFormat="1" ht="35.25" hidden="1" customHeight="1">
      <c r="A263" s="71" t="s">
        <v>1471</v>
      </c>
      <c r="B263" s="62" t="s">
        <v>441</v>
      </c>
      <c r="C263" s="77" t="s">
        <v>445</v>
      </c>
      <c r="G263" s="70"/>
      <c r="H263" s="70" t="str">
        <f t="shared" si="3"/>
        <v>Protocol</v>
      </c>
      <c r="I263" s="62" t="s">
        <v>42</v>
      </c>
      <c r="J263" s="62" t="s">
        <v>54</v>
      </c>
      <c r="K263" s="62" t="s">
        <v>9</v>
      </c>
      <c r="L263" s="70" t="s">
        <v>50</v>
      </c>
      <c r="M263" s="70" t="s">
        <v>153</v>
      </c>
    </row>
    <row r="264" spans="1:13" s="53" customFormat="1" ht="47.25" hidden="1" customHeight="1">
      <c r="A264" s="71" t="s">
        <v>1472</v>
      </c>
      <c r="B264" s="62" t="s">
        <v>446</v>
      </c>
      <c r="C264" s="77" t="s">
        <v>447</v>
      </c>
      <c r="G264" s="70"/>
      <c r="H264" s="70" t="str">
        <f t="shared" si="3"/>
        <v>Protocol</v>
      </c>
      <c r="I264" s="62" t="s">
        <v>42</v>
      </c>
      <c r="J264" s="62" t="s">
        <v>53</v>
      </c>
      <c r="K264" s="62" t="s">
        <v>9</v>
      </c>
      <c r="L264" s="70" t="s">
        <v>50</v>
      </c>
      <c r="M264" s="70" t="s">
        <v>153</v>
      </c>
    </row>
    <row r="265" spans="1:13" s="53" customFormat="1" ht="55.5" hidden="1" customHeight="1">
      <c r="A265" s="71" t="s">
        <v>1473</v>
      </c>
      <c r="B265" s="62" t="s">
        <v>446</v>
      </c>
      <c r="C265" s="77" t="s">
        <v>448</v>
      </c>
      <c r="G265" s="70"/>
      <c r="H265" s="70" t="str">
        <f t="shared" si="3"/>
        <v>Protocol</v>
      </c>
      <c r="I265" s="62" t="s">
        <v>42</v>
      </c>
      <c r="J265" s="62" t="s">
        <v>53</v>
      </c>
      <c r="K265" s="62" t="s">
        <v>9</v>
      </c>
      <c r="L265" s="70" t="s">
        <v>50</v>
      </c>
      <c r="M265" s="70" t="s">
        <v>153</v>
      </c>
    </row>
    <row r="266" spans="1:13" s="53" customFormat="1" ht="49.5" hidden="1" customHeight="1">
      <c r="A266" s="71" t="s">
        <v>1474</v>
      </c>
      <c r="B266" s="62" t="s">
        <v>446</v>
      </c>
      <c r="C266" s="77" t="s">
        <v>449</v>
      </c>
      <c r="G266" s="70"/>
      <c r="H266" s="70" t="str">
        <f t="shared" si="3"/>
        <v>Protocol</v>
      </c>
      <c r="I266" s="62" t="s">
        <v>42</v>
      </c>
      <c r="J266" s="62" t="s">
        <v>53</v>
      </c>
      <c r="K266" s="62" t="s">
        <v>9</v>
      </c>
      <c r="L266" s="70" t="s">
        <v>50</v>
      </c>
      <c r="M266" s="70" t="s">
        <v>153</v>
      </c>
    </row>
    <row r="267" spans="1:13" s="53" customFormat="1" ht="52.5" hidden="1" customHeight="1">
      <c r="A267" s="71" t="s">
        <v>1475</v>
      </c>
      <c r="B267" s="62" t="s">
        <v>446</v>
      </c>
      <c r="C267" s="77" t="s">
        <v>450</v>
      </c>
      <c r="G267" s="70"/>
      <c r="H267" s="70" t="str">
        <f>IF(LEFT(B267,1)="6","Product","Protocol")</f>
        <v>Protocol</v>
      </c>
      <c r="I267" s="62" t="s">
        <v>42</v>
      </c>
      <c r="J267" s="62" t="s">
        <v>54</v>
      </c>
      <c r="K267" s="62" t="s">
        <v>9</v>
      </c>
      <c r="L267" s="70" t="s">
        <v>50</v>
      </c>
      <c r="M267" s="70" t="s">
        <v>153</v>
      </c>
    </row>
    <row r="268" spans="1:13" s="53" customFormat="1" ht="46.5" hidden="1" customHeight="1">
      <c r="A268" s="71" t="s">
        <v>1476</v>
      </c>
      <c r="B268" s="62" t="s">
        <v>446</v>
      </c>
      <c r="C268" s="77" t="s">
        <v>451</v>
      </c>
      <c r="G268" s="70"/>
      <c r="H268" s="70" t="str">
        <f t="shared" si="3"/>
        <v>Protocol</v>
      </c>
      <c r="I268" s="62" t="s">
        <v>42</v>
      </c>
      <c r="J268" s="62" t="s">
        <v>53</v>
      </c>
      <c r="K268" s="62" t="s">
        <v>9</v>
      </c>
      <c r="L268" s="70" t="s">
        <v>50</v>
      </c>
      <c r="M268" s="70" t="s">
        <v>153</v>
      </c>
    </row>
    <row r="269" spans="1:13" s="53" customFormat="1" ht="81.75" hidden="1" customHeight="1">
      <c r="A269" s="71" t="s">
        <v>1477</v>
      </c>
      <c r="B269" s="62" t="s">
        <v>446</v>
      </c>
      <c r="C269" s="77" t="s">
        <v>452</v>
      </c>
      <c r="G269" s="70"/>
      <c r="H269" s="70" t="str">
        <f>IF(LEFT(B269,1)="6","Product","Protocol")</f>
        <v>Protocol</v>
      </c>
      <c r="I269" s="62" t="s">
        <v>42</v>
      </c>
      <c r="J269" s="62" t="s">
        <v>54</v>
      </c>
      <c r="K269" s="62" t="s">
        <v>9</v>
      </c>
      <c r="L269" s="70" t="s">
        <v>50</v>
      </c>
      <c r="M269" s="70" t="s">
        <v>153</v>
      </c>
    </row>
    <row r="270" spans="1:13" s="53" customFormat="1" ht="48.75" hidden="1" customHeight="1">
      <c r="A270" s="71" t="s">
        <v>1478</v>
      </c>
      <c r="B270" s="62" t="s">
        <v>446</v>
      </c>
      <c r="C270" s="77" t="s">
        <v>453</v>
      </c>
      <c r="D270" s="53" t="s">
        <v>454</v>
      </c>
      <c r="G270" s="70"/>
      <c r="H270" s="70" t="str">
        <f t="shared" si="3"/>
        <v>Protocol</v>
      </c>
      <c r="I270" s="62" t="s">
        <v>42</v>
      </c>
      <c r="J270" s="62" t="s">
        <v>53</v>
      </c>
      <c r="K270" s="62" t="s">
        <v>9</v>
      </c>
      <c r="L270" s="70" t="s">
        <v>50</v>
      </c>
      <c r="M270" s="70" t="s">
        <v>153</v>
      </c>
    </row>
    <row r="271" spans="1:13" s="53" customFormat="1" ht="90" customHeight="1">
      <c r="A271" s="71" t="s">
        <v>1479</v>
      </c>
      <c r="B271" s="62" t="s">
        <v>446</v>
      </c>
      <c r="C271" s="77" t="s">
        <v>455</v>
      </c>
      <c r="G271" s="73"/>
      <c r="H271" s="70" t="str">
        <f t="shared" si="3"/>
        <v>Protocol</v>
      </c>
      <c r="I271" s="62" t="s">
        <v>41</v>
      </c>
      <c r="J271" s="62" t="s">
        <v>54</v>
      </c>
      <c r="K271" s="62" t="s">
        <v>9</v>
      </c>
      <c r="L271" s="70" t="s">
        <v>51</v>
      </c>
      <c r="M271" s="70" t="s">
        <v>225</v>
      </c>
    </row>
    <row r="272" spans="1:13" s="53" customFormat="1" ht="51.75" hidden="1" customHeight="1">
      <c r="A272" s="71" t="s">
        <v>1480</v>
      </c>
      <c r="B272" s="62" t="s">
        <v>446</v>
      </c>
      <c r="C272" s="77" t="s">
        <v>456</v>
      </c>
      <c r="G272" s="70"/>
      <c r="H272" s="70" t="str">
        <f t="shared" si="3"/>
        <v>Protocol</v>
      </c>
      <c r="I272" s="62" t="s">
        <v>42</v>
      </c>
      <c r="J272" s="62" t="s">
        <v>53</v>
      </c>
      <c r="K272" s="62" t="s">
        <v>9</v>
      </c>
      <c r="L272" s="70" t="s">
        <v>50</v>
      </c>
      <c r="M272" s="70" t="s">
        <v>153</v>
      </c>
    </row>
    <row r="273" spans="1:13" s="53" customFormat="1" ht="51.75" hidden="1" customHeight="1">
      <c r="A273" s="71" t="s">
        <v>1481</v>
      </c>
      <c r="B273" s="62" t="s">
        <v>446</v>
      </c>
      <c r="C273" s="77" t="s">
        <v>457</v>
      </c>
      <c r="G273" s="70"/>
      <c r="H273" s="70" t="str">
        <f t="shared" si="3"/>
        <v>Protocol</v>
      </c>
      <c r="I273" s="62" t="s">
        <v>42</v>
      </c>
      <c r="J273" s="62" t="s">
        <v>53</v>
      </c>
      <c r="K273" s="62" t="s">
        <v>9</v>
      </c>
      <c r="L273" s="70" t="s">
        <v>50</v>
      </c>
      <c r="M273" s="70" t="s">
        <v>153</v>
      </c>
    </row>
    <row r="274" spans="1:13" s="53" customFormat="1" ht="54" hidden="1" customHeight="1">
      <c r="A274" s="71" t="s">
        <v>1482</v>
      </c>
      <c r="B274" s="62" t="s">
        <v>446</v>
      </c>
      <c r="C274" s="77" t="s">
        <v>458</v>
      </c>
      <c r="G274" s="70"/>
      <c r="H274" s="70" t="str">
        <f t="shared" si="3"/>
        <v>Protocol</v>
      </c>
      <c r="I274" s="62" t="s">
        <v>42</v>
      </c>
      <c r="J274" s="62" t="s">
        <v>54</v>
      </c>
      <c r="K274" s="62" t="s">
        <v>9</v>
      </c>
      <c r="L274" s="70" t="s">
        <v>50</v>
      </c>
      <c r="M274" s="70" t="s">
        <v>153</v>
      </c>
    </row>
    <row r="275" spans="1:13" s="53" customFormat="1" ht="69" hidden="1" customHeight="1">
      <c r="A275" s="71" t="s">
        <v>1483</v>
      </c>
      <c r="B275" s="62" t="s">
        <v>446</v>
      </c>
      <c r="C275" s="77" t="s">
        <v>459</v>
      </c>
      <c r="G275" s="70"/>
      <c r="H275" s="70" t="str">
        <f t="shared" si="3"/>
        <v>Protocol</v>
      </c>
      <c r="I275" s="62" t="s">
        <v>42</v>
      </c>
      <c r="J275" s="62" t="s">
        <v>54</v>
      </c>
      <c r="K275" s="62" t="s">
        <v>9</v>
      </c>
      <c r="L275" s="70" t="s">
        <v>50</v>
      </c>
      <c r="M275" s="70" t="s">
        <v>153</v>
      </c>
    </row>
    <row r="276" spans="1:13" s="53" customFormat="1" ht="51" hidden="1" customHeight="1">
      <c r="A276" s="71" t="s">
        <v>1484</v>
      </c>
      <c r="B276" s="62" t="s">
        <v>446</v>
      </c>
      <c r="C276" s="77" t="s">
        <v>460</v>
      </c>
      <c r="G276" s="70"/>
      <c r="H276" s="70" t="str">
        <f t="shared" si="3"/>
        <v>Protocol</v>
      </c>
      <c r="I276" s="62" t="s">
        <v>42</v>
      </c>
      <c r="J276" s="62" t="s">
        <v>53</v>
      </c>
      <c r="K276" s="62" t="s">
        <v>9</v>
      </c>
      <c r="L276" s="70" t="s">
        <v>50</v>
      </c>
      <c r="M276" s="70" t="s">
        <v>153</v>
      </c>
    </row>
    <row r="277" spans="1:13" s="53" customFormat="1" ht="61.5" hidden="1" customHeight="1">
      <c r="A277" s="71" t="s">
        <v>1485</v>
      </c>
      <c r="B277" s="62" t="s">
        <v>446</v>
      </c>
      <c r="C277" s="77" t="s">
        <v>461</v>
      </c>
      <c r="G277" s="70"/>
      <c r="H277" s="70" t="str">
        <f t="shared" si="3"/>
        <v>Protocol</v>
      </c>
      <c r="I277" s="62" t="s">
        <v>42</v>
      </c>
      <c r="J277" s="62" t="s">
        <v>54</v>
      </c>
      <c r="K277" s="62" t="s">
        <v>9</v>
      </c>
      <c r="L277" s="70" t="s">
        <v>50</v>
      </c>
      <c r="M277" s="70" t="s">
        <v>153</v>
      </c>
    </row>
    <row r="278" spans="1:13" s="53" customFormat="1" ht="64.5" hidden="1" customHeight="1">
      <c r="A278" s="71" t="s">
        <v>1486</v>
      </c>
      <c r="B278" s="62" t="s">
        <v>446</v>
      </c>
      <c r="C278" s="77" t="s">
        <v>462</v>
      </c>
      <c r="G278" s="70"/>
      <c r="H278" s="70" t="str">
        <f t="shared" si="3"/>
        <v>Protocol</v>
      </c>
      <c r="I278" s="62" t="s">
        <v>42</v>
      </c>
      <c r="J278" s="62" t="s">
        <v>54</v>
      </c>
      <c r="K278" s="62" t="s">
        <v>9</v>
      </c>
      <c r="L278" s="70" t="s">
        <v>50</v>
      </c>
      <c r="M278" s="70" t="s">
        <v>153</v>
      </c>
    </row>
    <row r="279" spans="1:13" s="53" customFormat="1" ht="49.5" hidden="1" customHeight="1">
      <c r="A279" s="71" t="s">
        <v>1487</v>
      </c>
      <c r="B279" s="62" t="s">
        <v>446</v>
      </c>
      <c r="C279" s="77" t="s">
        <v>463</v>
      </c>
      <c r="G279" s="70"/>
      <c r="H279" s="70" t="str">
        <f t="shared" si="3"/>
        <v>Protocol</v>
      </c>
      <c r="I279" s="62" t="s">
        <v>42</v>
      </c>
      <c r="J279" s="62" t="s">
        <v>53</v>
      </c>
      <c r="K279" s="62" t="s">
        <v>9</v>
      </c>
      <c r="L279" s="70" t="s">
        <v>50</v>
      </c>
      <c r="M279" s="70" t="s">
        <v>153</v>
      </c>
    </row>
    <row r="280" spans="1:13" s="53" customFormat="1" ht="66.75" hidden="1" customHeight="1">
      <c r="A280" s="71" t="s">
        <v>1488</v>
      </c>
      <c r="B280" s="62" t="s">
        <v>446</v>
      </c>
      <c r="C280" s="77" t="s">
        <v>464</v>
      </c>
      <c r="G280" s="70"/>
      <c r="H280" s="70" t="str">
        <f t="shared" ref="H280:H353" si="4">IF(LEFT(B280,1)="6","Product","Protocol")</f>
        <v>Protocol</v>
      </c>
      <c r="I280" s="62" t="s">
        <v>42</v>
      </c>
      <c r="J280" s="62" t="s">
        <v>53</v>
      </c>
      <c r="K280" s="62" t="s">
        <v>9</v>
      </c>
      <c r="L280" s="70" t="s">
        <v>50</v>
      </c>
      <c r="M280" s="70" t="s">
        <v>153</v>
      </c>
    </row>
    <row r="281" spans="1:13" s="53" customFormat="1" ht="54.75" hidden="1" customHeight="1">
      <c r="A281" s="71" t="s">
        <v>1489</v>
      </c>
      <c r="B281" s="62" t="s">
        <v>465</v>
      </c>
      <c r="C281" s="77" t="s">
        <v>466</v>
      </c>
      <c r="G281" s="70"/>
      <c r="H281" s="70" t="str">
        <f t="shared" si="4"/>
        <v>Protocol</v>
      </c>
      <c r="I281" s="62" t="s">
        <v>42</v>
      </c>
      <c r="J281" s="62" t="s">
        <v>53</v>
      </c>
      <c r="K281" s="62" t="s">
        <v>9</v>
      </c>
      <c r="L281" s="70" t="s">
        <v>50</v>
      </c>
      <c r="M281" s="70" t="s">
        <v>153</v>
      </c>
    </row>
    <row r="282" spans="1:13" s="53" customFormat="1" ht="126" hidden="1" customHeight="1">
      <c r="A282" s="71" t="s">
        <v>1490</v>
      </c>
      <c r="B282" s="62" t="s">
        <v>465</v>
      </c>
      <c r="C282" s="77" t="s">
        <v>467</v>
      </c>
      <c r="G282" s="70"/>
      <c r="H282" s="70" t="str">
        <f t="shared" si="4"/>
        <v>Protocol</v>
      </c>
      <c r="I282" s="62" t="s">
        <v>42</v>
      </c>
      <c r="J282" s="62" t="s">
        <v>53</v>
      </c>
      <c r="K282" s="62" t="s">
        <v>9</v>
      </c>
      <c r="L282" s="70" t="s">
        <v>50</v>
      </c>
      <c r="M282" s="70" t="s">
        <v>153</v>
      </c>
    </row>
    <row r="283" spans="1:13" s="53" customFormat="1" ht="36.75" hidden="1" customHeight="1">
      <c r="A283" s="71" t="s">
        <v>1491</v>
      </c>
      <c r="B283" s="62" t="s">
        <v>465</v>
      </c>
      <c r="C283" s="77" t="s">
        <v>468</v>
      </c>
      <c r="G283" s="70"/>
      <c r="H283" s="70" t="str">
        <f t="shared" si="4"/>
        <v>Protocol</v>
      </c>
      <c r="I283" s="62" t="s">
        <v>42</v>
      </c>
      <c r="J283" s="62" t="s">
        <v>53</v>
      </c>
      <c r="K283" s="62" t="s">
        <v>9</v>
      </c>
      <c r="L283" s="70" t="s">
        <v>50</v>
      </c>
      <c r="M283" s="70" t="s">
        <v>153</v>
      </c>
    </row>
    <row r="284" spans="1:13" s="53" customFormat="1" ht="68.25" hidden="1" customHeight="1">
      <c r="A284" s="71" t="s">
        <v>1492</v>
      </c>
      <c r="B284" s="62" t="s">
        <v>465</v>
      </c>
      <c r="C284" s="77" t="s">
        <v>469</v>
      </c>
      <c r="G284" s="70"/>
      <c r="H284" s="70" t="str">
        <f t="shared" si="4"/>
        <v>Protocol</v>
      </c>
      <c r="I284" s="62" t="s">
        <v>42</v>
      </c>
      <c r="J284" s="62" t="s">
        <v>53</v>
      </c>
      <c r="K284" s="62" t="s">
        <v>9</v>
      </c>
      <c r="L284" s="70" t="s">
        <v>50</v>
      </c>
      <c r="M284" s="70" t="s">
        <v>153</v>
      </c>
    </row>
    <row r="285" spans="1:13" s="53" customFormat="1" ht="35.25" customHeight="1">
      <c r="A285" s="71" t="s">
        <v>1493</v>
      </c>
      <c r="B285" s="62" t="s">
        <v>465</v>
      </c>
      <c r="C285" s="77" t="s">
        <v>470</v>
      </c>
      <c r="G285" s="70"/>
      <c r="H285" s="70" t="str">
        <f t="shared" si="4"/>
        <v>Protocol</v>
      </c>
      <c r="I285" s="62" t="s">
        <v>41</v>
      </c>
      <c r="J285" s="62" t="s">
        <v>53</v>
      </c>
      <c r="K285" s="62" t="s">
        <v>9</v>
      </c>
      <c r="L285" s="70" t="s">
        <v>51</v>
      </c>
      <c r="M285" s="70" t="s">
        <v>225</v>
      </c>
    </row>
    <row r="286" spans="1:13" s="53" customFormat="1" ht="108.75" customHeight="1">
      <c r="A286" s="71" t="s">
        <v>1494</v>
      </c>
      <c r="B286" s="62" t="s">
        <v>465</v>
      </c>
      <c r="C286" s="77" t="s">
        <v>471</v>
      </c>
      <c r="F286" s="53" t="s">
        <v>472</v>
      </c>
      <c r="G286" s="73" t="s">
        <v>2217</v>
      </c>
      <c r="H286" s="70" t="str">
        <f>IF(LEFT(B286,1)="6","Product","Protocol")</f>
        <v>Protocol</v>
      </c>
      <c r="I286" s="64" t="s">
        <v>41</v>
      </c>
      <c r="J286" s="64" t="s">
        <v>54</v>
      </c>
      <c r="K286" s="64" t="s">
        <v>9</v>
      </c>
      <c r="L286" s="70" t="s">
        <v>56</v>
      </c>
      <c r="M286" s="70" t="s">
        <v>2226</v>
      </c>
    </row>
    <row r="287" spans="1:13" s="53" customFormat="1" ht="53.25" hidden="1" customHeight="1">
      <c r="A287" s="71" t="s">
        <v>1495</v>
      </c>
      <c r="B287" s="62" t="s">
        <v>465</v>
      </c>
      <c r="C287" s="77" t="s">
        <v>473</v>
      </c>
      <c r="G287" s="70"/>
      <c r="H287" s="70" t="str">
        <f t="shared" si="4"/>
        <v>Protocol</v>
      </c>
      <c r="I287" s="62" t="s">
        <v>42</v>
      </c>
      <c r="J287" s="62" t="s">
        <v>54</v>
      </c>
      <c r="K287" s="62" t="s">
        <v>9</v>
      </c>
      <c r="L287" s="70" t="s">
        <v>50</v>
      </c>
      <c r="M287" s="70" t="s">
        <v>153</v>
      </c>
    </row>
    <row r="288" spans="1:13" s="53" customFormat="1" ht="34.5" hidden="1" customHeight="1">
      <c r="A288" s="71" t="s">
        <v>1496</v>
      </c>
      <c r="B288" s="62" t="s">
        <v>465</v>
      </c>
      <c r="C288" s="77" t="s">
        <v>474</v>
      </c>
      <c r="G288" s="70"/>
      <c r="H288" s="70" t="str">
        <f t="shared" si="4"/>
        <v>Protocol</v>
      </c>
      <c r="I288" s="62" t="s">
        <v>42</v>
      </c>
      <c r="J288" s="62" t="s">
        <v>54</v>
      </c>
      <c r="K288" s="62" t="s">
        <v>9</v>
      </c>
      <c r="L288" s="70" t="s">
        <v>50</v>
      </c>
      <c r="M288" s="70" t="s">
        <v>153</v>
      </c>
    </row>
    <row r="289" spans="1:13" s="53" customFormat="1" ht="75" hidden="1">
      <c r="A289" s="71" t="s">
        <v>1497</v>
      </c>
      <c r="B289" s="62" t="s">
        <v>465</v>
      </c>
      <c r="C289" s="77" t="s">
        <v>475</v>
      </c>
      <c r="G289" s="70"/>
      <c r="H289" s="70" t="str">
        <f t="shared" si="4"/>
        <v>Protocol</v>
      </c>
      <c r="I289" s="62" t="s">
        <v>42</v>
      </c>
      <c r="J289" s="62" t="s">
        <v>53</v>
      </c>
      <c r="K289" s="62" t="s">
        <v>9</v>
      </c>
      <c r="L289" s="70" t="s">
        <v>50</v>
      </c>
      <c r="M289" s="70" t="s">
        <v>153</v>
      </c>
    </row>
    <row r="290" spans="1:13" s="53" customFormat="1" ht="30">
      <c r="A290" s="71" t="s">
        <v>1498</v>
      </c>
      <c r="B290" s="62" t="s">
        <v>465</v>
      </c>
      <c r="C290" s="77" t="s">
        <v>476</v>
      </c>
      <c r="G290" s="70"/>
      <c r="H290" s="70" t="str">
        <f t="shared" si="4"/>
        <v>Protocol</v>
      </c>
      <c r="I290" s="62" t="s">
        <v>41</v>
      </c>
      <c r="J290" s="62" t="s">
        <v>53</v>
      </c>
      <c r="K290" s="62" t="s">
        <v>9</v>
      </c>
      <c r="L290" s="70" t="s">
        <v>51</v>
      </c>
      <c r="M290" s="70" t="s">
        <v>225</v>
      </c>
    </row>
    <row r="291" spans="1:13" s="53" customFormat="1" ht="105" customHeight="1">
      <c r="A291" s="71" t="s">
        <v>1499</v>
      </c>
      <c r="B291" s="62" t="s">
        <v>465</v>
      </c>
      <c r="C291" s="86" t="s">
        <v>477</v>
      </c>
      <c r="F291" s="53" t="s">
        <v>478</v>
      </c>
      <c r="G291" s="73" t="s">
        <v>2217</v>
      </c>
      <c r="H291" s="70" t="str">
        <f>IF(LEFT(B291,1)="6","Product","Protocol")</f>
        <v>Protocol</v>
      </c>
      <c r="I291" s="64" t="s">
        <v>41</v>
      </c>
      <c r="J291" s="64" t="s">
        <v>54</v>
      </c>
      <c r="K291" s="64" t="s">
        <v>9</v>
      </c>
      <c r="L291" s="70" t="s">
        <v>56</v>
      </c>
      <c r="M291" s="70" t="s">
        <v>2226</v>
      </c>
    </row>
    <row r="292" spans="1:13" s="53" customFormat="1" ht="35.25" hidden="1" customHeight="1">
      <c r="A292" s="71" t="s">
        <v>1500</v>
      </c>
      <c r="B292" s="62" t="s">
        <v>479</v>
      </c>
      <c r="C292" s="77" t="s">
        <v>480</v>
      </c>
      <c r="G292" s="70"/>
      <c r="H292" s="70" t="str">
        <f t="shared" si="4"/>
        <v>Protocol</v>
      </c>
      <c r="I292" s="62" t="s">
        <v>42</v>
      </c>
      <c r="J292" s="62" t="s">
        <v>54</v>
      </c>
      <c r="K292" s="62" t="s">
        <v>9</v>
      </c>
      <c r="L292" s="70" t="s">
        <v>50</v>
      </c>
      <c r="M292" s="70" t="s">
        <v>153</v>
      </c>
    </row>
    <row r="293" spans="1:13" s="53" customFormat="1" ht="34.5" hidden="1" customHeight="1">
      <c r="A293" s="71" t="s">
        <v>1501</v>
      </c>
      <c r="B293" s="62" t="s">
        <v>479</v>
      </c>
      <c r="C293" s="77" t="s">
        <v>481</v>
      </c>
      <c r="G293" s="70"/>
      <c r="H293" s="70" t="str">
        <f t="shared" si="4"/>
        <v>Protocol</v>
      </c>
      <c r="I293" s="62" t="s">
        <v>42</v>
      </c>
      <c r="J293" s="62" t="s">
        <v>53</v>
      </c>
      <c r="K293" s="62" t="s">
        <v>9</v>
      </c>
      <c r="L293" s="70" t="s">
        <v>50</v>
      </c>
      <c r="M293" s="70" t="s">
        <v>153</v>
      </c>
    </row>
    <row r="294" spans="1:13" s="53" customFormat="1" ht="67.5" hidden="1" customHeight="1">
      <c r="A294" s="71" t="s">
        <v>1502</v>
      </c>
      <c r="B294" s="62" t="s">
        <v>479</v>
      </c>
      <c r="C294" s="77" t="s">
        <v>482</v>
      </c>
      <c r="G294" s="70"/>
      <c r="H294" s="70" t="str">
        <f t="shared" si="4"/>
        <v>Protocol</v>
      </c>
      <c r="I294" s="62" t="s">
        <v>42</v>
      </c>
      <c r="J294" s="62" t="s">
        <v>53</v>
      </c>
      <c r="K294" s="62" t="s">
        <v>9</v>
      </c>
      <c r="L294" s="70" t="s">
        <v>50</v>
      </c>
      <c r="M294" s="70" t="s">
        <v>153</v>
      </c>
    </row>
    <row r="295" spans="1:13" s="53" customFormat="1" ht="36" customHeight="1">
      <c r="A295" s="71" t="s">
        <v>1503</v>
      </c>
      <c r="B295" s="62" t="s">
        <v>479</v>
      </c>
      <c r="C295" s="77" t="s">
        <v>483</v>
      </c>
      <c r="G295" s="70"/>
      <c r="H295" s="70" t="str">
        <f t="shared" si="4"/>
        <v>Protocol</v>
      </c>
      <c r="I295" s="62" t="s">
        <v>41</v>
      </c>
      <c r="J295" s="62" t="s">
        <v>53</v>
      </c>
      <c r="K295" s="62" t="s">
        <v>9</v>
      </c>
      <c r="L295" s="70" t="s">
        <v>51</v>
      </c>
      <c r="M295" s="70" t="s">
        <v>225</v>
      </c>
    </row>
    <row r="296" spans="1:13" s="53" customFormat="1" ht="98.25" customHeight="1">
      <c r="A296" s="71" t="s">
        <v>1504</v>
      </c>
      <c r="B296" s="62" t="s">
        <v>479</v>
      </c>
      <c r="C296" s="77" t="s">
        <v>484</v>
      </c>
      <c r="F296" s="53" t="s">
        <v>485</v>
      </c>
      <c r="G296" s="73" t="s">
        <v>2218</v>
      </c>
      <c r="H296" s="70" t="str">
        <f>IF(LEFT(B296,1)="6","Product","Protocol")</f>
        <v>Protocol</v>
      </c>
      <c r="I296" s="64" t="s">
        <v>41</v>
      </c>
      <c r="J296" s="64" t="s">
        <v>54</v>
      </c>
      <c r="K296" s="64" t="s">
        <v>9</v>
      </c>
      <c r="L296" s="70" t="s">
        <v>56</v>
      </c>
      <c r="M296" s="70" t="s">
        <v>2226</v>
      </c>
    </row>
    <row r="297" spans="1:13" s="53" customFormat="1" ht="36.75" hidden="1" customHeight="1">
      <c r="A297" s="71" t="s">
        <v>1505</v>
      </c>
      <c r="B297" s="62" t="s">
        <v>479</v>
      </c>
      <c r="C297" s="77" t="s">
        <v>486</v>
      </c>
      <c r="G297" s="70"/>
      <c r="H297" s="70" t="str">
        <f t="shared" si="4"/>
        <v>Protocol</v>
      </c>
      <c r="I297" s="62" t="s">
        <v>42</v>
      </c>
      <c r="J297" s="62" t="s">
        <v>54</v>
      </c>
      <c r="K297" s="62" t="s">
        <v>9</v>
      </c>
      <c r="L297" s="70" t="s">
        <v>50</v>
      </c>
      <c r="M297" s="70" t="s">
        <v>153</v>
      </c>
    </row>
    <row r="298" spans="1:13" s="53" customFormat="1" ht="71.25" hidden="1" customHeight="1">
      <c r="A298" s="71" t="s">
        <v>1506</v>
      </c>
      <c r="B298" s="62" t="s">
        <v>479</v>
      </c>
      <c r="C298" s="77" t="s">
        <v>487</v>
      </c>
      <c r="G298" s="70"/>
      <c r="H298" s="70" t="str">
        <f t="shared" si="4"/>
        <v>Protocol</v>
      </c>
      <c r="I298" s="62" t="s">
        <v>42</v>
      </c>
      <c r="J298" s="62" t="s">
        <v>53</v>
      </c>
      <c r="K298" s="62" t="s">
        <v>9</v>
      </c>
      <c r="L298" s="70" t="s">
        <v>50</v>
      </c>
      <c r="M298" s="70" t="s">
        <v>153</v>
      </c>
    </row>
    <row r="299" spans="1:13" s="53" customFormat="1" ht="34.5" customHeight="1">
      <c r="A299" s="71" t="s">
        <v>1507</v>
      </c>
      <c r="B299" s="62" t="s">
        <v>479</v>
      </c>
      <c r="C299" s="77" t="s">
        <v>488</v>
      </c>
      <c r="G299" s="70"/>
      <c r="H299" s="70" t="str">
        <f t="shared" si="4"/>
        <v>Protocol</v>
      </c>
      <c r="I299" s="62" t="s">
        <v>41</v>
      </c>
      <c r="J299" s="62" t="s">
        <v>53</v>
      </c>
      <c r="K299" s="62" t="s">
        <v>9</v>
      </c>
      <c r="L299" s="70" t="s">
        <v>51</v>
      </c>
      <c r="M299" s="70" t="s">
        <v>225</v>
      </c>
    </row>
    <row r="300" spans="1:13" s="53" customFormat="1" ht="94.5" customHeight="1">
      <c r="A300" s="71" t="s">
        <v>1508</v>
      </c>
      <c r="B300" s="62" t="s">
        <v>479</v>
      </c>
      <c r="C300" s="77" t="s">
        <v>489</v>
      </c>
      <c r="F300" s="53" t="s">
        <v>490</v>
      </c>
      <c r="G300" s="73" t="s">
        <v>2218</v>
      </c>
      <c r="H300" s="70" t="str">
        <f>IF(LEFT(B300,1)="6","Product","Protocol")</f>
        <v>Protocol</v>
      </c>
      <c r="I300" s="64" t="s">
        <v>41</v>
      </c>
      <c r="J300" s="64" t="s">
        <v>54</v>
      </c>
      <c r="K300" s="64" t="s">
        <v>9</v>
      </c>
      <c r="L300" s="70" t="s">
        <v>56</v>
      </c>
      <c r="M300" s="70" t="s">
        <v>2226</v>
      </c>
    </row>
    <row r="301" spans="1:13" s="53" customFormat="1" ht="45.75" hidden="1" customHeight="1">
      <c r="A301" s="71" t="s">
        <v>1509</v>
      </c>
      <c r="B301" s="62" t="s">
        <v>491</v>
      </c>
      <c r="C301" s="77" t="s">
        <v>492</v>
      </c>
      <c r="G301" s="70"/>
      <c r="H301" s="70" t="str">
        <f t="shared" si="4"/>
        <v>Protocol</v>
      </c>
      <c r="I301" s="62" t="s">
        <v>42</v>
      </c>
      <c r="J301" s="62" t="s">
        <v>54</v>
      </c>
      <c r="K301" s="62" t="s">
        <v>9</v>
      </c>
      <c r="L301" s="70" t="s">
        <v>50</v>
      </c>
      <c r="M301" s="70" t="s">
        <v>153</v>
      </c>
    </row>
    <row r="302" spans="1:13" s="53" customFormat="1" ht="36" hidden="1" customHeight="1">
      <c r="A302" s="71" t="s">
        <v>1510</v>
      </c>
      <c r="B302" s="62" t="s">
        <v>491</v>
      </c>
      <c r="C302" s="77" t="s">
        <v>493</v>
      </c>
      <c r="G302" s="70"/>
      <c r="H302" s="70" t="str">
        <f t="shared" si="4"/>
        <v>Protocol</v>
      </c>
      <c r="I302" s="62" t="s">
        <v>42</v>
      </c>
      <c r="J302" s="62" t="s">
        <v>54</v>
      </c>
      <c r="K302" s="62" t="s">
        <v>9</v>
      </c>
      <c r="L302" s="70" t="s">
        <v>50</v>
      </c>
      <c r="M302" s="70" t="s">
        <v>153</v>
      </c>
    </row>
    <row r="303" spans="1:13" s="53" customFormat="1" ht="66.75" hidden="1" customHeight="1">
      <c r="A303" s="71" t="s">
        <v>1511</v>
      </c>
      <c r="B303" s="62" t="s">
        <v>491</v>
      </c>
      <c r="C303" s="77" t="s">
        <v>494</v>
      </c>
      <c r="G303" s="70"/>
      <c r="H303" s="70" t="str">
        <f t="shared" si="4"/>
        <v>Protocol</v>
      </c>
      <c r="I303" s="62" t="s">
        <v>42</v>
      </c>
      <c r="J303" s="62" t="s">
        <v>53</v>
      </c>
      <c r="K303" s="62" t="s">
        <v>9</v>
      </c>
      <c r="L303" s="70" t="s">
        <v>50</v>
      </c>
      <c r="M303" s="70" t="s">
        <v>153</v>
      </c>
    </row>
    <row r="304" spans="1:13" s="53" customFormat="1" ht="33.75" customHeight="1">
      <c r="A304" s="71" t="s">
        <v>1512</v>
      </c>
      <c r="B304" s="62" t="s">
        <v>491</v>
      </c>
      <c r="C304" s="77" t="s">
        <v>495</v>
      </c>
      <c r="G304" s="70"/>
      <c r="H304" s="70" t="str">
        <f t="shared" si="4"/>
        <v>Protocol</v>
      </c>
      <c r="I304" s="62" t="s">
        <v>41</v>
      </c>
      <c r="J304" s="62" t="s">
        <v>53</v>
      </c>
      <c r="K304" s="62" t="s">
        <v>9</v>
      </c>
      <c r="L304" s="70" t="s">
        <v>51</v>
      </c>
      <c r="M304" s="70" t="s">
        <v>225</v>
      </c>
    </row>
    <row r="305" spans="1:13" s="53" customFormat="1" ht="99.75" customHeight="1">
      <c r="A305" s="71" t="s">
        <v>1513</v>
      </c>
      <c r="B305" s="62" t="s">
        <v>491</v>
      </c>
      <c r="C305" s="77" t="s">
        <v>496</v>
      </c>
      <c r="F305" s="53" t="s">
        <v>497</v>
      </c>
      <c r="G305" s="73" t="s">
        <v>2218</v>
      </c>
      <c r="H305" s="70" t="str">
        <f>IF(LEFT(B305,1)="6","Product","Protocol")</f>
        <v>Protocol</v>
      </c>
      <c r="I305" s="64" t="s">
        <v>41</v>
      </c>
      <c r="J305" s="64" t="s">
        <v>54</v>
      </c>
      <c r="K305" s="64" t="s">
        <v>9</v>
      </c>
      <c r="L305" s="70" t="s">
        <v>56</v>
      </c>
      <c r="M305" s="70" t="s">
        <v>2226</v>
      </c>
    </row>
    <row r="306" spans="1:13" s="53" customFormat="1" ht="30" hidden="1">
      <c r="A306" s="71" t="s">
        <v>1514</v>
      </c>
      <c r="B306" s="62" t="s">
        <v>498</v>
      </c>
      <c r="C306" s="77" t="s">
        <v>499</v>
      </c>
      <c r="G306" s="70"/>
      <c r="H306" s="70" t="str">
        <f t="shared" si="4"/>
        <v>Protocol</v>
      </c>
      <c r="I306" s="62" t="s">
        <v>42</v>
      </c>
      <c r="J306" s="62" t="s">
        <v>54</v>
      </c>
      <c r="K306" s="62" t="s">
        <v>9</v>
      </c>
      <c r="L306" s="70" t="s">
        <v>50</v>
      </c>
      <c r="M306" s="70" t="s">
        <v>153</v>
      </c>
    </row>
    <row r="307" spans="1:13" s="53" customFormat="1" ht="63" hidden="1" customHeight="1">
      <c r="A307" s="71" t="s">
        <v>1515</v>
      </c>
      <c r="B307" s="62" t="s">
        <v>498</v>
      </c>
      <c r="C307" s="77" t="s">
        <v>500</v>
      </c>
      <c r="G307" s="70"/>
      <c r="H307" s="70" t="str">
        <f t="shared" si="4"/>
        <v>Protocol</v>
      </c>
      <c r="I307" s="62" t="s">
        <v>42</v>
      </c>
      <c r="J307" s="62" t="s">
        <v>54</v>
      </c>
      <c r="K307" s="62" t="s">
        <v>9</v>
      </c>
      <c r="L307" s="70" t="s">
        <v>50</v>
      </c>
      <c r="M307" s="70" t="s">
        <v>153</v>
      </c>
    </row>
    <row r="308" spans="1:13" s="53" customFormat="1" ht="30.75" hidden="1" customHeight="1">
      <c r="A308" s="71" t="s">
        <v>1516</v>
      </c>
      <c r="B308" s="62" t="s">
        <v>498</v>
      </c>
      <c r="C308" s="77" t="s">
        <v>501</v>
      </c>
      <c r="G308" s="70"/>
      <c r="H308" s="70" t="str">
        <f t="shared" si="4"/>
        <v>Protocol</v>
      </c>
      <c r="I308" s="62" t="s">
        <v>42</v>
      </c>
      <c r="J308" s="62" t="s">
        <v>54</v>
      </c>
      <c r="K308" s="62" t="s">
        <v>9</v>
      </c>
      <c r="L308" s="70" t="s">
        <v>50</v>
      </c>
      <c r="M308" s="70" t="s">
        <v>153</v>
      </c>
    </row>
    <row r="309" spans="1:13" s="53" customFormat="1" ht="33" hidden="1" customHeight="1">
      <c r="A309" s="71" t="s">
        <v>1517</v>
      </c>
      <c r="B309" s="62" t="s">
        <v>498</v>
      </c>
      <c r="C309" s="77" t="s">
        <v>503</v>
      </c>
      <c r="G309" s="70"/>
      <c r="H309" s="70" t="str">
        <f t="shared" si="4"/>
        <v>Protocol</v>
      </c>
      <c r="I309" s="62" t="s">
        <v>42</v>
      </c>
      <c r="J309" s="62" t="s">
        <v>54</v>
      </c>
      <c r="K309" s="62" t="s">
        <v>9</v>
      </c>
      <c r="L309" s="70" t="s">
        <v>50</v>
      </c>
      <c r="M309" s="70" t="s">
        <v>153</v>
      </c>
    </row>
    <row r="310" spans="1:13" s="53" customFormat="1" ht="35.25" hidden="1" customHeight="1">
      <c r="A310" s="71" t="s">
        <v>1518</v>
      </c>
      <c r="B310" s="62" t="s">
        <v>498</v>
      </c>
      <c r="C310" s="77" t="s">
        <v>504</v>
      </c>
      <c r="G310" s="70"/>
      <c r="H310" s="70" t="str">
        <f t="shared" si="4"/>
        <v>Protocol</v>
      </c>
      <c r="I310" s="62" t="s">
        <v>42</v>
      </c>
      <c r="J310" s="62" t="s">
        <v>54</v>
      </c>
      <c r="K310" s="62" t="s">
        <v>8</v>
      </c>
      <c r="L310" s="70" t="s">
        <v>50</v>
      </c>
      <c r="M310" s="70" t="s">
        <v>231</v>
      </c>
    </row>
    <row r="311" spans="1:13" s="53" customFormat="1" ht="81.75" hidden="1" customHeight="1">
      <c r="A311" s="71" t="s">
        <v>1519</v>
      </c>
      <c r="B311" s="62" t="s">
        <v>502</v>
      </c>
      <c r="C311" s="77" t="s">
        <v>506</v>
      </c>
      <c r="G311" s="70"/>
      <c r="H311" s="70" t="str">
        <f t="shared" si="4"/>
        <v>Protocol</v>
      </c>
      <c r="I311" s="62" t="s">
        <v>30</v>
      </c>
      <c r="J311" s="62" t="s">
        <v>54</v>
      </c>
      <c r="K311" s="62" t="s">
        <v>8</v>
      </c>
      <c r="L311" s="70" t="s">
        <v>2228</v>
      </c>
      <c r="M311" s="70" t="s">
        <v>2250</v>
      </c>
    </row>
    <row r="312" spans="1:13" s="53" customFormat="1" ht="36.75" hidden="1" customHeight="1">
      <c r="A312" s="71" t="s">
        <v>1520</v>
      </c>
      <c r="B312" s="62" t="s">
        <v>502</v>
      </c>
      <c r="C312" s="77" t="s">
        <v>507</v>
      </c>
      <c r="G312" s="70"/>
      <c r="H312" s="70" t="str">
        <f t="shared" si="4"/>
        <v>Protocol</v>
      </c>
      <c r="I312" s="62" t="s">
        <v>30</v>
      </c>
      <c r="J312" s="62" t="s">
        <v>54</v>
      </c>
      <c r="K312" s="62" t="s">
        <v>8</v>
      </c>
      <c r="L312" s="70" t="s">
        <v>2228</v>
      </c>
      <c r="M312" s="70" t="s">
        <v>2250</v>
      </c>
    </row>
    <row r="313" spans="1:13" s="53" customFormat="1" ht="34.5" hidden="1" customHeight="1">
      <c r="A313" s="71" t="s">
        <v>1521</v>
      </c>
      <c r="B313" s="62" t="s">
        <v>502</v>
      </c>
      <c r="C313" s="77" t="s">
        <v>508</v>
      </c>
      <c r="G313" s="70"/>
      <c r="H313" s="70" t="str">
        <f t="shared" si="4"/>
        <v>Protocol</v>
      </c>
      <c r="I313" s="62" t="s">
        <v>30</v>
      </c>
      <c r="J313" s="62" t="s">
        <v>53</v>
      </c>
      <c r="K313" s="62" t="s">
        <v>8</v>
      </c>
      <c r="L313" s="70" t="s">
        <v>2228</v>
      </c>
      <c r="M313" s="70" t="s">
        <v>2250</v>
      </c>
    </row>
    <row r="314" spans="1:13" s="53" customFormat="1" ht="36" customHeight="1">
      <c r="A314" s="71" t="s">
        <v>1522</v>
      </c>
      <c r="B314" s="62" t="s">
        <v>502</v>
      </c>
      <c r="C314" s="77" t="s">
        <v>509</v>
      </c>
      <c r="G314" s="70"/>
      <c r="H314" s="70" t="str">
        <f t="shared" si="4"/>
        <v>Protocol</v>
      </c>
      <c r="I314" s="62" t="s">
        <v>30</v>
      </c>
      <c r="J314" s="62" t="s">
        <v>53</v>
      </c>
      <c r="K314" s="62" t="s">
        <v>9</v>
      </c>
      <c r="L314" s="70" t="s">
        <v>51</v>
      </c>
      <c r="M314" s="70" t="s">
        <v>225</v>
      </c>
    </row>
    <row r="315" spans="1:13" s="53" customFormat="1" ht="39.75" hidden="1" customHeight="1">
      <c r="A315" s="71" t="s">
        <v>1523</v>
      </c>
      <c r="B315" s="62" t="s">
        <v>502</v>
      </c>
      <c r="C315" s="86" t="s">
        <v>510</v>
      </c>
      <c r="F315" s="53" t="s">
        <v>511</v>
      </c>
      <c r="G315" s="70"/>
      <c r="H315" s="70" t="str">
        <f>IF(LEFT(B315,1)="6","Product","Protocol")</f>
        <v>Protocol</v>
      </c>
      <c r="I315" s="62" t="s">
        <v>41</v>
      </c>
      <c r="J315" s="64" t="s">
        <v>54</v>
      </c>
      <c r="K315" s="62" t="s">
        <v>8</v>
      </c>
      <c r="L315" s="70" t="s">
        <v>2228</v>
      </c>
      <c r="M315" s="70" t="s">
        <v>2250</v>
      </c>
    </row>
    <row r="316" spans="1:13" s="53" customFormat="1" ht="51" hidden="1" customHeight="1">
      <c r="A316" s="71" t="s">
        <v>1524</v>
      </c>
      <c r="B316" s="62" t="s">
        <v>505</v>
      </c>
      <c r="C316" s="77" t="s">
        <v>513</v>
      </c>
      <c r="G316" s="70"/>
      <c r="H316" s="70" t="str">
        <f t="shared" si="4"/>
        <v>Protocol</v>
      </c>
      <c r="I316" s="62" t="s">
        <v>30</v>
      </c>
      <c r="J316" s="62" t="s">
        <v>54</v>
      </c>
      <c r="K316" s="62" t="s">
        <v>8</v>
      </c>
      <c r="L316" s="70" t="s">
        <v>2228</v>
      </c>
      <c r="M316" s="70" t="s">
        <v>2250</v>
      </c>
    </row>
    <row r="317" spans="1:13" s="53" customFormat="1" ht="67.5" hidden="1" customHeight="1">
      <c r="A317" s="71" t="s">
        <v>1525</v>
      </c>
      <c r="B317" s="62" t="s">
        <v>505</v>
      </c>
      <c r="C317" s="77" t="s">
        <v>514</v>
      </c>
      <c r="G317" s="70"/>
      <c r="H317" s="70" t="str">
        <f t="shared" si="4"/>
        <v>Protocol</v>
      </c>
      <c r="I317" s="62" t="s">
        <v>30</v>
      </c>
      <c r="J317" s="62" t="s">
        <v>54</v>
      </c>
      <c r="K317" s="62" t="s">
        <v>8</v>
      </c>
      <c r="L317" s="70" t="s">
        <v>2228</v>
      </c>
      <c r="M317" s="70" t="s">
        <v>2250</v>
      </c>
    </row>
    <row r="318" spans="1:13" s="53" customFormat="1" ht="35.25" hidden="1" customHeight="1">
      <c r="A318" s="71" t="s">
        <v>1526</v>
      </c>
      <c r="B318" s="62" t="s">
        <v>505</v>
      </c>
      <c r="C318" s="77" t="s">
        <v>515</v>
      </c>
      <c r="G318" s="70"/>
      <c r="H318" s="70" t="str">
        <f t="shared" si="4"/>
        <v>Protocol</v>
      </c>
      <c r="I318" s="62" t="s">
        <v>30</v>
      </c>
      <c r="J318" s="62" t="s">
        <v>53</v>
      </c>
      <c r="K318" s="62" t="s">
        <v>8</v>
      </c>
      <c r="L318" s="70" t="s">
        <v>2228</v>
      </c>
      <c r="M318" s="70" t="s">
        <v>2250</v>
      </c>
    </row>
    <row r="319" spans="1:13" s="53" customFormat="1" ht="33" hidden="1" customHeight="1">
      <c r="A319" s="71" t="s">
        <v>1527</v>
      </c>
      <c r="B319" s="62" t="s">
        <v>505</v>
      </c>
      <c r="C319" s="77" t="s">
        <v>516</v>
      </c>
      <c r="G319" s="70"/>
      <c r="H319" s="70" t="str">
        <f t="shared" si="4"/>
        <v>Protocol</v>
      </c>
      <c r="I319" s="62" t="s">
        <v>30</v>
      </c>
      <c r="J319" s="62" t="s">
        <v>53</v>
      </c>
      <c r="K319" s="62" t="s">
        <v>8</v>
      </c>
      <c r="L319" s="70" t="s">
        <v>2228</v>
      </c>
      <c r="M319" s="70" t="s">
        <v>2250</v>
      </c>
    </row>
    <row r="320" spans="1:13" s="53" customFormat="1" ht="34.5" customHeight="1">
      <c r="A320" s="71" t="s">
        <v>1528</v>
      </c>
      <c r="B320" s="62" t="s">
        <v>505</v>
      </c>
      <c r="C320" s="77" t="s">
        <v>517</v>
      </c>
      <c r="G320" s="70"/>
      <c r="H320" s="70" t="str">
        <f t="shared" si="4"/>
        <v>Protocol</v>
      </c>
      <c r="I320" s="62" t="s">
        <v>30</v>
      </c>
      <c r="J320" s="62" t="s">
        <v>53</v>
      </c>
      <c r="K320" s="62" t="s">
        <v>9</v>
      </c>
      <c r="L320" s="70" t="s">
        <v>51</v>
      </c>
      <c r="M320" s="70" t="s">
        <v>225</v>
      </c>
    </row>
    <row r="321" spans="1:13" s="53" customFormat="1" ht="35.25" hidden="1" customHeight="1">
      <c r="A321" s="71" t="s">
        <v>1529</v>
      </c>
      <c r="B321" s="62" t="s">
        <v>505</v>
      </c>
      <c r="C321" s="77" t="s">
        <v>2216</v>
      </c>
      <c r="F321" s="53" t="s">
        <v>518</v>
      </c>
      <c r="G321" s="70"/>
      <c r="H321" s="70" t="str">
        <f>IF(LEFT(B321,1)="6","Product","Protocol")</f>
        <v>Protocol</v>
      </c>
      <c r="I321" s="64" t="s">
        <v>41</v>
      </c>
      <c r="J321" s="64" t="s">
        <v>54</v>
      </c>
      <c r="K321" s="62" t="s">
        <v>8</v>
      </c>
      <c r="L321" s="70" t="s">
        <v>2228</v>
      </c>
      <c r="M321" s="70" t="s">
        <v>2250</v>
      </c>
    </row>
    <row r="322" spans="1:13" s="53" customFormat="1" ht="53.25" hidden="1" customHeight="1">
      <c r="A322" s="71" t="s">
        <v>1530</v>
      </c>
      <c r="B322" s="62" t="s">
        <v>512</v>
      </c>
      <c r="C322" s="77" t="s">
        <v>520</v>
      </c>
      <c r="G322" s="70"/>
      <c r="H322" s="70" t="str">
        <f t="shared" si="4"/>
        <v>Protocol</v>
      </c>
      <c r="I322" s="62" t="s">
        <v>30</v>
      </c>
      <c r="J322" s="62" t="s">
        <v>54</v>
      </c>
      <c r="K322" s="62" t="s">
        <v>8</v>
      </c>
      <c r="L322" s="70" t="s">
        <v>2228</v>
      </c>
      <c r="M322" s="70" t="s">
        <v>2250</v>
      </c>
    </row>
    <row r="323" spans="1:13" s="53" customFormat="1" ht="52.5" customHeight="1">
      <c r="A323" s="71" t="s">
        <v>1531</v>
      </c>
      <c r="B323" s="62" t="s">
        <v>512</v>
      </c>
      <c r="C323" s="77" t="s">
        <v>521</v>
      </c>
      <c r="G323" s="70"/>
      <c r="H323" s="70" t="str">
        <f t="shared" si="4"/>
        <v>Protocol</v>
      </c>
      <c r="I323" s="62" t="s">
        <v>30</v>
      </c>
      <c r="J323" s="62" t="s">
        <v>54</v>
      </c>
      <c r="K323" s="62" t="s">
        <v>9</v>
      </c>
      <c r="L323" s="70" t="s">
        <v>50</v>
      </c>
      <c r="M323" s="70" t="s">
        <v>2249</v>
      </c>
    </row>
    <row r="324" spans="1:13" s="53" customFormat="1" ht="71.25" customHeight="1">
      <c r="A324" s="71" t="s">
        <v>1532</v>
      </c>
      <c r="B324" s="62" t="s">
        <v>512</v>
      </c>
      <c r="C324" s="77" t="s">
        <v>522</v>
      </c>
      <c r="G324" s="70"/>
      <c r="H324" s="70" t="str">
        <f t="shared" si="4"/>
        <v>Protocol</v>
      </c>
      <c r="I324" s="62" t="s">
        <v>30</v>
      </c>
      <c r="J324" s="62" t="s">
        <v>54</v>
      </c>
      <c r="K324" s="62" t="s">
        <v>9</v>
      </c>
      <c r="L324" s="70" t="s">
        <v>50</v>
      </c>
      <c r="M324" s="70" t="s">
        <v>2249</v>
      </c>
    </row>
    <row r="325" spans="1:13" s="53" customFormat="1" ht="35.25" hidden="1" customHeight="1">
      <c r="A325" s="71" t="s">
        <v>1533</v>
      </c>
      <c r="B325" s="62" t="s">
        <v>512</v>
      </c>
      <c r="C325" s="77" t="s">
        <v>523</v>
      </c>
      <c r="G325" s="70"/>
      <c r="H325" s="70" t="str">
        <f t="shared" si="4"/>
        <v>Protocol</v>
      </c>
      <c r="I325" s="62" t="s">
        <v>30</v>
      </c>
      <c r="J325" s="62" t="s">
        <v>54</v>
      </c>
      <c r="K325" s="62" t="s">
        <v>8</v>
      </c>
      <c r="L325" s="70" t="s">
        <v>50</v>
      </c>
      <c r="M325" s="70" t="s">
        <v>231</v>
      </c>
    </row>
    <row r="326" spans="1:13" s="53" customFormat="1" ht="50.25" hidden="1" customHeight="1">
      <c r="A326" s="71" t="s">
        <v>1534</v>
      </c>
      <c r="B326" s="62" t="s">
        <v>512</v>
      </c>
      <c r="C326" s="77" t="s">
        <v>524</v>
      </c>
      <c r="G326" s="70"/>
      <c r="H326" s="70" t="str">
        <f t="shared" si="4"/>
        <v>Protocol</v>
      </c>
      <c r="I326" s="62" t="s">
        <v>42</v>
      </c>
      <c r="J326" s="62" t="s">
        <v>53</v>
      </c>
      <c r="K326" s="62" t="s">
        <v>9</v>
      </c>
      <c r="L326" s="70" t="s">
        <v>50</v>
      </c>
      <c r="M326" s="70" t="s">
        <v>153</v>
      </c>
    </row>
    <row r="327" spans="1:13" s="53" customFormat="1" ht="37.5" hidden="1" customHeight="1">
      <c r="A327" s="71" t="s">
        <v>1535</v>
      </c>
      <c r="B327" s="62" t="s">
        <v>512</v>
      </c>
      <c r="C327" s="77" t="s">
        <v>525</v>
      </c>
      <c r="G327" s="70"/>
      <c r="H327" s="70" t="str">
        <f t="shared" si="4"/>
        <v>Protocol</v>
      </c>
      <c r="I327" s="62" t="s">
        <v>42</v>
      </c>
      <c r="J327" s="62" t="s">
        <v>53</v>
      </c>
      <c r="K327" s="62" t="s">
        <v>9</v>
      </c>
      <c r="L327" s="70" t="s">
        <v>50</v>
      </c>
      <c r="M327" s="70" t="s">
        <v>153</v>
      </c>
    </row>
    <row r="328" spans="1:13" s="53" customFormat="1" ht="50.25" customHeight="1">
      <c r="A328" s="71" t="s">
        <v>1536</v>
      </c>
      <c r="B328" s="62" t="s">
        <v>512</v>
      </c>
      <c r="C328" s="77" t="s">
        <v>526</v>
      </c>
      <c r="G328" s="70"/>
      <c r="H328" s="70" t="str">
        <f t="shared" si="4"/>
        <v>Protocol</v>
      </c>
      <c r="I328" s="62" t="s">
        <v>41</v>
      </c>
      <c r="J328" s="62" t="s">
        <v>53</v>
      </c>
      <c r="K328" s="62" t="s">
        <v>9</v>
      </c>
      <c r="L328" s="70" t="s">
        <v>51</v>
      </c>
      <c r="M328" s="70" t="s">
        <v>225</v>
      </c>
    </row>
    <row r="329" spans="1:13" s="53" customFormat="1" ht="39.75" customHeight="1">
      <c r="A329" s="71" t="s">
        <v>1537</v>
      </c>
      <c r="B329" s="62" t="s">
        <v>512</v>
      </c>
      <c r="C329" s="86" t="s">
        <v>527</v>
      </c>
      <c r="F329" s="61" t="s">
        <v>528</v>
      </c>
      <c r="G329" s="70"/>
      <c r="H329" s="70" t="str">
        <f>IF(LEFT(B329,1)="6","Product","Protocol")</f>
        <v>Protocol</v>
      </c>
      <c r="I329" s="64" t="s">
        <v>41</v>
      </c>
      <c r="J329" s="64" t="s">
        <v>54</v>
      </c>
      <c r="K329" s="64" t="s">
        <v>9</v>
      </c>
      <c r="L329" s="70" t="s">
        <v>50</v>
      </c>
      <c r="M329" s="70" t="s">
        <v>2249</v>
      </c>
    </row>
    <row r="330" spans="1:13" s="53" customFormat="1" ht="66" hidden="1" customHeight="1">
      <c r="A330" s="71" t="s">
        <v>1538</v>
      </c>
      <c r="B330" s="62" t="s">
        <v>512</v>
      </c>
      <c r="C330" s="77" t="s">
        <v>529</v>
      </c>
      <c r="G330" s="70"/>
      <c r="H330" s="70" t="str">
        <f t="shared" si="4"/>
        <v>Protocol</v>
      </c>
      <c r="I330" s="62" t="s">
        <v>41</v>
      </c>
      <c r="J330" s="62" t="s">
        <v>54</v>
      </c>
      <c r="K330" s="62" t="s">
        <v>8</v>
      </c>
      <c r="L330" s="70" t="s">
        <v>50</v>
      </c>
      <c r="M330" s="70" t="s">
        <v>231</v>
      </c>
    </row>
    <row r="331" spans="1:13" s="53" customFormat="1" ht="36.75" hidden="1" customHeight="1">
      <c r="A331" s="71" t="s">
        <v>1539</v>
      </c>
      <c r="B331" s="62" t="s">
        <v>519</v>
      </c>
      <c r="C331" s="77" t="s">
        <v>531</v>
      </c>
      <c r="G331" s="70"/>
      <c r="H331" s="70" t="str">
        <f t="shared" si="4"/>
        <v>Protocol</v>
      </c>
      <c r="I331" s="62" t="s">
        <v>30</v>
      </c>
      <c r="J331" s="62" t="s">
        <v>54</v>
      </c>
      <c r="K331" s="62" t="s">
        <v>8</v>
      </c>
      <c r="L331" s="70" t="s">
        <v>2228</v>
      </c>
      <c r="M331" s="70" t="s">
        <v>2250</v>
      </c>
    </row>
    <row r="332" spans="1:13" s="53" customFormat="1" ht="78.75" hidden="1" customHeight="1">
      <c r="A332" s="71" t="s">
        <v>1540</v>
      </c>
      <c r="B332" s="62" t="s">
        <v>530</v>
      </c>
      <c r="C332" s="77" t="s">
        <v>533</v>
      </c>
      <c r="G332" s="70"/>
      <c r="H332" s="70" t="str">
        <f t="shared" si="4"/>
        <v>Protocol</v>
      </c>
      <c r="I332" s="62" t="s">
        <v>42</v>
      </c>
      <c r="J332" s="62" t="s">
        <v>53</v>
      </c>
      <c r="K332" s="62" t="s">
        <v>9</v>
      </c>
      <c r="L332" s="70" t="s">
        <v>50</v>
      </c>
      <c r="M332" s="70" t="s">
        <v>153</v>
      </c>
    </row>
    <row r="333" spans="1:13" s="53" customFormat="1" ht="125.25" hidden="1" customHeight="1">
      <c r="A333" s="71" t="s">
        <v>1541</v>
      </c>
      <c r="B333" s="62" t="s">
        <v>530</v>
      </c>
      <c r="C333" s="77" t="s">
        <v>534</v>
      </c>
      <c r="G333" s="70"/>
      <c r="H333" s="70" t="str">
        <f t="shared" si="4"/>
        <v>Protocol</v>
      </c>
      <c r="I333" s="62" t="s">
        <v>42</v>
      </c>
      <c r="J333" s="62" t="s">
        <v>54</v>
      </c>
      <c r="K333" s="62" t="s">
        <v>9</v>
      </c>
      <c r="L333" s="70" t="s">
        <v>50</v>
      </c>
      <c r="M333" s="70" t="s">
        <v>153</v>
      </c>
    </row>
    <row r="334" spans="1:13" s="53" customFormat="1" ht="37.5" hidden="1" customHeight="1">
      <c r="A334" s="71" t="s">
        <v>1542</v>
      </c>
      <c r="B334" s="62" t="s">
        <v>530</v>
      </c>
      <c r="C334" s="77" t="s">
        <v>535</v>
      </c>
      <c r="G334" s="70"/>
      <c r="H334" s="70" t="str">
        <f t="shared" si="4"/>
        <v>Protocol</v>
      </c>
      <c r="I334" s="62" t="s">
        <v>42</v>
      </c>
      <c r="J334" s="62" t="s">
        <v>53</v>
      </c>
      <c r="K334" s="62" t="s">
        <v>9</v>
      </c>
      <c r="L334" s="70" t="s">
        <v>50</v>
      </c>
      <c r="M334" s="70" t="s">
        <v>153</v>
      </c>
    </row>
    <row r="335" spans="1:13" s="53" customFormat="1" ht="54" hidden="1" customHeight="1">
      <c r="A335" s="71" t="s">
        <v>1543</v>
      </c>
      <c r="B335" s="62" t="s">
        <v>530</v>
      </c>
      <c r="C335" s="77" t="s">
        <v>536</v>
      </c>
      <c r="G335" s="70"/>
      <c r="H335" s="70" t="str">
        <f t="shared" si="4"/>
        <v>Protocol</v>
      </c>
      <c r="I335" s="62" t="s">
        <v>42</v>
      </c>
      <c r="J335" s="62" t="s">
        <v>53</v>
      </c>
      <c r="K335" s="62" t="s">
        <v>9</v>
      </c>
      <c r="L335" s="70" t="s">
        <v>50</v>
      </c>
      <c r="M335" s="70" t="s">
        <v>153</v>
      </c>
    </row>
    <row r="336" spans="1:13" s="53" customFormat="1" ht="37.5" hidden="1" customHeight="1">
      <c r="A336" s="71" t="s">
        <v>1544</v>
      </c>
      <c r="B336" s="62" t="s">
        <v>530</v>
      </c>
      <c r="C336" s="77" t="s">
        <v>537</v>
      </c>
      <c r="G336" s="70"/>
      <c r="H336" s="70" t="str">
        <f t="shared" si="4"/>
        <v>Protocol</v>
      </c>
      <c r="I336" s="62" t="s">
        <v>42</v>
      </c>
      <c r="J336" s="62" t="s">
        <v>53</v>
      </c>
      <c r="K336" s="62" t="s">
        <v>9</v>
      </c>
      <c r="L336" s="70" t="s">
        <v>50</v>
      </c>
      <c r="M336" s="70" t="s">
        <v>153</v>
      </c>
    </row>
    <row r="337" spans="1:13" s="53" customFormat="1" ht="54.75" hidden="1" customHeight="1">
      <c r="A337" s="71" t="s">
        <v>1545</v>
      </c>
      <c r="B337" s="62" t="s">
        <v>530</v>
      </c>
      <c r="C337" s="77" t="s">
        <v>538</v>
      </c>
      <c r="G337" s="70"/>
      <c r="H337" s="70" t="str">
        <f t="shared" si="4"/>
        <v>Protocol</v>
      </c>
      <c r="I337" s="62" t="s">
        <v>42</v>
      </c>
      <c r="J337" s="62" t="s">
        <v>53</v>
      </c>
      <c r="K337" s="62" t="s">
        <v>9</v>
      </c>
      <c r="L337" s="70" t="s">
        <v>50</v>
      </c>
      <c r="M337" s="70" t="s">
        <v>153</v>
      </c>
    </row>
    <row r="338" spans="1:13" s="53" customFormat="1" ht="49.5" hidden="1" customHeight="1">
      <c r="A338" s="71" t="s">
        <v>1546</v>
      </c>
      <c r="B338" s="62" t="s">
        <v>530</v>
      </c>
      <c r="C338" s="77" t="s">
        <v>539</v>
      </c>
      <c r="G338" s="70"/>
      <c r="H338" s="70" t="str">
        <f t="shared" si="4"/>
        <v>Protocol</v>
      </c>
      <c r="I338" s="62" t="s">
        <v>42</v>
      </c>
      <c r="J338" s="62" t="s">
        <v>54</v>
      </c>
      <c r="K338" s="62" t="s">
        <v>9</v>
      </c>
      <c r="L338" s="70" t="s">
        <v>50</v>
      </c>
      <c r="M338" s="70" t="s">
        <v>153</v>
      </c>
    </row>
    <row r="339" spans="1:13" s="53" customFormat="1" ht="80.25" hidden="1" customHeight="1">
      <c r="A339" s="71" t="s">
        <v>1547</v>
      </c>
      <c r="B339" s="62" t="s">
        <v>530</v>
      </c>
      <c r="C339" s="77" t="s">
        <v>540</v>
      </c>
      <c r="G339" s="70"/>
      <c r="H339" s="70" t="str">
        <f t="shared" si="4"/>
        <v>Protocol</v>
      </c>
      <c r="I339" s="62" t="s">
        <v>42</v>
      </c>
      <c r="J339" s="62" t="s">
        <v>54</v>
      </c>
      <c r="K339" s="62" t="s">
        <v>8</v>
      </c>
      <c r="L339" s="70" t="s">
        <v>50</v>
      </c>
      <c r="M339" s="70" t="s">
        <v>231</v>
      </c>
    </row>
    <row r="340" spans="1:13" s="53" customFormat="1" ht="53.25" hidden="1" customHeight="1">
      <c r="A340" s="71" t="s">
        <v>1548</v>
      </c>
      <c r="B340" s="62" t="s">
        <v>530</v>
      </c>
      <c r="C340" s="77" t="s">
        <v>541</v>
      </c>
      <c r="G340" s="70"/>
      <c r="H340" s="70" t="str">
        <f t="shared" si="4"/>
        <v>Protocol</v>
      </c>
      <c r="I340" s="62" t="s">
        <v>42</v>
      </c>
      <c r="J340" s="62" t="s">
        <v>54</v>
      </c>
      <c r="K340" s="62" t="s">
        <v>8</v>
      </c>
      <c r="L340" s="70" t="s">
        <v>50</v>
      </c>
      <c r="M340" s="70" t="s">
        <v>231</v>
      </c>
    </row>
    <row r="341" spans="1:13" s="53" customFormat="1" ht="192.75" customHeight="1">
      <c r="A341" s="71" t="s">
        <v>1549</v>
      </c>
      <c r="B341" s="62" t="s">
        <v>532</v>
      </c>
      <c r="C341" s="77" t="s">
        <v>543</v>
      </c>
      <c r="G341" s="70" t="s">
        <v>121</v>
      </c>
      <c r="H341" s="70" t="str">
        <f t="shared" si="4"/>
        <v>Protocol</v>
      </c>
      <c r="I341" s="62" t="s">
        <v>41</v>
      </c>
      <c r="J341" s="62" t="s">
        <v>53</v>
      </c>
      <c r="K341" s="62" t="s">
        <v>9</v>
      </c>
      <c r="L341" s="70" t="s">
        <v>56</v>
      </c>
      <c r="M341" s="70" t="s">
        <v>2226</v>
      </c>
    </row>
    <row r="342" spans="1:13" s="53" customFormat="1" ht="45" hidden="1">
      <c r="A342" s="71" t="s">
        <v>1550</v>
      </c>
      <c r="B342" s="62" t="s">
        <v>532</v>
      </c>
      <c r="C342" s="77" t="s">
        <v>544</v>
      </c>
      <c r="G342" s="70"/>
      <c r="H342" s="70" t="str">
        <f t="shared" si="4"/>
        <v>Protocol</v>
      </c>
      <c r="I342" s="62" t="s">
        <v>42</v>
      </c>
      <c r="J342" s="62" t="s">
        <v>54</v>
      </c>
      <c r="K342" s="62" t="s">
        <v>9</v>
      </c>
      <c r="L342" s="70" t="s">
        <v>50</v>
      </c>
      <c r="M342" s="70" t="s">
        <v>231</v>
      </c>
    </row>
    <row r="343" spans="1:13" s="53" customFormat="1" ht="35.25" customHeight="1">
      <c r="A343" s="71" t="s">
        <v>1551</v>
      </c>
      <c r="B343" s="62" t="s">
        <v>532</v>
      </c>
      <c r="C343" s="77" t="s">
        <v>545</v>
      </c>
      <c r="G343" s="70"/>
      <c r="H343" s="70" t="str">
        <f t="shared" si="4"/>
        <v>Protocol</v>
      </c>
      <c r="I343" s="62" t="s">
        <v>41</v>
      </c>
      <c r="J343" s="62" t="s">
        <v>53</v>
      </c>
      <c r="K343" s="62" t="s">
        <v>9</v>
      </c>
      <c r="L343" s="70" t="s">
        <v>51</v>
      </c>
      <c r="M343" s="70" t="s">
        <v>225</v>
      </c>
    </row>
    <row r="344" spans="1:13" s="53" customFormat="1" ht="36.75" customHeight="1">
      <c r="A344" s="71" t="s">
        <v>1552</v>
      </c>
      <c r="B344" s="62" t="s">
        <v>96</v>
      </c>
      <c r="C344" s="77" t="s">
        <v>2132</v>
      </c>
      <c r="F344" s="53" t="s">
        <v>546</v>
      </c>
      <c r="G344" s="70" t="s">
        <v>121</v>
      </c>
      <c r="H344" s="70" t="s">
        <v>142</v>
      </c>
      <c r="I344" s="62" t="s">
        <v>41</v>
      </c>
      <c r="J344" s="62" t="s">
        <v>54</v>
      </c>
      <c r="K344" s="62" t="s">
        <v>9</v>
      </c>
      <c r="L344" s="70" t="s">
        <v>56</v>
      </c>
      <c r="M344" s="70" t="s">
        <v>2226</v>
      </c>
    </row>
    <row r="345" spans="1:13" s="53" customFormat="1" ht="40.5" hidden="1" customHeight="1">
      <c r="A345" s="71" t="s">
        <v>1553</v>
      </c>
      <c r="B345" s="66" t="s">
        <v>542</v>
      </c>
      <c r="C345" s="77" t="s">
        <v>547</v>
      </c>
      <c r="G345" s="70"/>
      <c r="H345" s="70" t="str">
        <f t="shared" si="4"/>
        <v>Protocol</v>
      </c>
      <c r="I345" s="66" t="s">
        <v>42</v>
      </c>
      <c r="J345" s="66" t="s">
        <v>54</v>
      </c>
      <c r="K345" s="66" t="s">
        <v>9</v>
      </c>
      <c r="L345" s="70" t="s">
        <v>50</v>
      </c>
      <c r="M345" s="70" t="s">
        <v>231</v>
      </c>
    </row>
    <row r="346" spans="1:13" s="53" customFormat="1" ht="34.5" customHeight="1">
      <c r="A346" s="71" t="s">
        <v>1554</v>
      </c>
      <c r="B346" s="62" t="s">
        <v>542</v>
      </c>
      <c r="C346" s="77" t="s">
        <v>548</v>
      </c>
      <c r="G346" s="70"/>
      <c r="H346" s="70" t="str">
        <f t="shared" si="4"/>
        <v>Protocol</v>
      </c>
      <c r="I346" s="62" t="s">
        <v>41</v>
      </c>
      <c r="J346" s="62" t="s">
        <v>53</v>
      </c>
      <c r="K346" s="62" t="s">
        <v>9</v>
      </c>
      <c r="L346" s="70" t="s">
        <v>51</v>
      </c>
      <c r="M346" s="70" t="s">
        <v>225</v>
      </c>
    </row>
    <row r="347" spans="1:13" s="53" customFormat="1" ht="35.25" customHeight="1">
      <c r="A347" s="71" t="s">
        <v>1555</v>
      </c>
      <c r="B347" s="62" t="s">
        <v>96</v>
      </c>
      <c r="C347" s="77" t="s">
        <v>2133</v>
      </c>
      <c r="F347" s="53" t="s">
        <v>549</v>
      </c>
      <c r="G347" s="70" t="s">
        <v>121</v>
      </c>
      <c r="H347" s="70" t="s">
        <v>142</v>
      </c>
      <c r="I347" s="62" t="s">
        <v>41</v>
      </c>
      <c r="J347" s="62" t="s">
        <v>54</v>
      </c>
      <c r="K347" s="62" t="s">
        <v>9</v>
      </c>
      <c r="L347" s="70" t="s">
        <v>56</v>
      </c>
      <c r="M347" s="70" t="s">
        <v>2226</v>
      </c>
    </row>
    <row r="348" spans="1:13" s="53" customFormat="1" ht="45">
      <c r="A348" s="71" t="s">
        <v>1556</v>
      </c>
      <c r="B348" s="62" t="s">
        <v>532</v>
      </c>
      <c r="C348" s="77" t="s">
        <v>550</v>
      </c>
      <c r="G348" s="70" t="s">
        <v>121</v>
      </c>
      <c r="H348" s="70" t="str">
        <f t="shared" si="4"/>
        <v>Protocol</v>
      </c>
      <c r="I348" s="62" t="s">
        <v>41</v>
      </c>
      <c r="J348" s="62" t="s">
        <v>53</v>
      </c>
      <c r="K348" s="62" t="s">
        <v>9</v>
      </c>
      <c r="L348" s="70" t="s">
        <v>56</v>
      </c>
      <c r="M348" s="70" t="s">
        <v>2226</v>
      </c>
    </row>
    <row r="349" spans="1:13" s="53" customFormat="1" ht="45">
      <c r="A349" s="71" t="s">
        <v>1557</v>
      </c>
      <c r="B349" s="62" t="s">
        <v>532</v>
      </c>
      <c r="C349" s="77" t="s">
        <v>551</v>
      </c>
      <c r="G349" s="70"/>
      <c r="H349" s="70" t="str">
        <f t="shared" si="4"/>
        <v>Protocol</v>
      </c>
      <c r="I349" s="62" t="s">
        <v>41</v>
      </c>
      <c r="J349" s="62" t="s">
        <v>53</v>
      </c>
      <c r="K349" s="62" t="s">
        <v>9</v>
      </c>
      <c r="L349" s="70" t="s">
        <v>50</v>
      </c>
      <c r="M349" s="70" t="s">
        <v>2251</v>
      </c>
    </row>
    <row r="350" spans="1:13" s="53" customFormat="1" ht="52.5" hidden="1" customHeight="1">
      <c r="A350" s="71" t="s">
        <v>1558</v>
      </c>
      <c r="B350" s="62" t="s">
        <v>542</v>
      </c>
      <c r="C350" s="77" t="s">
        <v>553</v>
      </c>
      <c r="G350" s="70"/>
      <c r="H350" s="70" t="str">
        <f t="shared" si="4"/>
        <v>Protocol</v>
      </c>
      <c r="I350" s="62" t="s">
        <v>42</v>
      </c>
      <c r="J350" s="62" t="s">
        <v>54</v>
      </c>
      <c r="K350" s="62" t="s">
        <v>9</v>
      </c>
      <c r="L350" s="70" t="s">
        <v>50</v>
      </c>
      <c r="M350" s="70" t="s">
        <v>153</v>
      </c>
    </row>
    <row r="351" spans="1:13" s="53" customFormat="1" ht="33.75" hidden="1" customHeight="1">
      <c r="A351" s="71" t="s">
        <v>1559</v>
      </c>
      <c r="B351" s="62" t="s">
        <v>542</v>
      </c>
      <c r="C351" s="77" t="s">
        <v>554</v>
      </c>
      <c r="G351" s="70"/>
      <c r="H351" s="70" t="str">
        <f t="shared" si="4"/>
        <v>Protocol</v>
      </c>
      <c r="I351" s="62" t="s">
        <v>42</v>
      </c>
      <c r="J351" s="62" t="s">
        <v>54</v>
      </c>
      <c r="K351" s="62" t="s">
        <v>9</v>
      </c>
      <c r="L351" s="70" t="s">
        <v>50</v>
      </c>
      <c r="M351" s="70" t="s">
        <v>153</v>
      </c>
    </row>
    <row r="352" spans="1:13" s="53" customFormat="1" ht="72" hidden="1" customHeight="1">
      <c r="A352" s="71" t="s">
        <v>1560</v>
      </c>
      <c r="B352" s="62" t="s">
        <v>542</v>
      </c>
      <c r="C352" s="77" t="s">
        <v>555</v>
      </c>
      <c r="G352" s="70"/>
      <c r="H352" s="70" t="str">
        <f t="shared" si="4"/>
        <v>Protocol</v>
      </c>
      <c r="I352" s="62" t="s">
        <v>42</v>
      </c>
      <c r="J352" s="62" t="s">
        <v>53</v>
      </c>
      <c r="K352" s="62" t="s">
        <v>9</v>
      </c>
      <c r="L352" s="70" t="s">
        <v>50</v>
      </c>
      <c r="M352" s="70" t="s">
        <v>153</v>
      </c>
    </row>
    <row r="353" spans="1:13" s="53" customFormat="1" ht="37.5" customHeight="1">
      <c r="A353" s="71" t="s">
        <v>1561</v>
      </c>
      <c r="B353" s="62" t="s">
        <v>542</v>
      </c>
      <c r="C353" s="77" t="s">
        <v>556</v>
      </c>
      <c r="G353" s="70"/>
      <c r="H353" s="70" t="str">
        <f t="shared" si="4"/>
        <v>Protocol</v>
      </c>
      <c r="I353" s="62" t="s">
        <v>41</v>
      </c>
      <c r="J353" s="62" t="s">
        <v>53</v>
      </c>
      <c r="K353" s="62" t="s">
        <v>9</v>
      </c>
      <c r="L353" s="70" t="s">
        <v>51</v>
      </c>
      <c r="M353" s="70" t="s">
        <v>225</v>
      </c>
    </row>
    <row r="354" spans="1:13" s="53" customFormat="1" ht="94.5" customHeight="1">
      <c r="A354" s="71" t="s">
        <v>1562</v>
      </c>
      <c r="B354" s="62" t="s">
        <v>542</v>
      </c>
      <c r="C354" s="77" t="s">
        <v>557</v>
      </c>
      <c r="F354" s="53" t="s">
        <v>558</v>
      </c>
      <c r="G354" s="73" t="s">
        <v>2218</v>
      </c>
      <c r="H354" s="70" t="str">
        <f>IF(LEFT(B354,1)="6","Product","Protocol")</f>
        <v>Protocol</v>
      </c>
      <c r="I354" s="62" t="s">
        <v>41</v>
      </c>
      <c r="J354" s="62" t="s">
        <v>54</v>
      </c>
      <c r="K354" s="62" t="s">
        <v>9</v>
      </c>
      <c r="L354" s="70" t="s">
        <v>56</v>
      </c>
      <c r="M354" s="70" t="s">
        <v>2226</v>
      </c>
    </row>
    <row r="355" spans="1:13" s="53" customFormat="1" ht="38.25" hidden="1" customHeight="1">
      <c r="A355" s="71" t="s">
        <v>1563</v>
      </c>
      <c r="B355" s="62" t="s">
        <v>552</v>
      </c>
      <c r="C355" s="77" t="s">
        <v>559</v>
      </c>
      <c r="G355" s="70"/>
      <c r="H355" s="70" t="str">
        <f t="shared" ref="H355:H433" si="5">IF(LEFT(B355,1)="6","Product","Protocol")</f>
        <v>Protocol</v>
      </c>
      <c r="I355" s="62" t="s">
        <v>42</v>
      </c>
      <c r="J355" s="62" t="s">
        <v>54</v>
      </c>
      <c r="K355" s="62" t="s">
        <v>9</v>
      </c>
      <c r="L355" s="70" t="s">
        <v>50</v>
      </c>
      <c r="M355" s="70" t="s">
        <v>153</v>
      </c>
    </row>
    <row r="356" spans="1:13" s="53" customFormat="1" ht="114.75" hidden="1" customHeight="1">
      <c r="A356" s="71" t="s">
        <v>1564</v>
      </c>
      <c r="B356" s="62" t="s">
        <v>552</v>
      </c>
      <c r="C356" s="77" t="s">
        <v>560</v>
      </c>
      <c r="G356" s="70"/>
      <c r="H356" s="70" t="str">
        <f t="shared" si="5"/>
        <v>Protocol</v>
      </c>
      <c r="I356" s="62" t="s">
        <v>42</v>
      </c>
      <c r="J356" s="62" t="s">
        <v>54</v>
      </c>
      <c r="K356" s="62" t="s">
        <v>9</v>
      </c>
      <c r="L356" s="70" t="s">
        <v>50</v>
      </c>
      <c r="M356" s="70" t="s">
        <v>153</v>
      </c>
    </row>
    <row r="357" spans="1:13" s="53" customFormat="1" ht="52.5" hidden="1" customHeight="1">
      <c r="A357" s="71" t="s">
        <v>1565</v>
      </c>
      <c r="B357" s="62" t="s">
        <v>552</v>
      </c>
      <c r="C357" s="77" t="s">
        <v>561</v>
      </c>
      <c r="G357" s="70"/>
      <c r="H357" s="70" t="str">
        <f t="shared" si="5"/>
        <v>Protocol</v>
      </c>
      <c r="I357" s="62" t="s">
        <v>42</v>
      </c>
      <c r="J357" s="62" t="s">
        <v>53</v>
      </c>
      <c r="K357" s="62" t="s">
        <v>9</v>
      </c>
      <c r="L357" s="70" t="s">
        <v>50</v>
      </c>
      <c r="M357" s="70" t="s">
        <v>153</v>
      </c>
    </row>
    <row r="358" spans="1:13" s="53" customFormat="1" ht="51" hidden="1" customHeight="1">
      <c r="A358" s="71" t="s">
        <v>1566</v>
      </c>
      <c r="B358" s="62" t="s">
        <v>552</v>
      </c>
      <c r="C358" s="77" t="s">
        <v>562</v>
      </c>
      <c r="G358" s="70"/>
      <c r="H358" s="70" t="str">
        <f t="shared" si="5"/>
        <v>Protocol</v>
      </c>
      <c r="I358" s="62" t="s">
        <v>42</v>
      </c>
      <c r="J358" s="62" t="s">
        <v>53</v>
      </c>
      <c r="K358" s="62" t="s">
        <v>9</v>
      </c>
      <c r="L358" s="70" t="s">
        <v>50</v>
      </c>
      <c r="M358" s="70" t="s">
        <v>153</v>
      </c>
    </row>
    <row r="359" spans="1:13" s="53" customFormat="1" ht="66" hidden="1" customHeight="1">
      <c r="A359" s="71" t="s">
        <v>1567</v>
      </c>
      <c r="B359" s="62" t="s">
        <v>552</v>
      </c>
      <c r="C359" s="77" t="s">
        <v>563</v>
      </c>
      <c r="G359" s="70"/>
      <c r="H359" s="70" t="str">
        <f>IF(LEFT(B359,1)="6","Product","Protocol")</f>
        <v>Protocol</v>
      </c>
      <c r="I359" s="62" t="s">
        <v>42</v>
      </c>
      <c r="J359" s="62" t="s">
        <v>54</v>
      </c>
      <c r="K359" s="62" t="s">
        <v>9</v>
      </c>
      <c r="L359" s="70" t="s">
        <v>50</v>
      </c>
      <c r="M359" s="70" t="s">
        <v>153</v>
      </c>
    </row>
    <row r="360" spans="1:13" s="53" customFormat="1" ht="105" hidden="1" customHeight="1">
      <c r="A360" s="71" t="s">
        <v>1568</v>
      </c>
      <c r="B360" s="62" t="s">
        <v>552</v>
      </c>
      <c r="C360" s="77" t="s">
        <v>564</v>
      </c>
      <c r="G360" s="70"/>
      <c r="H360" s="70" t="str">
        <f t="shared" si="5"/>
        <v>Protocol</v>
      </c>
      <c r="I360" s="62" t="s">
        <v>42</v>
      </c>
      <c r="J360" s="62" t="s">
        <v>53</v>
      </c>
      <c r="K360" s="62" t="s">
        <v>9</v>
      </c>
      <c r="L360" s="70" t="s">
        <v>50</v>
      </c>
      <c r="M360" s="70" t="s">
        <v>153</v>
      </c>
    </row>
    <row r="361" spans="1:13" s="53" customFormat="1" ht="54" hidden="1" customHeight="1">
      <c r="A361" s="71" t="s">
        <v>1569</v>
      </c>
      <c r="B361" s="62" t="s">
        <v>552</v>
      </c>
      <c r="C361" s="77" t="s">
        <v>565</v>
      </c>
      <c r="G361" s="70"/>
      <c r="H361" s="70" t="str">
        <f t="shared" si="5"/>
        <v>Protocol</v>
      </c>
      <c r="I361" s="62" t="s">
        <v>42</v>
      </c>
      <c r="J361" s="62" t="s">
        <v>53</v>
      </c>
      <c r="K361" s="62" t="s">
        <v>9</v>
      </c>
      <c r="L361" s="70" t="s">
        <v>50</v>
      </c>
      <c r="M361" s="70" t="s">
        <v>153</v>
      </c>
    </row>
    <row r="362" spans="1:13" s="53" customFormat="1" ht="54" hidden="1" customHeight="1">
      <c r="A362" s="71" t="s">
        <v>1570</v>
      </c>
      <c r="B362" s="62" t="s">
        <v>552</v>
      </c>
      <c r="C362" s="77" t="s">
        <v>566</v>
      </c>
      <c r="D362" s="61"/>
      <c r="G362" s="70"/>
      <c r="H362" s="70" t="str">
        <f>IF(LEFT(B362,1)="6","Product","Protocol")</f>
        <v>Protocol</v>
      </c>
      <c r="I362" s="62" t="s">
        <v>42</v>
      </c>
      <c r="J362" s="62" t="s">
        <v>54</v>
      </c>
      <c r="K362" s="62" t="s">
        <v>9</v>
      </c>
      <c r="L362" s="70" t="s">
        <v>50</v>
      </c>
      <c r="M362" s="70" t="s">
        <v>153</v>
      </c>
    </row>
    <row r="363" spans="1:13" s="53" customFormat="1" ht="54.75" hidden="1" customHeight="1">
      <c r="A363" s="71" t="s">
        <v>1571</v>
      </c>
      <c r="B363" s="62" t="s">
        <v>552</v>
      </c>
      <c r="C363" s="77" t="s">
        <v>567</v>
      </c>
      <c r="G363" s="70"/>
      <c r="H363" s="70" t="str">
        <f>IF(LEFT(B363,1)="6","Product","Protocol")</f>
        <v>Protocol</v>
      </c>
      <c r="I363" s="62" t="s">
        <v>42</v>
      </c>
      <c r="J363" s="62" t="s">
        <v>54</v>
      </c>
      <c r="K363" s="62" t="s">
        <v>9</v>
      </c>
      <c r="L363" s="70" t="s">
        <v>50</v>
      </c>
      <c r="M363" s="70" t="s">
        <v>153</v>
      </c>
    </row>
    <row r="364" spans="1:13" s="53" customFormat="1" ht="67.5" hidden="1" customHeight="1">
      <c r="A364" s="71" t="s">
        <v>1572</v>
      </c>
      <c r="B364" s="62" t="s">
        <v>552</v>
      </c>
      <c r="C364" s="77" t="s">
        <v>568</v>
      </c>
      <c r="G364" s="70"/>
      <c r="H364" s="70" t="str">
        <f t="shared" si="5"/>
        <v>Protocol</v>
      </c>
      <c r="I364" s="62" t="s">
        <v>42</v>
      </c>
      <c r="J364" s="62" t="s">
        <v>53</v>
      </c>
      <c r="K364" s="62" t="s">
        <v>9</v>
      </c>
      <c r="L364" s="70" t="s">
        <v>50</v>
      </c>
      <c r="M364" s="70" t="s">
        <v>153</v>
      </c>
    </row>
    <row r="365" spans="1:13" s="53" customFormat="1" ht="36" customHeight="1">
      <c r="A365" s="71" t="s">
        <v>1573</v>
      </c>
      <c r="B365" s="62" t="s">
        <v>552</v>
      </c>
      <c r="C365" s="77" t="s">
        <v>569</v>
      </c>
      <c r="G365" s="70"/>
      <c r="H365" s="70" t="str">
        <f t="shared" si="5"/>
        <v>Protocol</v>
      </c>
      <c r="I365" s="62" t="s">
        <v>41</v>
      </c>
      <c r="J365" s="62" t="s">
        <v>53</v>
      </c>
      <c r="K365" s="62" t="s">
        <v>9</v>
      </c>
      <c r="L365" s="70" t="s">
        <v>51</v>
      </c>
      <c r="M365" s="70" t="s">
        <v>225</v>
      </c>
    </row>
    <row r="366" spans="1:13" s="53" customFormat="1" ht="36" customHeight="1">
      <c r="A366" s="71" t="s">
        <v>1574</v>
      </c>
      <c r="B366" s="62" t="s">
        <v>552</v>
      </c>
      <c r="C366" s="77" t="s">
        <v>570</v>
      </c>
      <c r="F366" s="53" t="s">
        <v>571</v>
      </c>
      <c r="G366" s="70" t="s">
        <v>121</v>
      </c>
      <c r="H366" s="70" t="str">
        <f>IF(LEFT(B366,1)="6","Product","Protocol")</f>
        <v>Protocol</v>
      </c>
      <c r="I366" s="62" t="s">
        <v>41</v>
      </c>
      <c r="J366" s="62" t="s">
        <v>54</v>
      </c>
      <c r="K366" s="62" t="s">
        <v>9</v>
      </c>
      <c r="L366" s="70" t="s">
        <v>56</v>
      </c>
      <c r="M366" s="70" t="s">
        <v>2226</v>
      </c>
    </row>
    <row r="367" spans="1:13" s="53" customFormat="1" ht="34.5" hidden="1" customHeight="1">
      <c r="A367" s="71" t="s">
        <v>1575</v>
      </c>
      <c r="B367" s="62" t="s">
        <v>552</v>
      </c>
      <c r="C367" s="77" t="s">
        <v>572</v>
      </c>
      <c r="G367" s="70"/>
      <c r="H367" s="70" t="str">
        <f t="shared" si="5"/>
        <v>Protocol</v>
      </c>
      <c r="I367" s="62" t="s">
        <v>42</v>
      </c>
      <c r="J367" s="62" t="s">
        <v>53</v>
      </c>
      <c r="K367" s="62" t="s">
        <v>9</v>
      </c>
      <c r="L367" s="70" t="s">
        <v>50</v>
      </c>
      <c r="M367" s="70" t="s">
        <v>153</v>
      </c>
    </row>
    <row r="368" spans="1:13" s="53" customFormat="1" ht="39" hidden="1" customHeight="1">
      <c r="A368" s="71" t="s">
        <v>1576</v>
      </c>
      <c r="B368" s="62" t="s">
        <v>552</v>
      </c>
      <c r="C368" s="77" t="s">
        <v>573</v>
      </c>
      <c r="G368" s="70"/>
      <c r="H368" s="70" t="str">
        <f t="shared" si="5"/>
        <v>Protocol</v>
      </c>
      <c r="I368" s="62" t="s">
        <v>42</v>
      </c>
      <c r="J368" s="62" t="s">
        <v>53</v>
      </c>
      <c r="K368" s="62" t="s">
        <v>9</v>
      </c>
      <c r="L368" s="70" t="s">
        <v>50</v>
      </c>
      <c r="M368" s="70" t="s">
        <v>153</v>
      </c>
    </row>
    <row r="369" spans="1:13" s="53" customFormat="1" ht="30" hidden="1">
      <c r="A369" s="71" t="s">
        <v>1577</v>
      </c>
      <c r="B369" s="62" t="s">
        <v>552</v>
      </c>
      <c r="C369" s="77" t="s">
        <v>574</v>
      </c>
      <c r="G369" s="70"/>
      <c r="H369" s="70" t="str">
        <f t="shared" si="5"/>
        <v>Protocol</v>
      </c>
      <c r="I369" s="62" t="s">
        <v>42</v>
      </c>
      <c r="J369" s="62" t="s">
        <v>53</v>
      </c>
      <c r="K369" s="62" t="s">
        <v>9</v>
      </c>
      <c r="L369" s="70" t="s">
        <v>50</v>
      </c>
      <c r="M369" s="70" t="s">
        <v>153</v>
      </c>
    </row>
    <row r="370" spans="1:13" s="53" customFormat="1" ht="54" hidden="1" customHeight="1">
      <c r="A370" s="71" t="s">
        <v>1578</v>
      </c>
      <c r="B370" s="62" t="s">
        <v>552</v>
      </c>
      <c r="C370" s="77" t="s">
        <v>575</v>
      </c>
      <c r="G370" s="70"/>
      <c r="H370" s="70" t="str">
        <f t="shared" si="5"/>
        <v>Protocol</v>
      </c>
      <c r="I370" s="62" t="s">
        <v>42</v>
      </c>
      <c r="J370" s="62" t="s">
        <v>53</v>
      </c>
      <c r="K370" s="62" t="s">
        <v>9</v>
      </c>
      <c r="L370" s="70" t="s">
        <v>50</v>
      </c>
      <c r="M370" s="70" t="s">
        <v>153</v>
      </c>
    </row>
    <row r="371" spans="1:13" s="53" customFormat="1" ht="51" hidden="1" customHeight="1">
      <c r="A371" s="71" t="s">
        <v>1579</v>
      </c>
      <c r="B371" s="62" t="s">
        <v>552</v>
      </c>
      <c r="C371" s="77" t="s">
        <v>576</v>
      </c>
      <c r="D371" s="61"/>
      <c r="G371" s="70"/>
      <c r="H371" s="70" t="str">
        <f>IF(LEFT(B371,1)="6","Product","Protocol")</f>
        <v>Protocol</v>
      </c>
      <c r="I371" s="62" t="s">
        <v>42</v>
      </c>
      <c r="J371" s="62" t="s">
        <v>54</v>
      </c>
      <c r="K371" s="62" t="s">
        <v>9</v>
      </c>
      <c r="L371" s="70" t="s">
        <v>50</v>
      </c>
      <c r="M371" s="70" t="s">
        <v>153</v>
      </c>
    </row>
    <row r="372" spans="1:13" s="53" customFormat="1" ht="56.25" hidden="1" customHeight="1">
      <c r="A372" s="71" t="s">
        <v>1580</v>
      </c>
      <c r="B372" s="62" t="s">
        <v>552</v>
      </c>
      <c r="C372" s="77" t="s">
        <v>577</v>
      </c>
      <c r="G372" s="70"/>
      <c r="H372" s="70" t="str">
        <f>IF(LEFT(B372,1)="6","Product","Protocol")</f>
        <v>Protocol</v>
      </c>
      <c r="I372" s="62" t="s">
        <v>42</v>
      </c>
      <c r="J372" s="62" t="s">
        <v>54</v>
      </c>
      <c r="K372" s="62" t="s">
        <v>9</v>
      </c>
      <c r="L372" s="70" t="s">
        <v>50</v>
      </c>
      <c r="M372" s="70" t="s">
        <v>153</v>
      </c>
    </row>
    <row r="373" spans="1:13" s="53" customFormat="1" ht="66" hidden="1" customHeight="1">
      <c r="A373" s="71" t="s">
        <v>1581</v>
      </c>
      <c r="B373" s="62" t="s">
        <v>552</v>
      </c>
      <c r="C373" s="77" t="s">
        <v>578</v>
      </c>
      <c r="G373" s="70"/>
      <c r="H373" s="70" t="str">
        <f t="shared" si="5"/>
        <v>Protocol</v>
      </c>
      <c r="I373" s="62" t="s">
        <v>42</v>
      </c>
      <c r="J373" s="62" t="s">
        <v>53</v>
      </c>
      <c r="K373" s="62" t="s">
        <v>9</v>
      </c>
      <c r="L373" s="70" t="s">
        <v>50</v>
      </c>
      <c r="M373" s="70" t="s">
        <v>153</v>
      </c>
    </row>
    <row r="374" spans="1:13" s="53" customFormat="1" ht="33.75" customHeight="1">
      <c r="A374" s="71" t="s">
        <v>1582</v>
      </c>
      <c r="B374" s="62" t="s">
        <v>552</v>
      </c>
      <c r="C374" s="77" t="s">
        <v>579</v>
      </c>
      <c r="G374" s="70"/>
      <c r="H374" s="70" t="str">
        <f t="shared" si="5"/>
        <v>Protocol</v>
      </c>
      <c r="I374" s="62" t="s">
        <v>41</v>
      </c>
      <c r="J374" s="62" t="s">
        <v>53</v>
      </c>
      <c r="K374" s="62" t="s">
        <v>9</v>
      </c>
      <c r="L374" s="70" t="s">
        <v>51</v>
      </c>
      <c r="M374" s="70" t="s">
        <v>225</v>
      </c>
    </row>
    <row r="375" spans="1:13" s="53" customFormat="1" ht="37.5" customHeight="1">
      <c r="A375" s="71" t="s">
        <v>1583</v>
      </c>
      <c r="B375" s="62" t="s">
        <v>552</v>
      </c>
      <c r="C375" s="77" t="s">
        <v>580</v>
      </c>
      <c r="F375" s="53" t="s">
        <v>581</v>
      </c>
      <c r="G375" s="70" t="s">
        <v>121</v>
      </c>
      <c r="H375" s="70" t="str">
        <f>IF(LEFT(B375,1)="6","Product","Protocol")</f>
        <v>Protocol</v>
      </c>
      <c r="I375" s="62" t="s">
        <v>41</v>
      </c>
      <c r="J375" s="62" t="s">
        <v>54</v>
      </c>
      <c r="K375" s="62" t="s">
        <v>9</v>
      </c>
      <c r="L375" s="70" t="s">
        <v>56</v>
      </c>
      <c r="M375" s="70" t="s">
        <v>2226</v>
      </c>
    </row>
    <row r="376" spans="1:13" s="53" customFormat="1" ht="36.75" hidden="1" customHeight="1">
      <c r="A376" s="71" t="s">
        <v>1584</v>
      </c>
      <c r="B376" s="62" t="s">
        <v>552</v>
      </c>
      <c r="C376" s="77" t="s">
        <v>582</v>
      </c>
      <c r="G376" s="70"/>
      <c r="H376" s="70" t="str">
        <f t="shared" si="5"/>
        <v>Protocol</v>
      </c>
      <c r="I376" s="62" t="s">
        <v>42</v>
      </c>
      <c r="J376" s="62" t="s">
        <v>53</v>
      </c>
      <c r="K376" s="62" t="s">
        <v>9</v>
      </c>
      <c r="L376" s="70" t="s">
        <v>50</v>
      </c>
      <c r="M376" s="70" t="s">
        <v>153</v>
      </c>
    </row>
    <row r="377" spans="1:13" s="53" customFormat="1" ht="41.25" hidden="1" customHeight="1">
      <c r="A377" s="71" t="s">
        <v>1585</v>
      </c>
      <c r="B377" s="62" t="s">
        <v>552</v>
      </c>
      <c r="C377" s="77" t="s">
        <v>583</v>
      </c>
      <c r="G377" s="70"/>
      <c r="H377" s="70" t="str">
        <f t="shared" si="5"/>
        <v>Protocol</v>
      </c>
      <c r="I377" s="62" t="s">
        <v>42</v>
      </c>
      <c r="J377" s="62" t="s">
        <v>53</v>
      </c>
      <c r="K377" s="62" t="s">
        <v>9</v>
      </c>
      <c r="L377" s="70" t="s">
        <v>50</v>
      </c>
      <c r="M377" s="70" t="s">
        <v>153</v>
      </c>
    </row>
    <row r="378" spans="1:13" s="53" customFormat="1" ht="49.5" hidden="1" customHeight="1">
      <c r="A378" s="71" t="s">
        <v>1586</v>
      </c>
      <c r="B378" s="62" t="s">
        <v>552</v>
      </c>
      <c r="C378" s="77" t="s">
        <v>584</v>
      </c>
      <c r="G378" s="70"/>
      <c r="H378" s="70" t="str">
        <f t="shared" si="5"/>
        <v>Protocol</v>
      </c>
      <c r="I378" s="62" t="s">
        <v>42</v>
      </c>
      <c r="J378" s="62" t="s">
        <v>53</v>
      </c>
      <c r="K378" s="62" t="s">
        <v>9</v>
      </c>
      <c r="L378" s="70" t="s">
        <v>50</v>
      </c>
      <c r="M378" s="70" t="s">
        <v>153</v>
      </c>
    </row>
    <row r="379" spans="1:13" s="53" customFormat="1" ht="57.75" hidden="1" customHeight="1">
      <c r="A379" s="71" t="s">
        <v>1587</v>
      </c>
      <c r="B379" s="62" t="s">
        <v>552</v>
      </c>
      <c r="C379" s="77" t="s">
        <v>585</v>
      </c>
      <c r="D379" s="61"/>
      <c r="G379" s="70"/>
      <c r="H379" s="70" t="str">
        <f t="shared" si="5"/>
        <v>Protocol</v>
      </c>
      <c r="I379" s="62" t="s">
        <v>42</v>
      </c>
      <c r="J379" s="62" t="s">
        <v>53</v>
      </c>
      <c r="K379" s="62" t="s">
        <v>9</v>
      </c>
      <c r="L379" s="70" t="s">
        <v>50</v>
      </c>
      <c r="M379" s="70" t="s">
        <v>153</v>
      </c>
    </row>
    <row r="380" spans="1:13" s="53" customFormat="1" ht="62.25" hidden="1" customHeight="1">
      <c r="A380" s="71" t="s">
        <v>1588</v>
      </c>
      <c r="B380" s="62" t="s">
        <v>552</v>
      </c>
      <c r="C380" s="77" t="s">
        <v>586</v>
      </c>
      <c r="G380" s="70"/>
      <c r="H380" s="70" t="str">
        <f t="shared" si="5"/>
        <v>Protocol</v>
      </c>
      <c r="I380" s="62" t="s">
        <v>42</v>
      </c>
      <c r="J380" s="62" t="s">
        <v>53</v>
      </c>
      <c r="K380" s="62" t="s">
        <v>9</v>
      </c>
      <c r="L380" s="70" t="s">
        <v>50</v>
      </c>
      <c r="M380" s="70" t="s">
        <v>153</v>
      </c>
    </row>
    <row r="381" spans="1:13" s="53" customFormat="1" ht="36.75" customHeight="1">
      <c r="A381" s="71" t="s">
        <v>1589</v>
      </c>
      <c r="B381" s="62" t="s">
        <v>552</v>
      </c>
      <c r="C381" s="77" t="s">
        <v>587</v>
      </c>
      <c r="G381" s="70"/>
      <c r="H381" s="70" t="str">
        <f t="shared" si="5"/>
        <v>Protocol</v>
      </c>
      <c r="I381" s="62" t="s">
        <v>41</v>
      </c>
      <c r="J381" s="62" t="s">
        <v>53</v>
      </c>
      <c r="K381" s="62" t="s">
        <v>9</v>
      </c>
      <c r="L381" s="70" t="s">
        <v>51</v>
      </c>
      <c r="M381" s="70" t="s">
        <v>225</v>
      </c>
    </row>
    <row r="382" spans="1:13" s="53" customFormat="1" ht="39.75" customHeight="1">
      <c r="A382" s="71" t="s">
        <v>1590</v>
      </c>
      <c r="B382" s="62" t="s">
        <v>552</v>
      </c>
      <c r="C382" s="77" t="s">
        <v>588</v>
      </c>
      <c r="F382" s="53" t="s">
        <v>589</v>
      </c>
      <c r="G382" s="70"/>
      <c r="H382" s="70" t="str">
        <f>IF(LEFT(B382,1)="6","Product","Protocol")</f>
        <v>Protocol</v>
      </c>
      <c r="I382" s="62" t="s">
        <v>41</v>
      </c>
      <c r="J382" s="62" t="s">
        <v>54</v>
      </c>
      <c r="K382" s="62" t="s">
        <v>9</v>
      </c>
      <c r="L382" s="70" t="s">
        <v>50</v>
      </c>
      <c r="M382" s="70" t="s">
        <v>2251</v>
      </c>
    </row>
    <row r="383" spans="1:13" s="53" customFormat="1" ht="36.75" hidden="1" customHeight="1">
      <c r="A383" s="71" t="s">
        <v>1591</v>
      </c>
      <c r="B383" s="62" t="s">
        <v>552</v>
      </c>
      <c r="C383" s="77" t="s">
        <v>590</v>
      </c>
      <c r="G383" s="70"/>
      <c r="H383" s="70" t="str">
        <f t="shared" si="5"/>
        <v>Protocol</v>
      </c>
      <c r="I383" s="62" t="s">
        <v>42</v>
      </c>
      <c r="J383" s="62" t="s">
        <v>53</v>
      </c>
      <c r="K383" s="62" t="s">
        <v>9</v>
      </c>
      <c r="L383" s="70" t="s">
        <v>50</v>
      </c>
      <c r="M383" s="70" t="s">
        <v>153</v>
      </c>
    </row>
    <row r="384" spans="1:13" s="53" customFormat="1" ht="45" hidden="1" customHeight="1">
      <c r="A384" s="71" t="s">
        <v>1592</v>
      </c>
      <c r="B384" s="62" t="s">
        <v>552</v>
      </c>
      <c r="C384" s="77" t="s">
        <v>591</v>
      </c>
      <c r="G384" s="70"/>
      <c r="H384" s="70" t="str">
        <f t="shared" si="5"/>
        <v>Protocol</v>
      </c>
      <c r="I384" s="62" t="s">
        <v>42</v>
      </c>
      <c r="J384" s="62" t="s">
        <v>53</v>
      </c>
      <c r="K384" s="62" t="s">
        <v>9</v>
      </c>
      <c r="L384" s="70" t="s">
        <v>50</v>
      </c>
      <c r="M384" s="70" t="s">
        <v>153</v>
      </c>
    </row>
    <row r="385" spans="1:13" s="53" customFormat="1" ht="120">
      <c r="A385" s="71" t="s">
        <v>1593</v>
      </c>
      <c r="B385" s="62" t="s">
        <v>592</v>
      </c>
      <c r="C385" s="77" t="s">
        <v>593</v>
      </c>
      <c r="G385" s="73" t="s">
        <v>2219</v>
      </c>
      <c r="H385" s="70" t="str">
        <f t="shared" si="5"/>
        <v>Protocol</v>
      </c>
      <c r="I385" s="62" t="s">
        <v>30</v>
      </c>
      <c r="J385" s="62" t="s">
        <v>54</v>
      </c>
      <c r="K385" s="62" t="s">
        <v>9</v>
      </c>
      <c r="L385" s="70" t="s">
        <v>56</v>
      </c>
      <c r="M385" s="70" t="s">
        <v>2226</v>
      </c>
    </row>
    <row r="386" spans="1:13" s="53" customFormat="1" ht="55.5" customHeight="1">
      <c r="A386" s="71" t="s">
        <v>1594</v>
      </c>
      <c r="B386" s="62" t="s">
        <v>592</v>
      </c>
      <c r="C386" s="77" t="s">
        <v>594</v>
      </c>
      <c r="G386" s="73"/>
      <c r="H386" s="70" t="str">
        <f>IF(LEFT(B386,1)="6","Product","Protocol")</f>
        <v>Protocol</v>
      </c>
      <c r="I386" s="62" t="s">
        <v>30</v>
      </c>
      <c r="J386" s="62" t="s">
        <v>54</v>
      </c>
      <c r="K386" s="62" t="s">
        <v>9</v>
      </c>
      <c r="L386" s="70" t="s">
        <v>50</v>
      </c>
      <c r="M386" s="73" t="s">
        <v>2241</v>
      </c>
    </row>
    <row r="387" spans="1:13" s="53" customFormat="1" ht="30" hidden="1">
      <c r="A387" s="71" t="s">
        <v>1595</v>
      </c>
      <c r="B387" s="62" t="s">
        <v>96</v>
      </c>
      <c r="C387" s="77" t="s">
        <v>595</v>
      </c>
      <c r="G387" s="70"/>
      <c r="H387" s="70" t="str">
        <f t="shared" si="5"/>
        <v>Product</v>
      </c>
      <c r="I387" s="62" t="s">
        <v>42</v>
      </c>
      <c r="J387" s="62" t="s">
        <v>54</v>
      </c>
      <c r="K387" s="62" t="s">
        <v>9</v>
      </c>
      <c r="L387" s="70" t="s">
        <v>50</v>
      </c>
      <c r="M387" s="70" t="s">
        <v>153</v>
      </c>
    </row>
    <row r="388" spans="1:13" s="53" customFormat="1" ht="60" hidden="1">
      <c r="A388" s="71" t="s">
        <v>1596</v>
      </c>
      <c r="B388" s="62" t="s">
        <v>592</v>
      </c>
      <c r="C388" s="77" t="s">
        <v>596</v>
      </c>
      <c r="G388" s="70"/>
      <c r="H388" s="70" t="str">
        <f>IF(LEFT(B388,1)="6","Product","Protocol")</f>
        <v>Protocol</v>
      </c>
      <c r="I388" s="62" t="s">
        <v>42</v>
      </c>
      <c r="J388" s="62" t="s">
        <v>55</v>
      </c>
      <c r="K388" s="62" t="s">
        <v>9</v>
      </c>
      <c r="L388" s="70" t="s">
        <v>50</v>
      </c>
      <c r="M388" s="70" t="s">
        <v>153</v>
      </c>
    </row>
    <row r="389" spans="1:13" s="53" customFormat="1" ht="60">
      <c r="A389" s="71" t="s">
        <v>1597</v>
      </c>
      <c r="B389" s="62" t="s">
        <v>592</v>
      </c>
      <c r="C389" s="77" t="s">
        <v>597</v>
      </c>
      <c r="G389" s="70" t="s">
        <v>149</v>
      </c>
      <c r="H389" s="70" t="str">
        <f t="shared" si="5"/>
        <v>Protocol</v>
      </c>
      <c r="I389" s="62" t="s">
        <v>41</v>
      </c>
      <c r="J389" s="62" t="s">
        <v>53</v>
      </c>
      <c r="K389" s="62" t="s">
        <v>9</v>
      </c>
      <c r="L389" s="70" t="s">
        <v>56</v>
      </c>
      <c r="M389" s="70" t="s">
        <v>2226</v>
      </c>
    </row>
    <row r="390" spans="1:13" s="53" customFormat="1" ht="33" hidden="1" customHeight="1">
      <c r="A390" s="71" t="s">
        <v>1598</v>
      </c>
      <c r="B390" s="62" t="s">
        <v>592</v>
      </c>
      <c r="C390" s="77" t="s">
        <v>598</v>
      </c>
      <c r="G390" s="70"/>
      <c r="H390" s="70" t="str">
        <f t="shared" si="5"/>
        <v>Protocol</v>
      </c>
      <c r="I390" s="62" t="s">
        <v>42</v>
      </c>
      <c r="J390" s="62" t="s">
        <v>53</v>
      </c>
      <c r="K390" s="62" t="s">
        <v>9</v>
      </c>
      <c r="L390" s="70" t="s">
        <v>50</v>
      </c>
      <c r="M390" s="70" t="s">
        <v>153</v>
      </c>
    </row>
    <row r="391" spans="1:13" s="53" customFormat="1" ht="38.25" customHeight="1">
      <c r="A391" s="71" t="s">
        <v>1599</v>
      </c>
      <c r="B391" s="62" t="s">
        <v>592</v>
      </c>
      <c r="C391" s="77" t="s">
        <v>599</v>
      </c>
      <c r="G391" s="70"/>
      <c r="H391" s="70" t="str">
        <f t="shared" si="5"/>
        <v>Protocol</v>
      </c>
      <c r="I391" s="62" t="s">
        <v>30</v>
      </c>
      <c r="J391" s="62" t="s">
        <v>53</v>
      </c>
      <c r="K391" s="62" t="s">
        <v>9</v>
      </c>
      <c r="L391" s="70" t="s">
        <v>51</v>
      </c>
      <c r="M391" s="70" t="s">
        <v>225</v>
      </c>
    </row>
    <row r="392" spans="1:13" s="53" customFormat="1" ht="30">
      <c r="A392" s="71" t="s">
        <v>1600</v>
      </c>
      <c r="B392" s="62" t="s">
        <v>592</v>
      </c>
      <c r="C392" s="77" t="s">
        <v>600</v>
      </c>
      <c r="G392" s="73" t="s">
        <v>2219</v>
      </c>
      <c r="H392" s="70" t="str">
        <f t="shared" si="5"/>
        <v>Protocol</v>
      </c>
      <c r="I392" s="62" t="s">
        <v>30</v>
      </c>
      <c r="J392" s="62" t="s">
        <v>53</v>
      </c>
      <c r="K392" s="62" t="s">
        <v>9</v>
      </c>
      <c r="L392" s="70" t="s">
        <v>56</v>
      </c>
      <c r="M392" s="70" t="s">
        <v>2226</v>
      </c>
    </row>
    <row r="393" spans="1:13" s="53" customFormat="1" ht="30">
      <c r="A393" s="71" t="s">
        <v>1601</v>
      </c>
      <c r="B393" s="62" t="s">
        <v>592</v>
      </c>
      <c r="C393" s="77" t="s">
        <v>601</v>
      </c>
      <c r="F393" s="53" t="s">
        <v>602</v>
      </c>
      <c r="G393" s="73"/>
      <c r="H393" s="70" t="str">
        <f>IF(LEFT(B393,1)="6","Product","Protocol")</f>
        <v>Protocol</v>
      </c>
      <c r="I393" s="62" t="s">
        <v>41</v>
      </c>
      <c r="J393" s="62" t="s">
        <v>54</v>
      </c>
      <c r="K393" s="62" t="s">
        <v>9</v>
      </c>
      <c r="L393" s="70" t="s">
        <v>50</v>
      </c>
      <c r="M393" s="73" t="s">
        <v>2241</v>
      </c>
    </row>
    <row r="394" spans="1:13" s="53" customFormat="1" ht="33.75" customHeight="1">
      <c r="A394" s="71" t="s">
        <v>1602</v>
      </c>
      <c r="B394" s="62" t="s">
        <v>603</v>
      </c>
      <c r="C394" s="77" t="s">
        <v>604</v>
      </c>
      <c r="G394" s="70" t="s">
        <v>23</v>
      </c>
      <c r="H394" s="70" t="str">
        <f t="shared" si="5"/>
        <v>Protocol</v>
      </c>
      <c r="I394" s="62" t="s">
        <v>30</v>
      </c>
      <c r="J394" s="62" t="s">
        <v>53</v>
      </c>
      <c r="K394" s="62" t="s">
        <v>9</v>
      </c>
      <c r="L394" s="70" t="s">
        <v>56</v>
      </c>
      <c r="M394" s="70" t="s">
        <v>2226</v>
      </c>
    </row>
    <row r="395" spans="1:13" s="53" customFormat="1" ht="51.75" customHeight="1">
      <c r="A395" s="71" t="s">
        <v>1603</v>
      </c>
      <c r="B395" s="62" t="s">
        <v>603</v>
      </c>
      <c r="C395" s="77" t="s">
        <v>605</v>
      </c>
      <c r="G395" s="70" t="s">
        <v>23</v>
      </c>
      <c r="H395" s="70" t="str">
        <f t="shared" si="5"/>
        <v>Protocol</v>
      </c>
      <c r="I395" s="62" t="s">
        <v>30</v>
      </c>
      <c r="J395" s="62" t="s">
        <v>54</v>
      </c>
      <c r="K395" s="62" t="s">
        <v>9</v>
      </c>
      <c r="L395" s="70" t="s">
        <v>56</v>
      </c>
      <c r="M395" s="70" t="s">
        <v>2226</v>
      </c>
    </row>
    <row r="396" spans="1:13" s="53" customFormat="1" ht="46.5" customHeight="1">
      <c r="A396" s="71" t="s">
        <v>1604</v>
      </c>
      <c r="B396" s="62" t="s">
        <v>603</v>
      </c>
      <c r="C396" s="77" t="s">
        <v>606</v>
      </c>
      <c r="G396" s="70" t="s">
        <v>23</v>
      </c>
      <c r="H396" s="70" t="str">
        <f t="shared" si="5"/>
        <v>Protocol</v>
      </c>
      <c r="I396" s="62" t="s">
        <v>30</v>
      </c>
      <c r="J396" s="62" t="s">
        <v>54</v>
      </c>
      <c r="K396" s="62" t="s">
        <v>9</v>
      </c>
      <c r="L396" s="70" t="s">
        <v>56</v>
      </c>
      <c r="M396" s="70" t="s">
        <v>2226</v>
      </c>
    </row>
    <row r="397" spans="1:13" s="53" customFormat="1" ht="45.75" customHeight="1">
      <c r="A397" s="71" t="s">
        <v>1605</v>
      </c>
      <c r="B397" s="62" t="s">
        <v>603</v>
      </c>
      <c r="C397" s="77" t="s">
        <v>607</v>
      </c>
      <c r="G397" s="70" t="s">
        <v>23</v>
      </c>
      <c r="H397" s="70" t="str">
        <f t="shared" si="5"/>
        <v>Protocol</v>
      </c>
      <c r="I397" s="62" t="s">
        <v>30</v>
      </c>
      <c r="J397" s="62" t="s">
        <v>54</v>
      </c>
      <c r="K397" s="62" t="s">
        <v>9</v>
      </c>
      <c r="L397" s="70" t="s">
        <v>56</v>
      </c>
      <c r="M397" s="70" t="s">
        <v>2226</v>
      </c>
    </row>
    <row r="398" spans="1:13" s="53" customFormat="1" ht="55.5" customHeight="1">
      <c r="A398" s="71" t="s">
        <v>1606</v>
      </c>
      <c r="B398" s="62" t="s">
        <v>603</v>
      </c>
      <c r="C398" s="77" t="s">
        <v>608</v>
      </c>
      <c r="G398" s="70" t="s">
        <v>23</v>
      </c>
      <c r="H398" s="70" t="str">
        <f t="shared" si="5"/>
        <v>Protocol</v>
      </c>
      <c r="I398" s="62" t="s">
        <v>30</v>
      </c>
      <c r="J398" s="62" t="s">
        <v>54</v>
      </c>
      <c r="K398" s="62" t="s">
        <v>9</v>
      </c>
      <c r="L398" s="70" t="s">
        <v>56</v>
      </c>
      <c r="M398" s="70" t="s">
        <v>2226</v>
      </c>
    </row>
    <row r="399" spans="1:13" s="53" customFormat="1" ht="64.5" customHeight="1">
      <c r="A399" s="71" t="s">
        <v>1607</v>
      </c>
      <c r="B399" s="62" t="s">
        <v>603</v>
      </c>
      <c r="C399" s="77" t="s">
        <v>609</v>
      </c>
      <c r="G399" s="70" t="s">
        <v>23</v>
      </c>
      <c r="H399" s="70" t="str">
        <f t="shared" si="5"/>
        <v>Protocol</v>
      </c>
      <c r="I399" s="62" t="s">
        <v>30</v>
      </c>
      <c r="J399" s="62" t="s">
        <v>54</v>
      </c>
      <c r="K399" s="62" t="s">
        <v>9</v>
      </c>
      <c r="L399" s="70" t="s">
        <v>56</v>
      </c>
      <c r="M399" s="70" t="s">
        <v>2226</v>
      </c>
    </row>
    <row r="400" spans="1:13" s="53" customFormat="1" ht="61.5" customHeight="1">
      <c r="A400" s="71" t="s">
        <v>1608</v>
      </c>
      <c r="B400" s="62" t="s">
        <v>603</v>
      </c>
      <c r="C400" s="77" t="s">
        <v>610</v>
      </c>
      <c r="G400" s="70" t="s">
        <v>23</v>
      </c>
      <c r="H400" s="70" t="str">
        <f t="shared" si="5"/>
        <v>Protocol</v>
      </c>
      <c r="I400" s="62" t="s">
        <v>30</v>
      </c>
      <c r="J400" s="62" t="s">
        <v>54</v>
      </c>
      <c r="K400" s="62" t="s">
        <v>9</v>
      </c>
      <c r="L400" s="70" t="s">
        <v>56</v>
      </c>
      <c r="M400" s="70" t="s">
        <v>2226</v>
      </c>
    </row>
    <row r="401" spans="1:13" s="53" customFormat="1" ht="54.75" customHeight="1">
      <c r="A401" s="71" t="s">
        <v>1609</v>
      </c>
      <c r="B401" s="62" t="s">
        <v>603</v>
      </c>
      <c r="C401" s="77" t="s">
        <v>611</v>
      </c>
      <c r="G401" s="70" t="s">
        <v>23</v>
      </c>
      <c r="H401" s="70" t="str">
        <f t="shared" si="5"/>
        <v>Protocol</v>
      </c>
      <c r="I401" s="62" t="s">
        <v>30</v>
      </c>
      <c r="J401" s="62" t="s">
        <v>53</v>
      </c>
      <c r="K401" s="62" t="s">
        <v>9</v>
      </c>
      <c r="L401" s="70" t="s">
        <v>56</v>
      </c>
      <c r="M401" s="70" t="s">
        <v>2226</v>
      </c>
    </row>
    <row r="402" spans="1:13" s="53" customFormat="1" ht="260.25" customHeight="1">
      <c r="A402" s="71" t="s">
        <v>1610</v>
      </c>
      <c r="B402" s="62" t="s">
        <v>603</v>
      </c>
      <c r="C402" s="77" t="s">
        <v>612</v>
      </c>
      <c r="G402" s="70"/>
      <c r="H402" s="70" t="str">
        <f t="shared" si="5"/>
        <v>Protocol</v>
      </c>
      <c r="I402" s="62" t="s">
        <v>30</v>
      </c>
      <c r="J402" s="62" t="s">
        <v>53</v>
      </c>
      <c r="K402" s="62" t="s">
        <v>9</v>
      </c>
      <c r="L402" s="70" t="s">
        <v>50</v>
      </c>
      <c r="M402" s="70" t="s">
        <v>2248</v>
      </c>
    </row>
    <row r="403" spans="1:13" s="53" customFormat="1" ht="55.5" customHeight="1">
      <c r="A403" s="71" t="s">
        <v>1611</v>
      </c>
      <c r="B403" s="62" t="s">
        <v>603</v>
      </c>
      <c r="C403" s="77" t="s">
        <v>613</v>
      </c>
      <c r="G403" s="70" t="s">
        <v>23</v>
      </c>
      <c r="H403" s="70" t="str">
        <f t="shared" si="5"/>
        <v>Protocol</v>
      </c>
      <c r="I403" s="62" t="s">
        <v>30</v>
      </c>
      <c r="J403" s="62" t="s">
        <v>54</v>
      </c>
      <c r="K403" s="62" t="s">
        <v>9</v>
      </c>
      <c r="L403" s="70" t="s">
        <v>56</v>
      </c>
      <c r="M403" s="70" t="s">
        <v>2226</v>
      </c>
    </row>
    <row r="404" spans="1:13" s="53" customFormat="1" ht="45" customHeight="1">
      <c r="A404" s="71" t="s">
        <v>1612</v>
      </c>
      <c r="B404" s="62" t="s">
        <v>603</v>
      </c>
      <c r="C404" s="77" t="s">
        <v>614</v>
      </c>
      <c r="G404" s="70" t="s">
        <v>23</v>
      </c>
      <c r="H404" s="70" t="str">
        <f t="shared" si="5"/>
        <v>Protocol</v>
      </c>
      <c r="I404" s="62" t="s">
        <v>30</v>
      </c>
      <c r="J404" s="62" t="s">
        <v>54</v>
      </c>
      <c r="K404" s="62" t="s">
        <v>9</v>
      </c>
      <c r="L404" s="70" t="s">
        <v>56</v>
      </c>
      <c r="M404" s="70" t="s">
        <v>2226</v>
      </c>
    </row>
    <row r="405" spans="1:13" s="53" customFormat="1" ht="54" customHeight="1">
      <c r="A405" s="71" t="s">
        <v>1613</v>
      </c>
      <c r="B405" s="62" t="s">
        <v>603</v>
      </c>
      <c r="C405" s="77" t="s">
        <v>615</v>
      </c>
      <c r="G405" s="70" t="s">
        <v>23</v>
      </c>
      <c r="H405" s="70" t="str">
        <f t="shared" si="5"/>
        <v>Protocol</v>
      </c>
      <c r="I405" s="62" t="s">
        <v>30</v>
      </c>
      <c r="J405" s="62" t="s">
        <v>54</v>
      </c>
      <c r="K405" s="62" t="s">
        <v>9</v>
      </c>
      <c r="L405" s="70" t="s">
        <v>56</v>
      </c>
      <c r="M405" s="70" t="s">
        <v>2226</v>
      </c>
    </row>
    <row r="406" spans="1:13" s="53" customFormat="1" ht="51" hidden="1" customHeight="1">
      <c r="A406" s="71" t="s">
        <v>1614</v>
      </c>
      <c r="B406" s="62" t="s">
        <v>96</v>
      </c>
      <c r="C406" s="77" t="s">
        <v>616</v>
      </c>
      <c r="F406" s="53" t="s">
        <v>617</v>
      </c>
      <c r="G406" s="70"/>
      <c r="H406" s="70" t="s">
        <v>618</v>
      </c>
      <c r="I406" s="62" t="s">
        <v>30</v>
      </c>
      <c r="J406" s="62" t="s">
        <v>54</v>
      </c>
      <c r="K406" s="62" t="s">
        <v>8</v>
      </c>
      <c r="L406" s="70" t="s">
        <v>2228</v>
      </c>
      <c r="M406" s="70" t="s">
        <v>2250</v>
      </c>
    </row>
    <row r="407" spans="1:13" s="53" customFormat="1" ht="51" customHeight="1">
      <c r="A407" s="71" t="s">
        <v>1615</v>
      </c>
      <c r="B407" s="62" t="s">
        <v>603</v>
      </c>
      <c r="C407" s="77" t="s">
        <v>619</v>
      </c>
      <c r="G407" s="70" t="s">
        <v>23</v>
      </c>
      <c r="H407" s="70" t="str">
        <f t="shared" si="5"/>
        <v>Protocol</v>
      </c>
      <c r="I407" s="62" t="s">
        <v>30</v>
      </c>
      <c r="J407" s="62" t="s">
        <v>54</v>
      </c>
      <c r="K407" s="62" t="s">
        <v>9</v>
      </c>
      <c r="L407" s="70" t="s">
        <v>56</v>
      </c>
      <c r="M407" s="70" t="s">
        <v>2226</v>
      </c>
    </row>
    <row r="408" spans="1:13" s="53" customFormat="1" ht="55.5" customHeight="1">
      <c r="A408" s="71" t="s">
        <v>1616</v>
      </c>
      <c r="B408" s="62" t="s">
        <v>603</v>
      </c>
      <c r="C408" s="77" t="s">
        <v>620</v>
      </c>
      <c r="G408" s="70" t="s">
        <v>23</v>
      </c>
      <c r="H408" s="70" t="str">
        <f t="shared" si="5"/>
        <v>Protocol</v>
      </c>
      <c r="I408" s="62" t="s">
        <v>30</v>
      </c>
      <c r="J408" s="62" t="s">
        <v>54</v>
      </c>
      <c r="K408" s="62" t="s">
        <v>9</v>
      </c>
      <c r="L408" s="70" t="s">
        <v>56</v>
      </c>
      <c r="M408" s="70" t="s">
        <v>2226</v>
      </c>
    </row>
    <row r="409" spans="1:13" s="53" customFormat="1" ht="75" customHeight="1">
      <c r="A409" s="71" t="s">
        <v>1617</v>
      </c>
      <c r="B409" s="62" t="s">
        <v>603</v>
      </c>
      <c r="C409" s="77" t="s">
        <v>621</v>
      </c>
      <c r="G409" s="70" t="s">
        <v>23</v>
      </c>
      <c r="H409" s="70" t="str">
        <f t="shared" si="5"/>
        <v>Protocol</v>
      </c>
      <c r="I409" s="62" t="s">
        <v>30</v>
      </c>
      <c r="J409" s="62" t="s">
        <v>54</v>
      </c>
      <c r="K409" s="62" t="s">
        <v>9</v>
      </c>
      <c r="L409" s="70" t="s">
        <v>56</v>
      </c>
      <c r="M409" s="70" t="s">
        <v>2226</v>
      </c>
    </row>
    <row r="410" spans="1:13" s="53" customFormat="1" ht="55.5" customHeight="1">
      <c r="A410" s="71" t="s">
        <v>1618</v>
      </c>
      <c r="B410" s="62" t="s">
        <v>603</v>
      </c>
      <c r="C410" s="77" t="s">
        <v>622</v>
      </c>
      <c r="G410" s="70" t="s">
        <v>23</v>
      </c>
      <c r="H410" s="70" t="str">
        <f t="shared" si="5"/>
        <v>Protocol</v>
      </c>
      <c r="I410" s="62" t="s">
        <v>30</v>
      </c>
      <c r="J410" s="62" t="s">
        <v>54</v>
      </c>
      <c r="K410" s="62" t="s">
        <v>9</v>
      </c>
      <c r="L410" s="70" t="s">
        <v>56</v>
      </c>
      <c r="M410" s="70" t="s">
        <v>2226</v>
      </c>
    </row>
    <row r="411" spans="1:13" s="53" customFormat="1" ht="51" hidden="1" customHeight="1">
      <c r="A411" s="71" t="s">
        <v>1619</v>
      </c>
      <c r="B411" s="62" t="s">
        <v>623</v>
      </c>
      <c r="C411" s="77" t="s">
        <v>624</v>
      </c>
      <c r="G411" s="70"/>
      <c r="H411" s="70" t="str">
        <f t="shared" si="5"/>
        <v>Protocol</v>
      </c>
      <c r="I411" s="62" t="s">
        <v>42</v>
      </c>
      <c r="J411" s="62" t="s">
        <v>53</v>
      </c>
      <c r="K411" s="62" t="s">
        <v>9</v>
      </c>
      <c r="L411" s="70" t="s">
        <v>50</v>
      </c>
      <c r="M411" s="70" t="s">
        <v>153</v>
      </c>
    </row>
    <row r="412" spans="1:13" s="53" customFormat="1" ht="58.5" customHeight="1">
      <c r="A412" s="71" t="s">
        <v>1620</v>
      </c>
      <c r="B412" s="62" t="s">
        <v>623</v>
      </c>
      <c r="C412" s="77" t="s">
        <v>625</v>
      </c>
      <c r="G412" s="70"/>
      <c r="H412" s="70" t="str">
        <f t="shared" si="5"/>
        <v>Protocol</v>
      </c>
      <c r="I412" s="62" t="s">
        <v>41</v>
      </c>
      <c r="J412" s="62" t="s">
        <v>53</v>
      </c>
      <c r="K412" s="62" t="s">
        <v>9</v>
      </c>
      <c r="L412" s="70" t="s">
        <v>51</v>
      </c>
      <c r="M412" s="70" t="s">
        <v>2215</v>
      </c>
    </row>
    <row r="413" spans="1:13" s="53" customFormat="1" ht="69.75" hidden="1" customHeight="1">
      <c r="A413" s="71" t="s">
        <v>1621</v>
      </c>
      <c r="B413" s="62" t="s">
        <v>623</v>
      </c>
      <c r="C413" s="77" t="s">
        <v>626</v>
      </c>
      <c r="G413" s="70"/>
      <c r="H413" s="70" t="str">
        <f t="shared" si="5"/>
        <v>Protocol</v>
      </c>
      <c r="I413" s="62" t="s">
        <v>42</v>
      </c>
      <c r="J413" s="62" t="s">
        <v>53</v>
      </c>
      <c r="K413" s="62" t="s">
        <v>9</v>
      </c>
      <c r="L413" s="70" t="s">
        <v>50</v>
      </c>
      <c r="M413" s="70" t="s">
        <v>153</v>
      </c>
    </row>
    <row r="414" spans="1:13" s="53" customFormat="1" ht="71.25" hidden="1" customHeight="1">
      <c r="A414" s="71" t="s">
        <v>1622</v>
      </c>
      <c r="B414" s="62" t="s">
        <v>623</v>
      </c>
      <c r="C414" s="77" t="s">
        <v>627</v>
      </c>
      <c r="G414" s="70"/>
      <c r="H414" s="70" t="str">
        <f t="shared" si="5"/>
        <v>Protocol</v>
      </c>
      <c r="I414" s="62" t="s">
        <v>42</v>
      </c>
      <c r="J414" s="62" t="s">
        <v>54</v>
      </c>
      <c r="K414" s="62" t="s">
        <v>8</v>
      </c>
      <c r="L414" s="70" t="s">
        <v>50</v>
      </c>
      <c r="M414" s="70" t="s">
        <v>231</v>
      </c>
    </row>
    <row r="415" spans="1:13" s="53" customFormat="1" ht="57" hidden="1" customHeight="1">
      <c r="A415" s="71" t="s">
        <v>1623</v>
      </c>
      <c r="B415" s="62" t="s">
        <v>623</v>
      </c>
      <c r="C415" s="77" t="s">
        <v>628</v>
      </c>
      <c r="G415" s="70"/>
      <c r="H415" s="70" t="str">
        <f t="shared" si="5"/>
        <v>Protocol</v>
      </c>
      <c r="I415" s="62" t="s">
        <v>42</v>
      </c>
      <c r="J415" s="62" t="s">
        <v>53</v>
      </c>
      <c r="K415" s="62" t="s">
        <v>9</v>
      </c>
      <c r="L415" s="70" t="s">
        <v>50</v>
      </c>
      <c r="M415" s="70" t="s">
        <v>153</v>
      </c>
    </row>
    <row r="416" spans="1:13" s="53" customFormat="1" ht="58.5" customHeight="1">
      <c r="A416" s="71" t="s">
        <v>1624</v>
      </c>
      <c r="B416" s="62" t="s">
        <v>623</v>
      </c>
      <c r="C416" s="77" t="s">
        <v>629</v>
      </c>
      <c r="G416" s="70"/>
      <c r="H416" s="70" t="str">
        <f t="shared" si="5"/>
        <v>Protocol</v>
      </c>
      <c r="I416" s="62" t="s">
        <v>41</v>
      </c>
      <c r="J416" s="62" t="s">
        <v>53</v>
      </c>
      <c r="K416" s="62" t="s">
        <v>9</v>
      </c>
      <c r="L416" s="70" t="s">
        <v>51</v>
      </c>
      <c r="M416" s="70" t="s">
        <v>2215</v>
      </c>
    </row>
    <row r="417" spans="1:13" s="53" customFormat="1" ht="57.75" hidden="1" customHeight="1">
      <c r="A417" s="71" t="s">
        <v>1625</v>
      </c>
      <c r="B417" s="62" t="s">
        <v>623</v>
      </c>
      <c r="C417" s="77" t="s">
        <v>630</v>
      </c>
      <c r="G417" s="70"/>
      <c r="H417" s="70" t="str">
        <f t="shared" si="5"/>
        <v>Protocol</v>
      </c>
      <c r="I417" s="62" t="s">
        <v>42</v>
      </c>
      <c r="J417" s="62" t="s">
        <v>53</v>
      </c>
      <c r="K417" s="62" t="s">
        <v>9</v>
      </c>
      <c r="L417" s="70" t="s">
        <v>50</v>
      </c>
      <c r="M417" s="70" t="s">
        <v>153</v>
      </c>
    </row>
    <row r="418" spans="1:13" s="53" customFormat="1" ht="68.25" hidden="1" customHeight="1">
      <c r="A418" s="71" t="s">
        <v>1626</v>
      </c>
      <c r="B418" s="62" t="s">
        <v>623</v>
      </c>
      <c r="C418" s="77" t="s">
        <v>631</v>
      </c>
      <c r="G418" s="70"/>
      <c r="H418" s="70" t="str">
        <f>IF(LEFT(B418,1)="6","Product","Protocol")</f>
        <v>Protocol</v>
      </c>
      <c r="I418" s="62" t="s">
        <v>42</v>
      </c>
      <c r="J418" s="62" t="s">
        <v>54</v>
      </c>
      <c r="K418" s="62" t="s">
        <v>9</v>
      </c>
      <c r="L418" s="70" t="s">
        <v>50</v>
      </c>
      <c r="M418" s="70" t="s">
        <v>153</v>
      </c>
    </row>
    <row r="419" spans="1:13" s="53" customFormat="1" ht="50.25" hidden="1" customHeight="1">
      <c r="A419" s="71" t="s">
        <v>1627</v>
      </c>
      <c r="B419" s="62" t="s">
        <v>623</v>
      </c>
      <c r="C419" s="77" t="s">
        <v>632</v>
      </c>
      <c r="G419" s="70"/>
      <c r="H419" s="70" t="str">
        <f>IF(LEFT(B419,1)="6","Product","Protocol")</f>
        <v>Protocol</v>
      </c>
      <c r="I419" s="62" t="s">
        <v>42</v>
      </c>
      <c r="J419" s="62" t="s">
        <v>54</v>
      </c>
      <c r="K419" s="62" t="s">
        <v>9</v>
      </c>
      <c r="L419" s="70" t="s">
        <v>50</v>
      </c>
      <c r="M419" s="70" t="s">
        <v>153</v>
      </c>
    </row>
    <row r="420" spans="1:13" s="53" customFormat="1" ht="57.75" hidden="1" customHeight="1">
      <c r="A420" s="71" t="s">
        <v>1628</v>
      </c>
      <c r="B420" s="62" t="s">
        <v>623</v>
      </c>
      <c r="C420" s="77" t="s">
        <v>633</v>
      </c>
      <c r="G420" s="70"/>
      <c r="H420" s="70" t="str">
        <f t="shared" si="5"/>
        <v>Protocol</v>
      </c>
      <c r="I420" s="62" t="s">
        <v>42</v>
      </c>
      <c r="J420" s="62" t="s">
        <v>53</v>
      </c>
      <c r="K420" s="62" t="s">
        <v>9</v>
      </c>
      <c r="L420" s="70" t="s">
        <v>50</v>
      </c>
      <c r="M420" s="70" t="s">
        <v>153</v>
      </c>
    </row>
    <row r="421" spans="1:13" s="53" customFormat="1" ht="58.5" customHeight="1">
      <c r="A421" s="71" t="s">
        <v>1629</v>
      </c>
      <c r="B421" s="62" t="s">
        <v>623</v>
      </c>
      <c r="C421" s="77" t="s">
        <v>634</v>
      </c>
      <c r="G421" s="70"/>
      <c r="H421" s="70" t="str">
        <f t="shared" si="5"/>
        <v>Protocol</v>
      </c>
      <c r="I421" s="62" t="s">
        <v>41</v>
      </c>
      <c r="J421" s="62" t="s">
        <v>53</v>
      </c>
      <c r="K421" s="62" t="s">
        <v>9</v>
      </c>
      <c r="L421" s="70" t="s">
        <v>51</v>
      </c>
      <c r="M421" s="70" t="s">
        <v>2215</v>
      </c>
    </row>
    <row r="422" spans="1:13" s="53" customFormat="1" ht="36.75" hidden="1" customHeight="1">
      <c r="A422" s="71" t="s">
        <v>1630</v>
      </c>
      <c r="B422" s="62" t="s">
        <v>623</v>
      </c>
      <c r="C422" s="77" t="s">
        <v>635</v>
      </c>
      <c r="G422" s="70"/>
      <c r="H422" s="70" t="str">
        <f t="shared" si="5"/>
        <v>Protocol</v>
      </c>
      <c r="I422" s="62" t="s">
        <v>42</v>
      </c>
      <c r="J422" s="62" t="s">
        <v>53</v>
      </c>
      <c r="K422" s="62" t="s">
        <v>9</v>
      </c>
      <c r="L422" s="70" t="s">
        <v>50</v>
      </c>
      <c r="M422" s="70" t="s">
        <v>153</v>
      </c>
    </row>
    <row r="423" spans="1:13" s="53" customFormat="1" ht="46.5" hidden="1" customHeight="1">
      <c r="A423" s="71" t="s">
        <v>1631</v>
      </c>
      <c r="B423" s="62" t="s">
        <v>623</v>
      </c>
      <c r="C423" s="77" t="s">
        <v>636</v>
      </c>
      <c r="G423" s="70"/>
      <c r="H423" s="70" t="str">
        <f t="shared" si="5"/>
        <v>Protocol</v>
      </c>
      <c r="I423" s="62" t="s">
        <v>42</v>
      </c>
      <c r="J423" s="62" t="s">
        <v>53</v>
      </c>
      <c r="K423" s="62" t="s">
        <v>9</v>
      </c>
      <c r="L423" s="70" t="s">
        <v>50</v>
      </c>
      <c r="M423" s="70" t="s">
        <v>153</v>
      </c>
    </row>
    <row r="424" spans="1:13" s="53" customFormat="1" ht="54" hidden="1" customHeight="1">
      <c r="A424" s="71" t="s">
        <v>1632</v>
      </c>
      <c r="B424" s="62" t="s">
        <v>637</v>
      </c>
      <c r="C424" s="77" t="s">
        <v>2134</v>
      </c>
      <c r="G424" s="70"/>
      <c r="H424" s="70" t="str">
        <f t="shared" si="5"/>
        <v>Protocol</v>
      </c>
      <c r="I424" s="62" t="s">
        <v>42</v>
      </c>
      <c r="J424" s="62" t="s">
        <v>53</v>
      </c>
      <c r="K424" s="62" t="s">
        <v>9</v>
      </c>
      <c r="L424" s="70" t="s">
        <v>50</v>
      </c>
      <c r="M424" s="70" t="s">
        <v>153</v>
      </c>
    </row>
    <row r="425" spans="1:13" s="53" customFormat="1" ht="54" customHeight="1">
      <c r="A425" s="71" t="s">
        <v>1633</v>
      </c>
      <c r="B425" s="62" t="s">
        <v>637</v>
      </c>
      <c r="C425" s="77" t="s">
        <v>638</v>
      </c>
      <c r="G425" s="70" t="s">
        <v>23</v>
      </c>
      <c r="H425" s="70" t="str">
        <f t="shared" si="5"/>
        <v>Protocol</v>
      </c>
      <c r="I425" s="62" t="s">
        <v>41</v>
      </c>
      <c r="J425" s="62" t="s">
        <v>53</v>
      </c>
      <c r="K425" s="62" t="s">
        <v>9</v>
      </c>
      <c r="L425" s="70" t="s">
        <v>56</v>
      </c>
      <c r="M425" s="70" t="s">
        <v>2226</v>
      </c>
    </row>
    <row r="426" spans="1:13" s="53" customFormat="1" ht="39.75" hidden="1" customHeight="1">
      <c r="A426" s="71" t="s">
        <v>1634</v>
      </c>
      <c r="B426" s="62" t="s">
        <v>637</v>
      </c>
      <c r="C426" s="77" t="s">
        <v>639</v>
      </c>
      <c r="G426" s="70"/>
      <c r="H426" s="70" t="str">
        <f t="shared" si="5"/>
        <v>Protocol</v>
      </c>
      <c r="I426" s="62" t="s">
        <v>42</v>
      </c>
      <c r="J426" s="62" t="s">
        <v>53</v>
      </c>
      <c r="K426" s="62" t="s">
        <v>9</v>
      </c>
      <c r="L426" s="70" t="s">
        <v>50</v>
      </c>
      <c r="M426" s="70" t="s">
        <v>153</v>
      </c>
    </row>
    <row r="427" spans="1:13" s="53" customFormat="1" ht="141" customHeight="1">
      <c r="A427" s="71" t="s">
        <v>1635</v>
      </c>
      <c r="B427" s="62" t="s">
        <v>640</v>
      </c>
      <c r="C427" s="77" t="s">
        <v>641</v>
      </c>
      <c r="G427" s="70" t="s">
        <v>149</v>
      </c>
      <c r="H427" s="70" t="str">
        <f t="shared" si="5"/>
        <v>Protocol</v>
      </c>
      <c r="I427" s="62" t="s">
        <v>41</v>
      </c>
      <c r="J427" s="62" t="s">
        <v>53</v>
      </c>
      <c r="K427" s="62" t="s">
        <v>9</v>
      </c>
      <c r="L427" s="70" t="s">
        <v>56</v>
      </c>
      <c r="M427" s="70" t="s">
        <v>2227</v>
      </c>
    </row>
    <row r="428" spans="1:13" s="53" customFormat="1" ht="45" hidden="1">
      <c r="A428" s="71" t="s">
        <v>1636</v>
      </c>
      <c r="B428" s="62" t="s">
        <v>96</v>
      </c>
      <c r="C428" s="77" t="s">
        <v>642</v>
      </c>
      <c r="G428" s="70"/>
      <c r="H428" s="70" t="s">
        <v>142</v>
      </c>
      <c r="I428" s="62" t="s">
        <v>42</v>
      </c>
      <c r="J428" s="62" t="s">
        <v>54</v>
      </c>
      <c r="K428" s="62" t="s">
        <v>9</v>
      </c>
      <c r="L428" s="70" t="s">
        <v>50</v>
      </c>
      <c r="M428" s="70" t="s">
        <v>153</v>
      </c>
    </row>
    <row r="429" spans="1:13" s="53" customFormat="1" ht="54" hidden="1" customHeight="1">
      <c r="A429" s="71" t="s">
        <v>1637</v>
      </c>
      <c r="B429" s="62" t="s">
        <v>96</v>
      </c>
      <c r="C429" s="77" t="s">
        <v>643</v>
      </c>
      <c r="G429" s="70"/>
      <c r="H429" s="70" t="s">
        <v>142</v>
      </c>
      <c r="I429" s="62" t="s">
        <v>42</v>
      </c>
      <c r="J429" s="62" t="s">
        <v>54</v>
      </c>
      <c r="K429" s="62" t="s">
        <v>9</v>
      </c>
      <c r="L429" s="70" t="s">
        <v>50</v>
      </c>
      <c r="M429" s="70" t="s">
        <v>153</v>
      </c>
    </row>
    <row r="430" spans="1:13" s="53" customFormat="1" ht="52.5" hidden="1" customHeight="1">
      <c r="A430" s="71" t="s">
        <v>1638</v>
      </c>
      <c r="B430" s="62" t="s">
        <v>640</v>
      </c>
      <c r="C430" s="77" t="s">
        <v>644</v>
      </c>
      <c r="G430" s="70"/>
      <c r="H430" s="70" t="str">
        <f t="shared" si="5"/>
        <v>Protocol</v>
      </c>
      <c r="I430" s="62" t="s">
        <v>42</v>
      </c>
      <c r="J430" s="62" t="s">
        <v>53</v>
      </c>
      <c r="K430" s="62" t="s">
        <v>9</v>
      </c>
      <c r="L430" s="70" t="s">
        <v>50</v>
      </c>
      <c r="M430" s="70" t="s">
        <v>153</v>
      </c>
    </row>
    <row r="431" spans="1:13" s="53" customFormat="1" ht="51.75" hidden="1" customHeight="1">
      <c r="A431" s="71" t="s">
        <v>1639</v>
      </c>
      <c r="B431" s="62" t="s">
        <v>640</v>
      </c>
      <c r="C431" s="77" t="s">
        <v>645</v>
      </c>
      <c r="G431" s="70"/>
      <c r="H431" s="70" t="str">
        <f t="shared" si="5"/>
        <v>Protocol</v>
      </c>
      <c r="I431" s="62" t="s">
        <v>42</v>
      </c>
      <c r="J431" s="62" t="s">
        <v>54</v>
      </c>
      <c r="K431" s="62" t="s">
        <v>9</v>
      </c>
      <c r="L431" s="70" t="s">
        <v>50</v>
      </c>
      <c r="M431" s="70" t="s">
        <v>153</v>
      </c>
    </row>
    <row r="432" spans="1:13" s="53" customFormat="1" ht="41.25" hidden="1" customHeight="1">
      <c r="A432" s="71" t="s">
        <v>1640</v>
      </c>
      <c r="B432" s="62" t="s">
        <v>640</v>
      </c>
      <c r="C432" s="77" t="s">
        <v>646</v>
      </c>
      <c r="G432" s="70"/>
      <c r="H432" s="70" t="str">
        <f t="shared" si="5"/>
        <v>Protocol</v>
      </c>
      <c r="I432" s="62" t="s">
        <v>42</v>
      </c>
      <c r="J432" s="62" t="s">
        <v>53</v>
      </c>
      <c r="K432" s="62" t="s">
        <v>9</v>
      </c>
      <c r="L432" s="70" t="s">
        <v>50</v>
      </c>
      <c r="M432" s="70" t="s">
        <v>153</v>
      </c>
    </row>
    <row r="433" spans="1:13" s="53" customFormat="1" ht="80.25" hidden="1" customHeight="1">
      <c r="A433" s="71" t="s">
        <v>1641</v>
      </c>
      <c r="B433" s="62" t="s">
        <v>640</v>
      </c>
      <c r="C433" s="77" t="s">
        <v>647</v>
      </c>
      <c r="G433" s="70"/>
      <c r="H433" s="70" t="str">
        <f t="shared" si="5"/>
        <v>Protocol</v>
      </c>
      <c r="I433" s="62" t="s">
        <v>42</v>
      </c>
      <c r="J433" s="62" t="s">
        <v>53</v>
      </c>
      <c r="K433" s="62" t="s">
        <v>9</v>
      </c>
      <c r="L433" s="70" t="s">
        <v>50</v>
      </c>
      <c r="M433" s="70" t="s">
        <v>153</v>
      </c>
    </row>
    <row r="434" spans="1:13" s="53" customFormat="1" ht="48.75" customHeight="1">
      <c r="A434" s="71" t="s">
        <v>1642</v>
      </c>
      <c r="B434" s="62" t="s">
        <v>640</v>
      </c>
      <c r="C434" s="77" t="s">
        <v>648</v>
      </c>
      <c r="G434" s="70"/>
      <c r="H434" s="70" t="str">
        <f>IF(LEFT(B434,1)="6","Product","Protocol")</f>
        <v>Protocol</v>
      </c>
      <c r="I434" s="62" t="s">
        <v>41</v>
      </c>
      <c r="J434" s="62" t="s">
        <v>53</v>
      </c>
      <c r="K434" s="62" t="s">
        <v>9</v>
      </c>
      <c r="L434" s="70" t="s">
        <v>51</v>
      </c>
      <c r="M434" s="70" t="s">
        <v>225</v>
      </c>
    </row>
    <row r="435" spans="1:13" s="53" customFormat="1" ht="41.25" customHeight="1">
      <c r="A435" s="71" t="s">
        <v>1643</v>
      </c>
      <c r="B435" s="62" t="s">
        <v>640</v>
      </c>
      <c r="C435" s="77" t="s">
        <v>649</v>
      </c>
      <c r="F435" s="53" t="s">
        <v>650</v>
      </c>
      <c r="G435" s="70" t="s">
        <v>149</v>
      </c>
      <c r="H435" s="70" t="str">
        <f>IF(LEFT(B435,1)="6","Product","Protocol")</f>
        <v>Protocol</v>
      </c>
      <c r="I435" s="62" t="s">
        <v>41</v>
      </c>
      <c r="J435" s="62" t="s">
        <v>54</v>
      </c>
      <c r="K435" s="62" t="s">
        <v>9</v>
      </c>
      <c r="L435" s="70" t="s">
        <v>56</v>
      </c>
      <c r="M435" s="70" t="s">
        <v>2226</v>
      </c>
    </row>
    <row r="436" spans="1:13" s="53" customFormat="1" ht="56.25" hidden="1" customHeight="1">
      <c r="A436" s="71" t="s">
        <v>1644</v>
      </c>
      <c r="B436" s="62" t="s">
        <v>640</v>
      </c>
      <c r="C436" s="77" t="s">
        <v>651</v>
      </c>
      <c r="G436" s="70"/>
      <c r="H436" s="70" t="str">
        <f t="shared" ref="H436:H507" si="6">IF(LEFT(B436,1)="6","Product","Protocol")</f>
        <v>Protocol</v>
      </c>
      <c r="I436" s="62" t="s">
        <v>42</v>
      </c>
      <c r="J436" s="62" t="s">
        <v>54</v>
      </c>
      <c r="K436" s="62" t="s">
        <v>9</v>
      </c>
      <c r="L436" s="70" t="s">
        <v>50</v>
      </c>
      <c r="M436" s="70" t="s">
        <v>153</v>
      </c>
    </row>
    <row r="437" spans="1:13" s="53" customFormat="1" ht="60" customHeight="1">
      <c r="A437" s="71" t="s">
        <v>1645</v>
      </c>
      <c r="B437" s="62" t="s">
        <v>640</v>
      </c>
      <c r="C437" s="77" t="s">
        <v>652</v>
      </c>
      <c r="G437" s="70"/>
      <c r="H437" s="70" t="str">
        <f t="shared" si="6"/>
        <v>Protocol</v>
      </c>
      <c r="I437" s="62" t="s">
        <v>41</v>
      </c>
      <c r="J437" s="62" t="s">
        <v>53</v>
      </c>
      <c r="K437" s="62" t="s">
        <v>9</v>
      </c>
      <c r="L437" s="70" t="s">
        <v>51</v>
      </c>
      <c r="M437" s="70" t="s">
        <v>225</v>
      </c>
    </row>
    <row r="438" spans="1:13" s="53" customFormat="1" ht="43.5" customHeight="1">
      <c r="A438" s="71" t="s">
        <v>1646</v>
      </c>
      <c r="B438" s="62" t="s">
        <v>640</v>
      </c>
      <c r="C438" s="77" t="s">
        <v>653</v>
      </c>
      <c r="F438" s="53" t="s">
        <v>654</v>
      </c>
      <c r="G438" s="70" t="s">
        <v>149</v>
      </c>
      <c r="H438" s="70" t="str">
        <f>IF(LEFT(B438,1)="6","Product","Protocol")</f>
        <v>Protocol</v>
      </c>
      <c r="I438" s="62" t="s">
        <v>41</v>
      </c>
      <c r="J438" s="62" t="s">
        <v>54</v>
      </c>
      <c r="K438" s="62" t="s">
        <v>9</v>
      </c>
      <c r="L438" s="70" t="s">
        <v>56</v>
      </c>
      <c r="M438" s="70" t="s">
        <v>2226</v>
      </c>
    </row>
    <row r="439" spans="1:13" s="53" customFormat="1" ht="57" hidden="1" customHeight="1">
      <c r="A439" s="71" t="s">
        <v>1647</v>
      </c>
      <c r="B439" s="62" t="s">
        <v>640</v>
      </c>
      <c r="C439" s="77" t="s">
        <v>655</v>
      </c>
      <c r="G439" s="70"/>
      <c r="H439" s="70" t="str">
        <f t="shared" si="6"/>
        <v>Protocol</v>
      </c>
      <c r="I439" s="62" t="s">
        <v>42</v>
      </c>
      <c r="J439" s="62" t="s">
        <v>53</v>
      </c>
      <c r="K439" s="62" t="s">
        <v>9</v>
      </c>
      <c r="L439" s="70" t="s">
        <v>50</v>
      </c>
      <c r="M439" s="70" t="s">
        <v>153</v>
      </c>
    </row>
    <row r="440" spans="1:13" s="53" customFormat="1" ht="64.5" hidden="1" customHeight="1">
      <c r="A440" s="71" t="s">
        <v>1648</v>
      </c>
      <c r="B440" s="62" t="s">
        <v>640</v>
      </c>
      <c r="C440" s="77" t="s">
        <v>656</v>
      </c>
      <c r="G440" s="70"/>
      <c r="H440" s="70" t="str">
        <f t="shared" si="6"/>
        <v>Protocol</v>
      </c>
      <c r="I440" s="62" t="s">
        <v>42</v>
      </c>
      <c r="J440" s="62" t="s">
        <v>53</v>
      </c>
      <c r="K440" s="62" t="s">
        <v>9</v>
      </c>
      <c r="L440" s="70" t="s">
        <v>50</v>
      </c>
      <c r="M440" s="70" t="s">
        <v>153</v>
      </c>
    </row>
    <row r="441" spans="1:13" s="53" customFormat="1" ht="38.25" hidden="1" customHeight="1">
      <c r="A441" s="71" t="s">
        <v>1649</v>
      </c>
      <c r="B441" s="62" t="s">
        <v>640</v>
      </c>
      <c r="C441" s="77" t="s">
        <v>657</v>
      </c>
      <c r="G441" s="70"/>
      <c r="H441" s="70" t="str">
        <f t="shared" si="6"/>
        <v>Protocol</v>
      </c>
      <c r="I441" s="62" t="s">
        <v>42</v>
      </c>
      <c r="J441" s="62" t="s">
        <v>53</v>
      </c>
      <c r="K441" s="62" t="s">
        <v>9</v>
      </c>
      <c r="L441" s="70" t="s">
        <v>50</v>
      </c>
      <c r="M441" s="70" t="s">
        <v>153</v>
      </c>
    </row>
    <row r="442" spans="1:13" s="53" customFormat="1" ht="78.75" hidden="1" customHeight="1">
      <c r="A442" s="71" t="s">
        <v>1650</v>
      </c>
      <c r="B442" s="62" t="s">
        <v>640</v>
      </c>
      <c r="C442" s="77" t="s">
        <v>658</v>
      </c>
      <c r="G442" s="70"/>
      <c r="H442" s="70" t="str">
        <f t="shared" si="6"/>
        <v>Protocol</v>
      </c>
      <c r="I442" s="62" t="s">
        <v>42</v>
      </c>
      <c r="J442" s="62" t="s">
        <v>53</v>
      </c>
      <c r="K442" s="62" t="s">
        <v>9</v>
      </c>
      <c r="L442" s="70" t="s">
        <v>50</v>
      </c>
      <c r="M442" s="70" t="s">
        <v>153</v>
      </c>
    </row>
    <row r="443" spans="1:13" s="53" customFormat="1" ht="45" customHeight="1">
      <c r="A443" s="71" t="s">
        <v>1651</v>
      </c>
      <c r="B443" s="62" t="s">
        <v>640</v>
      </c>
      <c r="C443" s="77" t="s">
        <v>659</v>
      </c>
      <c r="G443" s="70"/>
      <c r="H443" s="70" t="str">
        <f t="shared" si="6"/>
        <v>Protocol</v>
      </c>
      <c r="I443" s="62" t="s">
        <v>41</v>
      </c>
      <c r="J443" s="62" t="s">
        <v>53</v>
      </c>
      <c r="K443" s="62" t="s">
        <v>9</v>
      </c>
      <c r="L443" s="70" t="s">
        <v>51</v>
      </c>
      <c r="M443" s="70" t="s">
        <v>225</v>
      </c>
    </row>
    <row r="444" spans="1:13" s="53" customFormat="1" ht="48" customHeight="1">
      <c r="A444" s="71" t="s">
        <v>1652</v>
      </c>
      <c r="B444" s="62" t="s">
        <v>640</v>
      </c>
      <c r="C444" s="77" t="s">
        <v>660</v>
      </c>
      <c r="F444" s="53" t="s">
        <v>661</v>
      </c>
      <c r="G444" s="70" t="s">
        <v>149</v>
      </c>
      <c r="H444" s="70" t="str">
        <f>IF(LEFT(B444,1)="6","Product","Protocol")</f>
        <v>Protocol</v>
      </c>
      <c r="I444" s="62" t="s">
        <v>41</v>
      </c>
      <c r="J444" s="62" t="s">
        <v>54</v>
      </c>
      <c r="K444" s="62" t="s">
        <v>9</v>
      </c>
      <c r="L444" s="70" t="s">
        <v>56</v>
      </c>
      <c r="M444" s="70" t="s">
        <v>2226</v>
      </c>
    </row>
    <row r="445" spans="1:13" s="53" customFormat="1" ht="45" hidden="1">
      <c r="A445" s="71" t="s">
        <v>1653</v>
      </c>
      <c r="B445" s="62" t="s">
        <v>640</v>
      </c>
      <c r="C445" s="77" t="s">
        <v>662</v>
      </c>
      <c r="G445" s="70"/>
      <c r="H445" s="70" t="str">
        <f t="shared" si="6"/>
        <v>Protocol</v>
      </c>
      <c r="I445" s="62" t="s">
        <v>42</v>
      </c>
      <c r="J445" s="62" t="s">
        <v>54</v>
      </c>
      <c r="K445" s="62" t="s">
        <v>9</v>
      </c>
      <c r="L445" s="70" t="s">
        <v>50</v>
      </c>
      <c r="M445" s="70" t="s">
        <v>153</v>
      </c>
    </row>
    <row r="446" spans="1:13" s="53" customFormat="1" ht="30" hidden="1">
      <c r="A446" s="71" t="s">
        <v>1654</v>
      </c>
      <c r="B446" s="62" t="s">
        <v>640</v>
      </c>
      <c r="C446" s="77" t="s">
        <v>663</v>
      </c>
      <c r="G446" s="70"/>
      <c r="H446" s="70" t="str">
        <f t="shared" si="6"/>
        <v>Protocol</v>
      </c>
      <c r="I446" s="62" t="s">
        <v>42</v>
      </c>
      <c r="J446" s="62" t="s">
        <v>53</v>
      </c>
      <c r="K446" s="62" t="s">
        <v>9</v>
      </c>
      <c r="L446" s="70" t="s">
        <v>50</v>
      </c>
      <c r="M446" s="70" t="s">
        <v>153</v>
      </c>
    </row>
    <row r="447" spans="1:13" s="53" customFormat="1" ht="45" hidden="1">
      <c r="A447" s="71" t="s">
        <v>1655</v>
      </c>
      <c r="B447" s="62" t="s">
        <v>640</v>
      </c>
      <c r="C447" s="77" t="s">
        <v>664</v>
      </c>
      <c r="G447" s="70"/>
      <c r="H447" s="70" t="str">
        <f t="shared" si="6"/>
        <v>Protocol</v>
      </c>
      <c r="I447" s="62" t="s">
        <v>42</v>
      </c>
      <c r="J447" s="62" t="s">
        <v>54</v>
      </c>
      <c r="K447" s="62" t="s">
        <v>9</v>
      </c>
      <c r="L447" s="70" t="s">
        <v>50</v>
      </c>
      <c r="M447" s="70" t="s">
        <v>153</v>
      </c>
    </row>
    <row r="448" spans="1:13" s="53" customFormat="1" ht="45" hidden="1">
      <c r="A448" s="71" t="s">
        <v>1656</v>
      </c>
      <c r="B448" s="62" t="s">
        <v>640</v>
      </c>
      <c r="C448" s="77" t="s">
        <v>665</v>
      </c>
      <c r="G448" s="70"/>
      <c r="H448" s="70" t="str">
        <f t="shared" si="6"/>
        <v>Protocol</v>
      </c>
      <c r="I448" s="62" t="s">
        <v>42</v>
      </c>
      <c r="J448" s="62" t="s">
        <v>54</v>
      </c>
      <c r="K448" s="62" t="s">
        <v>9</v>
      </c>
      <c r="L448" s="70" t="s">
        <v>50</v>
      </c>
      <c r="M448" s="70" t="s">
        <v>153</v>
      </c>
    </row>
    <row r="449" spans="1:13" s="53" customFormat="1" ht="30" hidden="1">
      <c r="A449" s="71" t="s">
        <v>1657</v>
      </c>
      <c r="B449" s="62" t="s">
        <v>640</v>
      </c>
      <c r="C449" s="77" t="s">
        <v>666</v>
      </c>
      <c r="G449" s="70"/>
      <c r="H449" s="70" t="str">
        <f t="shared" si="6"/>
        <v>Protocol</v>
      </c>
      <c r="I449" s="62" t="s">
        <v>42</v>
      </c>
      <c r="J449" s="62" t="s">
        <v>53</v>
      </c>
      <c r="K449" s="62" t="s">
        <v>9</v>
      </c>
      <c r="L449" s="70" t="s">
        <v>50</v>
      </c>
      <c r="M449" s="70" t="s">
        <v>153</v>
      </c>
    </row>
    <row r="450" spans="1:13" s="53" customFormat="1" ht="75" hidden="1">
      <c r="A450" s="71" t="s">
        <v>1658</v>
      </c>
      <c r="B450" s="62" t="s">
        <v>640</v>
      </c>
      <c r="C450" s="77" t="s">
        <v>667</v>
      </c>
      <c r="G450" s="70"/>
      <c r="H450" s="70" t="str">
        <f t="shared" si="6"/>
        <v>Protocol</v>
      </c>
      <c r="I450" s="62" t="s">
        <v>42</v>
      </c>
      <c r="J450" s="62" t="s">
        <v>53</v>
      </c>
      <c r="K450" s="62" t="s">
        <v>9</v>
      </c>
      <c r="L450" s="70" t="s">
        <v>50</v>
      </c>
      <c r="M450" s="70" t="s">
        <v>153</v>
      </c>
    </row>
    <row r="451" spans="1:13" s="53" customFormat="1" ht="69" customHeight="1">
      <c r="A451" s="71" t="s">
        <v>1659</v>
      </c>
      <c r="B451" s="62" t="s">
        <v>640</v>
      </c>
      <c r="C451" s="77" t="s">
        <v>668</v>
      </c>
      <c r="G451" s="70"/>
      <c r="H451" s="70" t="str">
        <f t="shared" si="6"/>
        <v>Protocol</v>
      </c>
      <c r="I451" s="62" t="s">
        <v>41</v>
      </c>
      <c r="J451" s="62" t="s">
        <v>53</v>
      </c>
      <c r="K451" s="62" t="s">
        <v>9</v>
      </c>
      <c r="L451" s="70" t="s">
        <v>51</v>
      </c>
      <c r="M451" s="70" t="s">
        <v>225</v>
      </c>
    </row>
    <row r="452" spans="1:13" s="53" customFormat="1" ht="48.75" customHeight="1">
      <c r="A452" s="71" t="s">
        <v>1660</v>
      </c>
      <c r="B452" s="62" t="s">
        <v>640</v>
      </c>
      <c r="C452" s="77" t="s">
        <v>669</v>
      </c>
      <c r="F452" s="53" t="s">
        <v>670</v>
      </c>
      <c r="G452" s="70" t="s">
        <v>149</v>
      </c>
      <c r="H452" s="70" t="str">
        <f>IF(LEFT(B452,1)="6","Product","Protocol")</f>
        <v>Protocol</v>
      </c>
      <c r="I452" s="62" t="s">
        <v>41</v>
      </c>
      <c r="J452" s="62" t="s">
        <v>54</v>
      </c>
      <c r="K452" s="62" t="s">
        <v>9</v>
      </c>
      <c r="L452" s="70" t="s">
        <v>56</v>
      </c>
      <c r="M452" s="70" t="s">
        <v>2226</v>
      </c>
    </row>
    <row r="453" spans="1:13" s="53" customFormat="1" ht="45" hidden="1">
      <c r="A453" s="71" t="s">
        <v>1661</v>
      </c>
      <c r="B453" s="62" t="s">
        <v>640</v>
      </c>
      <c r="C453" s="77" t="s">
        <v>671</v>
      </c>
      <c r="G453" s="70"/>
      <c r="H453" s="70" t="str">
        <f t="shared" si="6"/>
        <v>Protocol</v>
      </c>
      <c r="I453" s="62" t="s">
        <v>42</v>
      </c>
      <c r="J453" s="62" t="s">
        <v>54</v>
      </c>
      <c r="K453" s="62" t="s">
        <v>9</v>
      </c>
      <c r="L453" s="70" t="s">
        <v>50</v>
      </c>
      <c r="M453" s="70" t="s">
        <v>153</v>
      </c>
    </row>
    <row r="454" spans="1:13" s="53" customFormat="1" ht="30" hidden="1">
      <c r="A454" s="71" t="s">
        <v>1662</v>
      </c>
      <c r="B454" s="62" t="s">
        <v>640</v>
      </c>
      <c r="C454" s="77" t="s">
        <v>672</v>
      </c>
      <c r="G454" s="70"/>
      <c r="H454" s="70" t="str">
        <f t="shared" si="6"/>
        <v>Protocol</v>
      </c>
      <c r="I454" s="62" t="s">
        <v>42</v>
      </c>
      <c r="J454" s="62" t="s">
        <v>54</v>
      </c>
      <c r="K454" s="62" t="s">
        <v>9</v>
      </c>
      <c r="L454" s="70" t="s">
        <v>50</v>
      </c>
      <c r="M454" s="70" t="s">
        <v>153</v>
      </c>
    </row>
    <row r="455" spans="1:13" s="53" customFormat="1" ht="30" hidden="1">
      <c r="A455" s="71" t="s">
        <v>1663</v>
      </c>
      <c r="B455" s="62" t="s">
        <v>640</v>
      </c>
      <c r="C455" s="77" t="s">
        <v>673</v>
      </c>
      <c r="G455" s="70"/>
      <c r="H455" s="70" t="str">
        <f t="shared" si="6"/>
        <v>Protocol</v>
      </c>
      <c r="I455" s="62" t="s">
        <v>42</v>
      </c>
      <c r="J455" s="62" t="s">
        <v>53</v>
      </c>
      <c r="K455" s="62" t="s">
        <v>9</v>
      </c>
      <c r="L455" s="70" t="s">
        <v>50</v>
      </c>
      <c r="M455" s="70" t="s">
        <v>153</v>
      </c>
    </row>
    <row r="456" spans="1:13" s="53" customFormat="1" ht="57" customHeight="1">
      <c r="A456" s="71" t="s">
        <v>1664</v>
      </c>
      <c r="B456" s="62" t="s">
        <v>674</v>
      </c>
      <c r="C456" s="78" t="s">
        <v>2193</v>
      </c>
      <c r="G456" s="70" t="s">
        <v>149</v>
      </c>
      <c r="H456" s="70" t="str">
        <f t="shared" si="6"/>
        <v>Protocol</v>
      </c>
      <c r="I456" s="62" t="s">
        <v>41</v>
      </c>
      <c r="J456" s="62" t="s">
        <v>54</v>
      </c>
      <c r="K456" s="62" t="s">
        <v>9</v>
      </c>
      <c r="L456" s="70" t="s">
        <v>56</v>
      </c>
      <c r="M456" s="70" t="s">
        <v>2226</v>
      </c>
    </row>
    <row r="457" spans="1:13" s="53" customFormat="1" ht="48" customHeight="1">
      <c r="A457" s="71" t="s">
        <v>1665</v>
      </c>
      <c r="B457" s="62" t="s">
        <v>674</v>
      </c>
      <c r="C457" s="78" t="s">
        <v>2194</v>
      </c>
      <c r="G457" s="70" t="s">
        <v>149</v>
      </c>
      <c r="H457" s="70" t="str">
        <f t="shared" si="6"/>
        <v>Protocol</v>
      </c>
      <c r="I457" s="62" t="s">
        <v>41</v>
      </c>
      <c r="J457" s="62" t="s">
        <v>54</v>
      </c>
      <c r="K457" s="62" t="s">
        <v>9</v>
      </c>
      <c r="L457" s="70" t="s">
        <v>56</v>
      </c>
      <c r="M457" s="70" t="s">
        <v>2226</v>
      </c>
    </row>
    <row r="458" spans="1:13" s="53" customFormat="1" ht="49.5" hidden="1" customHeight="1">
      <c r="A458" s="71" t="s">
        <v>1666</v>
      </c>
      <c r="B458" s="66" t="s">
        <v>674</v>
      </c>
      <c r="C458" s="77" t="s">
        <v>675</v>
      </c>
      <c r="G458" s="70"/>
      <c r="H458" s="70" t="str">
        <f t="shared" si="6"/>
        <v>Protocol</v>
      </c>
      <c r="I458" s="66" t="s">
        <v>41</v>
      </c>
      <c r="J458" s="66" t="s">
        <v>54</v>
      </c>
      <c r="K458" s="62" t="s">
        <v>8</v>
      </c>
      <c r="L458" s="70" t="s">
        <v>2228</v>
      </c>
      <c r="M458" s="70" t="s">
        <v>2250</v>
      </c>
    </row>
    <row r="459" spans="1:13" s="53" customFormat="1" ht="46.5" hidden="1" customHeight="1">
      <c r="A459" s="71" t="s">
        <v>1667</v>
      </c>
      <c r="B459" s="66" t="s">
        <v>674</v>
      </c>
      <c r="C459" s="77" t="s">
        <v>676</v>
      </c>
      <c r="F459" s="53" t="s">
        <v>677</v>
      </c>
      <c r="G459" s="70"/>
      <c r="H459" s="70" t="str">
        <f>IF(LEFT(B459,1)="6","Product","Protocol")</f>
        <v>Protocol</v>
      </c>
      <c r="I459" s="62" t="s">
        <v>41</v>
      </c>
      <c r="J459" s="62" t="s">
        <v>54</v>
      </c>
      <c r="K459" s="62" t="s">
        <v>8</v>
      </c>
      <c r="L459" s="70" t="s">
        <v>2228</v>
      </c>
      <c r="M459" s="70" t="s">
        <v>2250</v>
      </c>
    </row>
    <row r="460" spans="1:13" s="53" customFormat="1" ht="35.25" hidden="1" customHeight="1">
      <c r="A460" s="71" t="s">
        <v>1668</v>
      </c>
      <c r="B460" s="62" t="s">
        <v>674</v>
      </c>
      <c r="C460" s="77" t="s">
        <v>678</v>
      </c>
      <c r="G460" s="70"/>
      <c r="H460" s="70" t="str">
        <f t="shared" si="6"/>
        <v>Protocol</v>
      </c>
      <c r="I460" s="62" t="s">
        <v>42</v>
      </c>
      <c r="J460" s="62" t="s">
        <v>53</v>
      </c>
      <c r="K460" s="62" t="s">
        <v>9</v>
      </c>
      <c r="L460" s="70" t="s">
        <v>50</v>
      </c>
      <c r="M460" s="70" t="s">
        <v>153</v>
      </c>
    </row>
    <row r="461" spans="1:13" s="53" customFormat="1" ht="51.75" hidden="1" customHeight="1">
      <c r="A461" s="71" t="s">
        <v>1669</v>
      </c>
      <c r="B461" s="62" t="s">
        <v>679</v>
      </c>
      <c r="C461" s="77" t="s">
        <v>680</v>
      </c>
      <c r="G461" s="70"/>
      <c r="H461" s="70" t="str">
        <f t="shared" si="6"/>
        <v>Protocol</v>
      </c>
      <c r="I461" s="62" t="s">
        <v>42</v>
      </c>
      <c r="J461" s="62" t="s">
        <v>54</v>
      </c>
      <c r="K461" s="62" t="s">
        <v>9</v>
      </c>
      <c r="L461" s="70" t="s">
        <v>50</v>
      </c>
      <c r="M461" s="70" t="s">
        <v>153</v>
      </c>
    </row>
    <row r="462" spans="1:13" s="53" customFormat="1" ht="51" hidden="1" customHeight="1">
      <c r="A462" s="71" t="s">
        <v>1670</v>
      </c>
      <c r="B462" s="62" t="s">
        <v>679</v>
      </c>
      <c r="C462" s="77" t="s">
        <v>681</v>
      </c>
      <c r="G462" s="70"/>
      <c r="H462" s="70" t="str">
        <f t="shared" si="6"/>
        <v>Protocol</v>
      </c>
      <c r="I462" s="62" t="s">
        <v>42</v>
      </c>
      <c r="J462" s="62" t="s">
        <v>53</v>
      </c>
      <c r="K462" s="62" t="s">
        <v>9</v>
      </c>
      <c r="L462" s="70" t="s">
        <v>50</v>
      </c>
      <c r="M462" s="70" t="s">
        <v>153</v>
      </c>
    </row>
    <row r="463" spans="1:13" s="53" customFormat="1" ht="53.25" hidden="1" customHeight="1">
      <c r="A463" s="71" t="s">
        <v>1671</v>
      </c>
      <c r="B463" s="62" t="s">
        <v>679</v>
      </c>
      <c r="C463" s="77" t="s">
        <v>682</v>
      </c>
      <c r="G463" s="70"/>
      <c r="H463" s="70" t="str">
        <f t="shared" si="6"/>
        <v>Protocol</v>
      </c>
      <c r="I463" s="62" t="s">
        <v>42</v>
      </c>
      <c r="J463" s="62" t="s">
        <v>53</v>
      </c>
      <c r="K463" s="62" t="s">
        <v>9</v>
      </c>
      <c r="L463" s="70" t="s">
        <v>50</v>
      </c>
      <c r="M463" s="70" t="s">
        <v>153</v>
      </c>
    </row>
    <row r="464" spans="1:13" s="53" customFormat="1" ht="45.75" hidden="1" customHeight="1">
      <c r="A464" s="71" t="s">
        <v>1672</v>
      </c>
      <c r="B464" s="62" t="s">
        <v>679</v>
      </c>
      <c r="C464" s="77" t="s">
        <v>683</v>
      </c>
      <c r="G464" s="70"/>
      <c r="H464" s="70" t="str">
        <f t="shared" si="6"/>
        <v>Protocol</v>
      </c>
      <c r="I464" s="62" t="s">
        <v>42</v>
      </c>
      <c r="J464" s="62" t="s">
        <v>53</v>
      </c>
      <c r="K464" s="62" t="s">
        <v>9</v>
      </c>
      <c r="L464" s="70" t="s">
        <v>50</v>
      </c>
      <c r="M464" s="70" t="s">
        <v>153</v>
      </c>
    </row>
    <row r="465" spans="1:13" s="53" customFormat="1" ht="53.25" hidden="1" customHeight="1">
      <c r="A465" s="71" t="s">
        <v>1673</v>
      </c>
      <c r="B465" s="62" t="s">
        <v>679</v>
      </c>
      <c r="C465" s="77" t="s">
        <v>684</v>
      </c>
      <c r="G465" s="70"/>
      <c r="H465" s="70" t="str">
        <f t="shared" si="6"/>
        <v>Protocol</v>
      </c>
      <c r="I465" s="62" t="s">
        <v>42</v>
      </c>
      <c r="J465" s="62" t="s">
        <v>53</v>
      </c>
      <c r="K465" s="62" t="s">
        <v>9</v>
      </c>
      <c r="L465" s="70" t="s">
        <v>50</v>
      </c>
      <c r="M465" s="70" t="s">
        <v>153</v>
      </c>
    </row>
    <row r="466" spans="1:13" s="53" customFormat="1" ht="83.25" hidden="1" customHeight="1">
      <c r="A466" s="71" t="s">
        <v>1674</v>
      </c>
      <c r="B466" s="62" t="s">
        <v>679</v>
      </c>
      <c r="C466" s="77" t="s">
        <v>685</v>
      </c>
      <c r="G466" s="70"/>
      <c r="H466" s="70" t="str">
        <f t="shared" si="6"/>
        <v>Protocol</v>
      </c>
      <c r="I466" s="62" t="s">
        <v>42</v>
      </c>
      <c r="J466" s="62" t="s">
        <v>53</v>
      </c>
      <c r="K466" s="62" t="s">
        <v>9</v>
      </c>
      <c r="L466" s="70" t="s">
        <v>50</v>
      </c>
      <c r="M466" s="70" t="s">
        <v>153</v>
      </c>
    </row>
    <row r="467" spans="1:13" s="53" customFormat="1" ht="51" customHeight="1">
      <c r="A467" s="71" t="s">
        <v>1675</v>
      </c>
      <c r="B467" s="62" t="s">
        <v>679</v>
      </c>
      <c r="C467" s="77" t="s">
        <v>686</v>
      </c>
      <c r="G467" s="70"/>
      <c r="H467" s="70" t="str">
        <f t="shared" si="6"/>
        <v>Protocol</v>
      </c>
      <c r="I467" s="62" t="s">
        <v>41</v>
      </c>
      <c r="J467" s="62" t="s">
        <v>53</v>
      </c>
      <c r="K467" s="62" t="s">
        <v>9</v>
      </c>
      <c r="L467" s="70" t="s">
        <v>51</v>
      </c>
      <c r="M467" s="70" t="s">
        <v>225</v>
      </c>
    </row>
    <row r="468" spans="1:13" s="53" customFormat="1" ht="51" customHeight="1">
      <c r="A468" s="71" t="s">
        <v>1676</v>
      </c>
      <c r="B468" s="62" t="s">
        <v>679</v>
      </c>
      <c r="C468" s="77" t="s">
        <v>687</v>
      </c>
      <c r="F468" s="53" t="s">
        <v>688</v>
      </c>
      <c r="G468" s="70" t="s">
        <v>698</v>
      </c>
      <c r="H468" s="70" t="str">
        <f>IF(LEFT(B468,1)="6","Product","Protocol")</f>
        <v>Protocol</v>
      </c>
      <c r="I468" s="62" t="s">
        <v>41</v>
      </c>
      <c r="J468" s="62" t="s">
        <v>54</v>
      </c>
      <c r="K468" s="62" t="s">
        <v>9</v>
      </c>
      <c r="L468" s="70" t="s">
        <v>57</v>
      </c>
      <c r="M468" s="70" t="s">
        <v>2226</v>
      </c>
    </row>
    <row r="469" spans="1:13" s="53" customFormat="1" ht="53.25" hidden="1" customHeight="1">
      <c r="A469" s="71" t="s">
        <v>1677</v>
      </c>
      <c r="B469" s="62" t="s">
        <v>679</v>
      </c>
      <c r="C469" s="77" t="s">
        <v>689</v>
      </c>
      <c r="G469" s="70"/>
      <c r="H469" s="70" t="str">
        <f t="shared" si="6"/>
        <v>Protocol</v>
      </c>
      <c r="I469" s="62" t="s">
        <v>42</v>
      </c>
      <c r="J469" s="62" t="s">
        <v>53</v>
      </c>
      <c r="K469" s="62" t="s">
        <v>9</v>
      </c>
      <c r="L469" s="70" t="s">
        <v>50</v>
      </c>
      <c r="M469" s="70" t="s">
        <v>153</v>
      </c>
    </row>
    <row r="470" spans="1:13" s="53" customFormat="1" ht="33.75" hidden="1" customHeight="1">
      <c r="A470" s="71" t="s">
        <v>1678</v>
      </c>
      <c r="B470" s="62" t="s">
        <v>679</v>
      </c>
      <c r="C470" s="77" t="s">
        <v>690</v>
      </c>
      <c r="G470" s="70"/>
      <c r="H470" s="70" t="str">
        <f t="shared" si="6"/>
        <v>Protocol</v>
      </c>
      <c r="I470" s="62" t="s">
        <v>42</v>
      </c>
      <c r="J470" s="62" t="s">
        <v>54</v>
      </c>
      <c r="K470" s="62" t="s">
        <v>9</v>
      </c>
      <c r="L470" s="70" t="s">
        <v>50</v>
      </c>
      <c r="M470" s="70" t="s">
        <v>153</v>
      </c>
    </row>
    <row r="471" spans="1:13" s="53" customFormat="1" ht="46.5" hidden="1" customHeight="1">
      <c r="A471" s="71" t="s">
        <v>1679</v>
      </c>
      <c r="B471" s="62" t="s">
        <v>679</v>
      </c>
      <c r="C471" s="77" t="s">
        <v>691</v>
      </c>
      <c r="G471" s="70"/>
      <c r="H471" s="70" t="str">
        <f t="shared" si="6"/>
        <v>Protocol</v>
      </c>
      <c r="I471" s="62" t="s">
        <v>42</v>
      </c>
      <c r="J471" s="62" t="s">
        <v>53</v>
      </c>
      <c r="K471" s="62" t="s">
        <v>9</v>
      </c>
      <c r="L471" s="70" t="s">
        <v>50</v>
      </c>
      <c r="M471" s="70" t="s">
        <v>153</v>
      </c>
    </row>
    <row r="472" spans="1:13" s="53" customFormat="1" ht="53.25" hidden="1" customHeight="1">
      <c r="A472" s="71" t="s">
        <v>1680</v>
      </c>
      <c r="B472" s="62" t="s">
        <v>679</v>
      </c>
      <c r="C472" s="77" t="s">
        <v>692</v>
      </c>
      <c r="G472" s="70"/>
      <c r="H472" s="70" t="str">
        <f t="shared" si="6"/>
        <v>Protocol</v>
      </c>
      <c r="I472" s="62" t="s">
        <v>42</v>
      </c>
      <c r="J472" s="62" t="s">
        <v>53</v>
      </c>
      <c r="K472" s="62" t="s">
        <v>9</v>
      </c>
      <c r="L472" s="70" t="s">
        <v>50</v>
      </c>
      <c r="M472" s="70" t="s">
        <v>153</v>
      </c>
    </row>
    <row r="473" spans="1:13" s="53" customFormat="1" ht="58.5" hidden="1" customHeight="1">
      <c r="A473" s="71" t="s">
        <v>1681</v>
      </c>
      <c r="B473" s="62" t="s">
        <v>679</v>
      </c>
      <c r="C473" s="77" t="s">
        <v>693</v>
      </c>
      <c r="G473" s="70"/>
      <c r="H473" s="70" t="str">
        <f t="shared" si="6"/>
        <v>Protocol</v>
      </c>
      <c r="I473" s="62" t="s">
        <v>42</v>
      </c>
      <c r="J473" s="62" t="s">
        <v>53</v>
      </c>
      <c r="K473" s="62" t="s">
        <v>9</v>
      </c>
      <c r="L473" s="70" t="s">
        <v>50</v>
      </c>
      <c r="M473" s="70" t="s">
        <v>153</v>
      </c>
    </row>
    <row r="474" spans="1:13" s="53" customFormat="1" ht="83.25" hidden="1" customHeight="1">
      <c r="A474" s="71" t="s">
        <v>1682</v>
      </c>
      <c r="B474" s="62" t="s">
        <v>679</v>
      </c>
      <c r="C474" s="77" t="s">
        <v>694</v>
      </c>
      <c r="G474" s="70"/>
      <c r="H474" s="70" t="str">
        <f t="shared" si="6"/>
        <v>Protocol</v>
      </c>
      <c r="I474" s="62" t="s">
        <v>42</v>
      </c>
      <c r="J474" s="62" t="s">
        <v>53</v>
      </c>
      <c r="K474" s="62" t="s">
        <v>9</v>
      </c>
      <c r="L474" s="70" t="s">
        <v>50</v>
      </c>
      <c r="M474" s="70" t="s">
        <v>153</v>
      </c>
    </row>
    <row r="475" spans="1:13" s="53" customFormat="1" ht="49.5" customHeight="1">
      <c r="A475" s="71" t="s">
        <v>1683</v>
      </c>
      <c r="B475" s="62" t="s">
        <v>679</v>
      </c>
      <c r="C475" s="77" t="s">
        <v>695</v>
      </c>
      <c r="G475" s="70"/>
      <c r="H475" s="70" t="str">
        <f t="shared" si="6"/>
        <v>Protocol</v>
      </c>
      <c r="I475" s="62" t="s">
        <v>41</v>
      </c>
      <c r="J475" s="62" t="s">
        <v>53</v>
      </c>
      <c r="K475" s="62" t="s">
        <v>9</v>
      </c>
      <c r="L475" s="70" t="s">
        <v>51</v>
      </c>
      <c r="M475" s="70" t="s">
        <v>225</v>
      </c>
    </row>
    <row r="476" spans="1:13" s="53" customFormat="1" ht="48.75" customHeight="1">
      <c r="A476" s="71" t="s">
        <v>1684</v>
      </c>
      <c r="B476" s="62" t="s">
        <v>679</v>
      </c>
      <c r="C476" s="77" t="s">
        <v>696</v>
      </c>
      <c r="F476" s="53" t="s">
        <v>697</v>
      </c>
      <c r="G476" s="70" t="s">
        <v>698</v>
      </c>
      <c r="H476" s="70" t="str">
        <f>IF(LEFT(B476,1)="6","Product","Protocol")</f>
        <v>Protocol</v>
      </c>
      <c r="I476" s="62" t="s">
        <v>41</v>
      </c>
      <c r="J476" s="62" t="s">
        <v>54</v>
      </c>
      <c r="K476" s="62" t="s">
        <v>9</v>
      </c>
      <c r="L476" s="70" t="s">
        <v>56</v>
      </c>
      <c r="M476" s="70" t="s">
        <v>2226</v>
      </c>
    </row>
    <row r="477" spans="1:13" s="53" customFormat="1" ht="52.5" hidden="1" customHeight="1">
      <c r="A477" s="71" t="s">
        <v>1685</v>
      </c>
      <c r="B477" s="62" t="s">
        <v>679</v>
      </c>
      <c r="C477" s="77" t="s">
        <v>699</v>
      </c>
      <c r="G477" s="70"/>
      <c r="H477" s="70" t="str">
        <f t="shared" si="6"/>
        <v>Protocol</v>
      </c>
      <c r="I477" s="62" t="s">
        <v>42</v>
      </c>
      <c r="J477" s="62" t="s">
        <v>53</v>
      </c>
      <c r="K477" s="62" t="s">
        <v>9</v>
      </c>
      <c r="L477" s="70" t="s">
        <v>50</v>
      </c>
      <c r="M477" s="70" t="s">
        <v>153</v>
      </c>
    </row>
    <row r="478" spans="1:13" s="53" customFormat="1" ht="36" hidden="1" customHeight="1">
      <c r="A478" s="71" t="s">
        <v>1686</v>
      </c>
      <c r="B478" s="62" t="s">
        <v>679</v>
      </c>
      <c r="C478" s="77" t="s">
        <v>700</v>
      </c>
      <c r="G478" s="70"/>
      <c r="H478" s="70" t="str">
        <f t="shared" si="6"/>
        <v>Protocol</v>
      </c>
      <c r="I478" s="62" t="s">
        <v>42</v>
      </c>
      <c r="J478" s="62" t="s">
        <v>54</v>
      </c>
      <c r="K478" s="62" t="s">
        <v>9</v>
      </c>
      <c r="L478" s="70" t="s">
        <v>50</v>
      </c>
      <c r="M478" s="70" t="s">
        <v>153</v>
      </c>
    </row>
    <row r="479" spans="1:13" s="53" customFormat="1" ht="50.25" hidden="1" customHeight="1">
      <c r="A479" s="71" t="s">
        <v>1687</v>
      </c>
      <c r="B479" s="62" t="s">
        <v>679</v>
      </c>
      <c r="C479" s="77" t="s">
        <v>701</v>
      </c>
      <c r="G479" s="70"/>
      <c r="H479" s="70" t="str">
        <f t="shared" si="6"/>
        <v>Protocol</v>
      </c>
      <c r="I479" s="62" t="s">
        <v>42</v>
      </c>
      <c r="J479" s="62" t="s">
        <v>53</v>
      </c>
      <c r="K479" s="62" t="s">
        <v>9</v>
      </c>
      <c r="L479" s="70" t="s">
        <v>50</v>
      </c>
      <c r="M479" s="70" t="s">
        <v>153</v>
      </c>
    </row>
    <row r="480" spans="1:13" s="53" customFormat="1" ht="49.5" hidden="1" customHeight="1">
      <c r="A480" s="71" t="s">
        <v>1688</v>
      </c>
      <c r="B480" s="62" t="s">
        <v>679</v>
      </c>
      <c r="C480" s="77" t="s">
        <v>702</v>
      </c>
      <c r="G480" s="70"/>
      <c r="H480" s="70" t="str">
        <f t="shared" si="6"/>
        <v>Protocol</v>
      </c>
      <c r="I480" s="62" t="s">
        <v>42</v>
      </c>
      <c r="J480" s="62" t="s">
        <v>53</v>
      </c>
      <c r="K480" s="62" t="s">
        <v>9</v>
      </c>
      <c r="L480" s="70" t="s">
        <v>50</v>
      </c>
      <c r="M480" s="70" t="s">
        <v>153</v>
      </c>
    </row>
    <row r="481" spans="1:13" s="53" customFormat="1" ht="39.75" hidden="1" customHeight="1">
      <c r="A481" s="71" t="s">
        <v>1689</v>
      </c>
      <c r="B481" s="62" t="s">
        <v>679</v>
      </c>
      <c r="C481" s="77" t="s">
        <v>703</v>
      </c>
      <c r="G481" s="70"/>
      <c r="H481" s="70" t="str">
        <f t="shared" si="6"/>
        <v>Protocol</v>
      </c>
      <c r="I481" s="62" t="s">
        <v>42</v>
      </c>
      <c r="J481" s="62" t="s">
        <v>53</v>
      </c>
      <c r="K481" s="62" t="s">
        <v>9</v>
      </c>
      <c r="L481" s="70" t="s">
        <v>50</v>
      </c>
      <c r="M481" s="70" t="s">
        <v>153</v>
      </c>
    </row>
    <row r="482" spans="1:13" s="53" customFormat="1" ht="78.75" hidden="1" customHeight="1">
      <c r="A482" s="71" t="s">
        <v>1690</v>
      </c>
      <c r="B482" s="62" t="s">
        <v>679</v>
      </c>
      <c r="C482" s="77" t="s">
        <v>704</v>
      </c>
      <c r="G482" s="70"/>
      <c r="H482" s="70" t="str">
        <f t="shared" si="6"/>
        <v>Protocol</v>
      </c>
      <c r="I482" s="62" t="s">
        <v>42</v>
      </c>
      <c r="J482" s="62" t="s">
        <v>53</v>
      </c>
      <c r="K482" s="62" t="s">
        <v>9</v>
      </c>
      <c r="L482" s="70" t="s">
        <v>50</v>
      </c>
      <c r="M482" s="70" t="s">
        <v>153</v>
      </c>
    </row>
    <row r="483" spans="1:13" s="53" customFormat="1" ht="49.5" customHeight="1">
      <c r="A483" s="71" t="s">
        <v>1691</v>
      </c>
      <c r="B483" s="62" t="s">
        <v>679</v>
      </c>
      <c r="C483" s="77" t="s">
        <v>705</v>
      </c>
      <c r="G483" s="70"/>
      <c r="H483" s="70" t="str">
        <f t="shared" si="6"/>
        <v>Protocol</v>
      </c>
      <c r="I483" s="62" t="s">
        <v>41</v>
      </c>
      <c r="J483" s="62" t="s">
        <v>53</v>
      </c>
      <c r="K483" s="62" t="s">
        <v>9</v>
      </c>
      <c r="L483" s="70" t="s">
        <v>51</v>
      </c>
      <c r="M483" s="70" t="s">
        <v>225</v>
      </c>
    </row>
    <row r="484" spans="1:13" s="53" customFormat="1" ht="47.25" customHeight="1">
      <c r="A484" s="71" t="s">
        <v>1692</v>
      </c>
      <c r="B484" s="62" t="s">
        <v>679</v>
      </c>
      <c r="C484" s="77" t="s">
        <v>706</v>
      </c>
      <c r="F484" s="53" t="s">
        <v>707</v>
      </c>
      <c r="G484" s="70" t="s">
        <v>698</v>
      </c>
      <c r="H484" s="70" t="str">
        <f>IF(LEFT(B484,1)="6","Product","Protocol")</f>
        <v>Protocol</v>
      </c>
      <c r="I484" s="62" t="s">
        <v>41</v>
      </c>
      <c r="J484" s="62" t="s">
        <v>54</v>
      </c>
      <c r="K484" s="62" t="s">
        <v>9</v>
      </c>
      <c r="L484" s="70" t="s">
        <v>56</v>
      </c>
      <c r="M484" s="70" t="s">
        <v>2226</v>
      </c>
    </row>
    <row r="485" spans="1:13" s="53" customFormat="1" ht="42.75" hidden="1" customHeight="1">
      <c r="A485" s="71" t="s">
        <v>1693</v>
      </c>
      <c r="B485" s="62" t="s">
        <v>679</v>
      </c>
      <c r="C485" s="87" t="s">
        <v>708</v>
      </c>
      <c r="G485" s="70"/>
      <c r="H485" s="70" t="str">
        <f t="shared" si="6"/>
        <v>Protocol</v>
      </c>
      <c r="I485" s="62" t="s">
        <v>42</v>
      </c>
      <c r="J485" s="62" t="s">
        <v>53</v>
      </c>
      <c r="K485" s="62" t="s">
        <v>9</v>
      </c>
      <c r="L485" s="70" t="s">
        <v>50</v>
      </c>
      <c r="M485" s="70" t="s">
        <v>153</v>
      </c>
    </row>
    <row r="486" spans="1:13" s="53" customFormat="1" ht="33" hidden="1" customHeight="1">
      <c r="A486" s="71" t="s">
        <v>1694</v>
      </c>
      <c r="B486" s="62" t="s">
        <v>679</v>
      </c>
      <c r="C486" s="77" t="s">
        <v>709</v>
      </c>
      <c r="G486" s="70"/>
      <c r="H486" s="70" t="str">
        <f t="shared" si="6"/>
        <v>Protocol</v>
      </c>
      <c r="I486" s="62" t="s">
        <v>42</v>
      </c>
      <c r="J486" s="62" t="s">
        <v>54</v>
      </c>
      <c r="K486" s="62" t="s">
        <v>9</v>
      </c>
      <c r="L486" s="70" t="s">
        <v>50</v>
      </c>
      <c r="M486" s="70" t="s">
        <v>153</v>
      </c>
    </row>
    <row r="487" spans="1:13" s="53" customFormat="1" ht="48.75" hidden="1" customHeight="1">
      <c r="A487" s="71" t="s">
        <v>1695</v>
      </c>
      <c r="B487" s="62" t="s">
        <v>679</v>
      </c>
      <c r="C487" s="77" t="s">
        <v>710</v>
      </c>
      <c r="G487" s="70"/>
      <c r="H487" s="70" t="str">
        <f t="shared" si="6"/>
        <v>Protocol</v>
      </c>
      <c r="I487" s="62" t="s">
        <v>42</v>
      </c>
      <c r="J487" s="62" t="s">
        <v>53</v>
      </c>
      <c r="K487" s="62" t="s">
        <v>9</v>
      </c>
      <c r="L487" s="70" t="s">
        <v>50</v>
      </c>
      <c r="M487" s="70" t="s">
        <v>153</v>
      </c>
    </row>
    <row r="488" spans="1:13" s="53" customFormat="1" ht="48" hidden="1" customHeight="1">
      <c r="A488" s="71" t="s">
        <v>1696</v>
      </c>
      <c r="B488" s="62" t="s">
        <v>679</v>
      </c>
      <c r="C488" s="77" t="s">
        <v>711</v>
      </c>
      <c r="G488" s="70"/>
      <c r="H488" s="70" t="str">
        <f t="shared" si="6"/>
        <v>Protocol</v>
      </c>
      <c r="I488" s="62" t="s">
        <v>42</v>
      </c>
      <c r="J488" s="62" t="s">
        <v>53</v>
      </c>
      <c r="K488" s="62" t="s">
        <v>9</v>
      </c>
      <c r="L488" s="70" t="s">
        <v>50</v>
      </c>
      <c r="M488" s="70" t="s">
        <v>153</v>
      </c>
    </row>
    <row r="489" spans="1:13" s="53" customFormat="1" ht="53.25" hidden="1" customHeight="1">
      <c r="A489" s="71" t="s">
        <v>1697</v>
      </c>
      <c r="B489" s="62" t="s">
        <v>679</v>
      </c>
      <c r="C489" s="77" t="s">
        <v>712</v>
      </c>
      <c r="G489" s="70"/>
      <c r="H489" s="70" t="str">
        <f t="shared" si="6"/>
        <v>Protocol</v>
      </c>
      <c r="I489" s="62" t="s">
        <v>42</v>
      </c>
      <c r="J489" s="62" t="s">
        <v>53</v>
      </c>
      <c r="K489" s="62" t="s">
        <v>9</v>
      </c>
      <c r="L489" s="70" t="s">
        <v>50</v>
      </c>
      <c r="M489" s="70" t="s">
        <v>153</v>
      </c>
    </row>
    <row r="490" spans="1:13" s="53" customFormat="1" ht="83.25" hidden="1" customHeight="1">
      <c r="A490" s="71" t="s">
        <v>1698</v>
      </c>
      <c r="B490" s="62" t="s">
        <v>679</v>
      </c>
      <c r="C490" s="77" t="s">
        <v>713</v>
      </c>
      <c r="G490" s="70"/>
      <c r="H490" s="70" t="str">
        <f t="shared" si="6"/>
        <v>Protocol</v>
      </c>
      <c r="I490" s="62" t="s">
        <v>42</v>
      </c>
      <c r="J490" s="62" t="s">
        <v>53</v>
      </c>
      <c r="K490" s="62" t="s">
        <v>9</v>
      </c>
      <c r="L490" s="70" t="s">
        <v>50</v>
      </c>
      <c r="M490" s="70" t="s">
        <v>153</v>
      </c>
    </row>
    <row r="491" spans="1:13" s="53" customFormat="1" ht="57" customHeight="1">
      <c r="A491" s="71" t="s">
        <v>1699</v>
      </c>
      <c r="B491" s="62" t="s">
        <v>679</v>
      </c>
      <c r="C491" s="77" t="s">
        <v>714</v>
      </c>
      <c r="G491" s="70"/>
      <c r="H491" s="70" t="str">
        <f t="shared" si="6"/>
        <v>Protocol</v>
      </c>
      <c r="I491" s="62" t="s">
        <v>41</v>
      </c>
      <c r="J491" s="62" t="s">
        <v>53</v>
      </c>
      <c r="K491" s="62" t="s">
        <v>9</v>
      </c>
      <c r="L491" s="70" t="s">
        <v>51</v>
      </c>
      <c r="M491" s="70" t="s">
        <v>225</v>
      </c>
    </row>
    <row r="492" spans="1:13" s="53" customFormat="1" ht="49.5" customHeight="1">
      <c r="A492" s="71" t="s">
        <v>1700</v>
      </c>
      <c r="B492" s="62" t="s">
        <v>679</v>
      </c>
      <c r="C492" s="77" t="s">
        <v>715</v>
      </c>
      <c r="F492" s="53" t="s">
        <v>716</v>
      </c>
      <c r="G492" s="70" t="s">
        <v>698</v>
      </c>
      <c r="H492" s="70" t="str">
        <f>IF(LEFT(B492,1)="6","Product","Protocol")</f>
        <v>Protocol</v>
      </c>
      <c r="I492" s="62" t="s">
        <v>41</v>
      </c>
      <c r="J492" s="62" t="s">
        <v>54</v>
      </c>
      <c r="K492" s="62" t="s">
        <v>9</v>
      </c>
      <c r="L492" s="70" t="s">
        <v>56</v>
      </c>
      <c r="M492" s="70" t="s">
        <v>2226</v>
      </c>
    </row>
    <row r="493" spans="1:13" s="53" customFormat="1" ht="48.75" hidden="1" customHeight="1">
      <c r="A493" s="71" t="s">
        <v>1701</v>
      </c>
      <c r="B493" s="62" t="s">
        <v>679</v>
      </c>
      <c r="C493" s="77" t="s">
        <v>717</v>
      </c>
      <c r="G493" s="70"/>
      <c r="H493" s="70" t="str">
        <f t="shared" si="6"/>
        <v>Protocol</v>
      </c>
      <c r="I493" s="62" t="s">
        <v>42</v>
      </c>
      <c r="J493" s="62" t="s">
        <v>53</v>
      </c>
      <c r="K493" s="62" t="s">
        <v>9</v>
      </c>
      <c r="L493" s="70" t="s">
        <v>50</v>
      </c>
      <c r="M493" s="70" t="s">
        <v>153</v>
      </c>
    </row>
    <row r="494" spans="1:13" s="53" customFormat="1" ht="34.5" hidden="1" customHeight="1">
      <c r="A494" s="71" t="s">
        <v>1702</v>
      </c>
      <c r="B494" s="62" t="s">
        <v>679</v>
      </c>
      <c r="C494" s="77" t="s">
        <v>718</v>
      </c>
      <c r="G494" s="70"/>
      <c r="H494" s="70" t="str">
        <f t="shared" si="6"/>
        <v>Protocol</v>
      </c>
      <c r="I494" s="62" t="s">
        <v>42</v>
      </c>
      <c r="J494" s="62" t="s">
        <v>54</v>
      </c>
      <c r="K494" s="62" t="s">
        <v>9</v>
      </c>
      <c r="L494" s="70" t="s">
        <v>50</v>
      </c>
      <c r="M494" s="70" t="s">
        <v>153</v>
      </c>
    </row>
    <row r="495" spans="1:13" s="53" customFormat="1" ht="55.5" hidden="1" customHeight="1">
      <c r="A495" s="71" t="s">
        <v>1703</v>
      </c>
      <c r="B495" s="62" t="s">
        <v>679</v>
      </c>
      <c r="C495" s="77" t="s">
        <v>719</v>
      </c>
      <c r="G495" s="70"/>
      <c r="H495" s="70" t="str">
        <f t="shared" si="6"/>
        <v>Protocol</v>
      </c>
      <c r="I495" s="62" t="s">
        <v>42</v>
      </c>
      <c r="J495" s="62" t="s">
        <v>54</v>
      </c>
      <c r="K495" s="62" t="s">
        <v>9</v>
      </c>
      <c r="L495" s="70" t="s">
        <v>50</v>
      </c>
      <c r="M495" s="70" t="s">
        <v>153</v>
      </c>
    </row>
    <row r="496" spans="1:13" s="53" customFormat="1" ht="38.25" hidden="1" customHeight="1">
      <c r="A496" s="71" t="s">
        <v>1704</v>
      </c>
      <c r="B496" s="62" t="s">
        <v>679</v>
      </c>
      <c r="C496" s="77" t="s">
        <v>720</v>
      </c>
      <c r="G496" s="70"/>
      <c r="H496" s="70" t="str">
        <f t="shared" si="6"/>
        <v>Protocol</v>
      </c>
      <c r="I496" s="62" t="s">
        <v>42</v>
      </c>
      <c r="J496" s="62" t="s">
        <v>54</v>
      </c>
      <c r="K496" s="62" t="s">
        <v>9</v>
      </c>
      <c r="L496" s="70" t="s">
        <v>50</v>
      </c>
      <c r="M496" s="70" t="s">
        <v>153</v>
      </c>
    </row>
    <row r="497" spans="1:13" s="53" customFormat="1" ht="36" hidden="1" customHeight="1">
      <c r="A497" s="71" t="s">
        <v>1705</v>
      </c>
      <c r="B497" s="62" t="s">
        <v>679</v>
      </c>
      <c r="C497" s="77" t="s">
        <v>721</v>
      </c>
      <c r="G497" s="70"/>
      <c r="H497" s="70" t="str">
        <f t="shared" si="6"/>
        <v>Protocol</v>
      </c>
      <c r="I497" s="62" t="s">
        <v>42</v>
      </c>
      <c r="J497" s="62" t="s">
        <v>54</v>
      </c>
      <c r="K497" s="62" t="s">
        <v>9</v>
      </c>
      <c r="L497" s="70" t="s">
        <v>50</v>
      </c>
      <c r="M497" s="70" t="s">
        <v>153</v>
      </c>
    </row>
    <row r="498" spans="1:13" s="53" customFormat="1" ht="52.5" customHeight="1">
      <c r="A498" s="71" t="s">
        <v>1706</v>
      </c>
      <c r="B498" s="62" t="s">
        <v>722</v>
      </c>
      <c r="C498" s="77" t="s">
        <v>723</v>
      </c>
      <c r="G498" s="70" t="s">
        <v>698</v>
      </c>
      <c r="H498" s="70" t="str">
        <f t="shared" si="6"/>
        <v>Protocol</v>
      </c>
      <c r="I498" s="62" t="s">
        <v>41</v>
      </c>
      <c r="J498" s="62" t="s">
        <v>53</v>
      </c>
      <c r="K498" s="62" t="s">
        <v>9</v>
      </c>
      <c r="L498" s="70" t="s">
        <v>56</v>
      </c>
      <c r="M498" s="70" t="s">
        <v>2226</v>
      </c>
    </row>
    <row r="499" spans="1:13" s="53" customFormat="1" ht="51" customHeight="1">
      <c r="A499" s="71" t="s">
        <v>1707</v>
      </c>
      <c r="B499" s="62" t="s">
        <v>722</v>
      </c>
      <c r="C499" s="77" t="s">
        <v>724</v>
      </c>
      <c r="G499" s="70" t="s">
        <v>698</v>
      </c>
      <c r="H499" s="70" t="str">
        <f t="shared" si="6"/>
        <v>Protocol</v>
      </c>
      <c r="I499" s="62" t="s">
        <v>41</v>
      </c>
      <c r="J499" s="62" t="s">
        <v>53</v>
      </c>
      <c r="K499" s="62" t="s">
        <v>9</v>
      </c>
      <c r="L499" s="70" t="s">
        <v>56</v>
      </c>
      <c r="M499" s="70" t="s">
        <v>2226</v>
      </c>
    </row>
    <row r="500" spans="1:13" s="53" customFormat="1" ht="76.5" customHeight="1">
      <c r="A500" s="71" t="s">
        <v>1708</v>
      </c>
      <c r="B500" s="62" t="s">
        <v>722</v>
      </c>
      <c r="C500" s="77" t="s">
        <v>725</v>
      </c>
      <c r="G500" s="70" t="s">
        <v>698</v>
      </c>
      <c r="H500" s="70" t="str">
        <f t="shared" si="6"/>
        <v>Protocol</v>
      </c>
      <c r="I500" s="62" t="s">
        <v>41</v>
      </c>
      <c r="J500" s="62" t="s">
        <v>54</v>
      </c>
      <c r="K500" s="62" t="s">
        <v>9</v>
      </c>
      <c r="L500" s="70" t="s">
        <v>56</v>
      </c>
      <c r="M500" s="70" t="s">
        <v>2227</v>
      </c>
    </row>
    <row r="501" spans="1:13" s="53" customFormat="1" ht="73.5" hidden="1" customHeight="1">
      <c r="A501" s="71" t="s">
        <v>1709</v>
      </c>
      <c r="B501" s="62" t="s">
        <v>726</v>
      </c>
      <c r="C501" s="77" t="s">
        <v>727</v>
      </c>
      <c r="G501" s="70"/>
      <c r="H501" s="70" t="str">
        <f t="shared" si="6"/>
        <v>Protocol</v>
      </c>
      <c r="I501" s="62" t="s">
        <v>42</v>
      </c>
      <c r="J501" s="62" t="s">
        <v>54</v>
      </c>
      <c r="K501" s="62" t="s">
        <v>8</v>
      </c>
      <c r="L501" s="70" t="s">
        <v>50</v>
      </c>
      <c r="M501" s="70" t="s">
        <v>231</v>
      </c>
    </row>
    <row r="502" spans="1:13" s="53" customFormat="1" ht="114.75" customHeight="1">
      <c r="A502" s="71" t="s">
        <v>1710</v>
      </c>
      <c r="B502" s="62" t="s">
        <v>728</v>
      </c>
      <c r="C502" s="77" t="s">
        <v>729</v>
      </c>
      <c r="G502" s="70" t="s">
        <v>122</v>
      </c>
      <c r="H502" s="70" t="str">
        <f t="shared" si="6"/>
        <v>Protocol</v>
      </c>
      <c r="I502" s="62" t="s">
        <v>41</v>
      </c>
      <c r="J502" s="62" t="s">
        <v>53</v>
      </c>
      <c r="K502" s="62" t="s">
        <v>9</v>
      </c>
      <c r="L502" s="70" t="s">
        <v>56</v>
      </c>
      <c r="M502" s="70" t="s">
        <v>2226</v>
      </c>
    </row>
    <row r="503" spans="1:13" s="53" customFormat="1" ht="105" customHeight="1">
      <c r="A503" s="71" t="s">
        <v>1711</v>
      </c>
      <c r="B503" s="62" t="s">
        <v>728</v>
      </c>
      <c r="C503" s="77" t="s">
        <v>730</v>
      </c>
      <c r="G503" s="70"/>
      <c r="H503" s="70" t="str">
        <f t="shared" si="6"/>
        <v>Protocol</v>
      </c>
      <c r="I503" s="62" t="s">
        <v>41</v>
      </c>
      <c r="J503" s="62" t="s">
        <v>54</v>
      </c>
      <c r="K503" s="62" t="s">
        <v>9</v>
      </c>
      <c r="L503" s="70" t="s">
        <v>50</v>
      </c>
      <c r="M503" s="70" t="s">
        <v>2251</v>
      </c>
    </row>
    <row r="504" spans="1:13" s="53" customFormat="1" ht="75" hidden="1" customHeight="1">
      <c r="A504" s="71" t="s">
        <v>1712</v>
      </c>
      <c r="B504" s="62" t="s">
        <v>731</v>
      </c>
      <c r="C504" s="77" t="s">
        <v>732</v>
      </c>
      <c r="G504" s="70"/>
      <c r="H504" s="70" t="str">
        <f t="shared" si="6"/>
        <v>Protocol</v>
      </c>
      <c r="I504" s="62" t="s">
        <v>42</v>
      </c>
      <c r="J504" s="62" t="s">
        <v>54</v>
      </c>
      <c r="K504" s="62" t="s">
        <v>8</v>
      </c>
      <c r="L504" s="70" t="s">
        <v>50</v>
      </c>
      <c r="M504" s="70" t="s">
        <v>231</v>
      </c>
    </row>
    <row r="505" spans="1:13" s="53" customFormat="1" ht="57.75" hidden="1" customHeight="1">
      <c r="A505" s="71" t="s">
        <v>1713</v>
      </c>
      <c r="B505" s="62" t="s">
        <v>731</v>
      </c>
      <c r="C505" s="77" t="s">
        <v>733</v>
      </c>
      <c r="G505" s="70"/>
      <c r="H505" s="70" t="str">
        <f t="shared" si="6"/>
        <v>Protocol</v>
      </c>
      <c r="I505" s="62" t="s">
        <v>42</v>
      </c>
      <c r="J505" s="62" t="s">
        <v>54</v>
      </c>
      <c r="K505" s="62" t="s">
        <v>8</v>
      </c>
      <c r="L505" s="70" t="s">
        <v>50</v>
      </c>
      <c r="M505" s="70" t="s">
        <v>231</v>
      </c>
    </row>
    <row r="506" spans="1:13" s="53" customFormat="1" ht="87" customHeight="1">
      <c r="A506" s="71" t="s">
        <v>1714</v>
      </c>
      <c r="B506" s="62" t="s">
        <v>734</v>
      </c>
      <c r="C506" s="77" t="s">
        <v>735</v>
      </c>
      <c r="G506" s="70" t="s">
        <v>122</v>
      </c>
      <c r="H506" s="70" t="str">
        <f t="shared" si="6"/>
        <v>Protocol</v>
      </c>
      <c r="I506" s="62" t="s">
        <v>41</v>
      </c>
      <c r="J506" s="62" t="s">
        <v>53</v>
      </c>
      <c r="K506" s="62" t="s">
        <v>9</v>
      </c>
      <c r="L506" s="70" t="s">
        <v>56</v>
      </c>
      <c r="M506" s="70" t="s">
        <v>2226</v>
      </c>
    </row>
    <row r="507" spans="1:13" s="53" customFormat="1" ht="69" hidden="1" customHeight="1">
      <c r="A507" s="71" t="s">
        <v>1715</v>
      </c>
      <c r="B507" s="62" t="s">
        <v>734</v>
      </c>
      <c r="C507" s="77" t="s">
        <v>736</v>
      </c>
      <c r="G507" s="70"/>
      <c r="H507" s="70" t="str">
        <f t="shared" si="6"/>
        <v>Protocol</v>
      </c>
      <c r="I507" s="62" t="s">
        <v>41</v>
      </c>
      <c r="J507" s="62" t="s">
        <v>54</v>
      </c>
      <c r="K507" s="62" t="s">
        <v>8</v>
      </c>
      <c r="L507" s="70" t="s">
        <v>50</v>
      </c>
      <c r="M507" s="70" t="s">
        <v>231</v>
      </c>
    </row>
    <row r="508" spans="1:13" s="53" customFormat="1" ht="56.25" customHeight="1">
      <c r="A508" s="71" t="s">
        <v>1716</v>
      </c>
      <c r="B508" s="62" t="s">
        <v>734</v>
      </c>
      <c r="C508" s="77" t="s">
        <v>737</v>
      </c>
      <c r="G508" s="70" t="s">
        <v>122</v>
      </c>
      <c r="H508" s="70" t="str">
        <f t="shared" ref="H508:H574" si="7">IF(LEFT(B508,1)="6","Product","Protocol")</f>
        <v>Protocol</v>
      </c>
      <c r="I508" s="62" t="s">
        <v>41</v>
      </c>
      <c r="J508" s="62" t="s">
        <v>54</v>
      </c>
      <c r="K508" s="62" t="s">
        <v>9</v>
      </c>
      <c r="L508" s="70" t="s">
        <v>56</v>
      </c>
      <c r="M508" s="70" t="s">
        <v>2226</v>
      </c>
    </row>
    <row r="509" spans="1:13" s="53" customFormat="1" ht="51.75" customHeight="1">
      <c r="A509" s="71" t="s">
        <v>1717</v>
      </c>
      <c r="B509" s="62" t="s">
        <v>734</v>
      </c>
      <c r="C509" s="77" t="s">
        <v>738</v>
      </c>
      <c r="G509" s="70" t="s">
        <v>122</v>
      </c>
      <c r="H509" s="70" t="str">
        <f t="shared" si="7"/>
        <v>Protocol</v>
      </c>
      <c r="I509" s="62" t="s">
        <v>41</v>
      </c>
      <c r="J509" s="62" t="s">
        <v>54</v>
      </c>
      <c r="K509" s="62" t="s">
        <v>9</v>
      </c>
      <c r="L509" s="70" t="s">
        <v>56</v>
      </c>
      <c r="M509" s="70" t="s">
        <v>2226</v>
      </c>
    </row>
    <row r="510" spans="1:13" s="53" customFormat="1" ht="64.5" customHeight="1">
      <c r="A510" s="71" t="s">
        <v>1718</v>
      </c>
      <c r="B510" s="62" t="s">
        <v>734</v>
      </c>
      <c r="C510" s="77" t="s">
        <v>739</v>
      </c>
      <c r="G510" s="70" t="s">
        <v>122</v>
      </c>
      <c r="H510" s="70" t="str">
        <f t="shared" si="7"/>
        <v>Protocol</v>
      </c>
      <c r="I510" s="62" t="s">
        <v>41</v>
      </c>
      <c r="J510" s="62" t="s">
        <v>54</v>
      </c>
      <c r="K510" s="62" t="s">
        <v>9</v>
      </c>
      <c r="L510" s="70" t="s">
        <v>56</v>
      </c>
      <c r="M510" s="70" t="s">
        <v>2226</v>
      </c>
    </row>
    <row r="511" spans="1:13" s="53" customFormat="1" ht="58.5" customHeight="1">
      <c r="A511" s="71" t="s">
        <v>1719</v>
      </c>
      <c r="B511" s="62" t="s">
        <v>734</v>
      </c>
      <c r="C511" s="77" t="s">
        <v>740</v>
      </c>
      <c r="G511" s="70" t="s">
        <v>122</v>
      </c>
      <c r="H511" s="70" t="str">
        <f t="shared" si="7"/>
        <v>Protocol</v>
      </c>
      <c r="I511" s="62" t="s">
        <v>41</v>
      </c>
      <c r="J511" s="62" t="s">
        <v>54</v>
      </c>
      <c r="K511" s="62" t="s">
        <v>9</v>
      </c>
      <c r="L511" s="70" t="s">
        <v>56</v>
      </c>
      <c r="M511" s="70" t="s">
        <v>2226</v>
      </c>
    </row>
    <row r="512" spans="1:13" s="53" customFormat="1" ht="69" customHeight="1">
      <c r="A512" s="71" t="s">
        <v>1720</v>
      </c>
      <c r="B512" s="62" t="s">
        <v>734</v>
      </c>
      <c r="C512" s="77" t="s">
        <v>741</v>
      </c>
      <c r="G512" s="70" t="s">
        <v>122</v>
      </c>
      <c r="H512" s="70" t="str">
        <f t="shared" si="7"/>
        <v>Protocol</v>
      </c>
      <c r="I512" s="62" t="s">
        <v>41</v>
      </c>
      <c r="J512" s="62" t="s">
        <v>54</v>
      </c>
      <c r="K512" s="62" t="s">
        <v>9</v>
      </c>
      <c r="L512" s="70" t="s">
        <v>56</v>
      </c>
      <c r="M512" s="70" t="s">
        <v>2226</v>
      </c>
    </row>
    <row r="513" spans="1:13" s="53" customFormat="1" ht="58.5" customHeight="1">
      <c r="A513" s="71" t="s">
        <v>1721</v>
      </c>
      <c r="B513" s="62" t="s">
        <v>734</v>
      </c>
      <c r="C513" s="77" t="s">
        <v>742</v>
      </c>
      <c r="G513" s="70" t="s">
        <v>122</v>
      </c>
      <c r="H513" s="70" t="str">
        <f t="shared" si="7"/>
        <v>Protocol</v>
      </c>
      <c r="I513" s="62" t="s">
        <v>41</v>
      </c>
      <c r="J513" s="62" t="s">
        <v>54</v>
      </c>
      <c r="K513" s="62" t="s">
        <v>9</v>
      </c>
      <c r="L513" s="70" t="s">
        <v>56</v>
      </c>
      <c r="M513" s="70" t="s">
        <v>2226</v>
      </c>
    </row>
    <row r="514" spans="1:13" s="53" customFormat="1" ht="57" customHeight="1">
      <c r="A514" s="71" t="s">
        <v>1722</v>
      </c>
      <c r="B514" s="62" t="s">
        <v>734</v>
      </c>
      <c r="C514" s="77" t="s">
        <v>743</v>
      </c>
      <c r="G514" s="70" t="s">
        <v>122</v>
      </c>
      <c r="H514" s="70" t="str">
        <f t="shared" si="7"/>
        <v>Protocol</v>
      </c>
      <c r="I514" s="62" t="s">
        <v>41</v>
      </c>
      <c r="J514" s="62" t="s">
        <v>54</v>
      </c>
      <c r="K514" s="62" t="s">
        <v>9</v>
      </c>
      <c r="L514" s="70" t="s">
        <v>56</v>
      </c>
      <c r="M514" s="70" t="s">
        <v>2226</v>
      </c>
    </row>
    <row r="515" spans="1:13" s="53" customFormat="1" ht="52.5" customHeight="1">
      <c r="A515" s="71" t="s">
        <v>1723</v>
      </c>
      <c r="B515" s="62" t="s">
        <v>734</v>
      </c>
      <c r="C515" s="77" t="s">
        <v>744</v>
      </c>
      <c r="G515" s="70" t="s">
        <v>122</v>
      </c>
      <c r="H515" s="70" t="str">
        <f t="shared" si="7"/>
        <v>Protocol</v>
      </c>
      <c r="I515" s="62" t="s">
        <v>41</v>
      </c>
      <c r="J515" s="62" t="s">
        <v>54</v>
      </c>
      <c r="K515" s="62" t="s">
        <v>9</v>
      </c>
      <c r="L515" s="70" t="s">
        <v>56</v>
      </c>
      <c r="M515" s="70" t="s">
        <v>2226</v>
      </c>
    </row>
    <row r="516" spans="1:13" s="53" customFormat="1" ht="58.5" hidden="1" customHeight="1">
      <c r="A516" s="71" t="s">
        <v>1724</v>
      </c>
      <c r="B516" s="62" t="s">
        <v>734</v>
      </c>
      <c r="C516" s="77" t="s">
        <v>745</v>
      </c>
      <c r="G516" s="70"/>
      <c r="H516" s="70" t="str">
        <f t="shared" si="7"/>
        <v>Protocol</v>
      </c>
      <c r="I516" s="62" t="s">
        <v>41</v>
      </c>
      <c r="J516" s="62" t="s">
        <v>54</v>
      </c>
      <c r="K516" s="62" t="s">
        <v>8</v>
      </c>
      <c r="L516" s="70" t="s">
        <v>50</v>
      </c>
      <c r="M516" s="70" t="s">
        <v>231</v>
      </c>
    </row>
    <row r="517" spans="1:13" s="53" customFormat="1" ht="50.25" hidden="1" customHeight="1">
      <c r="A517" s="71" t="s">
        <v>1725</v>
      </c>
      <c r="B517" s="62" t="s">
        <v>746</v>
      </c>
      <c r="C517" s="88" t="s">
        <v>747</v>
      </c>
      <c r="G517" s="70"/>
      <c r="H517" s="70" t="str">
        <f t="shared" si="7"/>
        <v>Protocol</v>
      </c>
      <c r="I517" s="67" t="s">
        <v>42</v>
      </c>
      <c r="J517" s="67" t="s">
        <v>53</v>
      </c>
      <c r="K517" s="67" t="s">
        <v>9</v>
      </c>
      <c r="L517" s="70" t="s">
        <v>50</v>
      </c>
      <c r="M517" s="70" t="s">
        <v>153</v>
      </c>
    </row>
    <row r="518" spans="1:13" s="53" customFormat="1" ht="57.75" customHeight="1">
      <c r="A518" s="71" t="s">
        <v>1726</v>
      </c>
      <c r="B518" s="62" t="s">
        <v>746</v>
      </c>
      <c r="C518" s="77" t="s">
        <v>748</v>
      </c>
      <c r="G518" s="70" t="s">
        <v>121</v>
      </c>
      <c r="H518" s="70" t="str">
        <f t="shared" si="7"/>
        <v>Protocol</v>
      </c>
      <c r="I518" s="62" t="s">
        <v>41</v>
      </c>
      <c r="J518" s="67" t="s">
        <v>53</v>
      </c>
      <c r="K518" s="67" t="s">
        <v>9</v>
      </c>
      <c r="L518" s="70" t="s">
        <v>56</v>
      </c>
      <c r="M518" s="70" t="s">
        <v>2226</v>
      </c>
    </row>
    <row r="519" spans="1:13" s="53" customFormat="1" ht="57.75" hidden="1" customHeight="1">
      <c r="A519" s="71" t="s">
        <v>1727</v>
      </c>
      <c r="B519" s="62" t="s">
        <v>746</v>
      </c>
      <c r="C519" s="88" t="s">
        <v>749</v>
      </c>
      <c r="G519" s="70"/>
      <c r="H519" s="70" t="str">
        <f t="shared" si="7"/>
        <v>Protocol</v>
      </c>
      <c r="I519" s="62" t="s">
        <v>42</v>
      </c>
      <c r="J519" s="67" t="s">
        <v>53</v>
      </c>
      <c r="K519" s="67" t="s">
        <v>9</v>
      </c>
      <c r="L519" s="70" t="s">
        <v>50</v>
      </c>
      <c r="M519" s="70" t="s">
        <v>153</v>
      </c>
    </row>
    <row r="520" spans="1:13" s="53" customFormat="1" ht="55.5" customHeight="1">
      <c r="A520" s="71" t="s">
        <v>1728</v>
      </c>
      <c r="B520" s="62" t="s">
        <v>746</v>
      </c>
      <c r="C520" s="77" t="s">
        <v>750</v>
      </c>
      <c r="G520" s="70" t="s">
        <v>121</v>
      </c>
      <c r="H520" s="70" t="str">
        <f t="shared" si="7"/>
        <v>Protocol</v>
      </c>
      <c r="I520" s="62" t="s">
        <v>41</v>
      </c>
      <c r="J520" s="67" t="s">
        <v>53</v>
      </c>
      <c r="K520" s="67" t="s">
        <v>9</v>
      </c>
      <c r="L520" s="70" t="s">
        <v>56</v>
      </c>
      <c r="M520" s="70" t="s">
        <v>2226</v>
      </c>
    </row>
    <row r="521" spans="1:13" s="53" customFormat="1" ht="59.25" hidden="1" customHeight="1">
      <c r="A521" s="71" t="s">
        <v>1729</v>
      </c>
      <c r="B521" s="62" t="s">
        <v>746</v>
      </c>
      <c r="C521" s="77" t="s">
        <v>751</v>
      </c>
      <c r="G521" s="70"/>
      <c r="H521" s="70" t="str">
        <f t="shared" si="7"/>
        <v>Protocol</v>
      </c>
      <c r="I521" s="62" t="s">
        <v>42</v>
      </c>
      <c r="J521" s="62" t="s">
        <v>54</v>
      </c>
      <c r="K521" s="67" t="s">
        <v>9</v>
      </c>
      <c r="L521" s="70" t="s">
        <v>50</v>
      </c>
      <c r="M521" s="70" t="s">
        <v>153</v>
      </c>
    </row>
    <row r="522" spans="1:13" s="53" customFormat="1" ht="61.5" hidden="1" customHeight="1">
      <c r="A522" s="71" t="s">
        <v>1730</v>
      </c>
      <c r="B522" s="62" t="s">
        <v>746</v>
      </c>
      <c r="C522" s="88" t="s">
        <v>752</v>
      </c>
      <c r="G522" s="70"/>
      <c r="H522" s="70" t="str">
        <f t="shared" si="7"/>
        <v>Protocol</v>
      </c>
      <c r="I522" s="62" t="s">
        <v>42</v>
      </c>
      <c r="J522" s="67" t="s">
        <v>53</v>
      </c>
      <c r="K522" s="67" t="s">
        <v>9</v>
      </c>
      <c r="L522" s="70" t="s">
        <v>50</v>
      </c>
      <c r="M522" s="70" t="s">
        <v>153</v>
      </c>
    </row>
    <row r="523" spans="1:13" s="53" customFormat="1" ht="57" customHeight="1">
      <c r="A523" s="71" t="s">
        <v>1731</v>
      </c>
      <c r="B523" s="62" t="s">
        <v>746</v>
      </c>
      <c r="C523" s="77" t="s">
        <v>753</v>
      </c>
      <c r="G523" s="70" t="s">
        <v>121</v>
      </c>
      <c r="H523" s="70" t="str">
        <f t="shared" si="7"/>
        <v>Protocol</v>
      </c>
      <c r="I523" s="62" t="s">
        <v>41</v>
      </c>
      <c r="J523" s="62" t="s">
        <v>53</v>
      </c>
      <c r="K523" s="67" t="s">
        <v>9</v>
      </c>
      <c r="L523" s="70" t="s">
        <v>56</v>
      </c>
      <c r="M523" s="70" t="s">
        <v>2226</v>
      </c>
    </row>
    <row r="524" spans="1:13" s="53" customFormat="1" ht="45" customHeight="1">
      <c r="A524" s="71" t="s">
        <v>1732</v>
      </c>
      <c r="B524" s="62" t="s">
        <v>746</v>
      </c>
      <c r="C524" s="77" t="s">
        <v>754</v>
      </c>
      <c r="G524" s="70"/>
      <c r="H524" s="70" t="str">
        <f t="shared" si="7"/>
        <v>Protocol</v>
      </c>
      <c r="I524" s="62" t="s">
        <v>41</v>
      </c>
      <c r="J524" s="62" t="s">
        <v>53</v>
      </c>
      <c r="K524" s="67" t="s">
        <v>9</v>
      </c>
      <c r="L524" s="70" t="s">
        <v>51</v>
      </c>
      <c r="M524" s="70" t="s">
        <v>225</v>
      </c>
    </row>
    <row r="525" spans="1:13" s="53" customFormat="1" ht="39.75" customHeight="1">
      <c r="A525" s="71" t="s">
        <v>1733</v>
      </c>
      <c r="B525" s="62" t="s">
        <v>746</v>
      </c>
      <c r="C525" s="77" t="s">
        <v>755</v>
      </c>
      <c r="F525" s="53" t="s">
        <v>756</v>
      </c>
      <c r="G525" s="70" t="s">
        <v>121</v>
      </c>
      <c r="H525" s="70" t="str">
        <f>IF(LEFT(B525,1)="6","Product","Protocol")</f>
        <v>Protocol</v>
      </c>
      <c r="I525" s="62" t="s">
        <v>41</v>
      </c>
      <c r="J525" s="62" t="s">
        <v>54</v>
      </c>
      <c r="K525" s="62" t="s">
        <v>9</v>
      </c>
      <c r="L525" s="70" t="s">
        <v>56</v>
      </c>
      <c r="M525" s="70" t="s">
        <v>2226</v>
      </c>
    </row>
    <row r="526" spans="1:13" s="53" customFormat="1" ht="65.25" hidden="1" customHeight="1">
      <c r="A526" s="71" t="s">
        <v>1734</v>
      </c>
      <c r="B526" s="62" t="s">
        <v>746</v>
      </c>
      <c r="C526" s="77" t="s">
        <v>757</v>
      </c>
      <c r="G526" s="70"/>
      <c r="H526" s="70" t="str">
        <f t="shared" si="7"/>
        <v>Protocol</v>
      </c>
      <c r="I526" s="62" t="s">
        <v>42</v>
      </c>
      <c r="J526" s="62" t="s">
        <v>53</v>
      </c>
      <c r="K526" s="67" t="s">
        <v>9</v>
      </c>
      <c r="L526" s="70" t="s">
        <v>50</v>
      </c>
      <c r="M526" s="70" t="s">
        <v>153</v>
      </c>
    </row>
    <row r="527" spans="1:13" s="53" customFormat="1" ht="54" customHeight="1">
      <c r="A527" s="71" t="s">
        <v>1735</v>
      </c>
      <c r="B527" s="62" t="s">
        <v>746</v>
      </c>
      <c r="C527" s="77" t="s">
        <v>758</v>
      </c>
      <c r="G527" s="70" t="s">
        <v>121</v>
      </c>
      <c r="H527" s="70" t="str">
        <f t="shared" si="7"/>
        <v>Protocol</v>
      </c>
      <c r="I527" s="62" t="s">
        <v>41</v>
      </c>
      <c r="J527" s="62" t="s">
        <v>53</v>
      </c>
      <c r="K527" s="67" t="s">
        <v>9</v>
      </c>
      <c r="L527" s="70" t="s">
        <v>56</v>
      </c>
      <c r="M527" s="70" t="s">
        <v>2226</v>
      </c>
    </row>
    <row r="528" spans="1:13" s="53" customFormat="1" ht="52.5" hidden="1" customHeight="1">
      <c r="A528" s="71" t="s">
        <v>1736</v>
      </c>
      <c r="B528" s="62" t="s">
        <v>746</v>
      </c>
      <c r="C528" s="77" t="s">
        <v>759</v>
      </c>
      <c r="G528" s="70"/>
      <c r="H528" s="70" t="str">
        <f t="shared" si="7"/>
        <v>Protocol</v>
      </c>
      <c r="I528" s="62" t="s">
        <v>42</v>
      </c>
      <c r="J528" s="62" t="s">
        <v>54</v>
      </c>
      <c r="K528" s="67" t="s">
        <v>9</v>
      </c>
      <c r="L528" s="70" t="s">
        <v>50</v>
      </c>
      <c r="M528" s="70" t="s">
        <v>153</v>
      </c>
    </row>
    <row r="529" spans="1:13" s="53" customFormat="1" ht="54" hidden="1" customHeight="1">
      <c r="A529" s="71" t="s">
        <v>1737</v>
      </c>
      <c r="B529" s="62" t="s">
        <v>746</v>
      </c>
      <c r="C529" s="77" t="s">
        <v>760</v>
      </c>
      <c r="G529" s="70"/>
      <c r="H529" s="70" t="str">
        <f t="shared" si="7"/>
        <v>Protocol</v>
      </c>
      <c r="I529" s="62" t="s">
        <v>42</v>
      </c>
      <c r="J529" s="62" t="s">
        <v>53</v>
      </c>
      <c r="K529" s="67" t="s">
        <v>9</v>
      </c>
      <c r="L529" s="70" t="s">
        <v>50</v>
      </c>
      <c r="M529" s="70" t="s">
        <v>153</v>
      </c>
    </row>
    <row r="530" spans="1:13" s="53" customFormat="1" ht="51" customHeight="1">
      <c r="A530" s="71" t="s">
        <v>1738</v>
      </c>
      <c r="B530" s="62" t="s">
        <v>746</v>
      </c>
      <c r="C530" s="77" t="s">
        <v>761</v>
      </c>
      <c r="G530" s="70" t="s">
        <v>121</v>
      </c>
      <c r="H530" s="70" t="str">
        <f t="shared" si="7"/>
        <v>Protocol</v>
      </c>
      <c r="I530" s="62" t="s">
        <v>41</v>
      </c>
      <c r="J530" s="62" t="s">
        <v>53</v>
      </c>
      <c r="K530" s="67" t="s">
        <v>9</v>
      </c>
      <c r="L530" s="70" t="s">
        <v>56</v>
      </c>
      <c r="M530" s="70" t="s">
        <v>2226</v>
      </c>
    </row>
    <row r="531" spans="1:13" s="53" customFormat="1" ht="42" hidden="1" customHeight="1">
      <c r="A531" s="71" t="s">
        <v>1739</v>
      </c>
      <c r="B531" s="62" t="s">
        <v>746</v>
      </c>
      <c r="C531" s="77" t="s">
        <v>762</v>
      </c>
      <c r="G531" s="70"/>
      <c r="H531" s="70" t="str">
        <f t="shared" si="7"/>
        <v>Protocol</v>
      </c>
      <c r="I531" s="62" t="s">
        <v>42</v>
      </c>
      <c r="J531" s="62" t="s">
        <v>54</v>
      </c>
      <c r="K531" s="67" t="s">
        <v>9</v>
      </c>
      <c r="L531" s="70" t="s">
        <v>50</v>
      </c>
      <c r="M531" s="70" t="s">
        <v>153</v>
      </c>
    </row>
    <row r="532" spans="1:13" s="53" customFormat="1" ht="44.25" hidden="1" customHeight="1">
      <c r="A532" s="71" t="s">
        <v>1740</v>
      </c>
      <c r="B532" s="62" t="s">
        <v>746</v>
      </c>
      <c r="C532" s="77" t="s">
        <v>763</v>
      </c>
      <c r="G532" s="70"/>
      <c r="H532" s="70" t="str">
        <f t="shared" si="7"/>
        <v>Protocol</v>
      </c>
      <c r="I532" s="62" t="s">
        <v>42</v>
      </c>
      <c r="J532" s="62" t="s">
        <v>53</v>
      </c>
      <c r="K532" s="67" t="s">
        <v>9</v>
      </c>
      <c r="L532" s="70" t="s">
        <v>50</v>
      </c>
      <c r="M532" s="70" t="s">
        <v>153</v>
      </c>
    </row>
    <row r="533" spans="1:13" s="53" customFormat="1" ht="38.25" customHeight="1">
      <c r="A533" s="71" t="s">
        <v>1741</v>
      </c>
      <c r="B533" s="62" t="s">
        <v>746</v>
      </c>
      <c r="C533" s="77" t="s">
        <v>764</v>
      </c>
      <c r="G533" s="70" t="s">
        <v>121</v>
      </c>
      <c r="H533" s="70" t="str">
        <f t="shared" si="7"/>
        <v>Protocol</v>
      </c>
      <c r="I533" s="62" t="s">
        <v>41</v>
      </c>
      <c r="J533" s="62" t="s">
        <v>53</v>
      </c>
      <c r="K533" s="67" t="s">
        <v>9</v>
      </c>
      <c r="L533" s="70" t="s">
        <v>56</v>
      </c>
      <c r="M533" s="70" t="s">
        <v>2226</v>
      </c>
    </row>
    <row r="534" spans="1:13" s="53" customFormat="1" ht="52.5" hidden="1" customHeight="1">
      <c r="A534" s="71" t="s">
        <v>1742</v>
      </c>
      <c r="B534" s="62" t="s">
        <v>746</v>
      </c>
      <c r="C534" s="77" t="s">
        <v>765</v>
      </c>
      <c r="G534" s="70"/>
      <c r="H534" s="70" t="str">
        <f t="shared" si="7"/>
        <v>Protocol</v>
      </c>
      <c r="I534" s="62" t="s">
        <v>42</v>
      </c>
      <c r="J534" s="62" t="s">
        <v>53</v>
      </c>
      <c r="K534" s="67" t="s">
        <v>9</v>
      </c>
      <c r="L534" s="70" t="s">
        <v>50</v>
      </c>
      <c r="M534" s="70" t="s">
        <v>153</v>
      </c>
    </row>
    <row r="535" spans="1:13" s="53" customFormat="1" ht="36" customHeight="1">
      <c r="A535" s="71" t="s">
        <v>1743</v>
      </c>
      <c r="B535" s="62" t="s">
        <v>746</v>
      </c>
      <c r="C535" s="77" t="s">
        <v>766</v>
      </c>
      <c r="G535" s="70"/>
      <c r="H535" s="70" t="str">
        <f t="shared" si="7"/>
        <v>Protocol</v>
      </c>
      <c r="I535" s="62" t="s">
        <v>41</v>
      </c>
      <c r="J535" s="62" t="s">
        <v>53</v>
      </c>
      <c r="K535" s="67" t="s">
        <v>9</v>
      </c>
      <c r="L535" s="70" t="s">
        <v>51</v>
      </c>
      <c r="M535" s="70" t="s">
        <v>225</v>
      </c>
    </row>
    <row r="536" spans="1:13" s="53" customFormat="1" ht="43.5" customHeight="1">
      <c r="A536" s="71" t="s">
        <v>1744</v>
      </c>
      <c r="B536" s="62" t="s">
        <v>746</v>
      </c>
      <c r="C536" s="77" t="s">
        <v>767</v>
      </c>
      <c r="F536" s="53" t="s">
        <v>768</v>
      </c>
      <c r="G536" s="70" t="s">
        <v>121</v>
      </c>
      <c r="H536" s="70" t="str">
        <f>IF(LEFT(B536,1)="6","Product","Protocol")</f>
        <v>Protocol</v>
      </c>
      <c r="I536" s="62" t="s">
        <v>41</v>
      </c>
      <c r="J536" s="62" t="s">
        <v>54</v>
      </c>
      <c r="K536" s="62" t="s">
        <v>9</v>
      </c>
      <c r="L536" s="70" t="s">
        <v>56</v>
      </c>
      <c r="M536" s="70" t="s">
        <v>2226</v>
      </c>
    </row>
    <row r="537" spans="1:13" s="53" customFormat="1" ht="65.25" hidden="1" customHeight="1">
      <c r="A537" s="71" t="s">
        <v>1745</v>
      </c>
      <c r="B537" s="62" t="s">
        <v>769</v>
      </c>
      <c r="C537" s="77" t="s">
        <v>770</v>
      </c>
      <c r="G537" s="70"/>
      <c r="H537" s="70" t="str">
        <f t="shared" si="7"/>
        <v>Protocol</v>
      </c>
      <c r="I537" s="62" t="s">
        <v>42</v>
      </c>
      <c r="J537" s="62" t="s">
        <v>54</v>
      </c>
      <c r="K537" s="62" t="s">
        <v>8</v>
      </c>
      <c r="L537" s="70" t="s">
        <v>50</v>
      </c>
      <c r="M537" s="70" t="s">
        <v>231</v>
      </c>
    </row>
    <row r="538" spans="1:13" s="53" customFormat="1" ht="69" hidden="1" customHeight="1">
      <c r="A538" s="71" t="s">
        <v>1746</v>
      </c>
      <c r="B538" s="62" t="s">
        <v>769</v>
      </c>
      <c r="C538" s="77" t="s">
        <v>771</v>
      </c>
      <c r="G538" s="70"/>
      <c r="H538" s="70" t="str">
        <f t="shared" si="7"/>
        <v>Protocol</v>
      </c>
      <c r="I538" s="62" t="s">
        <v>42</v>
      </c>
      <c r="J538" s="62" t="s">
        <v>54</v>
      </c>
      <c r="K538" s="62" t="s">
        <v>9</v>
      </c>
      <c r="L538" s="70" t="s">
        <v>50</v>
      </c>
      <c r="M538" s="70" t="s">
        <v>153</v>
      </c>
    </row>
    <row r="539" spans="1:13" s="53" customFormat="1" ht="40.5" hidden="1" customHeight="1">
      <c r="A539" s="71" t="s">
        <v>1747</v>
      </c>
      <c r="B539" s="62" t="s">
        <v>769</v>
      </c>
      <c r="C539" s="77" t="s">
        <v>772</v>
      </c>
      <c r="G539" s="70"/>
      <c r="H539" s="70" t="str">
        <f t="shared" si="7"/>
        <v>Protocol</v>
      </c>
      <c r="I539" s="62" t="s">
        <v>42</v>
      </c>
      <c r="J539" s="62" t="s">
        <v>54</v>
      </c>
      <c r="K539" s="62" t="s">
        <v>9</v>
      </c>
      <c r="L539" s="70" t="s">
        <v>50</v>
      </c>
      <c r="M539" s="70" t="s">
        <v>153</v>
      </c>
    </row>
    <row r="540" spans="1:13" s="53" customFormat="1" ht="45" hidden="1" customHeight="1">
      <c r="A540" s="71" t="s">
        <v>1748</v>
      </c>
      <c r="B540" s="62" t="s">
        <v>769</v>
      </c>
      <c r="C540" s="77" t="s">
        <v>773</v>
      </c>
      <c r="G540" s="70"/>
      <c r="H540" s="70" t="str">
        <f t="shared" si="7"/>
        <v>Protocol</v>
      </c>
      <c r="I540" s="62" t="s">
        <v>42</v>
      </c>
      <c r="J540" s="62" t="s">
        <v>54</v>
      </c>
      <c r="K540" s="62" t="s">
        <v>9</v>
      </c>
      <c r="L540" s="70" t="s">
        <v>50</v>
      </c>
      <c r="M540" s="70" t="s">
        <v>153</v>
      </c>
    </row>
    <row r="541" spans="1:13" s="53" customFormat="1" ht="56.25" hidden="1" customHeight="1">
      <c r="A541" s="71" t="s">
        <v>1749</v>
      </c>
      <c r="B541" s="62" t="s">
        <v>769</v>
      </c>
      <c r="C541" s="77" t="s">
        <v>774</v>
      </c>
      <c r="G541" s="70"/>
      <c r="H541" s="70" t="str">
        <f t="shared" si="7"/>
        <v>Protocol</v>
      </c>
      <c r="I541" s="62" t="s">
        <v>42</v>
      </c>
      <c r="J541" s="62" t="s">
        <v>54</v>
      </c>
      <c r="K541" s="62" t="s">
        <v>9</v>
      </c>
      <c r="L541" s="70" t="s">
        <v>50</v>
      </c>
      <c r="M541" s="70" t="s">
        <v>153</v>
      </c>
    </row>
    <row r="542" spans="1:13" s="53" customFormat="1" ht="81.75" hidden="1" customHeight="1">
      <c r="A542" s="71" t="s">
        <v>1750</v>
      </c>
      <c r="B542" s="62" t="s">
        <v>769</v>
      </c>
      <c r="C542" s="77" t="s">
        <v>775</v>
      </c>
      <c r="G542" s="70"/>
      <c r="H542" s="70" t="str">
        <f t="shared" si="7"/>
        <v>Protocol</v>
      </c>
      <c r="I542" s="62" t="s">
        <v>42</v>
      </c>
      <c r="J542" s="62" t="s">
        <v>53</v>
      </c>
      <c r="K542" s="62" t="s">
        <v>9</v>
      </c>
      <c r="L542" s="70" t="s">
        <v>50</v>
      </c>
      <c r="M542" s="70" t="s">
        <v>153</v>
      </c>
    </row>
    <row r="543" spans="1:13" s="53" customFormat="1" ht="39" hidden="1" customHeight="1">
      <c r="A543" s="71" t="s">
        <v>1751</v>
      </c>
      <c r="B543" s="62" t="s">
        <v>769</v>
      </c>
      <c r="C543" s="77" t="s">
        <v>776</v>
      </c>
      <c r="G543" s="70"/>
      <c r="H543" s="70" t="str">
        <f t="shared" si="7"/>
        <v>Protocol</v>
      </c>
      <c r="I543" s="62" t="s">
        <v>42</v>
      </c>
      <c r="J543" s="62" t="s">
        <v>53</v>
      </c>
      <c r="K543" s="62" t="s">
        <v>9</v>
      </c>
      <c r="L543" s="70" t="s">
        <v>50</v>
      </c>
      <c r="M543" s="70" t="s">
        <v>153</v>
      </c>
    </row>
    <row r="544" spans="1:13" s="53" customFormat="1" ht="51.75" hidden="1" customHeight="1">
      <c r="A544" s="71" t="s">
        <v>1752</v>
      </c>
      <c r="B544" s="62" t="s">
        <v>769</v>
      </c>
      <c r="C544" s="77" t="s">
        <v>777</v>
      </c>
      <c r="G544" s="70"/>
      <c r="H544" s="70" t="str">
        <f t="shared" si="7"/>
        <v>Protocol</v>
      </c>
      <c r="I544" s="62" t="s">
        <v>42</v>
      </c>
      <c r="J544" s="62" t="s">
        <v>54</v>
      </c>
      <c r="K544" s="62" t="s">
        <v>8</v>
      </c>
      <c r="L544" s="70" t="s">
        <v>50</v>
      </c>
      <c r="M544" s="70" t="s">
        <v>231</v>
      </c>
    </row>
    <row r="545" spans="1:13" s="53" customFormat="1" ht="50.25" hidden="1" customHeight="1">
      <c r="A545" s="71" t="s">
        <v>1753</v>
      </c>
      <c r="B545" s="62" t="s">
        <v>769</v>
      </c>
      <c r="C545" s="77" t="s">
        <v>778</v>
      </c>
      <c r="G545" s="70"/>
      <c r="H545" s="70" t="str">
        <f t="shared" si="7"/>
        <v>Protocol</v>
      </c>
      <c r="I545" s="62" t="s">
        <v>42</v>
      </c>
      <c r="J545" s="62" t="s">
        <v>53</v>
      </c>
      <c r="K545" s="62" t="s">
        <v>9</v>
      </c>
      <c r="L545" s="70" t="s">
        <v>50</v>
      </c>
      <c r="M545" s="70" t="s">
        <v>153</v>
      </c>
    </row>
    <row r="546" spans="1:13" s="53" customFormat="1" ht="90.75" hidden="1" customHeight="1">
      <c r="A546" s="71" t="s">
        <v>1754</v>
      </c>
      <c r="B546" s="62" t="s">
        <v>769</v>
      </c>
      <c r="C546" s="77" t="s">
        <v>779</v>
      </c>
      <c r="G546" s="70"/>
      <c r="H546" s="70" t="str">
        <f t="shared" si="7"/>
        <v>Protocol</v>
      </c>
      <c r="I546" s="62" t="s">
        <v>42</v>
      </c>
      <c r="J546" s="62" t="s">
        <v>53</v>
      </c>
      <c r="K546" s="62" t="s">
        <v>9</v>
      </c>
      <c r="L546" s="70" t="s">
        <v>50</v>
      </c>
      <c r="M546" s="70" t="s">
        <v>153</v>
      </c>
    </row>
    <row r="547" spans="1:13" s="53" customFormat="1" ht="33.75" hidden="1" customHeight="1">
      <c r="A547" s="71" t="s">
        <v>1755</v>
      </c>
      <c r="B547" s="62" t="s">
        <v>769</v>
      </c>
      <c r="C547" s="77" t="s">
        <v>780</v>
      </c>
      <c r="G547" s="70"/>
      <c r="H547" s="70" t="str">
        <f t="shared" si="7"/>
        <v>Protocol</v>
      </c>
      <c r="I547" s="62" t="s">
        <v>42</v>
      </c>
      <c r="J547" s="62" t="s">
        <v>54</v>
      </c>
      <c r="K547" s="62" t="s">
        <v>8</v>
      </c>
      <c r="L547" s="70" t="s">
        <v>50</v>
      </c>
      <c r="M547" s="70" t="s">
        <v>231</v>
      </c>
    </row>
    <row r="548" spans="1:13" s="53" customFormat="1" ht="51.75" hidden="1" customHeight="1">
      <c r="A548" s="71" t="s">
        <v>1756</v>
      </c>
      <c r="B548" s="62" t="s">
        <v>769</v>
      </c>
      <c r="C548" s="77" t="s">
        <v>781</v>
      </c>
      <c r="G548" s="70"/>
      <c r="H548" s="70" t="str">
        <f t="shared" si="7"/>
        <v>Protocol</v>
      </c>
      <c r="I548" s="62" t="s">
        <v>42</v>
      </c>
      <c r="J548" s="62" t="s">
        <v>53</v>
      </c>
      <c r="K548" s="62" t="s">
        <v>9</v>
      </c>
      <c r="L548" s="70" t="s">
        <v>50</v>
      </c>
      <c r="M548" s="70" t="s">
        <v>153</v>
      </c>
    </row>
    <row r="549" spans="1:13" s="53" customFormat="1" ht="59.25" customHeight="1">
      <c r="A549" s="71" t="s">
        <v>1757</v>
      </c>
      <c r="B549" s="62" t="s">
        <v>782</v>
      </c>
      <c r="C549" s="77" t="s">
        <v>2236</v>
      </c>
      <c r="G549" s="70" t="s">
        <v>121</v>
      </c>
      <c r="H549" s="70" t="str">
        <f t="shared" si="7"/>
        <v>Protocol</v>
      </c>
      <c r="I549" s="62" t="s">
        <v>41</v>
      </c>
      <c r="J549" s="62" t="s">
        <v>53</v>
      </c>
      <c r="K549" s="62" t="s">
        <v>9</v>
      </c>
      <c r="L549" s="70" t="s">
        <v>56</v>
      </c>
      <c r="M549" s="70" t="s">
        <v>2226</v>
      </c>
    </row>
    <row r="550" spans="1:13" s="53" customFormat="1" ht="84.75" customHeight="1">
      <c r="A550" s="71" t="s">
        <v>1758</v>
      </c>
      <c r="B550" s="62" t="s">
        <v>782</v>
      </c>
      <c r="C550" s="77" t="s">
        <v>2237</v>
      </c>
      <c r="G550" s="70" t="s">
        <v>121</v>
      </c>
      <c r="H550" s="70" t="str">
        <f t="shared" si="7"/>
        <v>Protocol</v>
      </c>
      <c r="I550" s="62" t="s">
        <v>41</v>
      </c>
      <c r="J550" s="62" t="s">
        <v>53</v>
      </c>
      <c r="K550" s="62" t="s">
        <v>9</v>
      </c>
      <c r="L550" s="70" t="s">
        <v>56</v>
      </c>
      <c r="M550" s="70" t="s">
        <v>2226</v>
      </c>
    </row>
    <row r="551" spans="1:13" s="53" customFormat="1" ht="73.5" customHeight="1">
      <c r="A551" s="71" t="s">
        <v>1759</v>
      </c>
      <c r="B551" s="62" t="s">
        <v>782</v>
      </c>
      <c r="C551" s="77" t="s">
        <v>2238</v>
      </c>
      <c r="G551" s="70"/>
      <c r="H551" s="70" t="str">
        <f t="shared" si="7"/>
        <v>Protocol</v>
      </c>
      <c r="I551" s="62" t="s">
        <v>41</v>
      </c>
      <c r="J551" s="62" t="s">
        <v>53</v>
      </c>
      <c r="K551" s="62" t="s">
        <v>9</v>
      </c>
      <c r="L551" s="70" t="s">
        <v>50</v>
      </c>
      <c r="M551" s="70" t="s">
        <v>2251</v>
      </c>
    </row>
    <row r="552" spans="1:13" s="53" customFormat="1" ht="61.5" customHeight="1">
      <c r="A552" s="71" t="s">
        <v>1760</v>
      </c>
      <c r="B552" s="62" t="s">
        <v>782</v>
      </c>
      <c r="C552" s="77" t="s">
        <v>783</v>
      </c>
      <c r="G552" s="70" t="s">
        <v>121</v>
      </c>
      <c r="H552" s="70" t="str">
        <f t="shared" si="7"/>
        <v>Protocol</v>
      </c>
      <c r="I552" s="62" t="s">
        <v>41</v>
      </c>
      <c r="J552" s="62" t="s">
        <v>54</v>
      </c>
      <c r="K552" s="62" t="s">
        <v>9</v>
      </c>
      <c r="L552" s="70" t="s">
        <v>56</v>
      </c>
      <c r="M552" s="70" t="s">
        <v>2226</v>
      </c>
    </row>
    <row r="553" spans="1:13" s="53" customFormat="1" ht="136.5" customHeight="1">
      <c r="A553" s="71" t="s">
        <v>1761</v>
      </c>
      <c r="B553" s="62" t="s">
        <v>782</v>
      </c>
      <c r="C553" s="77" t="s">
        <v>784</v>
      </c>
      <c r="G553" s="70" t="s">
        <v>121</v>
      </c>
      <c r="H553" s="70" t="str">
        <f t="shared" si="7"/>
        <v>Protocol</v>
      </c>
      <c r="I553" s="62" t="s">
        <v>41</v>
      </c>
      <c r="J553" s="62" t="s">
        <v>53</v>
      </c>
      <c r="K553" s="62" t="s">
        <v>9</v>
      </c>
      <c r="L553" s="70" t="s">
        <v>56</v>
      </c>
      <c r="M553" s="70" t="s">
        <v>2226</v>
      </c>
    </row>
    <row r="554" spans="1:13" s="53" customFormat="1" ht="39" hidden="1" customHeight="1">
      <c r="A554" s="71" t="s">
        <v>1762</v>
      </c>
      <c r="B554" s="62" t="s">
        <v>782</v>
      </c>
      <c r="C554" s="77" t="s">
        <v>785</v>
      </c>
      <c r="G554" s="70"/>
      <c r="H554" s="70" t="str">
        <f t="shared" si="7"/>
        <v>Protocol</v>
      </c>
      <c r="I554" s="62" t="s">
        <v>41</v>
      </c>
      <c r="J554" s="62" t="s">
        <v>54</v>
      </c>
      <c r="K554" s="62" t="s">
        <v>8</v>
      </c>
      <c r="L554" s="70" t="s">
        <v>50</v>
      </c>
      <c r="M554" s="70" t="s">
        <v>231</v>
      </c>
    </row>
    <row r="555" spans="1:13" s="53" customFormat="1" ht="54" customHeight="1">
      <c r="A555" s="71" t="s">
        <v>1763</v>
      </c>
      <c r="B555" s="62" t="s">
        <v>782</v>
      </c>
      <c r="C555" s="77" t="s">
        <v>786</v>
      </c>
      <c r="G555" s="70"/>
      <c r="H555" s="70" t="str">
        <f t="shared" si="7"/>
        <v>Protocol</v>
      </c>
      <c r="I555" s="62" t="s">
        <v>41</v>
      </c>
      <c r="J555" s="62" t="s">
        <v>53</v>
      </c>
      <c r="K555" s="62" t="s">
        <v>9</v>
      </c>
      <c r="L555" s="70" t="s">
        <v>50</v>
      </c>
      <c r="M555" s="70" t="s">
        <v>2249</v>
      </c>
    </row>
    <row r="556" spans="1:13" s="53" customFormat="1" ht="38.25" customHeight="1">
      <c r="A556" s="71" t="s">
        <v>1764</v>
      </c>
      <c r="B556" s="62" t="s">
        <v>782</v>
      </c>
      <c r="C556" s="77" t="s">
        <v>787</v>
      </c>
      <c r="G556" s="70" t="s">
        <v>121</v>
      </c>
      <c r="H556" s="70" t="str">
        <f t="shared" si="7"/>
        <v>Protocol</v>
      </c>
      <c r="I556" s="62" t="s">
        <v>41</v>
      </c>
      <c r="J556" s="62" t="s">
        <v>53</v>
      </c>
      <c r="K556" s="62" t="s">
        <v>9</v>
      </c>
      <c r="L556" s="70" t="s">
        <v>56</v>
      </c>
      <c r="M556" s="70" t="s">
        <v>2226</v>
      </c>
    </row>
    <row r="557" spans="1:13" s="53" customFormat="1" ht="39.75" hidden="1" customHeight="1">
      <c r="A557" s="71" t="s">
        <v>1765</v>
      </c>
      <c r="B557" s="62" t="s">
        <v>782</v>
      </c>
      <c r="C557" s="77" t="s">
        <v>788</v>
      </c>
      <c r="G557" s="70"/>
      <c r="H557" s="70" t="str">
        <f t="shared" si="7"/>
        <v>Protocol</v>
      </c>
      <c r="I557" s="62" t="s">
        <v>42</v>
      </c>
      <c r="J557" s="62" t="s">
        <v>53</v>
      </c>
      <c r="K557" s="62" t="s">
        <v>9</v>
      </c>
      <c r="L557" s="70" t="s">
        <v>50</v>
      </c>
      <c r="M557" s="70" t="s">
        <v>153</v>
      </c>
    </row>
    <row r="558" spans="1:13" s="53" customFormat="1" ht="48" customHeight="1">
      <c r="A558" s="71" t="s">
        <v>1766</v>
      </c>
      <c r="B558" s="62" t="s">
        <v>782</v>
      </c>
      <c r="C558" s="77" t="s">
        <v>789</v>
      </c>
      <c r="G558" s="70" t="s">
        <v>121</v>
      </c>
      <c r="H558" s="70" t="str">
        <f t="shared" si="7"/>
        <v>Protocol</v>
      </c>
      <c r="I558" s="62" t="s">
        <v>41</v>
      </c>
      <c r="J558" s="62" t="s">
        <v>53</v>
      </c>
      <c r="K558" s="62" t="s">
        <v>9</v>
      </c>
      <c r="L558" s="70" t="s">
        <v>56</v>
      </c>
      <c r="M558" s="70" t="s">
        <v>2226</v>
      </c>
    </row>
    <row r="559" spans="1:13" s="53" customFormat="1" ht="54.75" customHeight="1">
      <c r="A559" s="71" t="s">
        <v>1767</v>
      </c>
      <c r="B559" s="62" t="s">
        <v>782</v>
      </c>
      <c r="C559" s="77" t="s">
        <v>790</v>
      </c>
      <c r="G559" s="70" t="s">
        <v>121</v>
      </c>
      <c r="H559" s="70" t="str">
        <f t="shared" si="7"/>
        <v>Protocol</v>
      </c>
      <c r="I559" s="62" t="s">
        <v>41</v>
      </c>
      <c r="J559" s="62" t="s">
        <v>53</v>
      </c>
      <c r="K559" s="62" t="s">
        <v>9</v>
      </c>
      <c r="L559" s="70" t="s">
        <v>56</v>
      </c>
      <c r="M559" s="70" t="s">
        <v>2226</v>
      </c>
    </row>
    <row r="560" spans="1:13" s="53" customFormat="1" ht="34.5" customHeight="1">
      <c r="A560" s="71" t="s">
        <v>1768</v>
      </c>
      <c r="B560" s="62" t="s">
        <v>782</v>
      </c>
      <c r="C560" s="77" t="s">
        <v>791</v>
      </c>
      <c r="G560" s="70" t="s">
        <v>121</v>
      </c>
      <c r="H560" s="70" t="str">
        <f t="shared" si="7"/>
        <v>Protocol</v>
      </c>
      <c r="I560" s="62" t="s">
        <v>41</v>
      </c>
      <c r="J560" s="62" t="s">
        <v>53</v>
      </c>
      <c r="K560" s="62" t="s">
        <v>9</v>
      </c>
      <c r="L560" s="70" t="s">
        <v>56</v>
      </c>
      <c r="M560" s="70" t="s">
        <v>2226</v>
      </c>
    </row>
    <row r="561" spans="1:13" s="53" customFormat="1" ht="71.25" customHeight="1">
      <c r="A561" s="71" t="s">
        <v>1769</v>
      </c>
      <c r="B561" s="62" t="s">
        <v>782</v>
      </c>
      <c r="C561" s="77" t="s">
        <v>792</v>
      </c>
      <c r="G561" s="70" t="s">
        <v>121</v>
      </c>
      <c r="H561" s="70" t="str">
        <f t="shared" si="7"/>
        <v>Protocol</v>
      </c>
      <c r="I561" s="62" t="s">
        <v>41</v>
      </c>
      <c r="J561" s="62" t="s">
        <v>53</v>
      </c>
      <c r="K561" s="62" t="s">
        <v>9</v>
      </c>
      <c r="L561" s="70" t="s">
        <v>56</v>
      </c>
      <c r="M561" s="70" t="s">
        <v>2226</v>
      </c>
    </row>
    <row r="562" spans="1:13" s="53" customFormat="1" ht="25.5" customHeight="1">
      <c r="A562" s="71" t="s">
        <v>1770</v>
      </c>
      <c r="B562" s="62" t="s">
        <v>782</v>
      </c>
      <c r="C562" s="77" t="s">
        <v>793</v>
      </c>
      <c r="G562" s="70" t="s">
        <v>121</v>
      </c>
      <c r="H562" s="70" t="str">
        <f t="shared" si="7"/>
        <v>Protocol</v>
      </c>
      <c r="I562" s="62" t="s">
        <v>41</v>
      </c>
      <c r="J562" s="62" t="s">
        <v>53</v>
      </c>
      <c r="K562" s="62" t="s">
        <v>9</v>
      </c>
      <c r="L562" s="70" t="s">
        <v>56</v>
      </c>
      <c r="M562" s="70" t="s">
        <v>2226</v>
      </c>
    </row>
    <row r="563" spans="1:13" s="53" customFormat="1" ht="63.75" customHeight="1">
      <c r="A563" s="71" t="s">
        <v>1771</v>
      </c>
      <c r="B563" s="62" t="s">
        <v>782</v>
      </c>
      <c r="C563" s="77" t="s">
        <v>2225</v>
      </c>
      <c r="G563" s="70" t="s">
        <v>121</v>
      </c>
      <c r="H563" s="70" t="str">
        <f t="shared" si="7"/>
        <v>Protocol</v>
      </c>
      <c r="I563" s="62" t="s">
        <v>41</v>
      </c>
      <c r="J563" s="62" t="s">
        <v>53</v>
      </c>
      <c r="K563" s="62" t="s">
        <v>9</v>
      </c>
      <c r="L563" s="70" t="s">
        <v>56</v>
      </c>
      <c r="M563" s="70" t="s">
        <v>2226</v>
      </c>
    </row>
    <row r="564" spans="1:13" s="53" customFormat="1" ht="58.5" customHeight="1">
      <c r="A564" s="71" t="s">
        <v>1772</v>
      </c>
      <c r="B564" s="62" t="s">
        <v>782</v>
      </c>
      <c r="C564" s="77" t="s">
        <v>794</v>
      </c>
      <c r="G564" s="70"/>
      <c r="H564" s="70" t="str">
        <f t="shared" si="7"/>
        <v>Protocol</v>
      </c>
      <c r="I564" s="62" t="s">
        <v>41</v>
      </c>
      <c r="J564" s="62" t="s">
        <v>53</v>
      </c>
      <c r="K564" s="62" t="s">
        <v>9</v>
      </c>
      <c r="L564" s="70" t="s">
        <v>50</v>
      </c>
      <c r="M564" s="70" t="s">
        <v>2251</v>
      </c>
    </row>
    <row r="565" spans="1:13" s="53" customFormat="1" ht="61.5" hidden="1" customHeight="1">
      <c r="A565" s="71" t="s">
        <v>1773</v>
      </c>
      <c r="B565" s="62" t="s">
        <v>795</v>
      </c>
      <c r="C565" s="77" t="s">
        <v>796</v>
      </c>
      <c r="G565" s="70"/>
      <c r="H565" s="70" t="str">
        <f t="shared" si="7"/>
        <v>Protocol</v>
      </c>
      <c r="I565" s="62" t="s">
        <v>42</v>
      </c>
      <c r="J565" s="62" t="s">
        <v>54</v>
      </c>
      <c r="K565" s="62" t="s">
        <v>8</v>
      </c>
      <c r="L565" s="70" t="s">
        <v>50</v>
      </c>
      <c r="M565" s="70" t="s">
        <v>231</v>
      </c>
    </row>
    <row r="566" spans="1:13" s="53" customFormat="1" ht="36.75" customHeight="1">
      <c r="A566" s="71" t="s">
        <v>1774</v>
      </c>
      <c r="B566" s="62" t="s">
        <v>795</v>
      </c>
      <c r="C566" s="77" t="s">
        <v>797</v>
      </c>
      <c r="G566" s="70"/>
      <c r="H566" s="70" t="str">
        <f t="shared" si="7"/>
        <v>Protocol</v>
      </c>
      <c r="I566" s="62" t="s">
        <v>41</v>
      </c>
      <c r="J566" s="62" t="s">
        <v>53</v>
      </c>
      <c r="K566" s="62" t="s">
        <v>9</v>
      </c>
      <c r="L566" s="70" t="s">
        <v>51</v>
      </c>
      <c r="M566" s="70" t="s">
        <v>225</v>
      </c>
    </row>
    <row r="567" spans="1:13" s="53" customFormat="1" ht="30.75" customHeight="1">
      <c r="A567" s="71" t="s">
        <v>1775</v>
      </c>
      <c r="B567" s="62" t="s">
        <v>795</v>
      </c>
      <c r="C567" s="77" t="s">
        <v>798</v>
      </c>
      <c r="F567" s="53" t="s">
        <v>799</v>
      </c>
      <c r="G567" s="70" t="s">
        <v>122</v>
      </c>
      <c r="H567" s="70" t="str">
        <f>IF(LEFT(B567,1)="6","Product","Protocol")</f>
        <v>Protocol</v>
      </c>
      <c r="I567" s="62" t="s">
        <v>41</v>
      </c>
      <c r="J567" s="62" t="s">
        <v>54</v>
      </c>
      <c r="K567" s="62" t="s">
        <v>9</v>
      </c>
      <c r="L567" s="70" t="s">
        <v>56</v>
      </c>
      <c r="M567" s="70" t="s">
        <v>2226</v>
      </c>
    </row>
    <row r="568" spans="1:13" s="53" customFormat="1" ht="31.5" hidden="1" customHeight="1">
      <c r="A568" s="71" t="s">
        <v>1776</v>
      </c>
      <c r="B568" s="62" t="s">
        <v>795</v>
      </c>
      <c r="C568" s="77" t="s">
        <v>800</v>
      </c>
      <c r="G568" s="70"/>
      <c r="H568" s="70" t="str">
        <f t="shared" si="7"/>
        <v>Protocol</v>
      </c>
      <c r="I568" s="62" t="s">
        <v>42</v>
      </c>
      <c r="J568" s="62" t="s">
        <v>53</v>
      </c>
      <c r="K568" s="62" t="s">
        <v>9</v>
      </c>
      <c r="L568" s="70" t="s">
        <v>50</v>
      </c>
      <c r="M568" s="70" t="s">
        <v>153</v>
      </c>
    </row>
    <row r="569" spans="1:13" s="53" customFormat="1" ht="53.25" customHeight="1">
      <c r="A569" s="71" t="s">
        <v>1777</v>
      </c>
      <c r="B569" s="62" t="s">
        <v>801</v>
      </c>
      <c r="C569" s="77" t="s">
        <v>802</v>
      </c>
      <c r="G569" s="70" t="s">
        <v>122</v>
      </c>
      <c r="H569" s="70" t="str">
        <f t="shared" si="7"/>
        <v>Protocol</v>
      </c>
      <c r="I569" s="62" t="s">
        <v>41</v>
      </c>
      <c r="J569" s="62" t="s">
        <v>54</v>
      </c>
      <c r="K569" s="62" t="s">
        <v>9</v>
      </c>
      <c r="L569" s="70" t="s">
        <v>56</v>
      </c>
      <c r="M569" s="70" t="s">
        <v>2226</v>
      </c>
    </row>
    <row r="570" spans="1:13" s="53" customFormat="1" ht="48.75" customHeight="1">
      <c r="A570" s="71" t="s">
        <v>1778</v>
      </c>
      <c r="B570" s="62" t="s">
        <v>801</v>
      </c>
      <c r="C570" s="77" t="s">
        <v>803</v>
      </c>
      <c r="G570" s="70" t="s">
        <v>122</v>
      </c>
      <c r="H570" s="70" t="str">
        <f t="shared" si="7"/>
        <v>Protocol</v>
      </c>
      <c r="I570" s="62" t="s">
        <v>41</v>
      </c>
      <c r="J570" s="62" t="s">
        <v>53</v>
      </c>
      <c r="K570" s="62" t="s">
        <v>9</v>
      </c>
      <c r="L570" s="70" t="s">
        <v>56</v>
      </c>
      <c r="M570" s="70" t="s">
        <v>2226</v>
      </c>
    </row>
    <row r="571" spans="1:13" s="53" customFormat="1" ht="47.25" customHeight="1">
      <c r="A571" s="71" t="s">
        <v>1779</v>
      </c>
      <c r="B571" s="62" t="s">
        <v>801</v>
      </c>
      <c r="C571" s="77" t="s">
        <v>804</v>
      </c>
      <c r="G571" s="70" t="s">
        <v>122</v>
      </c>
      <c r="H571" s="70" t="str">
        <f t="shared" si="7"/>
        <v>Protocol</v>
      </c>
      <c r="I571" s="62" t="s">
        <v>41</v>
      </c>
      <c r="J571" s="62" t="s">
        <v>53</v>
      </c>
      <c r="K571" s="62" t="s">
        <v>9</v>
      </c>
      <c r="L571" s="70" t="s">
        <v>56</v>
      </c>
      <c r="M571" s="70" t="s">
        <v>2226</v>
      </c>
    </row>
    <row r="572" spans="1:13" s="53" customFormat="1" ht="42" customHeight="1">
      <c r="A572" s="71" t="s">
        <v>1780</v>
      </c>
      <c r="B572" s="62" t="s">
        <v>801</v>
      </c>
      <c r="C572" s="77" t="s">
        <v>805</v>
      </c>
      <c r="G572" s="70" t="s">
        <v>122</v>
      </c>
      <c r="H572" s="70" t="str">
        <f t="shared" si="7"/>
        <v>Protocol</v>
      </c>
      <c r="I572" s="62" t="s">
        <v>41</v>
      </c>
      <c r="J572" s="62" t="s">
        <v>54</v>
      </c>
      <c r="K572" s="62" t="s">
        <v>9</v>
      </c>
      <c r="L572" s="70" t="s">
        <v>56</v>
      </c>
      <c r="M572" s="70" t="s">
        <v>2226</v>
      </c>
    </row>
    <row r="573" spans="1:13" s="53" customFormat="1" ht="53.25" customHeight="1">
      <c r="A573" s="71" t="s">
        <v>1781</v>
      </c>
      <c r="B573" s="62" t="s">
        <v>801</v>
      </c>
      <c r="C573" s="77" t="s">
        <v>806</v>
      </c>
      <c r="G573" s="70" t="s">
        <v>122</v>
      </c>
      <c r="H573" s="70" t="str">
        <f t="shared" si="7"/>
        <v>Protocol</v>
      </c>
      <c r="I573" s="62" t="s">
        <v>41</v>
      </c>
      <c r="J573" s="62" t="s">
        <v>54</v>
      </c>
      <c r="K573" s="62" t="s">
        <v>9</v>
      </c>
      <c r="L573" s="70" t="s">
        <v>56</v>
      </c>
      <c r="M573" s="70" t="s">
        <v>2226</v>
      </c>
    </row>
    <row r="574" spans="1:13" s="53" customFormat="1" ht="66.75" customHeight="1">
      <c r="A574" s="71" t="s">
        <v>1782</v>
      </c>
      <c r="B574" s="62" t="s">
        <v>801</v>
      </c>
      <c r="C574" s="77" t="s">
        <v>807</v>
      </c>
      <c r="G574" s="70" t="s">
        <v>122</v>
      </c>
      <c r="H574" s="70" t="str">
        <f t="shared" si="7"/>
        <v>Protocol</v>
      </c>
      <c r="I574" s="62" t="s">
        <v>41</v>
      </c>
      <c r="J574" s="62" t="s">
        <v>53</v>
      </c>
      <c r="K574" s="62" t="s">
        <v>9</v>
      </c>
      <c r="L574" s="70" t="s">
        <v>56</v>
      </c>
      <c r="M574" s="70" t="s">
        <v>2226</v>
      </c>
    </row>
    <row r="575" spans="1:13" s="53" customFormat="1" ht="55.5" hidden="1" customHeight="1">
      <c r="A575" s="71" t="s">
        <v>1783</v>
      </c>
      <c r="B575" s="62" t="s">
        <v>808</v>
      </c>
      <c r="C575" s="77" t="s">
        <v>809</v>
      </c>
      <c r="G575" s="70"/>
      <c r="H575" s="70" t="str">
        <f t="shared" ref="H575:H640" si="8">IF(LEFT(B575,1)="6","Product","Protocol")</f>
        <v>Protocol</v>
      </c>
      <c r="I575" s="62" t="s">
        <v>42</v>
      </c>
      <c r="J575" s="62" t="s">
        <v>54</v>
      </c>
      <c r="K575" s="62" t="s">
        <v>8</v>
      </c>
      <c r="L575" s="70" t="s">
        <v>50</v>
      </c>
      <c r="M575" s="70" t="s">
        <v>231</v>
      </c>
    </row>
    <row r="576" spans="1:13" s="53" customFormat="1" ht="50.25" hidden="1" customHeight="1">
      <c r="A576" s="71" t="s">
        <v>1784</v>
      </c>
      <c r="B576" s="62" t="s">
        <v>808</v>
      </c>
      <c r="C576" s="77" t="s">
        <v>810</v>
      </c>
      <c r="G576" s="70"/>
      <c r="H576" s="70" t="str">
        <f t="shared" si="8"/>
        <v>Protocol</v>
      </c>
      <c r="I576" s="62" t="s">
        <v>42</v>
      </c>
      <c r="J576" s="62" t="s">
        <v>54</v>
      </c>
      <c r="K576" s="62" t="s">
        <v>9</v>
      </c>
      <c r="L576" s="70" t="s">
        <v>50</v>
      </c>
      <c r="M576" s="70" t="s">
        <v>153</v>
      </c>
    </row>
    <row r="577" spans="1:13" s="53" customFormat="1" ht="49.5" hidden="1" customHeight="1">
      <c r="A577" s="71" t="s">
        <v>1785</v>
      </c>
      <c r="B577" s="62" t="s">
        <v>808</v>
      </c>
      <c r="C577" s="77" t="s">
        <v>811</v>
      </c>
      <c r="G577" s="70"/>
      <c r="H577" s="70" t="str">
        <f t="shared" si="8"/>
        <v>Protocol</v>
      </c>
      <c r="I577" s="62" t="s">
        <v>42</v>
      </c>
      <c r="J577" s="62" t="s">
        <v>53</v>
      </c>
      <c r="K577" s="62" t="s">
        <v>9</v>
      </c>
      <c r="L577" s="70" t="s">
        <v>50</v>
      </c>
      <c r="M577" s="70" t="s">
        <v>153</v>
      </c>
    </row>
    <row r="578" spans="1:13" s="53" customFormat="1" ht="42.75" hidden="1" customHeight="1">
      <c r="A578" s="71" t="s">
        <v>1786</v>
      </c>
      <c r="B578" s="62" t="s">
        <v>808</v>
      </c>
      <c r="C578" s="77" t="s">
        <v>812</v>
      </c>
      <c r="G578" s="70"/>
      <c r="H578" s="70" t="str">
        <f t="shared" si="8"/>
        <v>Protocol</v>
      </c>
      <c r="I578" s="62" t="s">
        <v>42</v>
      </c>
      <c r="J578" s="62" t="s">
        <v>54</v>
      </c>
      <c r="K578" s="62" t="s">
        <v>9</v>
      </c>
      <c r="L578" s="70" t="s">
        <v>50</v>
      </c>
      <c r="M578" s="70" t="s">
        <v>153</v>
      </c>
    </row>
    <row r="579" spans="1:13" s="53" customFormat="1" ht="54.75" hidden="1" customHeight="1">
      <c r="A579" s="71" t="s">
        <v>1787</v>
      </c>
      <c r="B579" s="62" t="s">
        <v>808</v>
      </c>
      <c r="C579" s="77" t="s">
        <v>813</v>
      </c>
      <c r="G579" s="70"/>
      <c r="H579" s="70" t="str">
        <f t="shared" si="8"/>
        <v>Protocol</v>
      </c>
      <c r="I579" s="62" t="s">
        <v>42</v>
      </c>
      <c r="J579" s="62" t="s">
        <v>54</v>
      </c>
      <c r="K579" s="62" t="s">
        <v>9</v>
      </c>
      <c r="L579" s="70" t="s">
        <v>50</v>
      </c>
      <c r="M579" s="70" t="s">
        <v>153</v>
      </c>
    </row>
    <row r="580" spans="1:13" s="53" customFormat="1" ht="78" hidden="1" customHeight="1">
      <c r="A580" s="71" t="s">
        <v>1788</v>
      </c>
      <c r="B580" s="62" t="s">
        <v>96</v>
      </c>
      <c r="C580" s="77" t="s">
        <v>814</v>
      </c>
      <c r="F580" s="53" t="s">
        <v>815</v>
      </c>
      <c r="G580" s="70"/>
      <c r="H580" s="70" t="s">
        <v>142</v>
      </c>
      <c r="I580" s="62" t="s">
        <v>30</v>
      </c>
      <c r="J580" s="62" t="s">
        <v>54</v>
      </c>
      <c r="K580" s="62" t="s">
        <v>8</v>
      </c>
      <c r="L580" s="70" t="s">
        <v>50</v>
      </c>
      <c r="M580" s="70" t="s">
        <v>231</v>
      </c>
    </row>
    <row r="581" spans="1:13" s="53" customFormat="1" ht="38.25" hidden="1" customHeight="1">
      <c r="A581" s="71" t="s">
        <v>1789</v>
      </c>
      <c r="B581" s="62" t="s">
        <v>808</v>
      </c>
      <c r="C581" s="77" t="s">
        <v>816</v>
      </c>
      <c r="G581" s="70"/>
      <c r="H581" s="70" t="str">
        <f t="shared" si="8"/>
        <v>Protocol</v>
      </c>
      <c r="I581" s="62" t="s">
        <v>42</v>
      </c>
      <c r="J581" s="62" t="s">
        <v>54</v>
      </c>
      <c r="K581" s="62" t="s">
        <v>9</v>
      </c>
      <c r="L581" s="70" t="s">
        <v>50</v>
      </c>
      <c r="M581" s="70" t="s">
        <v>153</v>
      </c>
    </row>
    <row r="582" spans="1:13" s="53" customFormat="1" ht="50.25" hidden="1" customHeight="1">
      <c r="A582" s="71" t="s">
        <v>1790</v>
      </c>
      <c r="B582" s="62" t="s">
        <v>808</v>
      </c>
      <c r="C582" s="77" t="s">
        <v>817</v>
      </c>
      <c r="G582" s="70"/>
      <c r="H582" s="70" t="str">
        <f t="shared" si="8"/>
        <v>Protocol</v>
      </c>
      <c r="I582" s="62" t="s">
        <v>42</v>
      </c>
      <c r="J582" s="62" t="s">
        <v>53</v>
      </c>
      <c r="K582" s="62" t="s">
        <v>9</v>
      </c>
      <c r="L582" s="70" t="s">
        <v>50</v>
      </c>
      <c r="M582" s="70" t="s">
        <v>153</v>
      </c>
    </row>
    <row r="583" spans="1:13" s="53" customFormat="1" ht="34.5" customHeight="1">
      <c r="A583" s="71" t="s">
        <v>1791</v>
      </c>
      <c r="B583" s="62" t="s">
        <v>808</v>
      </c>
      <c r="C583" s="77" t="s">
        <v>818</v>
      </c>
      <c r="G583" s="70"/>
      <c r="H583" s="70" t="str">
        <f t="shared" si="8"/>
        <v>Protocol</v>
      </c>
      <c r="I583" s="62" t="s">
        <v>41</v>
      </c>
      <c r="J583" s="62" t="s">
        <v>53</v>
      </c>
      <c r="K583" s="62" t="s">
        <v>9</v>
      </c>
      <c r="L583" s="70" t="s">
        <v>51</v>
      </c>
      <c r="M583" s="70" t="s">
        <v>225</v>
      </c>
    </row>
    <row r="584" spans="1:13" s="53" customFormat="1" ht="35.25" customHeight="1">
      <c r="A584" s="71" t="s">
        <v>1792</v>
      </c>
      <c r="B584" s="62" t="s">
        <v>808</v>
      </c>
      <c r="C584" s="77" t="s">
        <v>819</v>
      </c>
      <c r="F584" s="53" t="s">
        <v>820</v>
      </c>
      <c r="G584" s="70" t="s">
        <v>121</v>
      </c>
      <c r="H584" s="70" t="str">
        <f>IF(LEFT(B584,1)="6","Product","Protocol")</f>
        <v>Protocol</v>
      </c>
      <c r="I584" s="62" t="s">
        <v>41</v>
      </c>
      <c r="J584" s="62" t="s">
        <v>54</v>
      </c>
      <c r="K584" s="62" t="s">
        <v>9</v>
      </c>
      <c r="L584" s="70" t="s">
        <v>56</v>
      </c>
      <c r="M584" s="70" t="s">
        <v>2226</v>
      </c>
    </row>
    <row r="585" spans="1:13" s="53" customFormat="1" ht="33.75" customHeight="1">
      <c r="A585" s="71" t="s">
        <v>1793</v>
      </c>
      <c r="B585" s="62" t="s">
        <v>821</v>
      </c>
      <c r="C585" s="77" t="s">
        <v>822</v>
      </c>
      <c r="G585" s="70" t="s">
        <v>121</v>
      </c>
      <c r="H585" s="70" t="str">
        <f t="shared" si="8"/>
        <v>Protocol</v>
      </c>
      <c r="I585" s="62" t="s">
        <v>41</v>
      </c>
      <c r="J585" s="62" t="s">
        <v>54</v>
      </c>
      <c r="K585" s="62" t="s">
        <v>9</v>
      </c>
      <c r="L585" s="70" t="s">
        <v>56</v>
      </c>
      <c r="M585" s="70" t="s">
        <v>2226</v>
      </c>
    </row>
    <row r="586" spans="1:13" s="53" customFormat="1" ht="32.25" customHeight="1">
      <c r="A586" s="71" t="s">
        <v>1794</v>
      </c>
      <c r="B586" s="62" t="s">
        <v>821</v>
      </c>
      <c r="C586" s="77" t="s">
        <v>823</v>
      </c>
      <c r="G586" s="70" t="s">
        <v>121</v>
      </c>
      <c r="H586" s="70" t="str">
        <f t="shared" si="8"/>
        <v>Protocol</v>
      </c>
      <c r="I586" s="62" t="s">
        <v>41</v>
      </c>
      <c r="J586" s="62" t="s">
        <v>54</v>
      </c>
      <c r="K586" s="62" t="s">
        <v>9</v>
      </c>
      <c r="L586" s="70" t="s">
        <v>56</v>
      </c>
      <c r="M586" s="70" t="s">
        <v>2226</v>
      </c>
    </row>
    <row r="587" spans="1:13" s="53" customFormat="1" ht="48" customHeight="1">
      <c r="A587" s="71" t="s">
        <v>1795</v>
      </c>
      <c r="B587" s="62" t="s">
        <v>821</v>
      </c>
      <c r="C587" s="77" t="s">
        <v>824</v>
      </c>
      <c r="G587" s="70" t="s">
        <v>121</v>
      </c>
      <c r="H587" s="70" t="str">
        <f t="shared" si="8"/>
        <v>Protocol</v>
      </c>
      <c r="I587" s="62" t="s">
        <v>41</v>
      </c>
      <c r="J587" s="62" t="s">
        <v>54</v>
      </c>
      <c r="K587" s="62" t="s">
        <v>9</v>
      </c>
      <c r="L587" s="70" t="s">
        <v>56</v>
      </c>
      <c r="M587" s="70" t="s">
        <v>2226</v>
      </c>
    </row>
    <row r="588" spans="1:13" s="53" customFormat="1" ht="192" customHeight="1">
      <c r="A588" s="71" t="s">
        <v>1796</v>
      </c>
      <c r="B588" s="62" t="s">
        <v>821</v>
      </c>
      <c r="C588" s="77" t="s">
        <v>825</v>
      </c>
      <c r="G588" s="70" t="s">
        <v>121</v>
      </c>
      <c r="H588" s="70" t="str">
        <f t="shared" si="8"/>
        <v>Protocol</v>
      </c>
      <c r="I588" s="62" t="s">
        <v>41</v>
      </c>
      <c r="J588" s="62" t="s">
        <v>54</v>
      </c>
      <c r="K588" s="62" t="s">
        <v>9</v>
      </c>
      <c r="L588" s="70" t="s">
        <v>56</v>
      </c>
      <c r="M588" s="70" t="s">
        <v>2226</v>
      </c>
    </row>
    <row r="589" spans="1:13" s="53" customFormat="1" ht="87" customHeight="1">
      <c r="A589" s="71" t="s">
        <v>1797</v>
      </c>
      <c r="B589" s="62" t="s">
        <v>821</v>
      </c>
      <c r="C589" s="77" t="s">
        <v>826</v>
      </c>
      <c r="G589" s="70" t="s">
        <v>121</v>
      </c>
      <c r="H589" s="70" t="str">
        <f t="shared" si="8"/>
        <v>Protocol</v>
      </c>
      <c r="I589" s="62" t="s">
        <v>41</v>
      </c>
      <c r="J589" s="62" t="s">
        <v>53</v>
      </c>
      <c r="K589" s="62" t="s">
        <v>9</v>
      </c>
      <c r="L589" s="70" t="s">
        <v>56</v>
      </c>
      <c r="M589" s="70" t="s">
        <v>2226</v>
      </c>
    </row>
    <row r="590" spans="1:13" s="53" customFormat="1" ht="84" customHeight="1">
      <c r="A590" s="71" t="s">
        <v>1798</v>
      </c>
      <c r="B590" s="62" t="s">
        <v>821</v>
      </c>
      <c r="C590" s="77" t="s">
        <v>2234</v>
      </c>
      <c r="G590" s="70" t="s">
        <v>121</v>
      </c>
      <c r="H590" s="70" t="str">
        <f t="shared" si="8"/>
        <v>Protocol</v>
      </c>
      <c r="I590" s="62" t="s">
        <v>41</v>
      </c>
      <c r="J590" s="62" t="s">
        <v>53</v>
      </c>
      <c r="K590" s="62" t="s">
        <v>9</v>
      </c>
      <c r="L590" s="70" t="s">
        <v>56</v>
      </c>
      <c r="M590" s="70" t="s">
        <v>2227</v>
      </c>
    </row>
    <row r="591" spans="1:13" s="53" customFormat="1" ht="41.25" hidden="1" customHeight="1">
      <c r="A591" s="71" t="s">
        <v>1799</v>
      </c>
      <c r="B591" s="62" t="s">
        <v>827</v>
      </c>
      <c r="C591" s="77" t="s">
        <v>828</v>
      </c>
      <c r="G591" s="70"/>
      <c r="H591" s="70" t="str">
        <f t="shared" si="8"/>
        <v>Protocol</v>
      </c>
      <c r="I591" s="62" t="s">
        <v>42</v>
      </c>
      <c r="J591" s="62" t="s">
        <v>53</v>
      </c>
      <c r="K591" s="62" t="s">
        <v>9</v>
      </c>
      <c r="L591" s="70" t="s">
        <v>50</v>
      </c>
      <c r="M591" s="70" t="s">
        <v>153</v>
      </c>
    </row>
    <row r="592" spans="1:13" s="53" customFormat="1" ht="83.25" customHeight="1">
      <c r="A592" s="71" t="s">
        <v>1800</v>
      </c>
      <c r="B592" s="62" t="s">
        <v>829</v>
      </c>
      <c r="C592" s="77" t="s">
        <v>830</v>
      </c>
      <c r="G592" s="70"/>
      <c r="H592" s="70" t="str">
        <f t="shared" si="8"/>
        <v>Protocol</v>
      </c>
      <c r="I592" s="62" t="s">
        <v>41</v>
      </c>
      <c r="J592" s="62" t="s">
        <v>53</v>
      </c>
      <c r="K592" s="62" t="s">
        <v>9</v>
      </c>
      <c r="L592" s="70" t="s">
        <v>50</v>
      </c>
      <c r="M592" s="70" t="s">
        <v>2251</v>
      </c>
    </row>
    <row r="593" spans="1:13" s="53" customFormat="1" ht="68.25" hidden="1" customHeight="1">
      <c r="A593" s="71" t="s">
        <v>1801</v>
      </c>
      <c r="B593" s="62" t="s">
        <v>831</v>
      </c>
      <c r="C593" s="77" t="s">
        <v>832</v>
      </c>
      <c r="G593" s="70"/>
      <c r="H593" s="70" t="str">
        <f t="shared" si="8"/>
        <v>Protocol</v>
      </c>
      <c r="I593" s="62" t="s">
        <v>42</v>
      </c>
      <c r="J593" s="62" t="s">
        <v>54</v>
      </c>
      <c r="K593" s="62" t="s">
        <v>8</v>
      </c>
      <c r="L593" s="70" t="s">
        <v>50</v>
      </c>
      <c r="M593" s="70" t="s">
        <v>231</v>
      </c>
    </row>
    <row r="594" spans="1:13" s="53" customFormat="1" ht="57.75" hidden="1" customHeight="1">
      <c r="A594" s="71" t="s">
        <v>1802</v>
      </c>
      <c r="B594" s="62" t="s">
        <v>831</v>
      </c>
      <c r="C594" s="77" t="s">
        <v>833</v>
      </c>
      <c r="G594" s="70"/>
      <c r="H594" s="70" t="str">
        <f t="shared" si="8"/>
        <v>Protocol</v>
      </c>
      <c r="I594" s="62" t="s">
        <v>42</v>
      </c>
      <c r="J594" s="62" t="s">
        <v>54</v>
      </c>
      <c r="K594" s="62" t="s">
        <v>8</v>
      </c>
      <c r="L594" s="70" t="s">
        <v>50</v>
      </c>
      <c r="M594" s="70" t="s">
        <v>231</v>
      </c>
    </row>
    <row r="595" spans="1:13" s="53" customFormat="1" ht="65.25" hidden="1" customHeight="1">
      <c r="A595" s="71" t="s">
        <v>1803</v>
      </c>
      <c r="B595" s="62" t="s">
        <v>831</v>
      </c>
      <c r="C595" s="77" t="s">
        <v>834</v>
      </c>
      <c r="G595" s="70"/>
      <c r="H595" s="70" t="str">
        <f t="shared" si="8"/>
        <v>Protocol</v>
      </c>
      <c r="I595" s="62" t="s">
        <v>42</v>
      </c>
      <c r="J595" s="62" t="s">
        <v>54</v>
      </c>
      <c r="K595" s="62" t="s">
        <v>8</v>
      </c>
      <c r="L595" s="70" t="s">
        <v>50</v>
      </c>
      <c r="M595" s="70" t="s">
        <v>231</v>
      </c>
    </row>
    <row r="596" spans="1:13" s="53" customFormat="1" ht="51" customHeight="1">
      <c r="A596" s="71" t="s">
        <v>1804</v>
      </c>
      <c r="B596" s="62" t="s">
        <v>835</v>
      </c>
      <c r="C596" s="77" t="s">
        <v>836</v>
      </c>
      <c r="G596" s="70"/>
      <c r="H596" s="70" t="str">
        <f t="shared" si="8"/>
        <v>Protocol</v>
      </c>
      <c r="I596" s="62" t="s">
        <v>41</v>
      </c>
      <c r="J596" s="62" t="s">
        <v>54</v>
      </c>
      <c r="K596" s="62" t="s">
        <v>9</v>
      </c>
      <c r="L596" s="70" t="s">
        <v>51</v>
      </c>
      <c r="M596" s="70" t="s">
        <v>2215</v>
      </c>
    </row>
    <row r="597" spans="1:13" s="53" customFormat="1" ht="56.25" customHeight="1">
      <c r="A597" s="71" t="s">
        <v>1805</v>
      </c>
      <c r="B597" s="62" t="s">
        <v>835</v>
      </c>
      <c r="C597" s="77" t="s">
        <v>837</v>
      </c>
      <c r="G597" s="70"/>
      <c r="H597" s="70" t="str">
        <f t="shared" si="8"/>
        <v>Protocol</v>
      </c>
      <c r="I597" s="62" t="s">
        <v>41</v>
      </c>
      <c r="J597" s="62" t="s">
        <v>53</v>
      </c>
      <c r="K597" s="62" t="s">
        <v>9</v>
      </c>
      <c r="L597" s="70" t="s">
        <v>51</v>
      </c>
      <c r="M597" s="70" t="s">
        <v>2215</v>
      </c>
    </row>
    <row r="598" spans="1:13" s="53" customFormat="1" ht="51" customHeight="1">
      <c r="A598" s="71" t="s">
        <v>1806</v>
      </c>
      <c r="B598" s="62" t="s">
        <v>835</v>
      </c>
      <c r="C598" s="77" t="s">
        <v>838</v>
      </c>
      <c r="G598" s="70"/>
      <c r="H598" s="70" t="str">
        <f t="shared" si="8"/>
        <v>Protocol</v>
      </c>
      <c r="I598" s="62" t="s">
        <v>41</v>
      </c>
      <c r="J598" s="62" t="s">
        <v>55</v>
      </c>
      <c r="K598" s="62" t="s">
        <v>9</v>
      </c>
      <c r="L598" s="70" t="s">
        <v>51</v>
      </c>
      <c r="M598" s="70" t="s">
        <v>2215</v>
      </c>
    </row>
    <row r="599" spans="1:13" s="53" customFormat="1" ht="66.75" hidden="1" customHeight="1">
      <c r="A599" s="71" t="s">
        <v>1807</v>
      </c>
      <c r="B599" s="62" t="s">
        <v>839</v>
      </c>
      <c r="C599" s="77" t="s">
        <v>840</v>
      </c>
      <c r="G599" s="70"/>
      <c r="H599" s="70" t="str">
        <f t="shared" si="8"/>
        <v>Protocol</v>
      </c>
      <c r="I599" s="62" t="s">
        <v>42</v>
      </c>
      <c r="J599" s="62" t="s">
        <v>54</v>
      </c>
      <c r="K599" s="62" t="s">
        <v>8</v>
      </c>
      <c r="L599" s="70" t="s">
        <v>50</v>
      </c>
      <c r="M599" s="70" t="s">
        <v>231</v>
      </c>
    </row>
    <row r="600" spans="1:13" s="53" customFormat="1" ht="57.75" hidden="1" customHeight="1">
      <c r="A600" s="71" t="s">
        <v>1808</v>
      </c>
      <c r="B600" s="62" t="s">
        <v>839</v>
      </c>
      <c r="C600" s="77" t="s">
        <v>841</v>
      </c>
      <c r="G600" s="70"/>
      <c r="H600" s="70" t="str">
        <f t="shared" si="8"/>
        <v>Protocol</v>
      </c>
      <c r="I600" s="62" t="s">
        <v>42</v>
      </c>
      <c r="J600" s="62" t="s">
        <v>54</v>
      </c>
      <c r="K600" s="62" t="s">
        <v>8</v>
      </c>
      <c r="L600" s="70" t="s">
        <v>50</v>
      </c>
      <c r="M600" s="70" t="s">
        <v>231</v>
      </c>
    </row>
    <row r="601" spans="1:13" s="53" customFormat="1" ht="54" hidden="1" customHeight="1">
      <c r="A601" s="71" t="s">
        <v>1809</v>
      </c>
      <c r="B601" s="62" t="s">
        <v>839</v>
      </c>
      <c r="C601" s="77" t="s">
        <v>842</v>
      </c>
      <c r="G601" s="70"/>
      <c r="H601" s="70" t="str">
        <f t="shared" si="8"/>
        <v>Protocol</v>
      </c>
      <c r="I601" s="62" t="s">
        <v>42</v>
      </c>
      <c r="J601" s="62" t="s">
        <v>54</v>
      </c>
      <c r="K601" s="62" t="s">
        <v>8</v>
      </c>
      <c r="L601" s="70" t="s">
        <v>50</v>
      </c>
      <c r="M601" s="70" t="s">
        <v>231</v>
      </c>
    </row>
    <row r="602" spans="1:13" s="53" customFormat="1" ht="51" hidden="1" customHeight="1">
      <c r="A602" s="71" t="s">
        <v>1810</v>
      </c>
      <c r="B602" s="62" t="s">
        <v>839</v>
      </c>
      <c r="C602" s="77" t="s">
        <v>843</v>
      </c>
      <c r="G602" s="70"/>
      <c r="H602" s="70" t="str">
        <f t="shared" si="8"/>
        <v>Protocol</v>
      </c>
      <c r="I602" s="62" t="s">
        <v>42</v>
      </c>
      <c r="J602" s="62" t="s">
        <v>54</v>
      </c>
      <c r="K602" s="62" t="s">
        <v>8</v>
      </c>
      <c r="L602" s="70" t="s">
        <v>50</v>
      </c>
      <c r="M602" s="70" t="s">
        <v>231</v>
      </c>
    </row>
    <row r="603" spans="1:13" s="53" customFormat="1" ht="110.25" customHeight="1">
      <c r="A603" s="71" t="s">
        <v>1811</v>
      </c>
      <c r="B603" s="62" t="s">
        <v>844</v>
      </c>
      <c r="C603" s="77" t="s">
        <v>845</v>
      </c>
      <c r="G603" s="70"/>
      <c r="H603" s="70" t="str">
        <f t="shared" si="8"/>
        <v>Protocol</v>
      </c>
      <c r="I603" s="62" t="s">
        <v>41</v>
      </c>
      <c r="J603" s="62" t="s">
        <v>53</v>
      </c>
      <c r="K603" s="62" t="s">
        <v>9</v>
      </c>
      <c r="L603" s="70" t="s">
        <v>51</v>
      </c>
      <c r="M603" s="70" t="s">
        <v>2215</v>
      </c>
    </row>
    <row r="604" spans="1:13" s="53" customFormat="1" ht="63.75" hidden="1" customHeight="1">
      <c r="A604" s="71" t="s">
        <v>1812</v>
      </c>
      <c r="B604" s="62" t="s">
        <v>846</v>
      </c>
      <c r="C604" s="77" t="s">
        <v>847</v>
      </c>
      <c r="G604" s="70"/>
      <c r="H604" s="70" t="str">
        <f t="shared" si="8"/>
        <v>Protocol</v>
      </c>
      <c r="I604" s="62" t="s">
        <v>42</v>
      </c>
      <c r="J604" s="62" t="s">
        <v>54</v>
      </c>
      <c r="K604" s="62" t="s">
        <v>8</v>
      </c>
      <c r="L604" s="70" t="s">
        <v>50</v>
      </c>
      <c r="M604" s="70" t="s">
        <v>231</v>
      </c>
    </row>
    <row r="605" spans="1:13" s="53" customFormat="1" ht="56.25" hidden="1" customHeight="1">
      <c r="A605" s="71" t="s">
        <v>1813</v>
      </c>
      <c r="B605" s="62" t="s">
        <v>846</v>
      </c>
      <c r="C605" s="77" t="s">
        <v>848</v>
      </c>
      <c r="G605" s="70"/>
      <c r="H605" s="70" t="str">
        <f t="shared" si="8"/>
        <v>Protocol</v>
      </c>
      <c r="I605" s="62" t="s">
        <v>42</v>
      </c>
      <c r="J605" s="62" t="s">
        <v>53</v>
      </c>
      <c r="K605" s="62" t="s">
        <v>9</v>
      </c>
      <c r="L605" s="70" t="s">
        <v>50</v>
      </c>
      <c r="M605" s="70" t="s">
        <v>153</v>
      </c>
    </row>
    <row r="606" spans="1:13" s="53" customFormat="1" ht="53.25" customHeight="1">
      <c r="A606" s="71" t="s">
        <v>1814</v>
      </c>
      <c r="B606" s="62" t="s">
        <v>846</v>
      </c>
      <c r="C606" s="77" t="s">
        <v>849</v>
      </c>
      <c r="G606" s="70"/>
      <c r="H606" s="70" t="str">
        <f t="shared" si="8"/>
        <v>Protocol</v>
      </c>
      <c r="I606" s="62" t="s">
        <v>41</v>
      </c>
      <c r="J606" s="62" t="s">
        <v>53</v>
      </c>
      <c r="K606" s="62" t="s">
        <v>9</v>
      </c>
      <c r="L606" s="70" t="s">
        <v>51</v>
      </c>
      <c r="M606" s="70" t="s">
        <v>2215</v>
      </c>
    </row>
    <row r="607" spans="1:13" s="53" customFormat="1" ht="57.75" hidden="1" customHeight="1">
      <c r="A607" s="71" t="s">
        <v>1815</v>
      </c>
      <c r="B607" s="62" t="s">
        <v>846</v>
      </c>
      <c r="C607" s="77" t="s">
        <v>850</v>
      </c>
      <c r="G607" s="70"/>
      <c r="H607" s="70" t="str">
        <f t="shared" si="8"/>
        <v>Protocol</v>
      </c>
      <c r="I607" s="62" t="s">
        <v>42</v>
      </c>
      <c r="J607" s="62" t="s">
        <v>54</v>
      </c>
      <c r="K607" s="62" t="s">
        <v>8</v>
      </c>
      <c r="L607" s="70" t="s">
        <v>50</v>
      </c>
      <c r="M607" s="70" t="s">
        <v>231</v>
      </c>
    </row>
    <row r="608" spans="1:13" s="53" customFormat="1" ht="47.25" hidden="1" customHeight="1">
      <c r="A608" s="71" t="s">
        <v>1816</v>
      </c>
      <c r="B608" s="62" t="s">
        <v>846</v>
      </c>
      <c r="C608" s="77" t="s">
        <v>851</v>
      </c>
      <c r="G608" s="70"/>
      <c r="H608" s="70" t="str">
        <f t="shared" si="8"/>
        <v>Protocol</v>
      </c>
      <c r="I608" s="62" t="s">
        <v>42</v>
      </c>
      <c r="J608" s="62" t="s">
        <v>53</v>
      </c>
      <c r="K608" s="62" t="s">
        <v>9</v>
      </c>
      <c r="L608" s="70" t="s">
        <v>50</v>
      </c>
      <c r="M608" s="70" t="s">
        <v>153</v>
      </c>
    </row>
    <row r="609" spans="1:13" s="53" customFormat="1" ht="54.75" customHeight="1">
      <c r="A609" s="71" t="s">
        <v>1817</v>
      </c>
      <c r="B609" s="62" t="s">
        <v>846</v>
      </c>
      <c r="C609" s="77" t="s">
        <v>852</v>
      </c>
      <c r="G609" s="70"/>
      <c r="H609" s="70" t="str">
        <f t="shared" si="8"/>
        <v>Protocol</v>
      </c>
      <c r="I609" s="62" t="s">
        <v>41</v>
      </c>
      <c r="J609" s="62" t="s">
        <v>53</v>
      </c>
      <c r="K609" s="62" t="s">
        <v>9</v>
      </c>
      <c r="L609" s="70" t="s">
        <v>51</v>
      </c>
      <c r="M609" s="70" t="s">
        <v>2215</v>
      </c>
    </row>
    <row r="610" spans="1:13" s="53" customFormat="1" ht="63" hidden="1" customHeight="1">
      <c r="A610" s="71" t="s">
        <v>1818</v>
      </c>
      <c r="B610" s="62" t="s">
        <v>853</v>
      </c>
      <c r="C610" s="77" t="s">
        <v>854</v>
      </c>
      <c r="G610" s="70"/>
      <c r="H610" s="70" t="str">
        <f t="shared" si="8"/>
        <v>Protocol</v>
      </c>
      <c r="I610" s="62" t="s">
        <v>42</v>
      </c>
      <c r="J610" s="62" t="s">
        <v>54</v>
      </c>
      <c r="K610" s="62" t="s">
        <v>8</v>
      </c>
      <c r="L610" s="70" t="s">
        <v>50</v>
      </c>
      <c r="M610" s="70" t="s">
        <v>231</v>
      </c>
    </row>
    <row r="611" spans="1:13" s="53" customFormat="1" ht="54.75" hidden="1" customHeight="1">
      <c r="A611" s="71" t="s">
        <v>1819</v>
      </c>
      <c r="B611" s="62" t="s">
        <v>855</v>
      </c>
      <c r="C611" s="77" t="s">
        <v>856</v>
      </c>
      <c r="G611" s="70"/>
      <c r="H611" s="70" t="str">
        <f t="shared" si="8"/>
        <v>Protocol</v>
      </c>
      <c r="I611" s="62" t="s">
        <v>42</v>
      </c>
      <c r="J611" s="62" t="s">
        <v>54</v>
      </c>
      <c r="K611" s="62" t="s">
        <v>8</v>
      </c>
      <c r="L611" s="70" t="s">
        <v>50</v>
      </c>
      <c r="M611" s="70" t="s">
        <v>231</v>
      </c>
    </row>
    <row r="612" spans="1:13" s="53" customFormat="1" ht="51" customHeight="1">
      <c r="A612" s="71" t="s">
        <v>1820</v>
      </c>
      <c r="B612" s="62" t="s">
        <v>857</v>
      </c>
      <c r="C612" s="77" t="s">
        <v>858</v>
      </c>
      <c r="G612" s="70"/>
      <c r="H612" s="70" t="str">
        <f t="shared" si="8"/>
        <v>Protocol</v>
      </c>
      <c r="I612" s="62" t="s">
        <v>41</v>
      </c>
      <c r="J612" s="62" t="s">
        <v>54</v>
      </c>
      <c r="K612" s="62" t="s">
        <v>9</v>
      </c>
      <c r="L612" s="70" t="s">
        <v>50</v>
      </c>
      <c r="M612" s="70" t="s">
        <v>2251</v>
      </c>
    </row>
    <row r="613" spans="1:13" s="53" customFormat="1" ht="39" hidden="1" customHeight="1">
      <c r="A613" s="71" t="s">
        <v>1821</v>
      </c>
      <c r="B613" s="62" t="s">
        <v>859</v>
      </c>
      <c r="C613" s="77" t="s">
        <v>860</v>
      </c>
      <c r="G613" s="70"/>
      <c r="H613" s="70" t="str">
        <f t="shared" si="8"/>
        <v>Protocol</v>
      </c>
      <c r="I613" s="62" t="s">
        <v>42</v>
      </c>
      <c r="J613" s="62" t="s">
        <v>53</v>
      </c>
      <c r="K613" s="62" t="s">
        <v>9</v>
      </c>
      <c r="L613" s="70" t="s">
        <v>50</v>
      </c>
      <c r="M613" s="70" t="s">
        <v>153</v>
      </c>
    </row>
    <row r="614" spans="1:13" s="53" customFormat="1" ht="41.25" customHeight="1">
      <c r="A614" s="71" t="s">
        <v>1822</v>
      </c>
      <c r="B614" s="62" t="s">
        <v>861</v>
      </c>
      <c r="C614" s="77" t="s">
        <v>862</v>
      </c>
      <c r="G614" s="70"/>
      <c r="H614" s="70" t="str">
        <f t="shared" si="8"/>
        <v>Protocol</v>
      </c>
      <c r="I614" s="62" t="s">
        <v>30</v>
      </c>
      <c r="J614" s="62" t="s">
        <v>53</v>
      </c>
      <c r="K614" s="62" t="s">
        <v>9</v>
      </c>
      <c r="L614" s="70" t="s">
        <v>50</v>
      </c>
      <c r="M614" s="73" t="s">
        <v>2241</v>
      </c>
    </row>
    <row r="615" spans="1:13" s="53" customFormat="1" ht="113.25" customHeight="1">
      <c r="A615" s="71" t="s">
        <v>1823</v>
      </c>
      <c r="B615" s="62" t="s">
        <v>861</v>
      </c>
      <c r="C615" s="77" t="s">
        <v>863</v>
      </c>
      <c r="G615" s="73" t="s">
        <v>2219</v>
      </c>
      <c r="H615" s="70" t="str">
        <f t="shared" si="8"/>
        <v>Protocol</v>
      </c>
      <c r="I615" s="62" t="s">
        <v>30</v>
      </c>
      <c r="J615" s="62" t="s">
        <v>54</v>
      </c>
      <c r="K615" s="62" t="s">
        <v>9</v>
      </c>
      <c r="L615" s="70" t="s">
        <v>56</v>
      </c>
      <c r="M615" s="70" t="s">
        <v>2226</v>
      </c>
    </row>
    <row r="616" spans="1:13" s="53" customFormat="1" ht="114.75" customHeight="1">
      <c r="A616" s="71" t="s">
        <v>1824</v>
      </c>
      <c r="B616" s="62" t="s">
        <v>861</v>
      </c>
      <c r="C616" s="77" t="s">
        <v>864</v>
      </c>
      <c r="G616" s="73"/>
      <c r="H616" s="70" t="str">
        <f t="shared" si="8"/>
        <v>Protocol</v>
      </c>
      <c r="I616" s="62" t="s">
        <v>30</v>
      </c>
      <c r="J616" s="62" t="s">
        <v>53</v>
      </c>
      <c r="K616" s="62" t="s">
        <v>9</v>
      </c>
      <c r="L616" s="70" t="s">
        <v>50</v>
      </c>
      <c r="M616" s="70" t="s">
        <v>2251</v>
      </c>
    </row>
    <row r="617" spans="1:13" s="53" customFormat="1" ht="107.25" customHeight="1">
      <c r="A617" s="71" t="s">
        <v>1825</v>
      </c>
      <c r="B617" s="62" t="s">
        <v>861</v>
      </c>
      <c r="C617" s="77" t="s">
        <v>865</v>
      </c>
      <c r="G617" s="73"/>
      <c r="H617" s="70" t="str">
        <f t="shared" si="8"/>
        <v>Protocol</v>
      </c>
      <c r="I617" s="62" t="s">
        <v>30</v>
      </c>
      <c r="J617" s="62" t="s">
        <v>53</v>
      </c>
      <c r="K617" s="62" t="s">
        <v>9</v>
      </c>
      <c r="L617" s="70" t="s">
        <v>50</v>
      </c>
      <c r="M617" s="70" t="s">
        <v>2254</v>
      </c>
    </row>
    <row r="618" spans="1:13" s="53" customFormat="1" ht="112.5" customHeight="1">
      <c r="A618" s="71" t="s">
        <v>1826</v>
      </c>
      <c r="B618" s="62" t="s">
        <v>861</v>
      </c>
      <c r="C618" s="77" t="s">
        <v>866</v>
      </c>
      <c r="G618" s="73"/>
      <c r="H618" s="70" t="str">
        <f t="shared" si="8"/>
        <v>Protocol</v>
      </c>
      <c r="I618" s="62" t="s">
        <v>30</v>
      </c>
      <c r="J618" s="62" t="s">
        <v>53</v>
      </c>
      <c r="K618" s="62" t="s">
        <v>9</v>
      </c>
      <c r="L618" s="70" t="s">
        <v>50</v>
      </c>
      <c r="M618" s="70" t="s">
        <v>2255</v>
      </c>
    </row>
    <row r="619" spans="1:13" s="53" customFormat="1" ht="34.5" customHeight="1">
      <c r="A619" s="71" t="s">
        <v>1827</v>
      </c>
      <c r="B619" s="62" t="s">
        <v>861</v>
      </c>
      <c r="C619" s="77" t="s">
        <v>867</v>
      </c>
      <c r="G619" s="70"/>
      <c r="H619" s="70" t="str">
        <f>IF(LEFT(B619,1)="6","Product","Protocol")</f>
        <v>Protocol</v>
      </c>
      <c r="I619" s="62" t="s">
        <v>30</v>
      </c>
      <c r="J619" s="62" t="s">
        <v>54</v>
      </c>
      <c r="K619" s="62" t="s">
        <v>9</v>
      </c>
      <c r="L619" s="70" t="s">
        <v>51</v>
      </c>
      <c r="M619" s="70" t="s">
        <v>225</v>
      </c>
    </row>
    <row r="620" spans="1:13" s="53" customFormat="1" ht="76.5" customHeight="1">
      <c r="A620" s="71" t="s">
        <v>1828</v>
      </c>
      <c r="B620" s="62" t="s">
        <v>96</v>
      </c>
      <c r="C620" s="77" t="s">
        <v>868</v>
      </c>
      <c r="F620" s="53" t="s">
        <v>2229</v>
      </c>
      <c r="G620" s="70" t="s">
        <v>25</v>
      </c>
      <c r="H620" s="70" t="s">
        <v>142</v>
      </c>
      <c r="I620" s="62" t="s">
        <v>30</v>
      </c>
      <c r="J620" s="62" t="s">
        <v>54</v>
      </c>
      <c r="K620" s="62" t="s">
        <v>9</v>
      </c>
      <c r="L620" s="70" t="s">
        <v>56</v>
      </c>
      <c r="M620" s="70" t="s">
        <v>2226</v>
      </c>
    </row>
    <row r="621" spans="1:13" s="53" customFormat="1" ht="108.75" customHeight="1">
      <c r="A621" s="71" t="s">
        <v>1829</v>
      </c>
      <c r="B621" s="62" t="s">
        <v>869</v>
      </c>
      <c r="C621" s="77" t="s">
        <v>870</v>
      </c>
      <c r="D621" s="61"/>
      <c r="E621" s="61"/>
      <c r="G621" s="73" t="s">
        <v>2217</v>
      </c>
      <c r="H621" s="70" t="str">
        <f t="shared" si="8"/>
        <v>Protocol</v>
      </c>
      <c r="I621" s="62" t="s">
        <v>41</v>
      </c>
      <c r="J621" s="62" t="s">
        <v>53</v>
      </c>
      <c r="K621" s="62" t="s">
        <v>9</v>
      </c>
      <c r="L621" s="70" t="s">
        <v>57</v>
      </c>
      <c r="M621" s="70" t="s">
        <v>2226</v>
      </c>
    </row>
    <row r="622" spans="1:13" s="53" customFormat="1" ht="120" hidden="1" customHeight="1">
      <c r="A622" s="71" t="s">
        <v>1830</v>
      </c>
      <c r="B622" s="62" t="s">
        <v>869</v>
      </c>
      <c r="C622" s="77" t="s">
        <v>871</v>
      </c>
      <c r="G622" s="70"/>
      <c r="H622" s="70" t="str">
        <f t="shared" si="8"/>
        <v>Protocol</v>
      </c>
      <c r="I622" s="62" t="s">
        <v>41</v>
      </c>
      <c r="J622" s="62" t="s">
        <v>53</v>
      </c>
      <c r="K622" s="62" t="s">
        <v>8</v>
      </c>
      <c r="L622" s="70" t="s">
        <v>50</v>
      </c>
      <c r="M622" s="70" t="s">
        <v>231</v>
      </c>
    </row>
    <row r="623" spans="1:13" s="53" customFormat="1" ht="48.75" customHeight="1">
      <c r="A623" s="71" t="s">
        <v>1831</v>
      </c>
      <c r="B623" s="62" t="s">
        <v>79</v>
      </c>
      <c r="C623" s="77" t="s">
        <v>872</v>
      </c>
      <c r="G623" s="70"/>
      <c r="H623" s="70" t="str">
        <f t="shared" si="8"/>
        <v>Protocol</v>
      </c>
      <c r="I623" s="62" t="s">
        <v>41</v>
      </c>
      <c r="J623" s="62" t="s">
        <v>53</v>
      </c>
      <c r="K623" s="62" t="s">
        <v>9</v>
      </c>
      <c r="L623" s="70" t="s">
        <v>51</v>
      </c>
      <c r="M623" s="70" t="s">
        <v>225</v>
      </c>
    </row>
    <row r="624" spans="1:13" s="53" customFormat="1" ht="47.25" customHeight="1">
      <c r="A624" s="71" t="s">
        <v>1832</v>
      </c>
      <c r="B624" s="62" t="s">
        <v>79</v>
      </c>
      <c r="C624" s="77" t="s">
        <v>873</v>
      </c>
      <c r="G624" s="70"/>
      <c r="H624" s="70" t="str">
        <f t="shared" si="8"/>
        <v>Protocol</v>
      </c>
      <c r="I624" s="62" t="s">
        <v>41</v>
      </c>
      <c r="J624" s="62" t="s">
        <v>53</v>
      </c>
      <c r="K624" s="62" t="s">
        <v>9</v>
      </c>
      <c r="L624" s="70" t="s">
        <v>51</v>
      </c>
      <c r="M624" s="70" t="s">
        <v>225</v>
      </c>
    </row>
    <row r="625" spans="1:13" s="53" customFormat="1" ht="43.5" customHeight="1">
      <c r="A625" s="71" t="s">
        <v>1833</v>
      </c>
      <c r="B625" s="62" t="s">
        <v>79</v>
      </c>
      <c r="C625" s="77" t="s">
        <v>874</v>
      </c>
      <c r="G625" s="70"/>
      <c r="H625" s="70" t="str">
        <f t="shared" si="8"/>
        <v>Protocol</v>
      </c>
      <c r="I625" s="62" t="s">
        <v>41</v>
      </c>
      <c r="J625" s="62" t="s">
        <v>53</v>
      </c>
      <c r="K625" s="62" t="s">
        <v>9</v>
      </c>
      <c r="L625" s="70" t="s">
        <v>51</v>
      </c>
      <c r="M625" s="70" t="s">
        <v>225</v>
      </c>
    </row>
    <row r="626" spans="1:13" s="53" customFormat="1" ht="44.25" customHeight="1">
      <c r="A626" s="71" t="s">
        <v>1834</v>
      </c>
      <c r="B626" s="62" t="s">
        <v>79</v>
      </c>
      <c r="C626" s="77" t="s">
        <v>875</v>
      </c>
      <c r="G626" s="70"/>
      <c r="H626" s="70" t="str">
        <f t="shared" si="8"/>
        <v>Protocol</v>
      </c>
      <c r="I626" s="62" t="s">
        <v>41</v>
      </c>
      <c r="J626" s="62" t="s">
        <v>53</v>
      </c>
      <c r="K626" s="62" t="s">
        <v>9</v>
      </c>
      <c r="L626" s="70" t="s">
        <v>51</v>
      </c>
      <c r="M626" s="70" t="s">
        <v>225</v>
      </c>
    </row>
    <row r="627" spans="1:13" s="53" customFormat="1" ht="45.75" customHeight="1">
      <c r="A627" s="71" t="s">
        <v>1835</v>
      </c>
      <c r="B627" s="62" t="s">
        <v>79</v>
      </c>
      <c r="C627" s="77" t="s">
        <v>876</v>
      </c>
      <c r="G627" s="70"/>
      <c r="H627" s="70" t="str">
        <f t="shared" si="8"/>
        <v>Protocol</v>
      </c>
      <c r="I627" s="62" t="s">
        <v>41</v>
      </c>
      <c r="J627" s="62" t="s">
        <v>53</v>
      </c>
      <c r="K627" s="62" t="s">
        <v>9</v>
      </c>
      <c r="L627" s="70" t="s">
        <v>51</v>
      </c>
      <c r="M627" s="70" t="s">
        <v>225</v>
      </c>
    </row>
    <row r="628" spans="1:13" s="53" customFormat="1" ht="51" customHeight="1">
      <c r="A628" s="71" t="s">
        <v>1836</v>
      </c>
      <c r="B628" s="62" t="s">
        <v>79</v>
      </c>
      <c r="C628" s="77" t="s">
        <v>877</v>
      </c>
      <c r="G628" s="70"/>
      <c r="H628" s="70" t="str">
        <f t="shared" si="8"/>
        <v>Protocol</v>
      </c>
      <c r="I628" s="62" t="s">
        <v>41</v>
      </c>
      <c r="J628" s="62" t="s">
        <v>53</v>
      </c>
      <c r="K628" s="62" t="s">
        <v>9</v>
      </c>
      <c r="L628" s="70" t="s">
        <v>51</v>
      </c>
      <c r="M628" s="70" t="s">
        <v>225</v>
      </c>
    </row>
    <row r="629" spans="1:13" s="53" customFormat="1" ht="47.25" customHeight="1">
      <c r="A629" s="71" t="s">
        <v>1837</v>
      </c>
      <c r="B629" s="62" t="s">
        <v>79</v>
      </c>
      <c r="C629" s="77" t="s">
        <v>878</v>
      </c>
      <c r="G629" s="70"/>
      <c r="H629" s="70" t="str">
        <f t="shared" si="8"/>
        <v>Protocol</v>
      </c>
      <c r="I629" s="62" t="s">
        <v>41</v>
      </c>
      <c r="J629" s="62" t="s">
        <v>53</v>
      </c>
      <c r="K629" s="62" t="s">
        <v>9</v>
      </c>
      <c r="L629" s="70" t="s">
        <v>51</v>
      </c>
      <c r="M629" s="70" t="s">
        <v>225</v>
      </c>
    </row>
    <row r="630" spans="1:13" s="53" customFormat="1" ht="52.5" customHeight="1">
      <c r="A630" s="71" t="s">
        <v>1838</v>
      </c>
      <c r="B630" s="62" t="s">
        <v>79</v>
      </c>
      <c r="C630" s="77" t="s">
        <v>879</v>
      </c>
      <c r="G630" s="70"/>
      <c r="H630" s="70" t="str">
        <f t="shared" si="8"/>
        <v>Protocol</v>
      </c>
      <c r="I630" s="62" t="s">
        <v>41</v>
      </c>
      <c r="J630" s="62" t="s">
        <v>53</v>
      </c>
      <c r="K630" s="62" t="s">
        <v>9</v>
      </c>
      <c r="L630" s="70" t="s">
        <v>51</v>
      </c>
      <c r="M630" s="70" t="s">
        <v>225</v>
      </c>
    </row>
    <row r="631" spans="1:13" s="53" customFormat="1" ht="67.5" customHeight="1">
      <c r="A631" s="71" t="s">
        <v>1839</v>
      </c>
      <c r="B631" s="62" t="s">
        <v>79</v>
      </c>
      <c r="C631" s="77" t="s">
        <v>880</v>
      </c>
      <c r="G631" s="70"/>
      <c r="H631" s="70" t="str">
        <f t="shared" si="8"/>
        <v>Protocol</v>
      </c>
      <c r="I631" s="62" t="s">
        <v>41</v>
      </c>
      <c r="J631" s="62" t="s">
        <v>53</v>
      </c>
      <c r="K631" s="62" t="s">
        <v>9</v>
      </c>
      <c r="L631" s="70" t="s">
        <v>51</v>
      </c>
      <c r="M631" s="70" t="s">
        <v>225</v>
      </c>
    </row>
    <row r="632" spans="1:13" s="53" customFormat="1" ht="101.25" customHeight="1">
      <c r="A632" s="71" t="s">
        <v>1840</v>
      </c>
      <c r="B632" s="62" t="s">
        <v>79</v>
      </c>
      <c r="C632" s="77" t="s">
        <v>881</v>
      </c>
      <c r="G632" s="70"/>
      <c r="H632" s="70" t="str">
        <f t="shared" si="8"/>
        <v>Protocol</v>
      </c>
      <c r="I632" s="62" t="s">
        <v>41</v>
      </c>
      <c r="J632" s="62" t="s">
        <v>53</v>
      </c>
      <c r="K632" s="62" t="s">
        <v>9</v>
      </c>
      <c r="L632" s="70" t="s">
        <v>51</v>
      </c>
      <c r="M632" s="70" t="s">
        <v>225</v>
      </c>
    </row>
    <row r="633" spans="1:13" s="53" customFormat="1" ht="66" customHeight="1">
      <c r="A633" s="71" t="s">
        <v>1841</v>
      </c>
      <c r="B633" s="62" t="s">
        <v>79</v>
      </c>
      <c r="C633" s="77" t="s">
        <v>882</v>
      </c>
      <c r="G633" s="70"/>
      <c r="H633" s="70" t="str">
        <f t="shared" si="8"/>
        <v>Protocol</v>
      </c>
      <c r="I633" s="62" t="s">
        <v>41</v>
      </c>
      <c r="J633" s="62" t="s">
        <v>53</v>
      </c>
      <c r="K633" s="62" t="s">
        <v>9</v>
      </c>
      <c r="L633" s="70" t="s">
        <v>51</v>
      </c>
      <c r="M633" s="70" t="s">
        <v>225</v>
      </c>
    </row>
    <row r="634" spans="1:13" s="53" customFormat="1" ht="63.75" customHeight="1">
      <c r="A634" s="71" t="s">
        <v>1842</v>
      </c>
      <c r="B634" s="62" t="s">
        <v>79</v>
      </c>
      <c r="C634" s="77" t="s">
        <v>883</v>
      </c>
      <c r="G634" s="70"/>
      <c r="H634" s="70" t="str">
        <f t="shared" si="8"/>
        <v>Protocol</v>
      </c>
      <c r="I634" s="62" t="s">
        <v>41</v>
      </c>
      <c r="J634" s="62" t="s">
        <v>53</v>
      </c>
      <c r="K634" s="62" t="s">
        <v>9</v>
      </c>
      <c r="L634" s="70" t="s">
        <v>51</v>
      </c>
      <c r="M634" s="70" t="s">
        <v>225</v>
      </c>
    </row>
    <row r="635" spans="1:13" s="53" customFormat="1" ht="73.5" customHeight="1">
      <c r="A635" s="71" t="s">
        <v>1843</v>
      </c>
      <c r="B635" s="62" t="s">
        <v>79</v>
      </c>
      <c r="C635" s="77" t="s">
        <v>884</v>
      </c>
      <c r="G635" s="70"/>
      <c r="H635" s="70" t="str">
        <f t="shared" si="8"/>
        <v>Protocol</v>
      </c>
      <c r="I635" s="62" t="s">
        <v>41</v>
      </c>
      <c r="J635" s="62" t="s">
        <v>53</v>
      </c>
      <c r="K635" s="62" t="s">
        <v>9</v>
      </c>
      <c r="L635" s="70" t="s">
        <v>51</v>
      </c>
      <c r="M635" s="70" t="s">
        <v>225</v>
      </c>
    </row>
    <row r="636" spans="1:13" s="53" customFormat="1" ht="66.75" customHeight="1">
      <c r="A636" s="71" t="s">
        <v>1844</v>
      </c>
      <c r="B636" s="62" t="s">
        <v>79</v>
      </c>
      <c r="C636" s="77" t="s">
        <v>885</v>
      </c>
      <c r="G636" s="70"/>
      <c r="H636" s="70" t="str">
        <f t="shared" si="8"/>
        <v>Protocol</v>
      </c>
      <c r="I636" s="62" t="s">
        <v>41</v>
      </c>
      <c r="J636" s="62" t="s">
        <v>53</v>
      </c>
      <c r="K636" s="62" t="s">
        <v>9</v>
      </c>
      <c r="L636" s="70" t="s">
        <v>51</v>
      </c>
      <c r="M636" s="70" t="s">
        <v>225</v>
      </c>
    </row>
    <row r="637" spans="1:13" s="53" customFormat="1" ht="80.25" customHeight="1">
      <c r="A637" s="71" t="s">
        <v>1845</v>
      </c>
      <c r="B637" s="62" t="s">
        <v>79</v>
      </c>
      <c r="C637" s="77" t="s">
        <v>886</v>
      </c>
      <c r="G637" s="70"/>
      <c r="H637" s="70" t="str">
        <f t="shared" si="8"/>
        <v>Protocol</v>
      </c>
      <c r="I637" s="62" t="s">
        <v>41</v>
      </c>
      <c r="J637" s="62" t="s">
        <v>53</v>
      </c>
      <c r="K637" s="62" t="s">
        <v>9</v>
      </c>
      <c r="L637" s="70" t="s">
        <v>51</v>
      </c>
      <c r="M637" s="70" t="s">
        <v>225</v>
      </c>
    </row>
    <row r="638" spans="1:13" s="53" customFormat="1" ht="54" customHeight="1">
      <c r="A638" s="71" t="s">
        <v>1846</v>
      </c>
      <c r="B638" s="62" t="s">
        <v>887</v>
      </c>
      <c r="C638" s="77" t="s">
        <v>888</v>
      </c>
      <c r="G638" s="70"/>
      <c r="H638" s="70" t="str">
        <f t="shared" si="8"/>
        <v>Protocol</v>
      </c>
      <c r="I638" s="62" t="s">
        <v>41</v>
      </c>
      <c r="J638" s="62" t="s">
        <v>53</v>
      </c>
      <c r="K638" s="62" t="s">
        <v>9</v>
      </c>
      <c r="L638" s="70" t="s">
        <v>51</v>
      </c>
      <c r="M638" s="70" t="s">
        <v>225</v>
      </c>
    </row>
    <row r="639" spans="1:13" s="53" customFormat="1" ht="39" customHeight="1">
      <c r="A639" s="71" t="s">
        <v>1847</v>
      </c>
      <c r="B639" s="62" t="s">
        <v>887</v>
      </c>
      <c r="C639" s="77" t="s">
        <v>889</v>
      </c>
      <c r="G639" s="70"/>
      <c r="H639" s="70" t="str">
        <f t="shared" si="8"/>
        <v>Protocol</v>
      </c>
      <c r="I639" s="62" t="s">
        <v>41</v>
      </c>
      <c r="J639" s="62" t="s">
        <v>53</v>
      </c>
      <c r="K639" s="62" t="s">
        <v>9</v>
      </c>
      <c r="L639" s="70" t="s">
        <v>51</v>
      </c>
      <c r="M639" s="70" t="s">
        <v>225</v>
      </c>
    </row>
    <row r="640" spans="1:13" s="53" customFormat="1" ht="102.75" customHeight="1">
      <c r="A640" s="71" t="s">
        <v>1848</v>
      </c>
      <c r="B640" s="62" t="s">
        <v>890</v>
      </c>
      <c r="C640" s="77" t="s">
        <v>891</v>
      </c>
      <c r="G640" s="73"/>
      <c r="H640" s="70" t="str">
        <f t="shared" si="8"/>
        <v>Protocol</v>
      </c>
      <c r="I640" s="62" t="s">
        <v>41</v>
      </c>
      <c r="J640" s="62" t="s">
        <v>53</v>
      </c>
      <c r="K640" s="62" t="s">
        <v>9</v>
      </c>
      <c r="L640" s="70" t="s">
        <v>51</v>
      </c>
      <c r="M640" s="70" t="s">
        <v>225</v>
      </c>
    </row>
    <row r="641" spans="1:13" s="53" customFormat="1" ht="108" customHeight="1">
      <c r="A641" s="71" t="s">
        <v>1849</v>
      </c>
      <c r="B641" s="62" t="s">
        <v>890</v>
      </c>
      <c r="C641" s="77" t="s">
        <v>892</v>
      </c>
      <c r="G641" s="73" t="s">
        <v>2219</v>
      </c>
      <c r="H641" s="70" t="str">
        <f t="shared" ref="H641:H704" si="9">IF(LEFT(B641,1)="6","Product","Protocol")</f>
        <v>Protocol</v>
      </c>
      <c r="I641" s="62" t="s">
        <v>41</v>
      </c>
      <c r="J641" s="62" t="s">
        <v>53</v>
      </c>
      <c r="K641" s="62" t="s">
        <v>9</v>
      </c>
      <c r="L641" s="70" t="s">
        <v>56</v>
      </c>
      <c r="M641" s="70" t="s">
        <v>2226</v>
      </c>
    </row>
    <row r="642" spans="1:13" s="53" customFormat="1" ht="108.75" customHeight="1">
      <c r="A642" s="71" t="s">
        <v>1850</v>
      </c>
      <c r="B642" s="62" t="s">
        <v>890</v>
      </c>
      <c r="C642" s="77" t="s">
        <v>893</v>
      </c>
      <c r="G642" s="73" t="s">
        <v>2219</v>
      </c>
      <c r="H642" s="70" t="str">
        <f t="shared" si="9"/>
        <v>Protocol</v>
      </c>
      <c r="I642" s="62" t="s">
        <v>41</v>
      </c>
      <c r="J642" s="62" t="s">
        <v>53</v>
      </c>
      <c r="K642" s="62" t="s">
        <v>9</v>
      </c>
      <c r="L642" s="70" t="s">
        <v>56</v>
      </c>
      <c r="M642" s="70" t="s">
        <v>2226</v>
      </c>
    </row>
    <row r="643" spans="1:13" s="53" customFormat="1" ht="120" customHeight="1">
      <c r="A643" s="71" t="s">
        <v>1851</v>
      </c>
      <c r="B643" s="62" t="s">
        <v>890</v>
      </c>
      <c r="C643" s="77" t="s">
        <v>894</v>
      </c>
      <c r="G643" s="73" t="s">
        <v>2219</v>
      </c>
      <c r="H643" s="70" t="str">
        <f t="shared" si="9"/>
        <v>Protocol</v>
      </c>
      <c r="I643" s="62" t="s">
        <v>41</v>
      </c>
      <c r="J643" s="62" t="s">
        <v>53</v>
      </c>
      <c r="K643" s="62" t="s">
        <v>9</v>
      </c>
      <c r="L643" s="70" t="s">
        <v>56</v>
      </c>
      <c r="M643" s="70" t="s">
        <v>2227</v>
      </c>
    </row>
    <row r="644" spans="1:13" s="53" customFormat="1" ht="101.25" customHeight="1">
      <c r="A644" s="71" t="s">
        <v>1852</v>
      </c>
      <c r="B644" s="62" t="s">
        <v>890</v>
      </c>
      <c r="C644" s="77" t="s">
        <v>895</v>
      </c>
      <c r="G644" s="73"/>
      <c r="H644" s="70" t="str">
        <f t="shared" si="9"/>
        <v>Protocol</v>
      </c>
      <c r="I644" s="62" t="s">
        <v>41</v>
      </c>
      <c r="J644" s="62" t="s">
        <v>53</v>
      </c>
      <c r="K644" s="62" t="s">
        <v>9</v>
      </c>
      <c r="L644" s="70" t="s">
        <v>50</v>
      </c>
      <c r="M644" s="70" t="s">
        <v>2251</v>
      </c>
    </row>
    <row r="645" spans="1:13" s="53" customFormat="1" ht="64.5" customHeight="1">
      <c r="A645" s="71" t="s">
        <v>1853</v>
      </c>
      <c r="B645" s="62" t="s">
        <v>890</v>
      </c>
      <c r="C645" s="77" t="s">
        <v>896</v>
      </c>
      <c r="G645" s="73" t="s">
        <v>149</v>
      </c>
      <c r="H645" s="70" t="str">
        <f t="shared" si="9"/>
        <v>Protocol</v>
      </c>
      <c r="I645" s="62" t="s">
        <v>41</v>
      </c>
      <c r="J645" s="62" t="s">
        <v>53</v>
      </c>
      <c r="K645" s="62" t="s">
        <v>9</v>
      </c>
      <c r="L645" s="70" t="s">
        <v>56</v>
      </c>
      <c r="M645" s="70" t="s">
        <v>2226</v>
      </c>
    </row>
    <row r="646" spans="1:13" s="53" customFormat="1" ht="51" customHeight="1">
      <c r="A646" s="71" t="s">
        <v>1854</v>
      </c>
      <c r="B646" s="62" t="s">
        <v>890</v>
      </c>
      <c r="C646" s="77" t="s">
        <v>897</v>
      </c>
      <c r="G646" s="73"/>
      <c r="H646" s="70" t="str">
        <f t="shared" si="9"/>
        <v>Protocol</v>
      </c>
      <c r="I646" s="62" t="s">
        <v>41</v>
      </c>
      <c r="J646" s="62" t="s">
        <v>53</v>
      </c>
      <c r="K646" s="62" t="s">
        <v>9</v>
      </c>
      <c r="L646" s="70" t="s">
        <v>50</v>
      </c>
      <c r="M646" s="70" t="s">
        <v>2251</v>
      </c>
    </row>
    <row r="647" spans="1:13" s="53" customFormat="1" ht="54" customHeight="1">
      <c r="A647" s="71" t="s">
        <v>1855</v>
      </c>
      <c r="B647" s="62" t="s">
        <v>890</v>
      </c>
      <c r="C647" s="77" t="s">
        <v>898</v>
      </c>
      <c r="E647" s="61"/>
      <c r="G647" s="73"/>
      <c r="H647" s="70" t="str">
        <f t="shared" si="9"/>
        <v>Protocol</v>
      </c>
      <c r="I647" s="62" t="s">
        <v>41</v>
      </c>
      <c r="J647" s="62" t="s">
        <v>53</v>
      </c>
      <c r="K647" s="62" t="s">
        <v>9</v>
      </c>
      <c r="L647" s="70" t="s">
        <v>50</v>
      </c>
      <c r="M647" s="70" t="s">
        <v>2251</v>
      </c>
    </row>
    <row r="648" spans="1:13" s="53" customFormat="1" ht="53.25" customHeight="1">
      <c r="A648" s="71" t="s">
        <v>1856</v>
      </c>
      <c r="B648" s="62" t="s">
        <v>890</v>
      </c>
      <c r="C648" s="77" t="s">
        <v>899</v>
      </c>
      <c r="G648" s="73"/>
      <c r="H648" s="70" t="str">
        <f t="shared" si="9"/>
        <v>Protocol</v>
      </c>
      <c r="I648" s="62" t="s">
        <v>41</v>
      </c>
      <c r="J648" s="62" t="s">
        <v>53</v>
      </c>
      <c r="K648" s="62" t="s">
        <v>9</v>
      </c>
      <c r="L648" s="70" t="s">
        <v>50</v>
      </c>
      <c r="M648" s="70" t="s">
        <v>2251</v>
      </c>
    </row>
    <row r="649" spans="1:13" s="53" customFormat="1" ht="49.5" customHeight="1">
      <c r="A649" s="71" t="s">
        <v>1857</v>
      </c>
      <c r="B649" s="62" t="s">
        <v>890</v>
      </c>
      <c r="C649" s="77" t="s">
        <v>900</v>
      </c>
      <c r="G649" s="73"/>
      <c r="H649" s="70" t="str">
        <f t="shared" si="9"/>
        <v>Protocol</v>
      </c>
      <c r="I649" s="62" t="s">
        <v>41</v>
      </c>
      <c r="J649" s="62" t="s">
        <v>53</v>
      </c>
      <c r="K649" s="62" t="s">
        <v>9</v>
      </c>
      <c r="L649" s="70" t="s">
        <v>51</v>
      </c>
      <c r="M649" s="70" t="s">
        <v>225</v>
      </c>
    </row>
    <row r="650" spans="1:13" s="53" customFormat="1" ht="54.75" customHeight="1">
      <c r="A650" s="71" t="s">
        <v>1858</v>
      </c>
      <c r="B650" s="62" t="s">
        <v>890</v>
      </c>
      <c r="C650" s="77" t="s">
        <v>901</v>
      </c>
      <c r="G650" s="73"/>
      <c r="H650" s="70" t="str">
        <f t="shared" si="9"/>
        <v>Protocol</v>
      </c>
      <c r="I650" s="62" t="s">
        <v>41</v>
      </c>
      <c r="J650" s="62" t="s">
        <v>53</v>
      </c>
      <c r="K650" s="62" t="s">
        <v>9</v>
      </c>
      <c r="L650" s="70" t="s">
        <v>51</v>
      </c>
      <c r="M650" s="70" t="s">
        <v>225</v>
      </c>
    </row>
    <row r="651" spans="1:13" s="53" customFormat="1" ht="60" customHeight="1">
      <c r="A651" s="71" t="s">
        <v>1859</v>
      </c>
      <c r="B651" s="62" t="s">
        <v>890</v>
      </c>
      <c r="C651" s="77" t="s">
        <v>902</v>
      </c>
      <c r="G651" s="73"/>
      <c r="H651" s="70" t="str">
        <f t="shared" si="9"/>
        <v>Protocol</v>
      </c>
      <c r="I651" s="62" t="s">
        <v>41</v>
      </c>
      <c r="J651" s="62" t="s">
        <v>53</v>
      </c>
      <c r="K651" s="62" t="s">
        <v>9</v>
      </c>
      <c r="L651" s="70" t="s">
        <v>51</v>
      </c>
      <c r="M651" s="70" t="s">
        <v>225</v>
      </c>
    </row>
    <row r="652" spans="1:13" s="53" customFormat="1" ht="67.5" customHeight="1">
      <c r="A652" s="71" t="s">
        <v>1860</v>
      </c>
      <c r="B652" s="62" t="s">
        <v>903</v>
      </c>
      <c r="C652" s="77" t="s">
        <v>904</v>
      </c>
      <c r="G652" s="70" t="s">
        <v>2135</v>
      </c>
      <c r="H652" s="70" t="str">
        <f t="shared" si="9"/>
        <v>Protocol</v>
      </c>
      <c r="I652" s="62" t="s">
        <v>41</v>
      </c>
      <c r="J652" s="62" t="s">
        <v>53</v>
      </c>
      <c r="K652" s="62" t="s">
        <v>9</v>
      </c>
      <c r="L652" s="70" t="s">
        <v>57</v>
      </c>
      <c r="M652" s="70" t="s">
        <v>2226</v>
      </c>
    </row>
    <row r="653" spans="1:13" s="53" customFormat="1" ht="67.5" customHeight="1">
      <c r="A653" s="71" t="s">
        <v>1861</v>
      </c>
      <c r="B653" s="62" t="s">
        <v>903</v>
      </c>
      <c r="C653" s="77" t="s">
        <v>905</v>
      </c>
      <c r="G653" s="70" t="s">
        <v>121</v>
      </c>
      <c r="H653" s="70" t="str">
        <f t="shared" si="9"/>
        <v>Protocol</v>
      </c>
      <c r="I653" s="62" t="s">
        <v>41</v>
      </c>
      <c r="J653" s="62" t="s">
        <v>53</v>
      </c>
      <c r="K653" s="62" t="s">
        <v>9</v>
      </c>
      <c r="L653" s="70" t="s">
        <v>57</v>
      </c>
      <c r="M653" s="70" t="s">
        <v>2226</v>
      </c>
    </row>
    <row r="654" spans="1:13" s="53" customFormat="1" ht="66.75" customHeight="1">
      <c r="A654" s="71" t="s">
        <v>1862</v>
      </c>
      <c r="B654" s="62" t="s">
        <v>903</v>
      </c>
      <c r="C654" s="77" t="s">
        <v>906</v>
      </c>
      <c r="G654" s="70" t="s">
        <v>23</v>
      </c>
      <c r="H654" s="70" t="str">
        <f t="shared" si="9"/>
        <v>Protocol</v>
      </c>
      <c r="I654" s="62" t="s">
        <v>41</v>
      </c>
      <c r="J654" s="62" t="s">
        <v>53</v>
      </c>
      <c r="K654" s="62" t="s">
        <v>9</v>
      </c>
      <c r="L654" s="70" t="s">
        <v>57</v>
      </c>
      <c r="M654" s="70" t="s">
        <v>2226</v>
      </c>
    </row>
    <row r="655" spans="1:13" s="53" customFormat="1" ht="54.75" customHeight="1">
      <c r="A655" s="71" t="s">
        <v>1863</v>
      </c>
      <c r="B655" s="62" t="s">
        <v>907</v>
      </c>
      <c r="C655" s="77" t="s">
        <v>908</v>
      </c>
      <c r="G655" s="70"/>
      <c r="H655" s="70" t="str">
        <f t="shared" si="9"/>
        <v>Protocol</v>
      </c>
      <c r="I655" s="62" t="s">
        <v>41</v>
      </c>
      <c r="J655" s="62" t="s">
        <v>53</v>
      </c>
      <c r="K655" s="62" t="s">
        <v>9</v>
      </c>
      <c r="L655" s="70" t="s">
        <v>51</v>
      </c>
      <c r="M655" s="70" t="s">
        <v>2215</v>
      </c>
    </row>
    <row r="656" spans="1:13" s="53" customFormat="1" ht="63.75" customHeight="1">
      <c r="A656" s="71" t="s">
        <v>1864</v>
      </c>
      <c r="B656" s="62" t="s">
        <v>907</v>
      </c>
      <c r="C656" s="77" t="s">
        <v>909</v>
      </c>
      <c r="G656" s="70"/>
      <c r="H656" s="70" t="str">
        <f t="shared" si="9"/>
        <v>Protocol</v>
      </c>
      <c r="I656" s="62" t="s">
        <v>41</v>
      </c>
      <c r="J656" s="62" t="s">
        <v>53</v>
      </c>
      <c r="K656" s="62" t="s">
        <v>9</v>
      </c>
      <c r="L656" s="70" t="s">
        <v>51</v>
      </c>
      <c r="M656" s="70" t="s">
        <v>2215</v>
      </c>
    </row>
    <row r="657" spans="1:13" s="53" customFormat="1" ht="55.5" customHeight="1">
      <c r="A657" s="71" t="s">
        <v>1865</v>
      </c>
      <c r="B657" s="62" t="s">
        <v>907</v>
      </c>
      <c r="C657" s="77" t="s">
        <v>910</v>
      </c>
      <c r="G657" s="70"/>
      <c r="H657" s="70" t="str">
        <f t="shared" si="9"/>
        <v>Protocol</v>
      </c>
      <c r="I657" s="62" t="s">
        <v>41</v>
      </c>
      <c r="J657" s="62" t="s">
        <v>53</v>
      </c>
      <c r="K657" s="62" t="s">
        <v>9</v>
      </c>
      <c r="L657" s="70" t="s">
        <v>51</v>
      </c>
      <c r="M657" s="70" t="s">
        <v>2215</v>
      </c>
    </row>
    <row r="658" spans="1:13" s="53" customFormat="1" ht="78" customHeight="1">
      <c r="A658" s="71" t="s">
        <v>1866</v>
      </c>
      <c r="B658" s="62" t="s">
        <v>907</v>
      </c>
      <c r="C658" s="77" t="s">
        <v>911</v>
      </c>
      <c r="G658" s="70"/>
      <c r="H658" s="70" t="str">
        <f t="shared" si="9"/>
        <v>Protocol</v>
      </c>
      <c r="I658" s="62" t="s">
        <v>41</v>
      </c>
      <c r="J658" s="62" t="s">
        <v>53</v>
      </c>
      <c r="K658" s="62" t="s">
        <v>9</v>
      </c>
      <c r="L658" s="70" t="s">
        <v>51</v>
      </c>
      <c r="M658" s="70" t="s">
        <v>2215</v>
      </c>
    </row>
    <row r="659" spans="1:13" s="53" customFormat="1" ht="83.25" customHeight="1">
      <c r="A659" s="71" t="s">
        <v>1867</v>
      </c>
      <c r="B659" s="62" t="s">
        <v>907</v>
      </c>
      <c r="C659" s="77" t="s">
        <v>912</v>
      </c>
      <c r="G659" s="70"/>
      <c r="H659" s="70" t="str">
        <f t="shared" si="9"/>
        <v>Protocol</v>
      </c>
      <c r="I659" s="62" t="s">
        <v>41</v>
      </c>
      <c r="J659" s="62" t="s">
        <v>53</v>
      </c>
      <c r="K659" s="62" t="s">
        <v>9</v>
      </c>
      <c r="L659" s="70" t="s">
        <v>51</v>
      </c>
      <c r="M659" s="70" t="s">
        <v>2215</v>
      </c>
    </row>
    <row r="660" spans="1:13" s="53" customFormat="1" ht="69" customHeight="1">
      <c r="A660" s="71" t="s">
        <v>1868</v>
      </c>
      <c r="B660" s="62" t="s">
        <v>907</v>
      </c>
      <c r="C660" s="77" t="s">
        <v>913</v>
      </c>
      <c r="G660" s="70"/>
      <c r="H660" s="70" t="str">
        <f t="shared" si="9"/>
        <v>Protocol</v>
      </c>
      <c r="I660" s="62" t="s">
        <v>41</v>
      </c>
      <c r="J660" s="62" t="s">
        <v>53</v>
      </c>
      <c r="K660" s="62" t="s">
        <v>9</v>
      </c>
      <c r="L660" s="70" t="s">
        <v>51</v>
      </c>
      <c r="M660" s="70" t="s">
        <v>2215</v>
      </c>
    </row>
    <row r="661" spans="1:13" s="53" customFormat="1" ht="77.25" customHeight="1">
      <c r="A661" s="71" t="s">
        <v>1869</v>
      </c>
      <c r="B661" s="62" t="s">
        <v>907</v>
      </c>
      <c r="C661" s="77" t="s">
        <v>914</v>
      </c>
      <c r="G661" s="70"/>
      <c r="H661" s="70" t="str">
        <f t="shared" si="9"/>
        <v>Protocol</v>
      </c>
      <c r="I661" s="62" t="s">
        <v>41</v>
      </c>
      <c r="J661" s="62" t="s">
        <v>53</v>
      </c>
      <c r="K661" s="62" t="s">
        <v>9</v>
      </c>
      <c r="L661" s="70" t="s">
        <v>51</v>
      </c>
      <c r="M661" s="70" t="s">
        <v>2215</v>
      </c>
    </row>
    <row r="662" spans="1:13" s="53" customFormat="1" ht="65.25" customHeight="1">
      <c r="A662" s="71" t="s">
        <v>1870</v>
      </c>
      <c r="B662" s="62" t="s">
        <v>907</v>
      </c>
      <c r="C662" s="77" t="s">
        <v>915</v>
      </c>
      <c r="G662" s="70"/>
      <c r="H662" s="70" t="str">
        <f t="shared" si="9"/>
        <v>Protocol</v>
      </c>
      <c r="I662" s="62" t="s">
        <v>41</v>
      </c>
      <c r="J662" s="62" t="s">
        <v>53</v>
      </c>
      <c r="K662" s="62" t="s">
        <v>9</v>
      </c>
      <c r="L662" s="70" t="s">
        <v>51</v>
      </c>
      <c r="M662" s="70" t="s">
        <v>2215</v>
      </c>
    </row>
    <row r="663" spans="1:13" s="53" customFormat="1" ht="57" customHeight="1">
      <c r="A663" s="71" t="s">
        <v>1871</v>
      </c>
      <c r="B663" s="62" t="s">
        <v>916</v>
      </c>
      <c r="C663" s="77" t="s">
        <v>917</v>
      </c>
      <c r="G663" s="70" t="s">
        <v>23</v>
      </c>
      <c r="H663" s="70" t="str">
        <f t="shared" si="9"/>
        <v>Protocol</v>
      </c>
      <c r="I663" s="62" t="s">
        <v>41</v>
      </c>
      <c r="J663" s="62" t="s">
        <v>53</v>
      </c>
      <c r="K663" s="62" t="s">
        <v>9</v>
      </c>
      <c r="L663" s="70" t="s">
        <v>57</v>
      </c>
      <c r="M663" s="70" t="s">
        <v>2226</v>
      </c>
    </row>
    <row r="664" spans="1:13" s="53" customFormat="1" ht="72.75" customHeight="1">
      <c r="A664" s="71" t="s">
        <v>1872</v>
      </c>
      <c r="B664" s="62" t="s">
        <v>916</v>
      </c>
      <c r="C664" s="77" t="s">
        <v>918</v>
      </c>
      <c r="G664" s="70" t="s">
        <v>121</v>
      </c>
      <c r="H664" s="70" t="str">
        <f t="shared" si="9"/>
        <v>Protocol</v>
      </c>
      <c r="I664" s="62" t="s">
        <v>41</v>
      </c>
      <c r="J664" s="62" t="s">
        <v>53</v>
      </c>
      <c r="K664" s="62" t="s">
        <v>9</v>
      </c>
      <c r="L664" s="70" t="s">
        <v>57</v>
      </c>
      <c r="M664" s="70" t="s">
        <v>2226</v>
      </c>
    </row>
    <row r="665" spans="1:13" s="53" customFormat="1" ht="52.5" customHeight="1">
      <c r="A665" s="71" t="s">
        <v>1873</v>
      </c>
      <c r="B665" s="62" t="s">
        <v>916</v>
      </c>
      <c r="C665" s="77" t="s">
        <v>919</v>
      </c>
      <c r="G665" s="70" t="s">
        <v>23</v>
      </c>
      <c r="H665" s="70" t="str">
        <f t="shared" si="9"/>
        <v>Protocol</v>
      </c>
      <c r="I665" s="62" t="s">
        <v>41</v>
      </c>
      <c r="J665" s="62" t="s">
        <v>53</v>
      </c>
      <c r="K665" s="62" t="s">
        <v>9</v>
      </c>
      <c r="L665" s="70" t="s">
        <v>57</v>
      </c>
      <c r="M665" s="70" t="s">
        <v>2226</v>
      </c>
    </row>
    <row r="666" spans="1:13" s="53" customFormat="1" ht="69.75" customHeight="1">
      <c r="A666" s="71" t="s">
        <v>1874</v>
      </c>
      <c r="B666" s="62" t="s">
        <v>916</v>
      </c>
      <c r="C666" s="77" t="s">
        <v>920</v>
      </c>
      <c r="G666" s="70"/>
      <c r="H666" s="70" t="str">
        <f t="shared" si="9"/>
        <v>Protocol</v>
      </c>
      <c r="I666" s="62" t="s">
        <v>41</v>
      </c>
      <c r="J666" s="62" t="s">
        <v>53</v>
      </c>
      <c r="K666" s="62" t="s">
        <v>9</v>
      </c>
      <c r="L666" s="70" t="s">
        <v>50</v>
      </c>
      <c r="M666" s="70" t="s">
        <v>2247</v>
      </c>
    </row>
    <row r="667" spans="1:13" s="53" customFormat="1" ht="62.25" customHeight="1">
      <c r="A667" s="71" t="s">
        <v>1875</v>
      </c>
      <c r="B667" s="62" t="s">
        <v>916</v>
      </c>
      <c r="C667" s="77" t="s">
        <v>921</v>
      </c>
      <c r="G667" s="70"/>
      <c r="H667" s="70" t="str">
        <f t="shared" si="9"/>
        <v>Protocol</v>
      </c>
      <c r="I667" s="62" t="s">
        <v>41</v>
      </c>
      <c r="J667" s="62" t="s">
        <v>53</v>
      </c>
      <c r="K667" s="62" t="s">
        <v>9</v>
      </c>
      <c r="L667" s="70" t="s">
        <v>51</v>
      </c>
      <c r="M667" s="70" t="s">
        <v>225</v>
      </c>
    </row>
    <row r="668" spans="1:13" s="53" customFormat="1" ht="67.5" customHeight="1">
      <c r="A668" s="71" t="s">
        <v>1876</v>
      </c>
      <c r="B668" s="62" t="s">
        <v>916</v>
      </c>
      <c r="C668" s="77" t="s">
        <v>922</v>
      </c>
      <c r="G668" s="70" t="s">
        <v>23</v>
      </c>
      <c r="H668" s="70" t="str">
        <f t="shared" si="9"/>
        <v>Protocol</v>
      </c>
      <c r="I668" s="62" t="s">
        <v>41</v>
      </c>
      <c r="J668" s="62" t="s">
        <v>53</v>
      </c>
      <c r="K668" s="62" t="s">
        <v>9</v>
      </c>
      <c r="L668" s="70" t="s">
        <v>56</v>
      </c>
      <c r="M668" s="70" t="s">
        <v>2226</v>
      </c>
    </row>
    <row r="669" spans="1:13" s="53" customFormat="1" ht="45">
      <c r="A669" s="71" t="s">
        <v>1877</v>
      </c>
      <c r="B669" s="62" t="s">
        <v>923</v>
      </c>
      <c r="C669" s="77" t="s">
        <v>924</v>
      </c>
      <c r="D669" s="61"/>
      <c r="G669" s="73" t="s">
        <v>2219</v>
      </c>
      <c r="H669" s="70" t="str">
        <f t="shared" si="9"/>
        <v>Protocol</v>
      </c>
      <c r="I669" s="62" t="s">
        <v>41</v>
      </c>
      <c r="J669" s="62" t="s">
        <v>53</v>
      </c>
      <c r="K669" s="62" t="s">
        <v>9</v>
      </c>
      <c r="L669" s="70" t="s">
        <v>57</v>
      </c>
      <c r="M669" s="70" t="s">
        <v>2226</v>
      </c>
    </row>
    <row r="670" spans="1:13" s="53" customFormat="1" ht="60">
      <c r="A670" s="71" t="s">
        <v>1878</v>
      </c>
      <c r="B670" s="62" t="s">
        <v>923</v>
      </c>
      <c r="C670" s="77" t="s">
        <v>925</v>
      </c>
      <c r="G670" s="73" t="s">
        <v>25</v>
      </c>
      <c r="H670" s="70" t="str">
        <f t="shared" si="9"/>
        <v>Protocol</v>
      </c>
      <c r="I670" s="62" t="s">
        <v>41</v>
      </c>
      <c r="J670" s="62" t="s">
        <v>53</v>
      </c>
      <c r="K670" s="62" t="s">
        <v>9</v>
      </c>
      <c r="L670" s="70" t="s">
        <v>57</v>
      </c>
      <c r="M670" s="70" t="s">
        <v>2226</v>
      </c>
    </row>
    <row r="671" spans="1:13" s="53" customFormat="1" ht="45">
      <c r="A671" s="71" t="s">
        <v>1879</v>
      </c>
      <c r="B671" s="62" t="s">
        <v>923</v>
      </c>
      <c r="C671" s="77" t="s">
        <v>926</v>
      </c>
      <c r="G671" s="73"/>
      <c r="H671" s="70" t="str">
        <f t="shared" si="9"/>
        <v>Protocol</v>
      </c>
      <c r="I671" s="62" t="s">
        <v>41</v>
      </c>
      <c r="J671" s="62" t="s">
        <v>53</v>
      </c>
      <c r="K671" s="62" t="s">
        <v>9</v>
      </c>
      <c r="L671" s="70" t="s">
        <v>51</v>
      </c>
      <c r="M671" s="70" t="s">
        <v>225</v>
      </c>
    </row>
    <row r="672" spans="1:13" s="53" customFormat="1" ht="85.5" customHeight="1">
      <c r="A672" s="71" t="s">
        <v>1880</v>
      </c>
      <c r="B672" s="62" t="s">
        <v>923</v>
      </c>
      <c r="C672" s="77" t="s">
        <v>927</v>
      </c>
      <c r="G672" s="73"/>
      <c r="H672" s="70" t="str">
        <f t="shared" si="9"/>
        <v>Protocol</v>
      </c>
      <c r="I672" s="62" t="s">
        <v>41</v>
      </c>
      <c r="J672" s="62" t="s">
        <v>53</v>
      </c>
      <c r="K672" s="62" t="s">
        <v>9</v>
      </c>
      <c r="L672" s="70" t="s">
        <v>50</v>
      </c>
      <c r="M672" s="70" t="s">
        <v>2246</v>
      </c>
    </row>
    <row r="673" spans="1:13" s="53" customFormat="1" ht="45">
      <c r="A673" s="71" t="s">
        <v>1881</v>
      </c>
      <c r="B673" s="62" t="s">
        <v>923</v>
      </c>
      <c r="C673" s="77" t="s">
        <v>928</v>
      </c>
      <c r="G673" s="73" t="s">
        <v>2219</v>
      </c>
      <c r="H673" s="70" t="str">
        <f t="shared" si="9"/>
        <v>Protocol</v>
      </c>
      <c r="I673" s="62" t="s">
        <v>41</v>
      </c>
      <c r="J673" s="62" t="s">
        <v>53</v>
      </c>
      <c r="K673" s="62" t="s">
        <v>9</v>
      </c>
      <c r="L673" s="70" t="s">
        <v>56</v>
      </c>
      <c r="M673" s="70" t="s">
        <v>2226</v>
      </c>
    </row>
    <row r="674" spans="1:13" s="53" customFormat="1" ht="59.25" customHeight="1">
      <c r="A674" s="71" t="s">
        <v>1882</v>
      </c>
      <c r="B674" s="62" t="s">
        <v>923</v>
      </c>
      <c r="C674" s="77" t="s">
        <v>929</v>
      </c>
      <c r="G674" s="73"/>
      <c r="H674" s="70" t="str">
        <f t="shared" si="9"/>
        <v>Protocol</v>
      </c>
      <c r="I674" s="62" t="s">
        <v>41</v>
      </c>
      <c r="J674" s="62" t="s">
        <v>53</v>
      </c>
      <c r="K674" s="62" t="s">
        <v>9</v>
      </c>
      <c r="L674" s="70" t="s">
        <v>50</v>
      </c>
      <c r="M674" s="70" t="s">
        <v>2246</v>
      </c>
    </row>
    <row r="675" spans="1:13" s="53" customFormat="1" ht="60">
      <c r="A675" s="71" t="s">
        <v>1883</v>
      </c>
      <c r="B675" s="62" t="s">
        <v>923</v>
      </c>
      <c r="C675" s="77" t="s">
        <v>930</v>
      </c>
      <c r="G675" s="73" t="s">
        <v>2219</v>
      </c>
      <c r="H675" s="70" t="str">
        <f t="shared" si="9"/>
        <v>Protocol</v>
      </c>
      <c r="I675" s="62" t="s">
        <v>41</v>
      </c>
      <c r="J675" s="62" t="s">
        <v>53</v>
      </c>
      <c r="K675" s="62" t="s">
        <v>9</v>
      </c>
      <c r="L675" s="70" t="s">
        <v>56</v>
      </c>
      <c r="M675" s="70" t="s">
        <v>2226</v>
      </c>
    </row>
    <row r="676" spans="1:13" s="53" customFormat="1" ht="45">
      <c r="A676" s="71" t="s">
        <v>1884</v>
      </c>
      <c r="B676" s="62" t="s">
        <v>923</v>
      </c>
      <c r="C676" s="77" t="s">
        <v>931</v>
      </c>
      <c r="G676" s="73" t="s">
        <v>2219</v>
      </c>
      <c r="H676" s="70" t="str">
        <f t="shared" si="9"/>
        <v>Protocol</v>
      </c>
      <c r="I676" s="62" t="s">
        <v>41</v>
      </c>
      <c r="J676" s="62" t="s">
        <v>53</v>
      </c>
      <c r="K676" s="62" t="s">
        <v>9</v>
      </c>
      <c r="L676" s="70" t="s">
        <v>56</v>
      </c>
      <c r="M676" s="70" t="s">
        <v>2226</v>
      </c>
    </row>
    <row r="677" spans="1:13" s="53" customFormat="1" ht="98.25" customHeight="1">
      <c r="A677" s="71" t="s">
        <v>1885</v>
      </c>
      <c r="B677" s="62" t="s">
        <v>932</v>
      </c>
      <c r="C677" s="77" t="s">
        <v>933</v>
      </c>
      <c r="G677" s="73" t="s">
        <v>2220</v>
      </c>
      <c r="H677" s="70" t="str">
        <f t="shared" si="9"/>
        <v>Protocol</v>
      </c>
      <c r="I677" s="62" t="s">
        <v>41</v>
      </c>
      <c r="J677" s="62" t="s">
        <v>53</v>
      </c>
      <c r="K677" s="62" t="s">
        <v>9</v>
      </c>
      <c r="L677" s="70" t="s">
        <v>57</v>
      </c>
      <c r="M677" s="70" t="s">
        <v>2226</v>
      </c>
    </row>
    <row r="678" spans="1:13" s="53" customFormat="1" ht="60">
      <c r="A678" s="71" t="s">
        <v>1886</v>
      </c>
      <c r="B678" s="62" t="s">
        <v>932</v>
      </c>
      <c r="C678" s="77" t="s">
        <v>934</v>
      </c>
      <c r="G678" s="73" t="s">
        <v>26</v>
      </c>
      <c r="H678" s="70" t="str">
        <f t="shared" si="9"/>
        <v>Protocol</v>
      </c>
      <c r="I678" s="62" t="s">
        <v>41</v>
      </c>
      <c r="J678" s="62" t="s">
        <v>53</v>
      </c>
      <c r="K678" s="62" t="s">
        <v>9</v>
      </c>
      <c r="L678" s="70" t="s">
        <v>57</v>
      </c>
      <c r="M678" s="70" t="s">
        <v>2226</v>
      </c>
    </row>
    <row r="679" spans="1:13" s="53" customFormat="1" ht="45">
      <c r="A679" s="71" t="s">
        <v>1887</v>
      </c>
      <c r="B679" s="62" t="s">
        <v>932</v>
      </c>
      <c r="C679" s="77" t="s">
        <v>935</v>
      </c>
      <c r="G679" s="73" t="s">
        <v>2220</v>
      </c>
      <c r="H679" s="70" t="str">
        <f t="shared" si="9"/>
        <v>Protocol</v>
      </c>
      <c r="I679" s="62" t="s">
        <v>41</v>
      </c>
      <c r="J679" s="62" t="s">
        <v>53</v>
      </c>
      <c r="K679" s="62" t="s">
        <v>9</v>
      </c>
      <c r="L679" s="70" t="s">
        <v>57</v>
      </c>
      <c r="M679" s="70" t="s">
        <v>2226</v>
      </c>
    </row>
    <row r="680" spans="1:13" s="53" customFormat="1" ht="76.5" customHeight="1">
      <c r="A680" s="71" t="s">
        <v>1888</v>
      </c>
      <c r="B680" s="62" t="s">
        <v>932</v>
      </c>
      <c r="C680" s="77" t="s">
        <v>936</v>
      </c>
      <c r="G680" s="73" t="s">
        <v>26</v>
      </c>
      <c r="H680" s="70" t="str">
        <f t="shared" si="9"/>
        <v>Protocol</v>
      </c>
      <c r="I680" s="62" t="s">
        <v>41</v>
      </c>
      <c r="J680" s="62" t="s">
        <v>53</v>
      </c>
      <c r="K680" s="62" t="s">
        <v>9</v>
      </c>
      <c r="L680" s="70" t="s">
        <v>57</v>
      </c>
      <c r="M680" s="70" t="s">
        <v>2226</v>
      </c>
    </row>
    <row r="681" spans="1:13" s="53" customFormat="1" ht="75">
      <c r="A681" s="71" t="s">
        <v>1889</v>
      </c>
      <c r="B681" s="62" t="s">
        <v>932</v>
      </c>
      <c r="C681" s="77" t="s">
        <v>937</v>
      </c>
      <c r="G681" s="73"/>
      <c r="H681" s="70" t="str">
        <f t="shared" si="9"/>
        <v>Protocol</v>
      </c>
      <c r="I681" s="62" t="s">
        <v>41</v>
      </c>
      <c r="J681" s="62" t="s">
        <v>53</v>
      </c>
      <c r="K681" s="62" t="s">
        <v>9</v>
      </c>
      <c r="L681" s="70" t="s">
        <v>51</v>
      </c>
      <c r="M681" s="70" t="s">
        <v>225</v>
      </c>
    </row>
    <row r="682" spans="1:13" s="53" customFormat="1" ht="93" customHeight="1">
      <c r="A682" s="71" t="s">
        <v>1890</v>
      </c>
      <c r="B682" s="62" t="s">
        <v>932</v>
      </c>
      <c r="C682" s="77" t="s">
        <v>938</v>
      </c>
      <c r="G682" s="73"/>
      <c r="H682" s="70" t="str">
        <f t="shared" si="9"/>
        <v>Protocol</v>
      </c>
      <c r="I682" s="62" t="s">
        <v>41</v>
      </c>
      <c r="J682" s="62" t="s">
        <v>53</v>
      </c>
      <c r="K682" s="62" t="s">
        <v>9</v>
      </c>
      <c r="L682" s="70" t="s">
        <v>51</v>
      </c>
      <c r="M682" s="70" t="s">
        <v>225</v>
      </c>
    </row>
    <row r="683" spans="1:13" s="53" customFormat="1" ht="60">
      <c r="A683" s="71" t="s">
        <v>1891</v>
      </c>
      <c r="B683" s="62" t="s">
        <v>932</v>
      </c>
      <c r="C683" s="77" t="s">
        <v>939</v>
      </c>
      <c r="E683" s="61"/>
      <c r="G683" s="73"/>
      <c r="H683" s="70" t="str">
        <f t="shared" si="9"/>
        <v>Protocol</v>
      </c>
      <c r="I683" s="62" t="s">
        <v>41</v>
      </c>
      <c r="J683" s="62" t="s">
        <v>53</v>
      </c>
      <c r="K683" s="62" t="s">
        <v>9</v>
      </c>
      <c r="L683" s="70" t="s">
        <v>51</v>
      </c>
      <c r="M683" s="70" t="s">
        <v>225</v>
      </c>
    </row>
    <row r="684" spans="1:13" s="53" customFormat="1" ht="90.75" customHeight="1">
      <c r="A684" s="71" t="s">
        <v>1892</v>
      </c>
      <c r="B684" s="62" t="s">
        <v>932</v>
      </c>
      <c r="C684" s="77" t="s">
        <v>940</v>
      </c>
      <c r="G684" s="73" t="s">
        <v>26</v>
      </c>
      <c r="H684" s="70" t="str">
        <f t="shared" si="9"/>
        <v>Protocol</v>
      </c>
      <c r="I684" s="62" t="s">
        <v>41</v>
      </c>
      <c r="J684" s="62" t="s">
        <v>53</v>
      </c>
      <c r="K684" s="62" t="s">
        <v>9</v>
      </c>
      <c r="L684" s="70" t="s">
        <v>57</v>
      </c>
      <c r="M684" s="70" t="s">
        <v>2226</v>
      </c>
    </row>
    <row r="685" spans="1:13" s="53" customFormat="1" ht="75">
      <c r="A685" s="71" t="s">
        <v>1893</v>
      </c>
      <c r="B685" s="62" t="s">
        <v>932</v>
      </c>
      <c r="C685" s="77" t="s">
        <v>941</v>
      </c>
      <c r="G685" s="73" t="s">
        <v>26</v>
      </c>
      <c r="H685" s="70" t="str">
        <f t="shared" si="9"/>
        <v>Protocol</v>
      </c>
      <c r="I685" s="62" t="s">
        <v>41</v>
      </c>
      <c r="J685" s="62" t="s">
        <v>53</v>
      </c>
      <c r="K685" s="62" t="s">
        <v>9</v>
      </c>
      <c r="L685" s="70" t="s">
        <v>57</v>
      </c>
      <c r="M685" s="70" t="s">
        <v>2226</v>
      </c>
    </row>
    <row r="686" spans="1:13" s="53" customFormat="1" ht="95.25" customHeight="1">
      <c r="A686" s="71" t="s">
        <v>1894</v>
      </c>
      <c r="B686" s="62" t="s">
        <v>932</v>
      </c>
      <c r="C686" s="77" t="s">
        <v>942</v>
      </c>
      <c r="D686" s="61"/>
      <c r="G686" s="73"/>
      <c r="H686" s="70" t="str">
        <f t="shared" si="9"/>
        <v>Protocol</v>
      </c>
      <c r="I686" s="62" t="s">
        <v>41</v>
      </c>
      <c r="J686" s="62" t="s">
        <v>53</v>
      </c>
      <c r="K686" s="62" t="s">
        <v>9</v>
      </c>
      <c r="L686" s="70" t="s">
        <v>51</v>
      </c>
      <c r="M686" s="70" t="s">
        <v>225</v>
      </c>
    </row>
    <row r="687" spans="1:13" s="53" customFormat="1" ht="96.75" customHeight="1">
      <c r="A687" s="71" t="s">
        <v>1895</v>
      </c>
      <c r="B687" s="62" t="s">
        <v>932</v>
      </c>
      <c r="C687" s="77" t="s">
        <v>943</v>
      </c>
      <c r="G687" s="73"/>
      <c r="H687" s="70" t="str">
        <f t="shared" si="9"/>
        <v>Protocol</v>
      </c>
      <c r="I687" s="62" t="s">
        <v>41</v>
      </c>
      <c r="J687" s="62" t="s">
        <v>53</v>
      </c>
      <c r="K687" s="62" t="s">
        <v>9</v>
      </c>
      <c r="L687" s="70" t="s">
        <v>51</v>
      </c>
      <c r="M687" s="70" t="s">
        <v>225</v>
      </c>
    </row>
    <row r="688" spans="1:13" s="53" customFormat="1" ht="100.5" customHeight="1">
      <c r="A688" s="71" t="s">
        <v>1896</v>
      </c>
      <c r="B688" s="62" t="s">
        <v>932</v>
      </c>
      <c r="C688" s="77" t="s">
        <v>944</v>
      </c>
      <c r="G688" s="73"/>
      <c r="H688" s="70" t="str">
        <f t="shared" si="9"/>
        <v>Protocol</v>
      </c>
      <c r="I688" s="62" t="s">
        <v>41</v>
      </c>
      <c r="J688" s="62" t="s">
        <v>53</v>
      </c>
      <c r="K688" s="62" t="s">
        <v>9</v>
      </c>
      <c r="L688" s="70" t="s">
        <v>51</v>
      </c>
      <c r="M688" s="70" t="s">
        <v>225</v>
      </c>
    </row>
    <row r="689" spans="1:13" s="53" customFormat="1" ht="99" customHeight="1">
      <c r="A689" s="71" t="s">
        <v>1897</v>
      </c>
      <c r="B689" s="62" t="s">
        <v>932</v>
      </c>
      <c r="C689" s="77" t="s">
        <v>945</v>
      </c>
      <c r="G689" s="73"/>
      <c r="H689" s="70" t="str">
        <f t="shared" si="9"/>
        <v>Protocol</v>
      </c>
      <c r="I689" s="62" t="s">
        <v>41</v>
      </c>
      <c r="J689" s="62" t="s">
        <v>53</v>
      </c>
      <c r="K689" s="62" t="s">
        <v>9</v>
      </c>
      <c r="L689" s="70" t="s">
        <v>51</v>
      </c>
      <c r="M689" s="70" t="s">
        <v>225</v>
      </c>
    </row>
    <row r="690" spans="1:13" s="53" customFormat="1" ht="100.5" customHeight="1">
      <c r="A690" s="71" t="s">
        <v>1898</v>
      </c>
      <c r="B690" s="62" t="s">
        <v>932</v>
      </c>
      <c r="C690" s="77" t="s">
        <v>946</v>
      </c>
      <c r="G690" s="73"/>
      <c r="H690" s="70" t="str">
        <f t="shared" si="9"/>
        <v>Protocol</v>
      </c>
      <c r="I690" s="62" t="s">
        <v>41</v>
      </c>
      <c r="J690" s="62" t="s">
        <v>53</v>
      </c>
      <c r="K690" s="62" t="s">
        <v>9</v>
      </c>
      <c r="L690" s="70" t="s">
        <v>51</v>
      </c>
      <c r="M690" s="70" t="s">
        <v>225</v>
      </c>
    </row>
    <row r="691" spans="1:13" s="53" customFormat="1" ht="96.75" customHeight="1">
      <c r="A691" s="71" t="s">
        <v>1899</v>
      </c>
      <c r="B691" s="62" t="s">
        <v>932</v>
      </c>
      <c r="C691" s="77" t="s">
        <v>947</v>
      </c>
      <c r="G691" s="73"/>
      <c r="H691" s="70" t="str">
        <f t="shared" si="9"/>
        <v>Protocol</v>
      </c>
      <c r="I691" s="62" t="s">
        <v>41</v>
      </c>
      <c r="J691" s="62" t="s">
        <v>53</v>
      </c>
      <c r="K691" s="62" t="s">
        <v>9</v>
      </c>
      <c r="L691" s="70" t="s">
        <v>51</v>
      </c>
      <c r="M691" s="70" t="s">
        <v>225</v>
      </c>
    </row>
    <row r="692" spans="1:13" s="53" customFormat="1" ht="102.75" customHeight="1">
      <c r="A692" s="71" t="s">
        <v>1900</v>
      </c>
      <c r="B692" s="62" t="s">
        <v>932</v>
      </c>
      <c r="C692" s="77" t="s">
        <v>948</v>
      </c>
      <c r="G692" s="73"/>
      <c r="H692" s="70" t="str">
        <f t="shared" si="9"/>
        <v>Protocol</v>
      </c>
      <c r="I692" s="62" t="s">
        <v>41</v>
      </c>
      <c r="J692" s="62" t="s">
        <v>53</v>
      </c>
      <c r="K692" s="62" t="s">
        <v>9</v>
      </c>
      <c r="L692" s="70" t="s">
        <v>51</v>
      </c>
      <c r="M692" s="70" t="s">
        <v>225</v>
      </c>
    </row>
    <row r="693" spans="1:13" s="53" customFormat="1" ht="102.75" customHeight="1">
      <c r="A693" s="71" t="s">
        <v>1901</v>
      </c>
      <c r="B693" s="62" t="s">
        <v>932</v>
      </c>
      <c r="C693" s="77" t="s">
        <v>949</v>
      </c>
      <c r="G693" s="73" t="s">
        <v>2218</v>
      </c>
      <c r="H693" s="70" t="str">
        <f t="shared" si="9"/>
        <v>Protocol</v>
      </c>
      <c r="I693" s="62" t="s">
        <v>41</v>
      </c>
      <c r="J693" s="62" t="s">
        <v>53</v>
      </c>
      <c r="K693" s="62" t="s">
        <v>9</v>
      </c>
      <c r="L693" s="70" t="s">
        <v>56</v>
      </c>
      <c r="M693" s="70" t="s">
        <v>2226</v>
      </c>
    </row>
    <row r="694" spans="1:13" s="53" customFormat="1" ht="45">
      <c r="A694" s="71" t="s">
        <v>1902</v>
      </c>
      <c r="B694" s="62" t="s">
        <v>950</v>
      </c>
      <c r="C694" s="77" t="s">
        <v>951</v>
      </c>
      <c r="G694" s="70" t="s">
        <v>122</v>
      </c>
      <c r="H694" s="70" t="str">
        <f t="shared" si="9"/>
        <v>Protocol</v>
      </c>
      <c r="I694" s="62" t="s">
        <v>41</v>
      </c>
      <c r="J694" s="62" t="s">
        <v>53</v>
      </c>
      <c r="K694" s="62" t="s">
        <v>9</v>
      </c>
      <c r="L694" s="70" t="s">
        <v>57</v>
      </c>
      <c r="M694" s="70" t="s">
        <v>2226</v>
      </c>
    </row>
    <row r="695" spans="1:13" s="53" customFormat="1" ht="60">
      <c r="A695" s="71" t="s">
        <v>1903</v>
      </c>
      <c r="B695" s="62" t="s">
        <v>950</v>
      </c>
      <c r="C695" s="77" t="s">
        <v>952</v>
      </c>
      <c r="G695" s="70" t="s">
        <v>122</v>
      </c>
      <c r="H695" s="70" t="str">
        <f t="shared" si="9"/>
        <v>Protocol</v>
      </c>
      <c r="I695" s="62" t="s">
        <v>41</v>
      </c>
      <c r="J695" s="62" t="s">
        <v>53</v>
      </c>
      <c r="K695" s="62" t="s">
        <v>9</v>
      </c>
      <c r="L695" s="70" t="s">
        <v>57</v>
      </c>
      <c r="M695" s="70" t="s">
        <v>2226</v>
      </c>
    </row>
    <row r="696" spans="1:13" s="53" customFormat="1" ht="65.25" customHeight="1">
      <c r="A696" s="71" t="s">
        <v>1904</v>
      </c>
      <c r="B696" s="62" t="s">
        <v>950</v>
      </c>
      <c r="C696" s="77" t="s">
        <v>953</v>
      </c>
      <c r="D696" s="61"/>
      <c r="E696" s="61"/>
      <c r="G696" s="70" t="s">
        <v>122</v>
      </c>
      <c r="H696" s="70" t="str">
        <f t="shared" si="9"/>
        <v>Protocol</v>
      </c>
      <c r="I696" s="62" t="s">
        <v>41</v>
      </c>
      <c r="J696" s="62" t="s">
        <v>53</v>
      </c>
      <c r="K696" s="62" t="s">
        <v>9</v>
      </c>
      <c r="L696" s="70" t="s">
        <v>57</v>
      </c>
      <c r="M696" s="70" t="s">
        <v>2226</v>
      </c>
    </row>
    <row r="697" spans="1:13" s="53" customFormat="1" ht="68.25" customHeight="1">
      <c r="A697" s="71" t="s">
        <v>2240</v>
      </c>
      <c r="B697" s="62" t="s">
        <v>950</v>
      </c>
      <c r="C697" s="77" t="s">
        <v>954</v>
      </c>
      <c r="G697" s="70"/>
      <c r="H697" s="70" t="str">
        <f t="shared" si="9"/>
        <v>Protocol</v>
      </c>
      <c r="I697" s="62" t="s">
        <v>41</v>
      </c>
      <c r="J697" s="62" t="s">
        <v>53</v>
      </c>
      <c r="K697" s="62" t="s">
        <v>9</v>
      </c>
      <c r="L697" s="70" t="s">
        <v>50</v>
      </c>
      <c r="M697" s="70" t="s">
        <v>2245</v>
      </c>
    </row>
    <row r="698" spans="1:13" s="53" customFormat="1" ht="54" customHeight="1">
      <c r="A698" s="71" t="s">
        <v>1905</v>
      </c>
      <c r="B698" s="62" t="s">
        <v>950</v>
      </c>
      <c r="C698" s="77" t="s">
        <v>955</v>
      </c>
      <c r="G698" s="70" t="s">
        <v>122</v>
      </c>
      <c r="H698" s="70" t="str">
        <f t="shared" si="9"/>
        <v>Protocol</v>
      </c>
      <c r="I698" s="62" t="s">
        <v>41</v>
      </c>
      <c r="J698" s="62" t="s">
        <v>53</v>
      </c>
      <c r="K698" s="62" t="s">
        <v>9</v>
      </c>
      <c r="L698" s="70" t="s">
        <v>56</v>
      </c>
      <c r="M698" s="70" t="s">
        <v>2226</v>
      </c>
    </row>
    <row r="699" spans="1:13" s="53" customFormat="1" ht="56.25" customHeight="1">
      <c r="A699" s="71" t="s">
        <v>1906</v>
      </c>
      <c r="B699" s="62" t="s">
        <v>950</v>
      </c>
      <c r="C699" s="77" t="s">
        <v>956</v>
      </c>
      <c r="G699" s="70" t="s">
        <v>122</v>
      </c>
      <c r="H699" s="70" t="str">
        <f t="shared" si="9"/>
        <v>Protocol</v>
      </c>
      <c r="I699" s="62" t="s">
        <v>41</v>
      </c>
      <c r="J699" s="62" t="s">
        <v>53</v>
      </c>
      <c r="K699" s="62" t="s">
        <v>9</v>
      </c>
      <c r="L699" s="70" t="s">
        <v>56</v>
      </c>
      <c r="M699" s="70" t="s">
        <v>2226</v>
      </c>
    </row>
    <row r="700" spans="1:13" s="53" customFormat="1" ht="72" customHeight="1">
      <c r="A700" s="71" t="s">
        <v>1907</v>
      </c>
      <c r="B700" s="62" t="s">
        <v>950</v>
      </c>
      <c r="C700" s="77" t="s">
        <v>957</v>
      </c>
      <c r="G700" s="70" t="s">
        <v>122</v>
      </c>
      <c r="H700" s="70" t="str">
        <f t="shared" si="9"/>
        <v>Protocol</v>
      </c>
      <c r="I700" s="62" t="s">
        <v>41</v>
      </c>
      <c r="J700" s="62" t="s">
        <v>53</v>
      </c>
      <c r="K700" s="62" t="s">
        <v>9</v>
      </c>
      <c r="L700" s="70" t="s">
        <v>57</v>
      </c>
      <c r="M700" s="70" t="s">
        <v>2226</v>
      </c>
    </row>
    <row r="701" spans="1:13" s="53" customFormat="1" ht="52.5" customHeight="1">
      <c r="A701" s="71" t="s">
        <v>1908</v>
      </c>
      <c r="B701" s="62" t="s">
        <v>950</v>
      </c>
      <c r="C701" s="77" t="s">
        <v>958</v>
      </c>
      <c r="G701" s="70" t="s">
        <v>122</v>
      </c>
      <c r="H701" s="70" t="str">
        <f t="shared" si="9"/>
        <v>Protocol</v>
      </c>
      <c r="I701" s="62" t="s">
        <v>41</v>
      </c>
      <c r="J701" s="62" t="s">
        <v>53</v>
      </c>
      <c r="K701" s="62" t="s">
        <v>9</v>
      </c>
      <c r="L701" s="70" t="s">
        <v>57</v>
      </c>
      <c r="M701" s="70" t="s">
        <v>2226</v>
      </c>
    </row>
    <row r="702" spans="1:13" s="53" customFormat="1" ht="55.5" customHeight="1">
      <c r="A702" s="71" t="s">
        <v>1909</v>
      </c>
      <c r="B702" s="62" t="s">
        <v>959</v>
      </c>
      <c r="C702" s="77" t="s">
        <v>960</v>
      </c>
      <c r="G702" s="70" t="s">
        <v>122</v>
      </c>
      <c r="H702" s="70" t="str">
        <f t="shared" si="9"/>
        <v>Protocol</v>
      </c>
      <c r="I702" s="62" t="s">
        <v>41</v>
      </c>
      <c r="J702" s="62" t="s">
        <v>53</v>
      </c>
      <c r="K702" s="62" t="s">
        <v>9</v>
      </c>
      <c r="L702" s="70" t="s">
        <v>57</v>
      </c>
      <c r="M702" s="70" t="s">
        <v>2226</v>
      </c>
    </row>
    <row r="703" spans="1:13" s="53" customFormat="1" ht="77.25" customHeight="1">
      <c r="A703" s="71" t="s">
        <v>1910</v>
      </c>
      <c r="B703" s="62" t="s">
        <v>959</v>
      </c>
      <c r="C703" s="77" t="s">
        <v>961</v>
      </c>
      <c r="G703" s="70" t="s">
        <v>122</v>
      </c>
      <c r="H703" s="70" t="str">
        <f t="shared" si="9"/>
        <v>Protocol</v>
      </c>
      <c r="I703" s="62" t="s">
        <v>41</v>
      </c>
      <c r="J703" s="62" t="s">
        <v>53</v>
      </c>
      <c r="K703" s="62" t="s">
        <v>9</v>
      </c>
      <c r="L703" s="70" t="s">
        <v>57</v>
      </c>
      <c r="M703" s="70" t="s">
        <v>2226</v>
      </c>
    </row>
    <row r="704" spans="1:13" s="53" customFormat="1" ht="60.75" customHeight="1">
      <c r="A704" s="71" t="s">
        <v>1911</v>
      </c>
      <c r="B704" s="62" t="s">
        <v>959</v>
      </c>
      <c r="C704" s="77" t="s">
        <v>962</v>
      </c>
      <c r="D704" s="61"/>
      <c r="G704" s="70" t="s">
        <v>122</v>
      </c>
      <c r="H704" s="70" t="str">
        <f t="shared" si="9"/>
        <v>Protocol</v>
      </c>
      <c r="I704" s="62" t="s">
        <v>41</v>
      </c>
      <c r="J704" s="62" t="s">
        <v>53</v>
      </c>
      <c r="K704" s="62" t="s">
        <v>9</v>
      </c>
      <c r="L704" s="70" t="s">
        <v>57</v>
      </c>
      <c r="M704" s="70" t="s">
        <v>2226</v>
      </c>
    </row>
    <row r="705" spans="1:13" s="53" customFormat="1" ht="80.25" customHeight="1">
      <c r="A705" s="71" t="s">
        <v>1912</v>
      </c>
      <c r="B705" s="62" t="s">
        <v>959</v>
      </c>
      <c r="C705" s="77" t="s">
        <v>963</v>
      </c>
      <c r="G705" s="70"/>
      <c r="H705" s="70" t="str">
        <f t="shared" ref="H705:H768" si="10">IF(LEFT(B705,1)="6","Product","Protocol")</f>
        <v>Protocol</v>
      </c>
      <c r="I705" s="62" t="s">
        <v>41</v>
      </c>
      <c r="J705" s="62" t="s">
        <v>53</v>
      </c>
      <c r="K705" s="62" t="s">
        <v>9</v>
      </c>
      <c r="L705" s="70" t="s">
        <v>50</v>
      </c>
      <c r="M705" s="70" t="s">
        <v>2243</v>
      </c>
    </row>
    <row r="706" spans="1:13" s="53" customFormat="1" ht="53.25" customHeight="1">
      <c r="A706" s="71" t="s">
        <v>1913</v>
      </c>
      <c r="B706" s="62" t="s">
        <v>959</v>
      </c>
      <c r="C706" s="77" t="s">
        <v>964</v>
      </c>
      <c r="G706" s="70" t="s">
        <v>122</v>
      </c>
      <c r="H706" s="70" t="str">
        <f t="shared" si="10"/>
        <v>Protocol</v>
      </c>
      <c r="I706" s="62" t="s">
        <v>41</v>
      </c>
      <c r="J706" s="62" t="s">
        <v>53</v>
      </c>
      <c r="K706" s="62" t="s">
        <v>9</v>
      </c>
      <c r="L706" s="70" t="s">
        <v>56</v>
      </c>
      <c r="M706" s="70" t="s">
        <v>2226</v>
      </c>
    </row>
    <row r="707" spans="1:13" s="53" customFormat="1" ht="81.75" customHeight="1">
      <c r="A707" s="71" t="s">
        <v>1914</v>
      </c>
      <c r="B707" s="62" t="s">
        <v>959</v>
      </c>
      <c r="C707" s="77" t="s">
        <v>965</v>
      </c>
      <c r="G707" s="70" t="s">
        <v>122</v>
      </c>
      <c r="H707" s="70" t="str">
        <f t="shared" si="10"/>
        <v>Protocol</v>
      </c>
      <c r="I707" s="62" t="s">
        <v>41</v>
      </c>
      <c r="J707" s="62" t="s">
        <v>53</v>
      </c>
      <c r="K707" s="62" t="s">
        <v>9</v>
      </c>
      <c r="L707" s="70" t="s">
        <v>56</v>
      </c>
      <c r="M707" s="70" t="s">
        <v>2226</v>
      </c>
    </row>
    <row r="708" spans="1:13" s="53" customFormat="1" ht="56.25" customHeight="1">
      <c r="A708" s="71" t="s">
        <v>1915</v>
      </c>
      <c r="B708" s="62" t="s">
        <v>959</v>
      </c>
      <c r="C708" s="77" t="s">
        <v>966</v>
      </c>
      <c r="G708" s="70" t="s">
        <v>122</v>
      </c>
      <c r="H708" s="70" t="str">
        <f t="shared" si="10"/>
        <v>Protocol</v>
      </c>
      <c r="I708" s="62" t="s">
        <v>41</v>
      </c>
      <c r="J708" s="62" t="s">
        <v>53</v>
      </c>
      <c r="K708" s="62" t="s">
        <v>9</v>
      </c>
      <c r="L708" s="70" t="s">
        <v>56</v>
      </c>
      <c r="M708" s="70" t="s">
        <v>2226</v>
      </c>
    </row>
    <row r="709" spans="1:13" s="53" customFormat="1" ht="68.25" customHeight="1">
      <c r="A709" s="71" t="s">
        <v>1916</v>
      </c>
      <c r="B709" s="62" t="s">
        <v>959</v>
      </c>
      <c r="C709" s="77" t="s">
        <v>967</v>
      </c>
      <c r="G709" s="70" t="s">
        <v>122</v>
      </c>
      <c r="H709" s="70" t="str">
        <f t="shared" si="10"/>
        <v>Protocol</v>
      </c>
      <c r="I709" s="62" t="s">
        <v>41</v>
      </c>
      <c r="J709" s="62" t="s">
        <v>53</v>
      </c>
      <c r="K709" s="62" t="s">
        <v>9</v>
      </c>
      <c r="L709" s="70" t="s">
        <v>57</v>
      </c>
      <c r="M709" s="70" t="s">
        <v>2226</v>
      </c>
    </row>
    <row r="710" spans="1:13" s="53" customFormat="1" ht="69" customHeight="1">
      <c r="A710" s="71" t="s">
        <v>1917</v>
      </c>
      <c r="B710" s="62" t="s">
        <v>959</v>
      </c>
      <c r="C710" s="77" t="s">
        <v>968</v>
      </c>
      <c r="G710" s="70" t="s">
        <v>122</v>
      </c>
      <c r="H710" s="70" t="str">
        <f t="shared" si="10"/>
        <v>Protocol</v>
      </c>
      <c r="I710" s="62" t="s">
        <v>41</v>
      </c>
      <c r="J710" s="62" t="s">
        <v>53</v>
      </c>
      <c r="K710" s="62" t="s">
        <v>9</v>
      </c>
      <c r="L710" s="70" t="s">
        <v>56</v>
      </c>
      <c r="M710" s="70" t="s">
        <v>2226</v>
      </c>
    </row>
    <row r="711" spans="1:13" s="53" customFormat="1" ht="83.25" customHeight="1">
      <c r="A711" s="71" t="s">
        <v>1918</v>
      </c>
      <c r="B711" s="62" t="s">
        <v>959</v>
      </c>
      <c r="C711" s="77" t="s">
        <v>969</v>
      </c>
      <c r="G711" s="70" t="s">
        <v>122</v>
      </c>
      <c r="H711" s="70" t="str">
        <f t="shared" si="10"/>
        <v>Protocol</v>
      </c>
      <c r="I711" s="62" t="s">
        <v>41</v>
      </c>
      <c r="J711" s="62" t="s">
        <v>53</v>
      </c>
      <c r="K711" s="62" t="s">
        <v>9</v>
      </c>
      <c r="L711" s="70" t="s">
        <v>56</v>
      </c>
      <c r="M711" s="70" t="s">
        <v>2226</v>
      </c>
    </row>
    <row r="712" spans="1:13" s="53" customFormat="1" ht="78.75" customHeight="1">
      <c r="A712" s="71" t="s">
        <v>1919</v>
      </c>
      <c r="B712" s="62" t="s">
        <v>959</v>
      </c>
      <c r="C712" s="77" t="s">
        <v>970</v>
      </c>
      <c r="G712" s="70" t="s">
        <v>122</v>
      </c>
      <c r="H712" s="70" t="str">
        <f t="shared" si="10"/>
        <v>Protocol</v>
      </c>
      <c r="I712" s="62" t="s">
        <v>41</v>
      </c>
      <c r="J712" s="62" t="s">
        <v>53</v>
      </c>
      <c r="K712" s="62" t="s">
        <v>9</v>
      </c>
      <c r="L712" s="70" t="s">
        <v>56</v>
      </c>
      <c r="M712" s="70" t="s">
        <v>2226</v>
      </c>
    </row>
    <row r="713" spans="1:13" s="53" customFormat="1" ht="70.5" customHeight="1">
      <c r="A713" s="71" t="s">
        <v>1920</v>
      </c>
      <c r="B713" s="62" t="s">
        <v>959</v>
      </c>
      <c r="C713" s="77" t="s">
        <v>971</v>
      </c>
      <c r="G713" s="70" t="s">
        <v>122</v>
      </c>
      <c r="H713" s="70" t="str">
        <f t="shared" si="10"/>
        <v>Protocol</v>
      </c>
      <c r="I713" s="62" t="s">
        <v>41</v>
      </c>
      <c r="J713" s="62" t="s">
        <v>53</v>
      </c>
      <c r="K713" s="62" t="s">
        <v>9</v>
      </c>
      <c r="L713" s="70" t="s">
        <v>56</v>
      </c>
      <c r="M713" s="70" t="s">
        <v>2226</v>
      </c>
    </row>
    <row r="714" spans="1:13" s="53" customFormat="1" ht="56.25" customHeight="1">
      <c r="A714" s="71" t="s">
        <v>1921</v>
      </c>
      <c r="B714" s="62" t="s">
        <v>959</v>
      </c>
      <c r="C714" s="77" t="s">
        <v>972</v>
      </c>
      <c r="G714" s="70" t="s">
        <v>122</v>
      </c>
      <c r="H714" s="70" t="str">
        <f t="shared" si="10"/>
        <v>Protocol</v>
      </c>
      <c r="I714" s="62" t="s">
        <v>41</v>
      </c>
      <c r="J714" s="62" t="s">
        <v>53</v>
      </c>
      <c r="K714" s="62" t="s">
        <v>9</v>
      </c>
      <c r="L714" s="70" t="s">
        <v>57</v>
      </c>
      <c r="M714" s="70" t="s">
        <v>2226</v>
      </c>
    </row>
    <row r="715" spans="1:13" s="53" customFormat="1" ht="55.5" customHeight="1">
      <c r="A715" s="71" t="s">
        <v>1922</v>
      </c>
      <c r="B715" s="62" t="s">
        <v>973</v>
      </c>
      <c r="C715" s="77" t="s">
        <v>974</v>
      </c>
      <c r="G715" s="70" t="s">
        <v>122</v>
      </c>
      <c r="H715" s="70" t="str">
        <f t="shared" si="10"/>
        <v>Protocol</v>
      </c>
      <c r="I715" s="62" t="s">
        <v>41</v>
      </c>
      <c r="J715" s="62" t="s">
        <v>53</v>
      </c>
      <c r="K715" s="62" t="s">
        <v>9</v>
      </c>
      <c r="L715" s="70" t="s">
        <v>57</v>
      </c>
      <c r="M715" s="70" t="s">
        <v>2226</v>
      </c>
    </row>
    <row r="716" spans="1:13" s="53" customFormat="1" ht="74.25" customHeight="1">
      <c r="A716" s="71" t="s">
        <v>1923</v>
      </c>
      <c r="B716" s="62" t="s">
        <v>973</v>
      </c>
      <c r="C716" s="77" t="s">
        <v>975</v>
      </c>
      <c r="G716" s="70" t="s">
        <v>122</v>
      </c>
      <c r="H716" s="70" t="str">
        <f t="shared" si="10"/>
        <v>Protocol</v>
      </c>
      <c r="I716" s="62" t="s">
        <v>41</v>
      </c>
      <c r="J716" s="62" t="s">
        <v>53</v>
      </c>
      <c r="K716" s="62" t="s">
        <v>9</v>
      </c>
      <c r="L716" s="70" t="s">
        <v>57</v>
      </c>
      <c r="M716" s="70" t="s">
        <v>2226</v>
      </c>
    </row>
    <row r="717" spans="1:13" s="53" customFormat="1" ht="65.25" customHeight="1">
      <c r="A717" s="71" t="s">
        <v>1924</v>
      </c>
      <c r="B717" s="62" t="s">
        <v>973</v>
      </c>
      <c r="C717" s="77" t="s">
        <v>976</v>
      </c>
      <c r="D717" s="61"/>
      <c r="G717" s="70" t="s">
        <v>122</v>
      </c>
      <c r="H717" s="70" t="str">
        <f t="shared" si="10"/>
        <v>Protocol</v>
      </c>
      <c r="I717" s="62" t="s">
        <v>41</v>
      </c>
      <c r="J717" s="62" t="s">
        <v>53</v>
      </c>
      <c r="K717" s="62" t="s">
        <v>9</v>
      </c>
      <c r="L717" s="70" t="s">
        <v>57</v>
      </c>
      <c r="M717" s="70" t="s">
        <v>2226</v>
      </c>
    </row>
    <row r="718" spans="1:13" s="53" customFormat="1" ht="81" customHeight="1">
      <c r="A718" s="71" t="s">
        <v>1925</v>
      </c>
      <c r="B718" s="62" t="s">
        <v>973</v>
      </c>
      <c r="C718" s="77" t="s">
        <v>977</v>
      </c>
      <c r="G718" s="70"/>
      <c r="H718" s="70" t="str">
        <f t="shared" si="10"/>
        <v>Protocol</v>
      </c>
      <c r="I718" s="62" t="s">
        <v>41</v>
      </c>
      <c r="J718" s="62" t="s">
        <v>53</v>
      </c>
      <c r="K718" s="62" t="s">
        <v>9</v>
      </c>
      <c r="L718" s="70" t="s">
        <v>50</v>
      </c>
      <c r="M718" s="70" t="s">
        <v>2243</v>
      </c>
    </row>
    <row r="719" spans="1:13" s="53" customFormat="1" ht="54.75" customHeight="1">
      <c r="A719" s="71" t="s">
        <v>1926</v>
      </c>
      <c r="B719" s="62" t="s">
        <v>973</v>
      </c>
      <c r="C719" s="77" t="s">
        <v>978</v>
      </c>
      <c r="G719" s="70" t="s">
        <v>122</v>
      </c>
      <c r="H719" s="70" t="str">
        <f t="shared" si="10"/>
        <v>Protocol</v>
      </c>
      <c r="I719" s="62" t="s">
        <v>41</v>
      </c>
      <c r="J719" s="62" t="s">
        <v>53</v>
      </c>
      <c r="K719" s="62" t="s">
        <v>9</v>
      </c>
      <c r="L719" s="70" t="s">
        <v>56</v>
      </c>
      <c r="M719" s="70" t="s">
        <v>2226</v>
      </c>
    </row>
    <row r="720" spans="1:13" s="53" customFormat="1" ht="63.75" customHeight="1">
      <c r="A720" s="71" t="s">
        <v>1927</v>
      </c>
      <c r="B720" s="62" t="s">
        <v>973</v>
      </c>
      <c r="C720" s="77" t="s">
        <v>979</v>
      </c>
      <c r="G720" s="70" t="s">
        <v>122</v>
      </c>
      <c r="H720" s="70" t="str">
        <f t="shared" si="10"/>
        <v>Protocol</v>
      </c>
      <c r="I720" s="62" t="s">
        <v>41</v>
      </c>
      <c r="J720" s="62" t="s">
        <v>53</v>
      </c>
      <c r="K720" s="62" t="s">
        <v>9</v>
      </c>
      <c r="L720" s="70" t="s">
        <v>56</v>
      </c>
      <c r="M720" s="70" t="s">
        <v>2227</v>
      </c>
    </row>
    <row r="721" spans="1:13" s="53" customFormat="1" ht="83.25" customHeight="1">
      <c r="A721" s="71" t="s">
        <v>1928</v>
      </c>
      <c r="B721" s="62" t="s">
        <v>973</v>
      </c>
      <c r="C721" s="77" t="s">
        <v>980</v>
      </c>
      <c r="G721" s="70" t="s">
        <v>122</v>
      </c>
      <c r="H721" s="70" t="str">
        <f t="shared" si="10"/>
        <v>Protocol</v>
      </c>
      <c r="I721" s="62" t="s">
        <v>41</v>
      </c>
      <c r="J721" s="62" t="s">
        <v>53</v>
      </c>
      <c r="K721" s="62" t="s">
        <v>9</v>
      </c>
      <c r="L721" s="70" t="s">
        <v>56</v>
      </c>
      <c r="M721" s="70" t="s">
        <v>2226</v>
      </c>
    </row>
    <row r="722" spans="1:13" s="53" customFormat="1" ht="87" customHeight="1">
      <c r="A722" s="71" t="s">
        <v>1929</v>
      </c>
      <c r="B722" s="62" t="s">
        <v>973</v>
      </c>
      <c r="C722" s="77" t="s">
        <v>981</v>
      </c>
      <c r="G722" s="70" t="s">
        <v>122</v>
      </c>
      <c r="H722" s="70" t="str">
        <f t="shared" si="10"/>
        <v>Protocol</v>
      </c>
      <c r="I722" s="62" t="s">
        <v>41</v>
      </c>
      <c r="J722" s="62" t="s">
        <v>53</v>
      </c>
      <c r="K722" s="62" t="s">
        <v>9</v>
      </c>
      <c r="L722" s="70" t="s">
        <v>56</v>
      </c>
      <c r="M722" s="70" t="s">
        <v>2226</v>
      </c>
    </row>
    <row r="723" spans="1:13" s="53" customFormat="1" ht="66.75" customHeight="1">
      <c r="A723" s="71" t="s">
        <v>1930</v>
      </c>
      <c r="B723" s="62" t="s">
        <v>973</v>
      </c>
      <c r="C723" s="77" t="s">
        <v>982</v>
      </c>
      <c r="G723" s="70" t="s">
        <v>122</v>
      </c>
      <c r="H723" s="70" t="str">
        <f t="shared" si="10"/>
        <v>Protocol</v>
      </c>
      <c r="I723" s="62" t="s">
        <v>41</v>
      </c>
      <c r="J723" s="62" t="s">
        <v>53</v>
      </c>
      <c r="K723" s="62" t="s">
        <v>9</v>
      </c>
      <c r="L723" s="70" t="s">
        <v>56</v>
      </c>
      <c r="M723" s="70" t="s">
        <v>2226</v>
      </c>
    </row>
    <row r="724" spans="1:13" s="53" customFormat="1" ht="77.25" customHeight="1">
      <c r="A724" s="71" t="s">
        <v>1931</v>
      </c>
      <c r="B724" s="62" t="s">
        <v>973</v>
      </c>
      <c r="C724" s="77" t="s">
        <v>983</v>
      </c>
      <c r="G724" s="70" t="s">
        <v>122</v>
      </c>
      <c r="H724" s="70" t="str">
        <f t="shared" si="10"/>
        <v>Protocol</v>
      </c>
      <c r="I724" s="62" t="s">
        <v>41</v>
      </c>
      <c r="J724" s="62" t="s">
        <v>53</v>
      </c>
      <c r="K724" s="62" t="s">
        <v>9</v>
      </c>
      <c r="L724" s="70" t="s">
        <v>57</v>
      </c>
      <c r="M724" s="70" t="s">
        <v>2226</v>
      </c>
    </row>
    <row r="725" spans="1:13" s="53" customFormat="1" ht="50.25" customHeight="1">
      <c r="A725" s="71" t="s">
        <v>1932</v>
      </c>
      <c r="B725" s="62" t="s">
        <v>984</v>
      </c>
      <c r="C725" s="77" t="s">
        <v>985</v>
      </c>
      <c r="G725" s="70" t="s">
        <v>2221</v>
      </c>
      <c r="H725" s="70" t="str">
        <f t="shared" si="10"/>
        <v>Protocol</v>
      </c>
      <c r="I725" s="62" t="s">
        <v>41</v>
      </c>
      <c r="J725" s="62" t="s">
        <v>53</v>
      </c>
      <c r="K725" s="62" t="s">
        <v>9</v>
      </c>
      <c r="L725" s="70" t="s">
        <v>57</v>
      </c>
      <c r="M725" s="70" t="s">
        <v>2226</v>
      </c>
    </row>
    <row r="726" spans="1:13" s="53" customFormat="1" ht="66" customHeight="1">
      <c r="A726" s="71" t="s">
        <v>1933</v>
      </c>
      <c r="B726" s="62" t="s">
        <v>984</v>
      </c>
      <c r="C726" s="77" t="s">
        <v>986</v>
      </c>
      <c r="G726" s="70" t="s">
        <v>121</v>
      </c>
      <c r="H726" s="70" t="str">
        <f t="shared" si="10"/>
        <v>Protocol</v>
      </c>
      <c r="I726" s="62" t="s">
        <v>41</v>
      </c>
      <c r="J726" s="62" t="s">
        <v>53</v>
      </c>
      <c r="K726" s="62" t="s">
        <v>9</v>
      </c>
      <c r="L726" s="70" t="s">
        <v>57</v>
      </c>
      <c r="M726" s="70" t="s">
        <v>2226</v>
      </c>
    </row>
    <row r="727" spans="1:13" s="53" customFormat="1" ht="48.75" customHeight="1">
      <c r="A727" s="71" t="s">
        <v>1934</v>
      </c>
      <c r="B727" s="62" t="s">
        <v>984</v>
      </c>
      <c r="C727" s="77" t="s">
        <v>987</v>
      </c>
      <c r="G727" s="70" t="s">
        <v>2221</v>
      </c>
      <c r="H727" s="70" t="str">
        <f t="shared" si="10"/>
        <v>Protocol</v>
      </c>
      <c r="I727" s="62" t="s">
        <v>41</v>
      </c>
      <c r="J727" s="62" t="s">
        <v>53</v>
      </c>
      <c r="K727" s="62" t="s">
        <v>9</v>
      </c>
      <c r="L727" s="70" t="s">
        <v>57</v>
      </c>
      <c r="M727" s="70" t="s">
        <v>2226</v>
      </c>
    </row>
    <row r="728" spans="1:13" s="53" customFormat="1" ht="82.5" customHeight="1">
      <c r="A728" s="71" t="s">
        <v>1935</v>
      </c>
      <c r="B728" s="62" t="s">
        <v>984</v>
      </c>
      <c r="C728" s="77" t="s">
        <v>988</v>
      </c>
      <c r="G728" s="70"/>
      <c r="H728" s="70" t="str">
        <f t="shared" si="10"/>
        <v>Protocol</v>
      </c>
      <c r="I728" s="62" t="s">
        <v>41</v>
      </c>
      <c r="J728" s="62" t="s">
        <v>53</v>
      </c>
      <c r="K728" s="62" t="s">
        <v>9</v>
      </c>
      <c r="L728" s="70" t="s">
        <v>50</v>
      </c>
      <c r="M728" s="70" t="s">
        <v>2243</v>
      </c>
    </row>
    <row r="729" spans="1:13" s="53" customFormat="1" ht="53.25" customHeight="1">
      <c r="A729" s="71" t="s">
        <v>1936</v>
      </c>
      <c r="B729" s="62" t="s">
        <v>984</v>
      </c>
      <c r="C729" s="77" t="s">
        <v>989</v>
      </c>
      <c r="D729" s="61"/>
      <c r="G729" s="70" t="s">
        <v>2221</v>
      </c>
      <c r="H729" s="70" t="str">
        <f t="shared" si="10"/>
        <v>Protocol</v>
      </c>
      <c r="I729" s="62" t="s">
        <v>41</v>
      </c>
      <c r="J729" s="62" t="s">
        <v>53</v>
      </c>
      <c r="K729" s="62" t="s">
        <v>9</v>
      </c>
      <c r="L729" s="70" t="s">
        <v>57</v>
      </c>
      <c r="M729" s="70" t="s">
        <v>2226</v>
      </c>
    </row>
    <row r="730" spans="1:13" s="53" customFormat="1" ht="63.75" customHeight="1">
      <c r="A730" s="71" t="s">
        <v>1937</v>
      </c>
      <c r="B730" s="62" t="s">
        <v>984</v>
      </c>
      <c r="C730" s="77" t="s">
        <v>990</v>
      </c>
      <c r="G730" s="70"/>
      <c r="H730" s="70" t="str">
        <f t="shared" si="10"/>
        <v>Protocol</v>
      </c>
      <c r="I730" s="62" t="s">
        <v>41</v>
      </c>
      <c r="J730" s="62" t="s">
        <v>53</v>
      </c>
      <c r="K730" s="62" t="s">
        <v>9</v>
      </c>
      <c r="L730" s="70" t="s">
        <v>50</v>
      </c>
      <c r="M730" s="70" t="s">
        <v>2244</v>
      </c>
    </row>
    <row r="731" spans="1:13" s="53" customFormat="1" ht="45.75" customHeight="1">
      <c r="A731" s="71" t="s">
        <v>1938</v>
      </c>
      <c r="B731" s="62" t="s">
        <v>984</v>
      </c>
      <c r="C731" s="77" t="s">
        <v>991</v>
      </c>
      <c r="G731" s="70" t="s">
        <v>121</v>
      </c>
      <c r="H731" s="70" t="str">
        <f t="shared" si="10"/>
        <v>Protocol</v>
      </c>
      <c r="I731" s="62" t="s">
        <v>41</v>
      </c>
      <c r="J731" s="62" t="s">
        <v>53</v>
      </c>
      <c r="K731" s="62" t="s">
        <v>9</v>
      </c>
      <c r="L731" s="70" t="s">
        <v>56</v>
      </c>
      <c r="M731" s="70" t="s">
        <v>2226</v>
      </c>
    </row>
    <row r="732" spans="1:13" s="53" customFormat="1" ht="80.25" customHeight="1">
      <c r="A732" s="71" t="s">
        <v>1939</v>
      </c>
      <c r="B732" s="62" t="s">
        <v>984</v>
      </c>
      <c r="C732" s="77" t="s">
        <v>992</v>
      </c>
      <c r="G732" s="70"/>
      <c r="H732" s="70" t="str">
        <f t="shared" si="10"/>
        <v>Protocol</v>
      </c>
      <c r="I732" s="62" t="s">
        <v>41</v>
      </c>
      <c r="J732" s="62" t="s">
        <v>53</v>
      </c>
      <c r="K732" s="62" t="s">
        <v>9</v>
      </c>
      <c r="L732" s="70" t="s">
        <v>51</v>
      </c>
      <c r="M732" s="70" t="s">
        <v>225</v>
      </c>
    </row>
    <row r="733" spans="1:13" s="53" customFormat="1" ht="91.5" customHeight="1">
      <c r="A733" s="71" t="s">
        <v>1940</v>
      </c>
      <c r="B733" s="62" t="s">
        <v>984</v>
      </c>
      <c r="C733" s="77" t="s">
        <v>2239</v>
      </c>
      <c r="G733" s="70"/>
      <c r="H733" s="70" t="str">
        <f t="shared" si="10"/>
        <v>Protocol</v>
      </c>
      <c r="I733" s="62" t="s">
        <v>41</v>
      </c>
      <c r="J733" s="62" t="s">
        <v>53</v>
      </c>
      <c r="K733" s="62" t="s">
        <v>9</v>
      </c>
      <c r="L733" s="70" t="s">
        <v>51</v>
      </c>
      <c r="M733" s="70" t="s">
        <v>225</v>
      </c>
    </row>
    <row r="734" spans="1:13" s="53" customFormat="1" ht="80.25" customHeight="1">
      <c r="A734" s="71" t="s">
        <v>1941</v>
      </c>
      <c r="B734" s="62" t="s">
        <v>984</v>
      </c>
      <c r="C734" s="77" t="s">
        <v>993</v>
      </c>
      <c r="G734" s="70" t="s">
        <v>121</v>
      </c>
      <c r="H734" s="70" t="str">
        <f t="shared" si="10"/>
        <v>Protocol</v>
      </c>
      <c r="I734" s="62" t="s">
        <v>41</v>
      </c>
      <c r="J734" s="62" t="s">
        <v>53</v>
      </c>
      <c r="K734" s="62" t="s">
        <v>9</v>
      </c>
      <c r="L734" s="70" t="s">
        <v>56</v>
      </c>
      <c r="M734" s="70" t="s">
        <v>2226</v>
      </c>
    </row>
    <row r="735" spans="1:13" s="53" customFormat="1" ht="83.25" customHeight="1">
      <c r="A735" s="71" t="s">
        <v>1942</v>
      </c>
      <c r="B735" s="62" t="s">
        <v>984</v>
      </c>
      <c r="C735" s="77" t="s">
        <v>994</v>
      </c>
      <c r="D735" s="61"/>
      <c r="G735" s="70"/>
      <c r="H735" s="70" t="str">
        <f t="shared" si="10"/>
        <v>Protocol</v>
      </c>
      <c r="I735" s="62" t="s">
        <v>41</v>
      </c>
      <c r="J735" s="62" t="s">
        <v>53</v>
      </c>
      <c r="K735" s="62" t="s">
        <v>9</v>
      </c>
      <c r="L735" s="70" t="s">
        <v>51</v>
      </c>
      <c r="M735" s="70" t="s">
        <v>225</v>
      </c>
    </row>
    <row r="736" spans="1:13" s="53" customFormat="1" ht="72" customHeight="1">
      <c r="A736" s="71" t="s">
        <v>1943</v>
      </c>
      <c r="B736" s="62" t="s">
        <v>984</v>
      </c>
      <c r="C736" s="77" t="s">
        <v>995</v>
      </c>
      <c r="G736" s="70"/>
      <c r="H736" s="70" t="str">
        <f t="shared" si="10"/>
        <v>Protocol</v>
      </c>
      <c r="I736" s="62" t="s">
        <v>41</v>
      </c>
      <c r="J736" s="62" t="s">
        <v>53</v>
      </c>
      <c r="K736" s="62" t="s">
        <v>9</v>
      </c>
      <c r="L736" s="70" t="s">
        <v>51</v>
      </c>
      <c r="M736" s="70" t="s">
        <v>225</v>
      </c>
    </row>
    <row r="737" spans="1:13" s="53" customFormat="1" ht="93" customHeight="1">
      <c r="A737" s="71" t="s">
        <v>1944</v>
      </c>
      <c r="B737" s="62" t="s">
        <v>984</v>
      </c>
      <c r="C737" s="77" t="s">
        <v>996</v>
      </c>
      <c r="G737" s="70"/>
      <c r="H737" s="70" t="str">
        <f t="shared" si="10"/>
        <v>Protocol</v>
      </c>
      <c r="I737" s="62" t="s">
        <v>41</v>
      </c>
      <c r="J737" s="62" t="s">
        <v>53</v>
      </c>
      <c r="K737" s="62" t="s">
        <v>9</v>
      </c>
      <c r="L737" s="70" t="s">
        <v>50</v>
      </c>
      <c r="M737" s="70" t="s">
        <v>2251</v>
      </c>
    </row>
    <row r="738" spans="1:13" s="53" customFormat="1" ht="177" customHeight="1">
      <c r="A738" s="71" t="s">
        <v>1945</v>
      </c>
      <c r="B738" s="62" t="s">
        <v>984</v>
      </c>
      <c r="C738" s="77" t="s">
        <v>997</v>
      </c>
      <c r="G738" s="70"/>
      <c r="H738" s="70" t="str">
        <f t="shared" si="10"/>
        <v>Protocol</v>
      </c>
      <c r="I738" s="62" t="s">
        <v>41</v>
      </c>
      <c r="J738" s="62" t="s">
        <v>53</v>
      </c>
      <c r="K738" s="62" t="s">
        <v>9</v>
      </c>
      <c r="L738" s="70" t="s">
        <v>51</v>
      </c>
      <c r="M738" s="70" t="s">
        <v>225</v>
      </c>
    </row>
    <row r="739" spans="1:13" s="53" customFormat="1" ht="66.75" customHeight="1">
      <c r="A739" s="71" t="s">
        <v>1946</v>
      </c>
      <c r="B739" s="62" t="s">
        <v>984</v>
      </c>
      <c r="C739" s="77" t="s">
        <v>998</v>
      </c>
      <c r="G739" s="70"/>
      <c r="H739" s="70" t="str">
        <f t="shared" si="10"/>
        <v>Protocol</v>
      </c>
      <c r="I739" s="62" t="s">
        <v>41</v>
      </c>
      <c r="J739" s="62" t="s">
        <v>53</v>
      </c>
      <c r="K739" s="62" t="s">
        <v>9</v>
      </c>
      <c r="L739" s="70" t="s">
        <v>51</v>
      </c>
      <c r="M739" s="70" t="s">
        <v>225</v>
      </c>
    </row>
    <row r="740" spans="1:13" s="53" customFormat="1" ht="82.5" customHeight="1">
      <c r="A740" s="71" t="s">
        <v>1947</v>
      </c>
      <c r="B740" s="62" t="s">
        <v>984</v>
      </c>
      <c r="C740" s="77" t="s">
        <v>999</v>
      </c>
      <c r="G740" s="70"/>
      <c r="H740" s="70" t="str">
        <f t="shared" si="10"/>
        <v>Protocol</v>
      </c>
      <c r="I740" s="62" t="s">
        <v>41</v>
      </c>
      <c r="J740" s="62" t="s">
        <v>53</v>
      </c>
      <c r="K740" s="62" t="s">
        <v>9</v>
      </c>
      <c r="L740" s="70" t="s">
        <v>51</v>
      </c>
      <c r="M740" s="70" t="s">
        <v>225</v>
      </c>
    </row>
    <row r="741" spans="1:13" s="53" customFormat="1" ht="52.5" customHeight="1">
      <c r="A741" s="71" t="s">
        <v>1948</v>
      </c>
      <c r="B741" s="62" t="s">
        <v>984</v>
      </c>
      <c r="C741" s="77" t="s">
        <v>1000</v>
      </c>
      <c r="G741" s="70" t="s">
        <v>121</v>
      </c>
      <c r="H741" s="70" t="str">
        <f t="shared" si="10"/>
        <v>Protocol</v>
      </c>
      <c r="I741" s="62" t="s">
        <v>41</v>
      </c>
      <c r="J741" s="62" t="s">
        <v>53</v>
      </c>
      <c r="K741" s="62" t="s">
        <v>9</v>
      </c>
      <c r="L741" s="70" t="s">
        <v>56</v>
      </c>
      <c r="M741" s="70" t="s">
        <v>2226</v>
      </c>
    </row>
    <row r="742" spans="1:13" s="53" customFormat="1" ht="82.5" customHeight="1">
      <c r="A742" s="71" t="s">
        <v>1949</v>
      </c>
      <c r="B742" s="62" t="s">
        <v>984</v>
      </c>
      <c r="C742" s="77" t="s">
        <v>1001</v>
      </c>
      <c r="G742" s="70"/>
      <c r="H742" s="70" t="str">
        <f t="shared" si="10"/>
        <v>Protocol</v>
      </c>
      <c r="I742" s="62" t="s">
        <v>41</v>
      </c>
      <c r="J742" s="62" t="s">
        <v>53</v>
      </c>
      <c r="K742" s="62" t="s">
        <v>9</v>
      </c>
      <c r="L742" s="70" t="s">
        <v>50</v>
      </c>
      <c r="M742" s="70" t="s">
        <v>2249</v>
      </c>
    </row>
    <row r="743" spans="1:13" s="53" customFormat="1" ht="48.75" customHeight="1">
      <c r="A743" s="71" t="s">
        <v>1950</v>
      </c>
      <c r="B743" s="62" t="s">
        <v>984</v>
      </c>
      <c r="C743" s="77" t="s">
        <v>1002</v>
      </c>
      <c r="G743" s="70" t="s">
        <v>121</v>
      </c>
      <c r="H743" s="70" t="str">
        <f t="shared" si="10"/>
        <v>Protocol</v>
      </c>
      <c r="I743" s="62" t="s">
        <v>41</v>
      </c>
      <c r="J743" s="62" t="s">
        <v>53</v>
      </c>
      <c r="K743" s="62" t="s">
        <v>9</v>
      </c>
      <c r="L743" s="70" t="s">
        <v>56</v>
      </c>
      <c r="M743" s="70" t="s">
        <v>2226</v>
      </c>
    </row>
    <row r="744" spans="1:13" s="53" customFormat="1" ht="93" customHeight="1">
      <c r="A744" s="71" t="s">
        <v>1951</v>
      </c>
      <c r="B744" s="62" t="s">
        <v>984</v>
      </c>
      <c r="C744" s="77" t="s">
        <v>1003</v>
      </c>
      <c r="D744" s="61"/>
      <c r="G744" s="70" t="s">
        <v>121</v>
      </c>
      <c r="H744" s="70" t="str">
        <f t="shared" si="10"/>
        <v>Protocol</v>
      </c>
      <c r="I744" s="62" t="s">
        <v>41</v>
      </c>
      <c r="J744" s="62" t="s">
        <v>53</v>
      </c>
      <c r="K744" s="62" t="s">
        <v>9</v>
      </c>
      <c r="L744" s="70" t="s">
        <v>56</v>
      </c>
      <c r="M744" s="70" t="s">
        <v>2226</v>
      </c>
    </row>
    <row r="745" spans="1:13" s="53" customFormat="1" ht="48.75" customHeight="1">
      <c r="A745" s="71" t="s">
        <v>1952</v>
      </c>
      <c r="B745" s="62" t="s">
        <v>984</v>
      </c>
      <c r="C745" s="77" t="s">
        <v>1004</v>
      </c>
      <c r="G745" s="70" t="s">
        <v>121</v>
      </c>
      <c r="H745" s="70" t="str">
        <f t="shared" si="10"/>
        <v>Protocol</v>
      </c>
      <c r="I745" s="62" t="s">
        <v>41</v>
      </c>
      <c r="J745" s="62" t="s">
        <v>53</v>
      </c>
      <c r="K745" s="62" t="s">
        <v>9</v>
      </c>
      <c r="L745" s="70" t="s">
        <v>57</v>
      </c>
      <c r="M745" s="70" t="s">
        <v>2226</v>
      </c>
    </row>
    <row r="746" spans="1:13" s="53" customFormat="1" ht="81" customHeight="1">
      <c r="A746" s="71" t="s">
        <v>1953</v>
      </c>
      <c r="B746" s="62" t="s">
        <v>984</v>
      </c>
      <c r="C746" s="77" t="s">
        <v>1005</v>
      </c>
      <c r="G746" s="70"/>
      <c r="H746" s="70" t="str">
        <f t="shared" si="10"/>
        <v>Protocol</v>
      </c>
      <c r="I746" s="62" t="s">
        <v>41</v>
      </c>
      <c r="J746" s="62" t="s">
        <v>53</v>
      </c>
      <c r="K746" s="62" t="s">
        <v>9</v>
      </c>
      <c r="L746" s="70" t="s">
        <v>50</v>
      </c>
      <c r="M746" s="70" t="s">
        <v>2251</v>
      </c>
    </row>
    <row r="747" spans="1:13" s="53" customFormat="1" ht="77.25" customHeight="1">
      <c r="A747" s="71" t="s">
        <v>1954</v>
      </c>
      <c r="B747" s="62" t="s">
        <v>984</v>
      </c>
      <c r="C747" s="77" t="s">
        <v>1006</v>
      </c>
      <c r="G747" s="70"/>
      <c r="H747" s="70" t="str">
        <f t="shared" si="10"/>
        <v>Protocol</v>
      </c>
      <c r="I747" s="62" t="s">
        <v>41</v>
      </c>
      <c r="J747" s="62" t="s">
        <v>53</v>
      </c>
      <c r="K747" s="62" t="s">
        <v>9</v>
      </c>
      <c r="L747" s="70" t="s">
        <v>50</v>
      </c>
      <c r="M747" s="70" t="s">
        <v>2251</v>
      </c>
    </row>
    <row r="748" spans="1:13" s="53" customFormat="1" ht="99.75" customHeight="1">
      <c r="A748" s="71" t="s">
        <v>1955</v>
      </c>
      <c r="B748" s="62" t="s">
        <v>984</v>
      </c>
      <c r="C748" s="77" t="s">
        <v>1007</v>
      </c>
      <c r="G748" s="70" t="s">
        <v>121</v>
      </c>
      <c r="H748" s="70" t="str">
        <f t="shared" si="10"/>
        <v>Protocol</v>
      </c>
      <c r="I748" s="62" t="s">
        <v>41</v>
      </c>
      <c r="J748" s="62" t="s">
        <v>53</v>
      </c>
      <c r="K748" s="62" t="s">
        <v>9</v>
      </c>
      <c r="L748" s="70" t="s">
        <v>56</v>
      </c>
      <c r="M748" s="70" t="s">
        <v>2226</v>
      </c>
    </row>
    <row r="749" spans="1:13" s="53" customFormat="1" ht="49.5" customHeight="1">
      <c r="A749" s="71" t="s">
        <v>1956</v>
      </c>
      <c r="B749" s="62" t="s">
        <v>1008</v>
      </c>
      <c r="C749" s="77" t="s">
        <v>1009</v>
      </c>
      <c r="G749" s="70" t="s">
        <v>121</v>
      </c>
      <c r="H749" s="70" t="str">
        <f t="shared" si="10"/>
        <v>Protocol</v>
      </c>
      <c r="I749" s="62" t="s">
        <v>41</v>
      </c>
      <c r="J749" s="62" t="s">
        <v>53</v>
      </c>
      <c r="K749" s="62" t="s">
        <v>9</v>
      </c>
      <c r="L749" s="70" t="s">
        <v>57</v>
      </c>
      <c r="M749" s="70" t="s">
        <v>2226</v>
      </c>
    </row>
    <row r="750" spans="1:13" s="53" customFormat="1" ht="66.75" customHeight="1">
      <c r="A750" s="71" t="s">
        <v>1957</v>
      </c>
      <c r="B750" s="62" t="s">
        <v>1008</v>
      </c>
      <c r="C750" s="77" t="s">
        <v>1010</v>
      </c>
      <c r="G750" s="70" t="s">
        <v>121</v>
      </c>
      <c r="H750" s="70" t="str">
        <f t="shared" si="10"/>
        <v>Protocol</v>
      </c>
      <c r="I750" s="62" t="s">
        <v>41</v>
      </c>
      <c r="J750" s="62" t="s">
        <v>53</v>
      </c>
      <c r="K750" s="62" t="s">
        <v>9</v>
      </c>
      <c r="L750" s="70" t="s">
        <v>57</v>
      </c>
      <c r="M750" s="70" t="s">
        <v>2226</v>
      </c>
    </row>
    <row r="751" spans="1:13" s="53" customFormat="1" ht="50.25" customHeight="1">
      <c r="A751" s="71" t="s">
        <v>1958</v>
      </c>
      <c r="B751" s="62" t="s">
        <v>1008</v>
      </c>
      <c r="C751" s="77" t="s">
        <v>1011</v>
      </c>
      <c r="G751" s="70" t="s">
        <v>121</v>
      </c>
      <c r="H751" s="70" t="str">
        <f t="shared" si="10"/>
        <v>Protocol</v>
      </c>
      <c r="I751" s="62" t="s">
        <v>41</v>
      </c>
      <c r="J751" s="62" t="s">
        <v>53</v>
      </c>
      <c r="K751" s="62" t="s">
        <v>9</v>
      </c>
      <c r="L751" s="70" t="s">
        <v>56</v>
      </c>
      <c r="M751" s="70" t="s">
        <v>2226</v>
      </c>
    </row>
    <row r="752" spans="1:13" s="53" customFormat="1" ht="50.25" customHeight="1">
      <c r="A752" s="71" t="s">
        <v>1959</v>
      </c>
      <c r="B752" s="62" t="s">
        <v>1008</v>
      </c>
      <c r="C752" s="77" t="s">
        <v>1012</v>
      </c>
      <c r="G752" s="70" t="s">
        <v>121</v>
      </c>
      <c r="H752" s="70" t="str">
        <f t="shared" si="10"/>
        <v>Protocol</v>
      </c>
      <c r="I752" s="62" t="s">
        <v>41</v>
      </c>
      <c r="J752" s="62" t="s">
        <v>53</v>
      </c>
      <c r="K752" s="62" t="s">
        <v>9</v>
      </c>
      <c r="L752" s="70" t="s">
        <v>56</v>
      </c>
      <c r="M752" s="70" t="s">
        <v>2226</v>
      </c>
    </row>
    <row r="753" spans="1:13" s="53" customFormat="1" ht="77.25" customHeight="1">
      <c r="A753" s="71" t="s">
        <v>1960</v>
      </c>
      <c r="B753" s="62" t="s">
        <v>1008</v>
      </c>
      <c r="C753" s="77" t="s">
        <v>1013</v>
      </c>
      <c r="D753" s="61"/>
      <c r="G753" s="70"/>
      <c r="H753" s="70" t="str">
        <f t="shared" si="10"/>
        <v>Protocol</v>
      </c>
      <c r="I753" s="62" t="s">
        <v>41</v>
      </c>
      <c r="J753" s="62" t="s">
        <v>53</v>
      </c>
      <c r="K753" s="62" t="s">
        <v>9</v>
      </c>
      <c r="L753" s="70" t="s">
        <v>51</v>
      </c>
      <c r="M753" s="70" t="s">
        <v>225</v>
      </c>
    </row>
    <row r="754" spans="1:13" s="53" customFormat="1" ht="66.75" customHeight="1">
      <c r="A754" s="71" t="s">
        <v>1961</v>
      </c>
      <c r="B754" s="62" t="s">
        <v>1008</v>
      </c>
      <c r="C754" s="77" t="s">
        <v>1014</v>
      </c>
      <c r="G754" s="70" t="s">
        <v>121</v>
      </c>
      <c r="H754" s="70" t="str">
        <f t="shared" si="10"/>
        <v>Protocol</v>
      </c>
      <c r="I754" s="62" t="s">
        <v>41</v>
      </c>
      <c r="J754" s="62" t="s">
        <v>53</v>
      </c>
      <c r="K754" s="62" t="s">
        <v>9</v>
      </c>
      <c r="L754" s="70" t="s">
        <v>56</v>
      </c>
      <c r="M754" s="70" t="s">
        <v>2226</v>
      </c>
    </row>
    <row r="755" spans="1:13" s="53" customFormat="1" ht="62.25" customHeight="1">
      <c r="A755" s="71" t="s">
        <v>1962</v>
      </c>
      <c r="B755" s="62" t="s">
        <v>1008</v>
      </c>
      <c r="C755" s="77" t="s">
        <v>1015</v>
      </c>
      <c r="D755" s="61"/>
      <c r="G755" s="70" t="s">
        <v>121</v>
      </c>
      <c r="H755" s="70" t="str">
        <f t="shared" si="10"/>
        <v>Protocol</v>
      </c>
      <c r="I755" s="62" t="s">
        <v>41</v>
      </c>
      <c r="J755" s="62" t="s">
        <v>53</v>
      </c>
      <c r="K755" s="62" t="s">
        <v>9</v>
      </c>
      <c r="L755" s="70" t="s">
        <v>56</v>
      </c>
      <c r="M755" s="70" t="s">
        <v>2227</v>
      </c>
    </row>
    <row r="756" spans="1:13" s="53" customFormat="1" ht="47.25" customHeight="1">
      <c r="A756" s="71" t="s">
        <v>1963</v>
      </c>
      <c r="B756" s="62" t="s">
        <v>1008</v>
      </c>
      <c r="C756" s="77" t="s">
        <v>1016</v>
      </c>
      <c r="G756" s="70" t="s">
        <v>121</v>
      </c>
      <c r="H756" s="70" t="str">
        <f t="shared" si="10"/>
        <v>Protocol</v>
      </c>
      <c r="I756" s="62" t="s">
        <v>41</v>
      </c>
      <c r="J756" s="62" t="s">
        <v>53</v>
      </c>
      <c r="K756" s="62" t="s">
        <v>9</v>
      </c>
      <c r="L756" s="70" t="s">
        <v>56</v>
      </c>
      <c r="M756" s="70" t="s">
        <v>2226</v>
      </c>
    </row>
    <row r="757" spans="1:13" s="53" customFormat="1" ht="113.25" customHeight="1">
      <c r="A757" s="71" t="s">
        <v>1964</v>
      </c>
      <c r="B757" s="62" t="s">
        <v>1008</v>
      </c>
      <c r="C757" s="77" t="s">
        <v>1017</v>
      </c>
      <c r="D757" s="61"/>
      <c r="G757" s="70" t="s">
        <v>121</v>
      </c>
      <c r="H757" s="70" t="str">
        <f t="shared" si="10"/>
        <v>Protocol</v>
      </c>
      <c r="I757" s="62" t="s">
        <v>41</v>
      </c>
      <c r="J757" s="62" t="s">
        <v>53</v>
      </c>
      <c r="K757" s="62" t="s">
        <v>9</v>
      </c>
      <c r="L757" s="70" t="s">
        <v>56</v>
      </c>
      <c r="M757" s="70" t="s">
        <v>2226</v>
      </c>
    </row>
    <row r="758" spans="1:13" s="53" customFormat="1" ht="67.5" customHeight="1">
      <c r="A758" s="71" t="s">
        <v>1965</v>
      </c>
      <c r="B758" s="62" t="s">
        <v>1008</v>
      </c>
      <c r="C758" s="77" t="s">
        <v>1018</v>
      </c>
      <c r="G758" s="70" t="s">
        <v>121</v>
      </c>
      <c r="H758" s="70" t="str">
        <f t="shared" si="10"/>
        <v>Protocol</v>
      </c>
      <c r="I758" s="62" t="s">
        <v>41</v>
      </c>
      <c r="J758" s="62" t="s">
        <v>53</v>
      </c>
      <c r="K758" s="62" t="s">
        <v>9</v>
      </c>
      <c r="L758" s="70" t="s">
        <v>56</v>
      </c>
      <c r="M758" s="70" t="s">
        <v>2226</v>
      </c>
    </row>
    <row r="759" spans="1:13" s="53" customFormat="1" ht="61.5" customHeight="1">
      <c r="A759" s="71" t="s">
        <v>1966</v>
      </c>
      <c r="B759" s="62" t="s">
        <v>1008</v>
      </c>
      <c r="C759" s="77" t="s">
        <v>1019</v>
      </c>
      <c r="D759" s="61"/>
      <c r="G759" s="70" t="s">
        <v>121</v>
      </c>
      <c r="H759" s="70" t="str">
        <f t="shared" si="10"/>
        <v>Protocol</v>
      </c>
      <c r="I759" s="62" t="s">
        <v>41</v>
      </c>
      <c r="J759" s="62" t="s">
        <v>53</v>
      </c>
      <c r="K759" s="62" t="s">
        <v>9</v>
      </c>
      <c r="L759" s="70" t="s">
        <v>56</v>
      </c>
      <c r="M759" s="70" t="s">
        <v>2226</v>
      </c>
    </row>
    <row r="760" spans="1:13" s="53" customFormat="1" ht="66" customHeight="1">
      <c r="A760" s="71" t="s">
        <v>1967</v>
      </c>
      <c r="B760" s="62" t="s">
        <v>1008</v>
      </c>
      <c r="C760" s="77" t="s">
        <v>1020</v>
      </c>
      <c r="D760" s="61"/>
      <c r="G760" s="70" t="s">
        <v>121</v>
      </c>
      <c r="H760" s="70" t="str">
        <f t="shared" si="10"/>
        <v>Protocol</v>
      </c>
      <c r="I760" s="62" t="s">
        <v>41</v>
      </c>
      <c r="J760" s="62" t="s">
        <v>53</v>
      </c>
      <c r="K760" s="62" t="s">
        <v>9</v>
      </c>
      <c r="L760" s="70" t="s">
        <v>56</v>
      </c>
      <c r="M760" s="70" t="s">
        <v>2226</v>
      </c>
    </row>
    <row r="761" spans="1:13" s="53" customFormat="1" ht="78" customHeight="1">
      <c r="A761" s="71" t="s">
        <v>1968</v>
      </c>
      <c r="B761" s="62" t="s">
        <v>1008</v>
      </c>
      <c r="C761" s="77" t="s">
        <v>1021</v>
      </c>
      <c r="G761" s="70" t="s">
        <v>121</v>
      </c>
      <c r="H761" s="70" t="str">
        <f t="shared" si="10"/>
        <v>Protocol</v>
      </c>
      <c r="I761" s="62" t="s">
        <v>41</v>
      </c>
      <c r="J761" s="62" t="s">
        <v>53</v>
      </c>
      <c r="K761" s="62" t="s">
        <v>9</v>
      </c>
      <c r="L761" s="70" t="s">
        <v>56</v>
      </c>
      <c r="M761" s="70" t="s">
        <v>2226</v>
      </c>
    </row>
    <row r="762" spans="1:13" s="53" customFormat="1" ht="78.75" customHeight="1">
      <c r="A762" s="71" t="s">
        <v>1969</v>
      </c>
      <c r="B762" s="62" t="s">
        <v>1008</v>
      </c>
      <c r="C762" s="77" t="s">
        <v>1022</v>
      </c>
      <c r="G762" s="70" t="s">
        <v>121</v>
      </c>
      <c r="H762" s="70" t="str">
        <f t="shared" si="10"/>
        <v>Protocol</v>
      </c>
      <c r="I762" s="62" t="s">
        <v>41</v>
      </c>
      <c r="J762" s="62" t="s">
        <v>53</v>
      </c>
      <c r="K762" s="62" t="s">
        <v>9</v>
      </c>
      <c r="L762" s="70" t="s">
        <v>56</v>
      </c>
      <c r="M762" s="70" t="s">
        <v>2226</v>
      </c>
    </row>
    <row r="763" spans="1:13" s="53" customFormat="1" ht="52.5" customHeight="1">
      <c r="A763" s="71" t="s">
        <v>1970</v>
      </c>
      <c r="B763" s="62" t="s">
        <v>1008</v>
      </c>
      <c r="C763" s="77" t="s">
        <v>1023</v>
      </c>
      <c r="G763" s="70" t="s">
        <v>121</v>
      </c>
      <c r="H763" s="70" t="str">
        <f t="shared" si="10"/>
        <v>Protocol</v>
      </c>
      <c r="I763" s="62" t="s">
        <v>41</v>
      </c>
      <c r="J763" s="62" t="s">
        <v>53</v>
      </c>
      <c r="K763" s="62" t="s">
        <v>9</v>
      </c>
      <c r="L763" s="70" t="s">
        <v>56</v>
      </c>
      <c r="M763" s="70" t="s">
        <v>2226</v>
      </c>
    </row>
    <row r="764" spans="1:13" s="53" customFormat="1" ht="50.25" customHeight="1">
      <c r="A764" s="71" t="s">
        <v>1971</v>
      </c>
      <c r="B764" s="62" t="s">
        <v>1024</v>
      </c>
      <c r="C764" s="77" t="s">
        <v>1025</v>
      </c>
      <c r="G764" s="70" t="s">
        <v>121</v>
      </c>
      <c r="H764" s="70" t="str">
        <f t="shared" si="10"/>
        <v>Protocol</v>
      </c>
      <c r="I764" s="62" t="s">
        <v>41</v>
      </c>
      <c r="J764" s="62" t="s">
        <v>53</v>
      </c>
      <c r="K764" s="62" t="s">
        <v>9</v>
      </c>
      <c r="L764" s="70" t="s">
        <v>57</v>
      </c>
      <c r="M764" s="70" t="s">
        <v>2226</v>
      </c>
    </row>
    <row r="765" spans="1:13" s="53" customFormat="1" ht="64.5" customHeight="1">
      <c r="A765" s="71" t="s">
        <v>1972</v>
      </c>
      <c r="B765" s="62" t="s">
        <v>1024</v>
      </c>
      <c r="C765" s="77" t="s">
        <v>1026</v>
      </c>
      <c r="G765" s="70" t="s">
        <v>121</v>
      </c>
      <c r="H765" s="70" t="str">
        <f t="shared" si="10"/>
        <v>Protocol</v>
      </c>
      <c r="I765" s="62" t="s">
        <v>41</v>
      </c>
      <c r="J765" s="62" t="s">
        <v>53</v>
      </c>
      <c r="K765" s="62" t="s">
        <v>9</v>
      </c>
      <c r="L765" s="70" t="s">
        <v>57</v>
      </c>
      <c r="M765" s="70" t="s">
        <v>2226</v>
      </c>
    </row>
    <row r="766" spans="1:13" s="53" customFormat="1" ht="64.5" customHeight="1">
      <c r="A766" s="71" t="s">
        <v>1973</v>
      </c>
      <c r="B766" s="62" t="s">
        <v>1024</v>
      </c>
      <c r="C766" s="77" t="s">
        <v>1027</v>
      </c>
      <c r="G766" s="70" t="s">
        <v>121</v>
      </c>
      <c r="H766" s="70" t="str">
        <f t="shared" si="10"/>
        <v>Protocol</v>
      </c>
      <c r="I766" s="62" t="s">
        <v>41</v>
      </c>
      <c r="J766" s="62" t="s">
        <v>53</v>
      </c>
      <c r="K766" s="62" t="s">
        <v>9</v>
      </c>
      <c r="L766" s="70" t="s">
        <v>57</v>
      </c>
      <c r="M766" s="70" t="s">
        <v>2226</v>
      </c>
    </row>
    <row r="767" spans="1:13" s="53" customFormat="1" ht="91.5" customHeight="1">
      <c r="A767" s="71" t="s">
        <v>1974</v>
      </c>
      <c r="B767" s="62" t="s">
        <v>1024</v>
      </c>
      <c r="C767" s="77" t="s">
        <v>1028</v>
      </c>
      <c r="G767" s="70"/>
      <c r="H767" s="70" t="str">
        <f t="shared" si="10"/>
        <v>Protocol</v>
      </c>
      <c r="I767" s="62" t="s">
        <v>41</v>
      </c>
      <c r="J767" s="62" t="s">
        <v>53</v>
      </c>
      <c r="K767" s="62" t="s">
        <v>9</v>
      </c>
      <c r="L767" s="70" t="s">
        <v>50</v>
      </c>
      <c r="M767" s="70" t="s">
        <v>2243</v>
      </c>
    </row>
    <row r="768" spans="1:13" s="53" customFormat="1" ht="49.5" customHeight="1">
      <c r="A768" s="71" t="s">
        <v>1975</v>
      </c>
      <c r="B768" s="62" t="s">
        <v>1024</v>
      </c>
      <c r="C768" s="77" t="s">
        <v>1029</v>
      </c>
      <c r="G768" s="70" t="s">
        <v>121</v>
      </c>
      <c r="H768" s="70" t="str">
        <f t="shared" si="10"/>
        <v>Protocol</v>
      </c>
      <c r="I768" s="62" t="s">
        <v>41</v>
      </c>
      <c r="J768" s="62" t="s">
        <v>53</v>
      </c>
      <c r="K768" s="62" t="s">
        <v>9</v>
      </c>
      <c r="L768" s="70" t="s">
        <v>57</v>
      </c>
      <c r="M768" s="70" t="s">
        <v>2226</v>
      </c>
    </row>
    <row r="769" spans="1:13" s="53" customFormat="1" ht="69" customHeight="1">
      <c r="A769" s="71" t="s">
        <v>1976</v>
      </c>
      <c r="B769" s="62" t="s">
        <v>1024</v>
      </c>
      <c r="C769" s="77" t="s">
        <v>1030</v>
      </c>
      <c r="G769" s="70" t="s">
        <v>121</v>
      </c>
      <c r="H769" s="70" t="str">
        <f t="shared" ref="H769:H832" si="11">IF(LEFT(B769,1)="6","Product","Protocol")</f>
        <v>Protocol</v>
      </c>
      <c r="I769" s="62" t="s">
        <v>41</v>
      </c>
      <c r="J769" s="62" t="s">
        <v>53</v>
      </c>
      <c r="K769" s="62" t="s">
        <v>9</v>
      </c>
      <c r="L769" s="70" t="s">
        <v>57</v>
      </c>
      <c r="M769" s="70" t="s">
        <v>2226</v>
      </c>
    </row>
    <row r="770" spans="1:13" s="53" customFormat="1" ht="64.5" customHeight="1">
      <c r="A770" s="71" t="s">
        <v>1977</v>
      </c>
      <c r="B770" s="62" t="s">
        <v>1024</v>
      </c>
      <c r="C770" s="77" t="s">
        <v>1031</v>
      </c>
      <c r="G770" s="70"/>
      <c r="H770" s="70" t="str">
        <f t="shared" si="11"/>
        <v>Protocol</v>
      </c>
      <c r="I770" s="62" t="s">
        <v>41</v>
      </c>
      <c r="J770" s="62" t="s">
        <v>53</v>
      </c>
      <c r="K770" s="62" t="s">
        <v>9</v>
      </c>
      <c r="L770" s="70" t="s">
        <v>51</v>
      </c>
      <c r="M770" s="70" t="s">
        <v>225</v>
      </c>
    </row>
    <row r="771" spans="1:13" s="53" customFormat="1" ht="66" customHeight="1">
      <c r="A771" s="71" t="s">
        <v>1978</v>
      </c>
      <c r="B771" s="62" t="s">
        <v>1024</v>
      </c>
      <c r="C771" s="77" t="s">
        <v>1032</v>
      </c>
      <c r="G771" s="70"/>
      <c r="H771" s="70" t="str">
        <f t="shared" si="11"/>
        <v>Protocol</v>
      </c>
      <c r="I771" s="62" t="s">
        <v>41</v>
      </c>
      <c r="J771" s="62" t="s">
        <v>53</v>
      </c>
      <c r="K771" s="62" t="s">
        <v>9</v>
      </c>
      <c r="L771" s="70" t="s">
        <v>50</v>
      </c>
      <c r="M771" s="70" t="s">
        <v>2251</v>
      </c>
    </row>
    <row r="772" spans="1:13" s="53" customFormat="1" ht="78.75" customHeight="1">
      <c r="A772" s="71" t="s">
        <v>1979</v>
      </c>
      <c r="B772" s="62" t="s">
        <v>1024</v>
      </c>
      <c r="C772" s="77" t="s">
        <v>1033</v>
      </c>
      <c r="G772" s="70" t="s">
        <v>121</v>
      </c>
      <c r="H772" s="70" t="str">
        <f t="shared" si="11"/>
        <v>Protocol</v>
      </c>
      <c r="I772" s="62" t="s">
        <v>41</v>
      </c>
      <c r="J772" s="62" t="s">
        <v>53</v>
      </c>
      <c r="K772" s="62" t="s">
        <v>9</v>
      </c>
      <c r="L772" s="70" t="s">
        <v>56</v>
      </c>
      <c r="M772" s="70" t="s">
        <v>2226</v>
      </c>
    </row>
    <row r="773" spans="1:13" s="53" customFormat="1" ht="53.25" customHeight="1">
      <c r="A773" s="71" t="s">
        <v>1980</v>
      </c>
      <c r="B773" s="62" t="s">
        <v>1034</v>
      </c>
      <c r="C773" s="77" t="s">
        <v>1035</v>
      </c>
      <c r="D773" s="61"/>
      <c r="G773" s="70" t="s">
        <v>122</v>
      </c>
      <c r="H773" s="70" t="str">
        <f t="shared" si="11"/>
        <v>Protocol</v>
      </c>
      <c r="I773" s="62" t="s">
        <v>41</v>
      </c>
      <c r="J773" s="62" t="s">
        <v>53</v>
      </c>
      <c r="K773" s="62" t="s">
        <v>9</v>
      </c>
      <c r="L773" s="70" t="s">
        <v>57</v>
      </c>
      <c r="M773" s="70" t="s">
        <v>2226</v>
      </c>
    </row>
    <row r="774" spans="1:13" s="53" customFormat="1" ht="66" customHeight="1">
      <c r="A774" s="71" t="s">
        <v>1981</v>
      </c>
      <c r="B774" s="62" t="s">
        <v>1034</v>
      </c>
      <c r="C774" s="77" t="s">
        <v>1036</v>
      </c>
      <c r="G774" s="70" t="s">
        <v>122</v>
      </c>
      <c r="H774" s="70" t="str">
        <f t="shared" si="11"/>
        <v>Protocol</v>
      </c>
      <c r="I774" s="62" t="s">
        <v>41</v>
      </c>
      <c r="J774" s="62" t="s">
        <v>53</v>
      </c>
      <c r="K774" s="62" t="s">
        <v>9</v>
      </c>
      <c r="L774" s="70" t="s">
        <v>57</v>
      </c>
      <c r="M774" s="70" t="s">
        <v>2227</v>
      </c>
    </row>
    <row r="775" spans="1:13" s="53" customFormat="1" ht="114" customHeight="1">
      <c r="A775" s="71" t="s">
        <v>1982</v>
      </c>
      <c r="B775" s="62" t="s">
        <v>1034</v>
      </c>
      <c r="C775" s="77" t="s">
        <v>1037</v>
      </c>
      <c r="G775" s="70" t="s">
        <v>122</v>
      </c>
      <c r="H775" s="70" t="str">
        <f t="shared" si="11"/>
        <v>Protocol</v>
      </c>
      <c r="I775" s="62" t="s">
        <v>41</v>
      </c>
      <c r="J775" s="62" t="s">
        <v>53</v>
      </c>
      <c r="K775" s="62" t="s">
        <v>9</v>
      </c>
      <c r="L775" s="70" t="s">
        <v>56</v>
      </c>
      <c r="M775" s="70" t="s">
        <v>2226</v>
      </c>
    </row>
    <row r="776" spans="1:13" s="53" customFormat="1" ht="85.5" customHeight="1">
      <c r="A776" s="71" t="s">
        <v>1983</v>
      </c>
      <c r="B776" s="62" t="s">
        <v>1034</v>
      </c>
      <c r="C776" s="77" t="s">
        <v>1038</v>
      </c>
      <c r="G776" s="70"/>
      <c r="H776" s="70" t="str">
        <f t="shared" si="11"/>
        <v>Protocol</v>
      </c>
      <c r="I776" s="62" t="s">
        <v>41</v>
      </c>
      <c r="J776" s="62" t="s">
        <v>53</v>
      </c>
      <c r="K776" s="62" t="s">
        <v>9</v>
      </c>
      <c r="L776" s="70" t="s">
        <v>50</v>
      </c>
      <c r="M776" s="70" t="s">
        <v>2251</v>
      </c>
    </row>
    <row r="777" spans="1:13" s="53" customFormat="1" ht="84" customHeight="1">
      <c r="A777" s="71" t="s">
        <v>1984</v>
      </c>
      <c r="B777" s="62" t="s">
        <v>1034</v>
      </c>
      <c r="C777" s="77" t="s">
        <v>1039</v>
      </c>
      <c r="G777" s="70"/>
      <c r="H777" s="70" t="str">
        <f t="shared" si="11"/>
        <v>Protocol</v>
      </c>
      <c r="I777" s="62" t="s">
        <v>41</v>
      </c>
      <c r="J777" s="62" t="s">
        <v>53</v>
      </c>
      <c r="K777" s="62" t="s">
        <v>9</v>
      </c>
      <c r="L777" s="70" t="s">
        <v>50</v>
      </c>
      <c r="M777" s="70" t="s">
        <v>2242</v>
      </c>
    </row>
    <row r="778" spans="1:13" s="53" customFormat="1" ht="105" hidden="1">
      <c r="A778" s="71" t="s">
        <v>1985</v>
      </c>
      <c r="B778" s="62" t="s">
        <v>1034</v>
      </c>
      <c r="C778" s="77" t="s">
        <v>1040</v>
      </c>
      <c r="G778" s="70"/>
      <c r="H778" s="70" t="str">
        <f t="shared" si="11"/>
        <v>Protocol</v>
      </c>
      <c r="I778" s="62" t="s">
        <v>41</v>
      </c>
      <c r="J778" s="62" t="s">
        <v>54</v>
      </c>
      <c r="K778" s="62" t="s">
        <v>8</v>
      </c>
      <c r="L778" s="70" t="s">
        <v>50</v>
      </c>
      <c r="M778" s="70" t="s">
        <v>231</v>
      </c>
    </row>
    <row r="779" spans="1:13" s="53" customFormat="1" ht="68.25" customHeight="1">
      <c r="A779" s="71" t="s">
        <v>1986</v>
      </c>
      <c r="B779" s="62" t="s">
        <v>1041</v>
      </c>
      <c r="C779" s="77" t="s">
        <v>1042</v>
      </c>
      <c r="G779" s="70"/>
      <c r="H779" s="70" t="str">
        <f t="shared" si="11"/>
        <v>Protocol</v>
      </c>
      <c r="I779" s="62" t="s">
        <v>41</v>
      </c>
      <c r="J779" s="62" t="s">
        <v>53</v>
      </c>
      <c r="K779" s="62" t="s">
        <v>9</v>
      </c>
      <c r="L779" s="70" t="s">
        <v>51</v>
      </c>
      <c r="M779" s="70" t="s">
        <v>2215</v>
      </c>
    </row>
    <row r="780" spans="1:13" s="53" customFormat="1" ht="84.75" customHeight="1">
      <c r="A780" s="71" t="s">
        <v>1987</v>
      </c>
      <c r="B780" s="62" t="s">
        <v>1041</v>
      </c>
      <c r="C780" s="77" t="s">
        <v>1043</v>
      </c>
      <c r="G780" s="70"/>
      <c r="H780" s="70" t="str">
        <f t="shared" si="11"/>
        <v>Protocol</v>
      </c>
      <c r="I780" s="62" t="s">
        <v>41</v>
      </c>
      <c r="J780" s="62" t="s">
        <v>53</v>
      </c>
      <c r="K780" s="62" t="s">
        <v>9</v>
      </c>
      <c r="L780" s="70" t="s">
        <v>51</v>
      </c>
      <c r="M780" s="70" t="s">
        <v>2215</v>
      </c>
    </row>
    <row r="781" spans="1:13" s="53" customFormat="1" ht="80.25" customHeight="1">
      <c r="A781" s="71" t="s">
        <v>1988</v>
      </c>
      <c r="B781" s="62" t="s">
        <v>1041</v>
      </c>
      <c r="C781" s="77" t="s">
        <v>1044</v>
      </c>
      <c r="D781" s="61"/>
      <c r="G781" s="70"/>
      <c r="H781" s="70" t="str">
        <f t="shared" si="11"/>
        <v>Protocol</v>
      </c>
      <c r="I781" s="62" t="s">
        <v>41</v>
      </c>
      <c r="J781" s="62" t="s">
        <v>53</v>
      </c>
      <c r="K781" s="62" t="s">
        <v>9</v>
      </c>
      <c r="L781" s="70" t="s">
        <v>51</v>
      </c>
      <c r="M781" s="70" t="s">
        <v>2215</v>
      </c>
    </row>
    <row r="782" spans="1:13" s="53" customFormat="1" ht="86.25" customHeight="1">
      <c r="A782" s="71" t="s">
        <v>1989</v>
      </c>
      <c r="B782" s="62" t="s">
        <v>1041</v>
      </c>
      <c r="C782" s="77" t="s">
        <v>1045</v>
      </c>
      <c r="G782" s="70"/>
      <c r="H782" s="70" t="str">
        <f t="shared" si="11"/>
        <v>Protocol</v>
      </c>
      <c r="I782" s="62" t="s">
        <v>41</v>
      </c>
      <c r="J782" s="62" t="s">
        <v>53</v>
      </c>
      <c r="K782" s="62" t="s">
        <v>9</v>
      </c>
      <c r="L782" s="70" t="s">
        <v>51</v>
      </c>
      <c r="M782" s="70" t="s">
        <v>2215</v>
      </c>
    </row>
    <row r="783" spans="1:13" s="53" customFormat="1" ht="107.25" customHeight="1">
      <c r="A783" s="71" t="s">
        <v>1990</v>
      </c>
      <c r="B783" s="62" t="s">
        <v>1041</v>
      </c>
      <c r="C783" s="77" t="s">
        <v>1046</v>
      </c>
      <c r="G783" s="70"/>
      <c r="H783" s="70" t="str">
        <f t="shared" si="11"/>
        <v>Protocol</v>
      </c>
      <c r="I783" s="62" t="s">
        <v>41</v>
      </c>
      <c r="J783" s="62" t="s">
        <v>53</v>
      </c>
      <c r="K783" s="62" t="s">
        <v>9</v>
      </c>
      <c r="L783" s="70" t="s">
        <v>51</v>
      </c>
      <c r="M783" s="70" t="s">
        <v>2215</v>
      </c>
    </row>
    <row r="784" spans="1:13" s="53" customFormat="1" ht="75" hidden="1">
      <c r="A784" s="71" t="s">
        <v>1991</v>
      </c>
      <c r="B784" s="62" t="s">
        <v>1041</v>
      </c>
      <c r="C784" s="77" t="s">
        <v>1047</v>
      </c>
      <c r="G784" s="70"/>
      <c r="H784" s="70" t="str">
        <f t="shared" si="11"/>
        <v>Protocol</v>
      </c>
      <c r="I784" s="62" t="s">
        <v>41</v>
      </c>
      <c r="J784" s="62" t="s">
        <v>54</v>
      </c>
      <c r="K784" s="62" t="s">
        <v>8</v>
      </c>
      <c r="L784" s="70" t="s">
        <v>50</v>
      </c>
      <c r="M784" s="70" t="s">
        <v>231</v>
      </c>
    </row>
    <row r="785" spans="1:13" s="53" customFormat="1" ht="84.75" customHeight="1">
      <c r="A785" s="71" t="s">
        <v>1992</v>
      </c>
      <c r="B785" s="62" t="s">
        <v>1041</v>
      </c>
      <c r="C785" s="77" t="s">
        <v>1048</v>
      </c>
      <c r="G785" s="70"/>
      <c r="H785" s="70" t="str">
        <f t="shared" si="11"/>
        <v>Protocol</v>
      </c>
      <c r="I785" s="62" t="s">
        <v>41</v>
      </c>
      <c r="J785" s="62" t="s">
        <v>53</v>
      </c>
      <c r="K785" s="62" t="s">
        <v>9</v>
      </c>
      <c r="L785" s="70" t="s">
        <v>51</v>
      </c>
      <c r="M785" s="70" t="s">
        <v>2215</v>
      </c>
    </row>
    <row r="786" spans="1:13" s="53" customFormat="1" ht="63" customHeight="1">
      <c r="A786" s="71" t="s">
        <v>1993</v>
      </c>
      <c r="B786" s="62" t="s">
        <v>1041</v>
      </c>
      <c r="C786" s="77" t="s">
        <v>1049</v>
      </c>
      <c r="G786" s="70"/>
      <c r="H786" s="70" t="str">
        <f t="shared" si="11"/>
        <v>Protocol</v>
      </c>
      <c r="I786" s="62" t="s">
        <v>41</v>
      </c>
      <c r="J786" s="62" t="s">
        <v>53</v>
      </c>
      <c r="K786" s="62" t="s">
        <v>9</v>
      </c>
      <c r="L786" s="70" t="s">
        <v>51</v>
      </c>
      <c r="M786" s="70" t="s">
        <v>2215</v>
      </c>
    </row>
    <row r="787" spans="1:13" s="53" customFormat="1" ht="48" customHeight="1">
      <c r="A787" s="71" t="s">
        <v>1994</v>
      </c>
      <c r="B787" s="62" t="s">
        <v>1050</v>
      </c>
      <c r="C787" s="77" t="s">
        <v>1051</v>
      </c>
      <c r="G787" s="70"/>
      <c r="H787" s="70" t="str">
        <f t="shared" si="11"/>
        <v>Protocol</v>
      </c>
      <c r="I787" s="62" t="s">
        <v>41</v>
      </c>
      <c r="J787" s="62" t="s">
        <v>53</v>
      </c>
      <c r="K787" s="62" t="s">
        <v>9</v>
      </c>
      <c r="L787" s="70" t="s">
        <v>51</v>
      </c>
      <c r="M787" s="70" t="s">
        <v>2215</v>
      </c>
    </row>
    <row r="788" spans="1:13" s="53" customFormat="1" ht="73.5" customHeight="1">
      <c r="A788" s="71" t="s">
        <v>1995</v>
      </c>
      <c r="B788" s="62" t="s">
        <v>1050</v>
      </c>
      <c r="C788" s="77" t="s">
        <v>1052</v>
      </c>
      <c r="G788" s="70"/>
      <c r="H788" s="70" t="str">
        <f t="shared" si="11"/>
        <v>Protocol</v>
      </c>
      <c r="I788" s="62" t="s">
        <v>41</v>
      </c>
      <c r="J788" s="62" t="s">
        <v>53</v>
      </c>
      <c r="K788" s="62" t="s">
        <v>9</v>
      </c>
      <c r="L788" s="70" t="s">
        <v>51</v>
      </c>
      <c r="M788" s="70" t="s">
        <v>2215</v>
      </c>
    </row>
    <row r="789" spans="1:13" s="53" customFormat="1" ht="66" customHeight="1">
      <c r="A789" s="71" t="s">
        <v>1996</v>
      </c>
      <c r="B789" s="62" t="s">
        <v>1050</v>
      </c>
      <c r="C789" s="77" t="s">
        <v>1053</v>
      </c>
      <c r="G789" s="70"/>
      <c r="H789" s="70" t="str">
        <f t="shared" si="11"/>
        <v>Protocol</v>
      </c>
      <c r="I789" s="62" t="s">
        <v>41</v>
      </c>
      <c r="J789" s="62" t="s">
        <v>53</v>
      </c>
      <c r="K789" s="62" t="s">
        <v>9</v>
      </c>
      <c r="L789" s="70" t="s">
        <v>51</v>
      </c>
      <c r="M789" s="70" t="s">
        <v>2215</v>
      </c>
    </row>
    <row r="790" spans="1:13" s="53" customFormat="1" ht="84" customHeight="1">
      <c r="A790" s="71" t="s">
        <v>1997</v>
      </c>
      <c r="B790" s="62" t="s">
        <v>1050</v>
      </c>
      <c r="C790" s="77" t="s">
        <v>1054</v>
      </c>
      <c r="G790" s="70"/>
      <c r="H790" s="70" t="str">
        <f t="shared" si="11"/>
        <v>Protocol</v>
      </c>
      <c r="I790" s="62" t="s">
        <v>41</v>
      </c>
      <c r="J790" s="62" t="s">
        <v>53</v>
      </c>
      <c r="K790" s="62" t="s">
        <v>9</v>
      </c>
      <c r="L790" s="70" t="s">
        <v>51</v>
      </c>
      <c r="M790" s="70" t="s">
        <v>2215</v>
      </c>
    </row>
    <row r="791" spans="1:13" s="53" customFormat="1" ht="54" customHeight="1">
      <c r="A791" s="71" t="s">
        <v>1998</v>
      </c>
      <c r="B791" s="62" t="s">
        <v>1050</v>
      </c>
      <c r="C791" s="77" t="s">
        <v>1055</v>
      </c>
      <c r="D791" s="61"/>
      <c r="G791" s="70"/>
      <c r="H791" s="70" t="str">
        <f t="shared" si="11"/>
        <v>Protocol</v>
      </c>
      <c r="I791" s="62" t="s">
        <v>41</v>
      </c>
      <c r="J791" s="62" t="s">
        <v>53</v>
      </c>
      <c r="K791" s="62" t="s">
        <v>9</v>
      </c>
      <c r="L791" s="70" t="s">
        <v>51</v>
      </c>
      <c r="M791" s="70" t="s">
        <v>2215</v>
      </c>
    </row>
    <row r="792" spans="1:13" s="53" customFormat="1" ht="63.75" customHeight="1">
      <c r="A792" s="71" t="s">
        <v>1999</v>
      </c>
      <c r="B792" s="62" t="s">
        <v>1050</v>
      </c>
      <c r="C792" s="77" t="s">
        <v>1056</v>
      </c>
      <c r="G792" s="70"/>
      <c r="H792" s="70" t="str">
        <f t="shared" si="11"/>
        <v>Protocol</v>
      </c>
      <c r="I792" s="62" t="s">
        <v>41</v>
      </c>
      <c r="J792" s="62" t="s">
        <v>53</v>
      </c>
      <c r="K792" s="62" t="s">
        <v>9</v>
      </c>
      <c r="L792" s="70" t="s">
        <v>51</v>
      </c>
      <c r="M792" s="70" t="s">
        <v>2215</v>
      </c>
    </row>
    <row r="793" spans="1:13" s="53" customFormat="1" ht="69.75" customHeight="1">
      <c r="A793" s="71" t="s">
        <v>2000</v>
      </c>
      <c r="B793" s="62" t="s">
        <v>1050</v>
      </c>
      <c r="C793" s="77" t="s">
        <v>1057</v>
      </c>
      <c r="G793" s="70"/>
      <c r="H793" s="70" t="str">
        <f t="shared" si="11"/>
        <v>Protocol</v>
      </c>
      <c r="I793" s="62" t="s">
        <v>41</v>
      </c>
      <c r="J793" s="62" t="s">
        <v>53</v>
      </c>
      <c r="K793" s="62" t="s">
        <v>9</v>
      </c>
      <c r="L793" s="70" t="s">
        <v>51</v>
      </c>
      <c r="M793" s="70" t="s">
        <v>2215</v>
      </c>
    </row>
    <row r="794" spans="1:13" s="53" customFormat="1" ht="102" customHeight="1">
      <c r="A794" s="71" t="s">
        <v>2001</v>
      </c>
      <c r="B794" s="62" t="s">
        <v>1050</v>
      </c>
      <c r="C794" s="77" t="s">
        <v>1058</v>
      </c>
      <c r="D794" s="61"/>
      <c r="G794" s="70"/>
      <c r="H794" s="70" t="str">
        <f t="shared" si="11"/>
        <v>Protocol</v>
      </c>
      <c r="I794" s="62" t="s">
        <v>41</v>
      </c>
      <c r="J794" s="62" t="s">
        <v>53</v>
      </c>
      <c r="K794" s="62" t="s">
        <v>9</v>
      </c>
      <c r="L794" s="70" t="s">
        <v>51</v>
      </c>
      <c r="M794" s="70" t="s">
        <v>2215</v>
      </c>
    </row>
    <row r="795" spans="1:13" s="53" customFormat="1" ht="125.25" customHeight="1">
      <c r="A795" s="71" t="s">
        <v>2002</v>
      </c>
      <c r="B795" s="62" t="s">
        <v>1050</v>
      </c>
      <c r="C795" s="77" t="s">
        <v>1059</v>
      </c>
      <c r="G795" s="70"/>
      <c r="H795" s="70" t="str">
        <f t="shared" si="11"/>
        <v>Protocol</v>
      </c>
      <c r="I795" s="62" t="s">
        <v>41</v>
      </c>
      <c r="J795" s="62" t="s">
        <v>53</v>
      </c>
      <c r="K795" s="62" t="s">
        <v>9</v>
      </c>
      <c r="L795" s="70" t="s">
        <v>51</v>
      </c>
      <c r="M795" s="70" t="s">
        <v>2215</v>
      </c>
    </row>
    <row r="796" spans="1:13" s="53" customFormat="1" ht="115.5" customHeight="1">
      <c r="A796" s="71" t="s">
        <v>2003</v>
      </c>
      <c r="B796" s="62" t="s">
        <v>1050</v>
      </c>
      <c r="C796" s="77" t="s">
        <v>1060</v>
      </c>
      <c r="G796" s="70"/>
      <c r="H796" s="70" t="str">
        <f t="shared" si="11"/>
        <v>Protocol</v>
      </c>
      <c r="I796" s="62" t="s">
        <v>41</v>
      </c>
      <c r="J796" s="62" t="s">
        <v>53</v>
      </c>
      <c r="K796" s="62" t="s">
        <v>9</v>
      </c>
      <c r="L796" s="70" t="s">
        <v>51</v>
      </c>
      <c r="M796" s="70" t="s">
        <v>2215</v>
      </c>
    </row>
    <row r="797" spans="1:13" s="53" customFormat="1" ht="138.75" customHeight="1">
      <c r="A797" s="71" t="s">
        <v>2004</v>
      </c>
      <c r="B797" s="62" t="s">
        <v>1050</v>
      </c>
      <c r="C797" s="77" t="s">
        <v>1061</v>
      </c>
      <c r="G797" s="70"/>
      <c r="H797" s="70" t="str">
        <f t="shared" si="11"/>
        <v>Protocol</v>
      </c>
      <c r="I797" s="62" t="s">
        <v>41</v>
      </c>
      <c r="J797" s="62" t="s">
        <v>53</v>
      </c>
      <c r="K797" s="62" t="s">
        <v>9</v>
      </c>
      <c r="L797" s="70" t="s">
        <v>51</v>
      </c>
      <c r="M797" s="70" t="s">
        <v>2215</v>
      </c>
    </row>
    <row r="798" spans="1:13" s="53" customFormat="1" ht="132.75" customHeight="1">
      <c r="A798" s="71" t="s">
        <v>2005</v>
      </c>
      <c r="B798" s="62" t="s">
        <v>1050</v>
      </c>
      <c r="C798" s="77" t="s">
        <v>1062</v>
      </c>
      <c r="G798" s="70"/>
      <c r="H798" s="70" t="str">
        <f t="shared" si="11"/>
        <v>Protocol</v>
      </c>
      <c r="I798" s="62" t="s">
        <v>41</v>
      </c>
      <c r="J798" s="62" t="s">
        <v>53</v>
      </c>
      <c r="K798" s="62" t="s">
        <v>9</v>
      </c>
      <c r="L798" s="70" t="s">
        <v>51</v>
      </c>
      <c r="M798" s="70" t="s">
        <v>2215</v>
      </c>
    </row>
    <row r="799" spans="1:13" s="53" customFormat="1" ht="62.25" customHeight="1">
      <c r="A799" s="71" t="s">
        <v>2006</v>
      </c>
      <c r="B799" s="62" t="s">
        <v>1050</v>
      </c>
      <c r="C799" s="77" t="s">
        <v>1063</v>
      </c>
      <c r="G799" s="70"/>
      <c r="H799" s="70" t="str">
        <f t="shared" si="11"/>
        <v>Protocol</v>
      </c>
      <c r="I799" s="62" t="s">
        <v>41</v>
      </c>
      <c r="J799" s="62" t="s">
        <v>53</v>
      </c>
      <c r="K799" s="62" t="s">
        <v>9</v>
      </c>
      <c r="L799" s="70" t="s">
        <v>51</v>
      </c>
      <c r="M799" s="70" t="s">
        <v>2215</v>
      </c>
    </row>
    <row r="800" spans="1:13" s="53" customFormat="1" ht="51.75" customHeight="1">
      <c r="A800" s="71" t="s">
        <v>2007</v>
      </c>
      <c r="B800" s="62" t="s">
        <v>1064</v>
      </c>
      <c r="C800" s="77" t="s">
        <v>1065</v>
      </c>
      <c r="G800" s="70"/>
      <c r="H800" s="70" t="str">
        <f t="shared" si="11"/>
        <v>Protocol</v>
      </c>
      <c r="I800" s="62" t="s">
        <v>41</v>
      </c>
      <c r="J800" s="62" t="s">
        <v>53</v>
      </c>
      <c r="K800" s="62" t="s">
        <v>9</v>
      </c>
      <c r="L800" s="70" t="s">
        <v>51</v>
      </c>
      <c r="M800" s="70" t="s">
        <v>2215</v>
      </c>
    </row>
    <row r="801" spans="1:13" s="53" customFormat="1" ht="70.5" customHeight="1">
      <c r="A801" s="71" t="s">
        <v>2008</v>
      </c>
      <c r="B801" s="62" t="s">
        <v>1064</v>
      </c>
      <c r="C801" s="77" t="s">
        <v>1066</v>
      </c>
      <c r="G801" s="70"/>
      <c r="H801" s="70" t="str">
        <f t="shared" si="11"/>
        <v>Protocol</v>
      </c>
      <c r="I801" s="62" t="s">
        <v>41</v>
      </c>
      <c r="J801" s="62" t="s">
        <v>53</v>
      </c>
      <c r="K801" s="62" t="s">
        <v>9</v>
      </c>
      <c r="L801" s="70" t="s">
        <v>51</v>
      </c>
      <c r="M801" s="70" t="s">
        <v>2215</v>
      </c>
    </row>
    <row r="802" spans="1:13" s="53" customFormat="1" ht="61.5" customHeight="1">
      <c r="A802" s="71" t="s">
        <v>2009</v>
      </c>
      <c r="B802" s="62" t="s">
        <v>1064</v>
      </c>
      <c r="C802" s="77" t="s">
        <v>1067</v>
      </c>
      <c r="G802" s="70"/>
      <c r="H802" s="70" t="str">
        <f t="shared" si="11"/>
        <v>Protocol</v>
      </c>
      <c r="I802" s="62" t="s">
        <v>41</v>
      </c>
      <c r="J802" s="62" t="s">
        <v>53</v>
      </c>
      <c r="K802" s="62" t="s">
        <v>9</v>
      </c>
      <c r="L802" s="70" t="s">
        <v>51</v>
      </c>
      <c r="M802" s="70" t="s">
        <v>2215</v>
      </c>
    </row>
    <row r="803" spans="1:13" s="53" customFormat="1" ht="64.5" customHeight="1">
      <c r="A803" s="71" t="s">
        <v>2010</v>
      </c>
      <c r="B803" s="62" t="s">
        <v>1064</v>
      </c>
      <c r="C803" s="77" t="s">
        <v>1068</v>
      </c>
      <c r="G803" s="70"/>
      <c r="H803" s="70" t="str">
        <f t="shared" si="11"/>
        <v>Protocol</v>
      </c>
      <c r="I803" s="62" t="s">
        <v>41</v>
      </c>
      <c r="J803" s="62" t="s">
        <v>53</v>
      </c>
      <c r="K803" s="62" t="s">
        <v>9</v>
      </c>
      <c r="L803" s="70" t="s">
        <v>51</v>
      </c>
      <c r="M803" s="70" t="s">
        <v>2215</v>
      </c>
    </row>
    <row r="804" spans="1:13" s="53" customFormat="1" ht="90" hidden="1">
      <c r="A804" s="71" t="s">
        <v>2011</v>
      </c>
      <c r="B804" s="62" t="s">
        <v>1064</v>
      </c>
      <c r="C804" s="77" t="s">
        <v>1069</v>
      </c>
      <c r="G804" s="70"/>
      <c r="H804" s="70" t="str">
        <f t="shared" si="11"/>
        <v>Protocol</v>
      </c>
      <c r="I804" s="62" t="s">
        <v>41</v>
      </c>
      <c r="J804" s="62" t="s">
        <v>54</v>
      </c>
      <c r="K804" s="62" t="s">
        <v>8</v>
      </c>
      <c r="L804" s="70" t="s">
        <v>50</v>
      </c>
      <c r="M804" s="70" t="s">
        <v>231</v>
      </c>
    </row>
    <row r="805" spans="1:13" s="53" customFormat="1" ht="64.5" customHeight="1">
      <c r="A805" s="71" t="s">
        <v>2012</v>
      </c>
      <c r="B805" s="62" t="s">
        <v>1064</v>
      </c>
      <c r="C805" s="77" t="s">
        <v>1070</v>
      </c>
      <c r="G805" s="70"/>
      <c r="H805" s="70" t="str">
        <f t="shared" si="11"/>
        <v>Protocol</v>
      </c>
      <c r="I805" s="62" t="s">
        <v>41</v>
      </c>
      <c r="J805" s="62" t="s">
        <v>53</v>
      </c>
      <c r="K805" s="62" t="s">
        <v>9</v>
      </c>
      <c r="L805" s="70" t="s">
        <v>51</v>
      </c>
      <c r="M805" s="70" t="s">
        <v>2215</v>
      </c>
    </row>
    <row r="806" spans="1:13" s="53" customFormat="1" ht="65.25" customHeight="1">
      <c r="A806" s="71" t="s">
        <v>2013</v>
      </c>
      <c r="B806" s="62" t="s">
        <v>1064</v>
      </c>
      <c r="C806" s="77" t="s">
        <v>1071</v>
      </c>
      <c r="G806" s="70"/>
      <c r="H806" s="70" t="str">
        <f t="shared" si="11"/>
        <v>Protocol</v>
      </c>
      <c r="I806" s="62" t="s">
        <v>41</v>
      </c>
      <c r="J806" s="62" t="s">
        <v>53</v>
      </c>
      <c r="K806" s="62" t="s">
        <v>9</v>
      </c>
      <c r="L806" s="70" t="s">
        <v>51</v>
      </c>
      <c r="M806" s="70" t="s">
        <v>2215</v>
      </c>
    </row>
    <row r="807" spans="1:13" s="53" customFormat="1" ht="77.25" customHeight="1">
      <c r="A807" s="71" t="s">
        <v>2014</v>
      </c>
      <c r="B807" s="62" t="s">
        <v>1072</v>
      </c>
      <c r="C807" s="77" t="s">
        <v>1073</v>
      </c>
      <c r="G807" s="70"/>
      <c r="H807" s="70" t="str">
        <f t="shared" si="11"/>
        <v>Protocol</v>
      </c>
      <c r="I807" s="62" t="s">
        <v>41</v>
      </c>
      <c r="J807" s="62" t="s">
        <v>53</v>
      </c>
      <c r="K807" s="62" t="s">
        <v>9</v>
      </c>
      <c r="L807" s="70" t="s">
        <v>51</v>
      </c>
      <c r="M807" s="70" t="s">
        <v>2253</v>
      </c>
    </row>
    <row r="808" spans="1:13" s="53" customFormat="1" ht="85.5" customHeight="1">
      <c r="A808" s="71" t="s">
        <v>2015</v>
      </c>
      <c r="B808" s="62" t="s">
        <v>1072</v>
      </c>
      <c r="C808" s="77" t="s">
        <v>1074</v>
      </c>
      <c r="G808" s="70"/>
      <c r="H808" s="70" t="str">
        <f t="shared" si="11"/>
        <v>Protocol</v>
      </c>
      <c r="I808" s="62" t="s">
        <v>41</v>
      </c>
      <c r="J808" s="62" t="s">
        <v>53</v>
      </c>
      <c r="K808" s="62" t="s">
        <v>9</v>
      </c>
      <c r="L808" s="70" t="s">
        <v>51</v>
      </c>
      <c r="M808" s="70" t="s">
        <v>2253</v>
      </c>
    </row>
    <row r="809" spans="1:13" s="53" customFormat="1" ht="94.5" customHeight="1">
      <c r="A809" s="71" t="s">
        <v>2016</v>
      </c>
      <c r="B809" s="62" t="s">
        <v>1072</v>
      </c>
      <c r="C809" s="77" t="s">
        <v>1075</v>
      </c>
      <c r="D809" s="61"/>
      <c r="G809" s="70"/>
      <c r="H809" s="70" t="str">
        <f t="shared" si="11"/>
        <v>Protocol</v>
      </c>
      <c r="I809" s="62" t="s">
        <v>41</v>
      </c>
      <c r="J809" s="62" t="s">
        <v>53</v>
      </c>
      <c r="K809" s="62" t="s">
        <v>9</v>
      </c>
      <c r="L809" s="70" t="s">
        <v>51</v>
      </c>
      <c r="M809" s="70" t="s">
        <v>2253</v>
      </c>
    </row>
    <row r="810" spans="1:13" s="53" customFormat="1" ht="100.5" customHeight="1">
      <c r="A810" s="71" t="s">
        <v>2017</v>
      </c>
      <c r="B810" s="62" t="s">
        <v>1072</v>
      </c>
      <c r="C810" s="77" t="s">
        <v>1076</v>
      </c>
      <c r="G810" s="70"/>
      <c r="H810" s="70" t="str">
        <f t="shared" si="11"/>
        <v>Protocol</v>
      </c>
      <c r="I810" s="62" t="s">
        <v>41</v>
      </c>
      <c r="J810" s="62" t="s">
        <v>53</v>
      </c>
      <c r="K810" s="62" t="s">
        <v>9</v>
      </c>
      <c r="L810" s="70" t="s">
        <v>51</v>
      </c>
      <c r="M810" s="70" t="s">
        <v>2253</v>
      </c>
    </row>
    <row r="811" spans="1:13" s="53" customFormat="1" ht="51" customHeight="1">
      <c r="A811" s="71" t="s">
        <v>2018</v>
      </c>
      <c r="B811" s="62" t="s">
        <v>1072</v>
      </c>
      <c r="C811" s="77" t="s">
        <v>1077</v>
      </c>
      <c r="G811" s="70"/>
      <c r="H811" s="70" t="str">
        <f t="shared" si="11"/>
        <v>Protocol</v>
      </c>
      <c r="I811" s="62" t="s">
        <v>41</v>
      </c>
      <c r="J811" s="62" t="s">
        <v>53</v>
      </c>
      <c r="K811" s="62" t="s">
        <v>9</v>
      </c>
      <c r="L811" s="70" t="s">
        <v>51</v>
      </c>
      <c r="M811" s="70" t="s">
        <v>2253</v>
      </c>
    </row>
    <row r="812" spans="1:13" s="53" customFormat="1" ht="88.5" customHeight="1">
      <c r="A812" s="71" t="s">
        <v>2019</v>
      </c>
      <c r="B812" s="62" t="s">
        <v>1072</v>
      </c>
      <c r="C812" s="77" t="s">
        <v>1078</v>
      </c>
      <c r="G812" s="70"/>
      <c r="H812" s="70" t="str">
        <f t="shared" si="11"/>
        <v>Protocol</v>
      </c>
      <c r="I812" s="62" t="s">
        <v>41</v>
      </c>
      <c r="J812" s="62" t="s">
        <v>53</v>
      </c>
      <c r="K812" s="62" t="s">
        <v>9</v>
      </c>
      <c r="L812" s="70" t="s">
        <v>51</v>
      </c>
      <c r="M812" s="70" t="s">
        <v>2253</v>
      </c>
    </row>
    <row r="813" spans="1:13" s="53" customFormat="1" ht="64.5" customHeight="1">
      <c r="A813" s="71" t="s">
        <v>2020</v>
      </c>
      <c r="B813" s="62" t="s">
        <v>1079</v>
      </c>
      <c r="C813" s="77" t="s">
        <v>1080</v>
      </c>
      <c r="G813" s="70" t="s">
        <v>698</v>
      </c>
      <c r="H813" s="70" t="str">
        <f t="shared" si="11"/>
        <v>Protocol</v>
      </c>
      <c r="I813" s="62" t="s">
        <v>41</v>
      </c>
      <c r="J813" s="62" t="s">
        <v>53</v>
      </c>
      <c r="K813" s="62" t="s">
        <v>9</v>
      </c>
      <c r="L813" s="70" t="s">
        <v>57</v>
      </c>
      <c r="M813" s="70" t="s">
        <v>2226</v>
      </c>
    </row>
    <row r="814" spans="1:13" s="53" customFormat="1" ht="75" customHeight="1">
      <c r="A814" s="71" t="s">
        <v>2021</v>
      </c>
      <c r="B814" s="62" t="s">
        <v>1079</v>
      </c>
      <c r="C814" s="77" t="s">
        <v>1081</v>
      </c>
      <c r="G814" s="70" t="s">
        <v>121</v>
      </c>
      <c r="H814" s="70" t="str">
        <f t="shared" si="11"/>
        <v>Protocol</v>
      </c>
      <c r="I814" s="62" t="s">
        <v>41</v>
      </c>
      <c r="J814" s="62" t="s">
        <v>53</v>
      </c>
      <c r="K814" s="62" t="s">
        <v>9</v>
      </c>
      <c r="L814" s="70" t="s">
        <v>57</v>
      </c>
      <c r="M814" s="70" t="s">
        <v>2226</v>
      </c>
    </row>
    <row r="815" spans="1:13" s="53" customFormat="1" ht="66" customHeight="1">
      <c r="A815" s="71" t="s">
        <v>2022</v>
      </c>
      <c r="B815" s="62" t="s">
        <v>1079</v>
      </c>
      <c r="C815" s="77" t="s">
        <v>1082</v>
      </c>
      <c r="D815" s="61"/>
      <c r="G815" s="70" t="s">
        <v>698</v>
      </c>
      <c r="H815" s="70" t="str">
        <f t="shared" si="11"/>
        <v>Protocol</v>
      </c>
      <c r="I815" s="62" t="s">
        <v>41</v>
      </c>
      <c r="J815" s="62" t="s">
        <v>53</v>
      </c>
      <c r="K815" s="62" t="s">
        <v>9</v>
      </c>
      <c r="L815" s="70" t="s">
        <v>57</v>
      </c>
      <c r="M815" s="70" t="s">
        <v>2226</v>
      </c>
    </row>
    <row r="816" spans="1:13" s="53" customFormat="1" ht="71.25" customHeight="1">
      <c r="A816" s="71" t="s">
        <v>2023</v>
      </c>
      <c r="B816" s="62" t="s">
        <v>1079</v>
      </c>
      <c r="C816" s="77" t="s">
        <v>1083</v>
      </c>
      <c r="G816" s="70"/>
      <c r="H816" s="70" t="str">
        <f t="shared" si="11"/>
        <v>Protocol</v>
      </c>
      <c r="I816" s="62" t="s">
        <v>41</v>
      </c>
      <c r="J816" s="62" t="s">
        <v>53</v>
      </c>
      <c r="K816" s="62" t="s">
        <v>9</v>
      </c>
      <c r="L816" s="70" t="s">
        <v>50</v>
      </c>
      <c r="M816" s="70" t="s">
        <v>2243</v>
      </c>
    </row>
    <row r="817" spans="1:13" s="53" customFormat="1" ht="60" customHeight="1">
      <c r="A817" s="71" t="s">
        <v>2024</v>
      </c>
      <c r="B817" s="62" t="s">
        <v>1079</v>
      </c>
      <c r="C817" s="77" t="s">
        <v>1084</v>
      </c>
      <c r="G817" s="70"/>
      <c r="H817" s="70" t="str">
        <f t="shared" si="11"/>
        <v>Protocol</v>
      </c>
      <c r="I817" s="62" t="s">
        <v>41</v>
      </c>
      <c r="J817" s="62" t="s">
        <v>53</v>
      </c>
      <c r="K817" s="62" t="s">
        <v>9</v>
      </c>
      <c r="L817" s="70" t="s">
        <v>51</v>
      </c>
      <c r="M817" s="70" t="s">
        <v>225</v>
      </c>
    </row>
    <row r="818" spans="1:13" s="53" customFormat="1" ht="51.75" customHeight="1">
      <c r="A818" s="71" t="s">
        <v>2025</v>
      </c>
      <c r="B818" s="62" t="s">
        <v>1079</v>
      </c>
      <c r="C818" s="77" t="s">
        <v>1085</v>
      </c>
      <c r="G818" s="70"/>
      <c r="H818" s="70" t="str">
        <f t="shared" si="11"/>
        <v>Protocol</v>
      </c>
      <c r="I818" s="62" t="s">
        <v>41</v>
      </c>
      <c r="J818" s="62" t="s">
        <v>53</v>
      </c>
      <c r="K818" s="62" t="s">
        <v>9</v>
      </c>
      <c r="L818" s="70" t="s">
        <v>51</v>
      </c>
      <c r="M818" s="70" t="s">
        <v>225</v>
      </c>
    </row>
    <row r="819" spans="1:13" s="53" customFormat="1" ht="54" customHeight="1">
      <c r="A819" s="71" t="s">
        <v>2026</v>
      </c>
      <c r="B819" s="62" t="s">
        <v>1079</v>
      </c>
      <c r="C819" s="77" t="s">
        <v>1086</v>
      </c>
      <c r="G819" s="70"/>
      <c r="H819" s="70" t="str">
        <f t="shared" si="11"/>
        <v>Protocol</v>
      </c>
      <c r="I819" s="62" t="s">
        <v>41</v>
      </c>
      <c r="J819" s="62" t="s">
        <v>53</v>
      </c>
      <c r="K819" s="62" t="s">
        <v>9</v>
      </c>
      <c r="L819" s="70" t="s">
        <v>50</v>
      </c>
      <c r="M819" s="70" t="s">
        <v>2251</v>
      </c>
    </row>
    <row r="820" spans="1:13" s="53" customFormat="1" ht="64.5" customHeight="1">
      <c r="A820" s="71" t="s">
        <v>2027</v>
      </c>
      <c r="B820" s="62" t="s">
        <v>1079</v>
      </c>
      <c r="C820" s="77" t="s">
        <v>1087</v>
      </c>
      <c r="G820" s="70"/>
      <c r="H820" s="70" t="str">
        <f t="shared" si="11"/>
        <v>Protocol</v>
      </c>
      <c r="I820" s="62" t="s">
        <v>41</v>
      </c>
      <c r="J820" s="62" t="s">
        <v>53</v>
      </c>
      <c r="K820" s="62" t="s">
        <v>9</v>
      </c>
      <c r="L820" s="70" t="s">
        <v>51</v>
      </c>
      <c r="M820" s="70" t="s">
        <v>225</v>
      </c>
    </row>
    <row r="821" spans="1:13" s="53" customFormat="1" ht="65.25" customHeight="1">
      <c r="A821" s="71" t="s">
        <v>2028</v>
      </c>
      <c r="B821" s="62" t="s">
        <v>1088</v>
      </c>
      <c r="C821" s="77" t="s">
        <v>1089</v>
      </c>
      <c r="G821" s="70"/>
      <c r="H821" s="70" t="str">
        <f t="shared" si="11"/>
        <v>Protocol</v>
      </c>
      <c r="I821" s="62" t="s">
        <v>41</v>
      </c>
      <c r="J821" s="62" t="s">
        <v>53</v>
      </c>
      <c r="K821" s="62" t="s">
        <v>9</v>
      </c>
      <c r="L821" s="70" t="s">
        <v>51</v>
      </c>
      <c r="M821" s="70" t="s">
        <v>225</v>
      </c>
    </row>
    <row r="822" spans="1:13" s="53" customFormat="1" ht="45" customHeight="1">
      <c r="A822" s="71" t="s">
        <v>2029</v>
      </c>
      <c r="B822" s="62" t="s">
        <v>1090</v>
      </c>
      <c r="C822" s="77" t="s">
        <v>1091</v>
      </c>
      <c r="G822" s="70"/>
      <c r="H822" s="70" t="str">
        <f t="shared" si="11"/>
        <v>Protocol</v>
      </c>
      <c r="I822" s="62" t="s">
        <v>41</v>
      </c>
      <c r="J822" s="62" t="s">
        <v>53</v>
      </c>
      <c r="K822" s="62" t="s">
        <v>9</v>
      </c>
      <c r="L822" s="70" t="s">
        <v>51</v>
      </c>
      <c r="M822" s="70" t="s">
        <v>225</v>
      </c>
    </row>
    <row r="823" spans="1:13" s="53" customFormat="1" ht="73.5" customHeight="1">
      <c r="A823" s="71" t="s">
        <v>2030</v>
      </c>
      <c r="B823" s="62" t="s">
        <v>1090</v>
      </c>
      <c r="C823" s="77" t="s">
        <v>1092</v>
      </c>
      <c r="G823" s="70"/>
      <c r="H823" s="70" t="str">
        <f t="shared" si="11"/>
        <v>Protocol</v>
      </c>
      <c r="I823" s="62" t="s">
        <v>41</v>
      </c>
      <c r="J823" s="62" t="s">
        <v>53</v>
      </c>
      <c r="K823" s="62" t="s">
        <v>9</v>
      </c>
      <c r="L823" s="70" t="s">
        <v>51</v>
      </c>
      <c r="M823" s="70" t="s">
        <v>225</v>
      </c>
    </row>
    <row r="824" spans="1:13" s="53" customFormat="1" ht="40.5" hidden="1" customHeight="1">
      <c r="A824" s="71" t="s">
        <v>2031</v>
      </c>
      <c r="B824" s="62" t="s">
        <v>1093</v>
      </c>
      <c r="C824" s="77" t="s">
        <v>1094</v>
      </c>
      <c r="E824" s="61"/>
      <c r="G824" s="70"/>
      <c r="H824" s="70" t="str">
        <f t="shared" si="11"/>
        <v>Protocol</v>
      </c>
      <c r="I824" s="62" t="s">
        <v>42</v>
      </c>
      <c r="J824" s="62" t="s">
        <v>53</v>
      </c>
      <c r="K824" s="62" t="s">
        <v>9</v>
      </c>
      <c r="L824" s="70" t="s">
        <v>50</v>
      </c>
      <c r="M824" s="70" t="s">
        <v>153</v>
      </c>
    </row>
    <row r="825" spans="1:13" s="53" customFormat="1" ht="35.25" hidden="1" customHeight="1">
      <c r="A825" s="71" t="s">
        <v>2032</v>
      </c>
      <c r="B825" s="62" t="s">
        <v>1093</v>
      </c>
      <c r="C825" s="77" t="s">
        <v>1095</v>
      </c>
      <c r="G825" s="70"/>
      <c r="H825" s="70" t="str">
        <f t="shared" si="11"/>
        <v>Protocol</v>
      </c>
      <c r="I825" s="62" t="s">
        <v>42</v>
      </c>
      <c r="J825" s="62" t="s">
        <v>53</v>
      </c>
      <c r="K825" s="62" t="s">
        <v>9</v>
      </c>
      <c r="L825" s="70" t="s">
        <v>50</v>
      </c>
      <c r="M825" s="70" t="s">
        <v>153</v>
      </c>
    </row>
    <row r="826" spans="1:13" s="53" customFormat="1" ht="36.75" hidden="1" customHeight="1">
      <c r="A826" s="71" t="s">
        <v>2033</v>
      </c>
      <c r="B826" s="62" t="s">
        <v>1093</v>
      </c>
      <c r="C826" s="77" t="s">
        <v>1096</v>
      </c>
      <c r="G826" s="70"/>
      <c r="H826" s="70" t="str">
        <f t="shared" si="11"/>
        <v>Protocol</v>
      </c>
      <c r="I826" s="62" t="s">
        <v>42</v>
      </c>
      <c r="J826" s="62" t="s">
        <v>54</v>
      </c>
      <c r="K826" s="62" t="s">
        <v>8</v>
      </c>
      <c r="L826" s="70" t="s">
        <v>50</v>
      </c>
      <c r="M826" s="70" t="s">
        <v>231</v>
      </c>
    </row>
    <row r="827" spans="1:13" s="53" customFormat="1" ht="35.25" hidden="1" customHeight="1">
      <c r="A827" s="71" t="s">
        <v>2034</v>
      </c>
      <c r="B827" s="62" t="s">
        <v>1093</v>
      </c>
      <c r="C827" s="77" t="s">
        <v>1097</v>
      </c>
      <c r="G827" s="70"/>
      <c r="H827" s="70" t="str">
        <f t="shared" si="11"/>
        <v>Protocol</v>
      </c>
      <c r="I827" s="62" t="s">
        <v>42</v>
      </c>
      <c r="J827" s="62" t="s">
        <v>53</v>
      </c>
      <c r="K827" s="62" t="s">
        <v>9</v>
      </c>
      <c r="L827" s="70" t="s">
        <v>50</v>
      </c>
      <c r="M827" s="70" t="s">
        <v>153</v>
      </c>
    </row>
    <row r="828" spans="1:13" s="53" customFormat="1" ht="51" hidden="1" customHeight="1">
      <c r="A828" s="71" t="s">
        <v>2035</v>
      </c>
      <c r="B828" s="62" t="s">
        <v>1093</v>
      </c>
      <c r="C828" s="77" t="s">
        <v>1098</v>
      </c>
      <c r="G828" s="70"/>
      <c r="H828" s="70" t="str">
        <f t="shared" si="11"/>
        <v>Protocol</v>
      </c>
      <c r="I828" s="62" t="s">
        <v>42</v>
      </c>
      <c r="J828" s="62" t="s">
        <v>53</v>
      </c>
      <c r="K828" s="62" t="s">
        <v>9</v>
      </c>
      <c r="L828" s="70" t="s">
        <v>50</v>
      </c>
      <c r="M828" s="70" t="s">
        <v>153</v>
      </c>
    </row>
    <row r="829" spans="1:13" s="53" customFormat="1" ht="93.75" hidden="1" customHeight="1">
      <c r="A829" s="71" t="s">
        <v>2036</v>
      </c>
      <c r="B829" s="62" t="s">
        <v>1093</v>
      </c>
      <c r="C829" s="77" t="s">
        <v>1099</v>
      </c>
      <c r="G829" s="70"/>
      <c r="H829" s="70" t="str">
        <f t="shared" si="11"/>
        <v>Protocol</v>
      </c>
      <c r="I829" s="62" t="s">
        <v>42</v>
      </c>
      <c r="J829" s="62" t="s">
        <v>53</v>
      </c>
      <c r="K829" s="62" t="s">
        <v>9</v>
      </c>
      <c r="L829" s="70" t="s">
        <v>50</v>
      </c>
      <c r="M829" s="70" t="s">
        <v>153</v>
      </c>
    </row>
    <row r="830" spans="1:13" s="53" customFormat="1" ht="57.75" hidden="1" customHeight="1">
      <c r="A830" s="71" t="s">
        <v>2037</v>
      </c>
      <c r="B830" s="62" t="s">
        <v>1100</v>
      </c>
      <c r="C830" s="77" t="s">
        <v>1101</v>
      </c>
      <c r="G830" s="70"/>
      <c r="H830" s="70" t="str">
        <f t="shared" si="11"/>
        <v>Protocol</v>
      </c>
      <c r="I830" s="62" t="s">
        <v>42</v>
      </c>
      <c r="J830" s="62" t="s">
        <v>54</v>
      </c>
      <c r="K830" s="62" t="s">
        <v>8</v>
      </c>
      <c r="L830" s="70" t="s">
        <v>50</v>
      </c>
      <c r="M830" s="70" t="s">
        <v>231</v>
      </c>
    </row>
    <row r="831" spans="1:13" s="53" customFormat="1" ht="135" hidden="1">
      <c r="A831" s="71" t="s">
        <v>2038</v>
      </c>
      <c r="B831" s="62" t="s">
        <v>1100</v>
      </c>
      <c r="C831" s="77" t="s">
        <v>1102</v>
      </c>
      <c r="D831" s="61" t="s">
        <v>1103</v>
      </c>
      <c r="E831" s="61" t="s">
        <v>1104</v>
      </c>
      <c r="G831" s="70"/>
      <c r="H831" s="70" t="str">
        <f t="shared" si="11"/>
        <v>Protocol</v>
      </c>
      <c r="I831" s="62" t="s">
        <v>42</v>
      </c>
      <c r="J831" s="62" t="s">
        <v>54</v>
      </c>
      <c r="K831" s="62" t="s">
        <v>8</v>
      </c>
      <c r="L831" s="70" t="s">
        <v>50</v>
      </c>
      <c r="M831" s="70" t="s">
        <v>231</v>
      </c>
    </row>
    <row r="832" spans="1:13" s="53" customFormat="1" ht="49.5" hidden="1" customHeight="1">
      <c r="A832" s="71" t="s">
        <v>2039</v>
      </c>
      <c r="B832" s="62" t="s">
        <v>1105</v>
      </c>
      <c r="C832" s="77" t="s">
        <v>1106</v>
      </c>
      <c r="G832" s="70"/>
      <c r="H832" s="70" t="str">
        <f t="shared" si="11"/>
        <v>Protocol</v>
      </c>
      <c r="I832" s="62" t="s">
        <v>42</v>
      </c>
      <c r="J832" s="62" t="s">
        <v>54</v>
      </c>
      <c r="K832" s="62" t="s">
        <v>8</v>
      </c>
      <c r="L832" s="70" t="s">
        <v>50</v>
      </c>
      <c r="M832" s="70" t="s">
        <v>231</v>
      </c>
    </row>
    <row r="833" spans="1:13" s="53" customFormat="1" ht="49.5" hidden="1" customHeight="1">
      <c r="A833" s="71" t="s">
        <v>2040</v>
      </c>
      <c r="B833" s="62" t="s">
        <v>1105</v>
      </c>
      <c r="C833" s="77" t="s">
        <v>1107</v>
      </c>
      <c r="D833" s="53" t="s">
        <v>1108</v>
      </c>
      <c r="E833" s="53" t="s">
        <v>1109</v>
      </c>
      <c r="G833" s="70"/>
      <c r="H833" s="70" t="str">
        <f t="shared" ref="H833:H896" si="12">IF(LEFT(B833,1)="6","Product","Protocol")</f>
        <v>Protocol</v>
      </c>
      <c r="I833" s="62" t="s">
        <v>42</v>
      </c>
      <c r="J833" s="62" t="s">
        <v>53</v>
      </c>
      <c r="K833" s="62" t="s">
        <v>9</v>
      </c>
      <c r="L833" s="70" t="s">
        <v>50</v>
      </c>
      <c r="M833" s="70" t="s">
        <v>153</v>
      </c>
    </row>
    <row r="834" spans="1:13" s="53" customFormat="1" ht="64.5" hidden="1" customHeight="1">
      <c r="A834" s="71" t="s">
        <v>2041</v>
      </c>
      <c r="B834" s="62" t="s">
        <v>1105</v>
      </c>
      <c r="C834" s="77" t="s">
        <v>1110</v>
      </c>
      <c r="G834" s="70"/>
      <c r="H834" s="70" t="str">
        <f t="shared" si="12"/>
        <v>Protocol</v>
      </c>
      <c r="I834" s="62" t="s">
        <v>42</v>
      </c>
      <c r="J834" s="62" t="s">
        <v>53</v>
      </c>
      <c r="K834" s="62" t="s">
        <v>9</v>
      </c>
      <c r="L834" s="70" t="s">
        <v>50</v>
      </c>
      <c r="M834" s="70" t="s">
        <v>153</v>
      </c>
    </row>
    <row r="835" spans="1:13" s="53" customFormat="1" ht="51" hidden="1" customHeight="1">
      <c r="A835" s="71" t="s">
        <v>2042</v>
      </c>
      <c r="B835" s="62" t="s">
        <v>1105</v>
      </c>
      <c r="C835" s="77" t="s">
        <v>1111</v>
      </c>
      <c r="G835" s="70"/>
      <c r="H835" s="70" t="str">
        <f t="shared" si="12"/>
        <v>Protocol</v>
      </c>
      <c r="I835" s="62" t="s">
        <v>42</v>
      </c>
      <c r="J835" s="62" t="s">
        <v>53</v>
      </c>
      <c r="K835" s="62" t="s">
        <v>9</v>
      </c>
      <c r="L835" s="70" t="s">
        <v>50</v>
      </c>
      <c r="M835" s="70" t="s">
        <v>153</v>
      </c>
    </row>
    <row r="836" spans="1:13" s="53" customFormat="1" ht="66.75" hidden="1" customHeight="1">
      <c r="A836" s="71" t="s">
        <v>2043</v>
      </c>
      <c r="B836" s="62" t="s">
        <v>1105</v>
      </c>
      <c r="C836" s="77" t="s">
        <v>1112</v>
      </c>
      <c r="G836" s="70"/>
      <c r="H836" s="70" t="str">
        <f t="shared" si="12"/>
        <v>Protocol</v>
      </c>
      <c r="I836" s="62" t="s">
        <v>42</v>
      </c>
      <c r="J836" s="62" t="s">
        <v>53</v>
      </c>
      <c r="K836" s="62" t="s">
        <v>9</v>
      </c>
      <c r="L836" s="70" t="s">
        <v>50</v>
      </c>
      <c r="M836" s="70" t="s">
        <v>153</v>
      </c>
    </row>
    <row r="837" spans="1:13" s="53" customFormat="1" ht="132" hidden="1" customHeight="1">
      <c r="A837" s="71" t="s">
        <v>2044</v>
      </c>
      <c r="B837" s="62" t="s">
        <v>1113</v>
      </c>
      <c r="C837" s="77" t="s">
        <v>1114</v>
      </c>
      <c r="G837" s="70"/>
      <c r="H837" s="70" t="str">
        <f t="shared" si="12"/>
        <v>Protocol</v>
      </c>
      <c r="I837" s="62" t="s">
        <v>42</v>
      </c>
      <c r="J837" s="62" t="s">
        <v>53</v>
      </c>
      <c r="K837" s="62" t="s">
        <v>9</v>
      </c>
      <c r="L837" s="70" t="s">
        <v>50</v>
      </c>
      <c r="M837" s="70" t="s">
        <v>153</v>
      </c>
    </row>
    <row r="838" spans="1:13" s="53" customFormat="1" ht="54.75" hidden="1" customHeight="1">
      <c r="A838" s="71" t="s">
        <v>2045</v>
      </c>
      <c r="B838" s="62" t="s">
        <v>1113</v>
      </c>
      <c r="C838" s="77" t="s">
        <v>1115</v>
      </c>
      <c r="G838" s="70"/>
      <c r="H838" s="70" t="str">
        <f t="shared" si="12"/>
        <v>Protocol</v>
      </c>
      <c r="I838" s="62" t="s">
        <v>42</v>
      </c>
      <c r="J838" s="62" t="s">
        <v>53</v>
      </c>
      <c r="K838" s="62" t="s">
        <v>9</v>
      </c>
      <c r="L838" s="70" t="s">
        <v>50</v>
      </c>
      <c r="M838" s="70" t="s">
        <v>153</v>
      </c>
    </row>
    <row r="839" spans="1:13" s="53" customFormat="1" ht="71.25" hidden="1" customHeight="1">
      <c r="A839" s="71" t="s">
        <v>2046</v>
      </c>
      <c r="B839" s="62" t="s">
        <v>1113</v>
      </c>
      <c r="C839" s="77" t="s">
        <v>1116</v>
      </c>
      <c r="D839" s="53" t="s">
        <v>1117</v>
      </c>
      <c r="E839" s="53" t="s">
        <v>1118</v>
      </c>
      <c r="G839" s="70"/>
      <c r="H839" s="70" t="str">
        <f t="shared" si="12"/>
        <v>Protocol</v>
      </c>
      <c r="I839" s="62" t="s">
        <v>42</v>
      </c>
      <c r="J839" s="62" t="s">
        <v>53</v>
      </c>
      <c r="K839" s="62" t="s">
        <v>9</v>
      </c>
      <c r="L839" s="70" t="s">
        <v>50</v>
      </c>
      <c r="M839" s="70" t="s">
        <v>153</v>
      </c>
    </row>
    <row r="840" spans="1:13" s="53" customFormat="1" ht="51" hidden="1" customHeight="1">
      <c r="A840" s="71" t="s">
        <v>2047</v>
      </c>
      <c r="B840" s="62" t="s">
        <v>1113</v>
      </c>
      <c r="C840" s="77" t="s">
        <v>1119</v>
      </c>
      <c r="G840" s="70"/>
      <c r="H840" s="70" t="str">
        <f t="shared" si="12"/>
        <v>Protocol</v>
      </c>
      <c r="I840" s="62" t="s">
        <v>42</v>
      </c>
      <c r="J840" s="62" t="s">
        <v>53</v>
      </c>
      <c r="K840" s="62" t="s">
        <v>9</v>
      </c>
      <c r="L840" s="70" t="s">
        <v>50</v>
      </c>
      <c r="M840" s="70" t="s">
        <v>153</v>
      </c>
    </row>
    <row r="841" spans="1:13" s="53" customFormat="1" ht="57" hidden="1" customHeight="1">
      <c r="A841" s="71" t="s">
        <v>2048</v>
      </c>
      <c r="B841" s="62" t="s">
        <v>1120</v>
      </c>
      <c r="C841" s="77" t="s">
        <v>1121</v>
      </c>
      <c r="G841" s="70"/>
      <c r="H841" s="70" t="str">
        <f t="shared" si="12"/>
        <v>Protocol</v>
      </c>
      <c r="I841" s="62" t="s">
        <v>42</v>
      </c>
      <c r="J841" s="62" t="s">
        <v>54</v>
      </c>
      <c r="K841" s="62" t="s">
        <v>8</v>
      </c>
      <c r="L841" s="70" t="s">
        <v>50</v>
      </c>
      <c r="M841" s="70" t="s">
        <v>231</v>
      </c>
    </row>
    <row r="842" spans="1:13" s="53" customFormat="1" ht="49.5" hidden="1" customHeight="1">
      <c r="A842" s="71" t="s">
        <v>2049</v>
      </c>
      <c r="B842" s="62" t="s">
        <v>1120</v>
      </c>
      <c r="C842" s="77" t="s">
        <v>1122</v>
      </c>
      <c r="D842" s="53" t="s">
        <v>1123</v>
      </c>
      <c r="E842" s="53" t="s">
        <v>1124</v>
      </c>
      <c r="G842" s="70"/>
      <c r="H842" s="70" t="str">
        <f t="shared" si="12"/>
        <v>Protocol</v>
      </c>
      <c r="I842" s="62" t="s">
        <v>42</v>
      </c>
      <c r="J842" s="62" t="s">
        <v>53</v>
      </c>
      <c r="K842" s="62" t="s">
        <v>9</v>
      </c>
      <c r="L842" s="70" t="s">
        <v>50</v>
      </c>
      <c r="M842" s="70" t="s">
        <v>153</v>
      </c>
    </row>
    <row r="843" spans="1:13" s="53" customFormat="1" ht="72" hidden="1" customHeight="1">
      <c r="A843" s="71" t="s">
        <v>2050</v>
      </c>
      <c r="B843" s="62" t="s">
        <v>1120</v>
      </c>
      <c r="C843" s="77" t="s">
        <v>1125</v>
      </c>
      <c r="G843" s="70"/>
      <c r="H843" s="70" t="str">
        <f t="shared" si="12"/>
        <v>Protocol</v>
      </c>
      <c r="I843" s="62" t="s">
        <v>42</v>
      </c>
      <c r="J843" s="62" t="s">
        <v>53</v>
      </c>
      <c r="K843" s="62" t="s">
        <v>9</v>
      </c>
      <c r="L843" s="70" t="s">
        <v>50</v>
      </c>
      <c r="M843" s="70" t="s">
        <v>153</v>
      </c>
    </row>
    <row r="844" spans="1:13" s="53" customFormat="1" ht="57.75" hidden="1" customHeight="1">
      <c r="A844" s="71" t="s">
        <v>2051</v>
      </c>
      <c r="B844" s="62" t="s">
        <v>1120</v>
      </c>
      <c r="C844" s="77" t="s">
        <v>1126</v>
      </c>
      <c r="G844" s="70"/>
      <c r="H844" s="70" t="str">
        <f t="shared" si="12"/>
        <v>Protocol</v>
      </c>
      <c r="I844" s="62" t="s">
        <v>42</v>
      </c>
      <c r="J844" s="62" t="s">
        <v>53</v>
      </c>
      <c r="K844" s="62" t="s">
        <v>9</v>
      </c>
      <c r="L844" s="70" t="s">
        <v>50</v>
      </c>
      <c r="M844" s="70" t="s">
        <v>153</v>
      </c>
    </row>
    <row r="845" spans="1:13" s="53" customFormat="1" ht="75.75" hidden="1" customHeight="1">
      <c r="A845" s="71" t="s">
        <v>2052</v>
      </c>
      <c r="B845" s="62" t="s">
        <v>1127</v>
      </c>
      <c r="C845" s="77" t="s">
        <v>1128</v>
      </c>
      <c r="G845" s="70"/>
      <c r="H845" s="70" t="str">
        <f t="shared" si="12"/>
        <v>Protocol</v>
      </c>
      <c r="I845" s="62" t="s">
        <v>42</v>
      </c>
      <c r="J845" s="62" t="s">
        <v>54</v>
      </c>
      <c r="K845" s="62" t="s">
        <v>8</v>
      </c>
      <c r="L845" s="70" t="s">
        <v>50</v>
      </c>
      <c r="M845" s="70" t="s">
        <v>231</v>
      </c>
    </row>
    <row r="846" spans="1:13" s="53" customFormat="1" ht="87" hidden="1" customHeight="1">
      <c r="A846" s="71" t="s">
        <v>2053</v>
      </c>
      <c r="B846" s="62" t="s">
        <v>1127</v>
      </c>
      <c r="C846" s="77" t="s">
        <v>1129</v>
      </c>
      <c r="G846" s="70"/>
      <c r="H846" s="70" t="str">
        <f t="shared" si="12"/>
        <v>Protocol</v>
      </c>
      <c r="I846" s="62" t="s">
        <v>42</v>
      </c>
      <c r="J846" s="62" t="s">
        <v>54</v>
      </c>
      <c r="K846" s="62" t="s">
        <v>8</v>
      </c>
      <c r="L846" s="70" t="s">
        <v>50</v>
      </c>
      <c r="M846" s="70" t="s">
        <v>231</v>
      </c>
    </row>
    <row r="847" spans="1:13" s="53" customFormat="1" ht="96" hidden="1" customHeight="1">
      <c r="A847" s="71" t="s">
        <v>2054</v>
      </c>
      <c r="B847" s="62" t="s">
        <v>1127</v>
      </c>
      <c r="C847" s="77" t="s">
        <v>1130</v>
      </c>
      <c r="G847" s="70"/>
      <c r="H847" s="70" t="str">
        <f t="shared" si="12"/>
        <v>Protocol</v>
      </c>
      <c r="I847" s="62" t="s">
        <v>42</v>
      </c>
      <c r="J847" s="62" t="s">
        <v>54</v>
      </c>
      <c r="K847" s="62" t="s">
        <v>8</v>
      </c>
      <c r="L847" s="70" t="s">
        <v>50</v>
      </c>
      <c r="M847" s="70" t="s">
        <v>231</v>
      </c>
    </row>
    <row r="848" spans="1:13" s="53" customFormat="1" ht="57.75" hidden="1" customHeight="1">
      <c r="A848" s="71" t="s">
        <v>2055</v>
      </c>
      <c r="B848" s="62" t="s">
        <v>1131</v>
      </c>
      <c r="C848" s="77" t="s">
        <v>1132</v>
      </c>
      <c r="G848" s="70"/>
      <c r="H848" s="70" t="str">
        <f t="shared" si="12"/>
        <v>Protocol</v>
      </c>
      <c r="I848" s="62" t="s">
        <v>42</v>
      </c>
      <c r="J848" s="62" t="s">
        <v>53</v>
      </c>
      <c r="K848" s="62" t="s">
        <v>9</v>
      </c>
      <c r="L848" s="70" t="s">
        <v>50</v>
      </c>
      <c r="M848" s="70" t="s">
        <v>153</v>
      </c>
    </row>
    <row r="849" spans="1:13" s="53" customFormat="1" ht="81" hidden="1" customHeight="1">
      <c r="A849" s="71" t="s">
        <v>2056</v>
      </c>
      <c r="B849" s="62" t="s">
        <v>1131</v>
      </c>
      <c r="C849" s="77" t="s">
        <v>1133</v>
      </c>
      <c r="G849" s="70"/>
      <c r="H849" s="70" t="str">
        <f t="shared" si="12"/>
        <v>Protocol</v>
      </c>
      <c r="I849" s="62" t="s">
        <v>42</v>
      </c>
      <c r="J849" s="62" t="s">
        <v>53</v>
      </c>
      <c r="K849" s="62" t="s">
        <v>9</v>
      </c>
      <c r="L849" s="70" t="s">
        <v>50</v>
      </c>
      <c r="M849" s="70" t="s">
        <v>153</v>
      </c>
    </row>
    <row r="850" spans="1:13" s="53" customFormat="1" ht="54.75" hidden="1" customHeight="1">
      <c r="A850" s="71" t="s">
        <v>2057</v>
      </c>
      <c r="B850" s="62" t="s">
        <v>1131</v>
      </c>
      <c r="C850" s="77" t="s">
        <v>1134</v>
      </c>
      <c r="G850" s="70"/>
      <c r="H850" s="70" t="str">
        <f t="shared" si="12"/>
        <v>Protocol</v>
      </c>
      <c r="I850" s="62" t="s">
        <v>42</v>
      </c>
      <c r="J850" s="62" t="s">
        <v>53</v>
      </c>
      <c r="K850" s="62" t="s">
        <v>9</v>
      </c>
      <c r="L850" s="70" t="s">
        <v>50</v>
      </c>
      <c r="M850" s="70" t="s">
        <v>153</v>
      </c>
    </row>
    <row r="851" spans="1:13" s="53" customFormat="1" ht="42.75" hidden="1" customHeight="1">
      <c r="A851" s="71" t="s">
        <v>2058</v>
      </c>
      <c r="B851" s="62" t="s">
        <v>1131</v>
      </c>
      <c r="C851" s="77" t="s">
        <v>1135</v>
      </c>
      <c r="G851" s="70"/>
      <c r="H851" s="70" t="str">
        <f t="shared" si="12"/>
        <v>Protocol</v>
      </c>
      <c r="I851" s="62" t="s">
        <v>42</v>
      </c>
      <c r="J851" s="62" t="s">
        <v>53</v>
      </c>
      <c r="K851" s="62" t="s">
        <v>9</v>
      </c>
      <c r="L851" s="70" t="s">
        <v>50</v>
      </c>
      <c r="M851" s="70" t="s">
        <v>153</v>
      </c>
    </row>
    <row r="852" spans="1:13" s="53" customFormat="1" ht="50.25" hidden="1" customHeight="1">
      <c r="A852" s="71" t="s">
        <v>2059</v>
      </c>
      <c r="B852" s="62" t="s">
        <v>1131</v>
      </c>
      <c r="C852" s="77" t="s">
        <v>1136</v>
      </c>
      <c r="G852" s="70"/>
      <c r="H852" s="70" t="str">
        <f t="shared" si="12"/>
        <v>Protocol</v>
      </c>
      <c r="I852" s="62" t="s">
        <v>42</v>
      </c>
      <c r="J852" s="62" t="s">
        <v>53</v>
      </c>
      <c r="K852" s="62" t="s">
        <v>9</v>
      </c>
      <c r="L852" s="70" t="s">
        <v>50</v>
      </c>
      <c r="M852" s="70" t="s">
        <v>153</v>
      </c>
    </row>
    <row r="853" spans="1:13" s="53" customFormat="1" ht="63" hidden="1" customHeight="1">
      <c r="A853" s="71" t="s">
        <v>2060</v>
      </c>
      <c r="B853" s="62" t="s">
        <v>1131</v>
      </c>
      <c r="C853" s="77" t="s">
        <v>1137</v>
      </c>
      <c r="G853" s="70"/>
      <c r="H853" s="70" t="str">
        <f t="shared" si="12"/>
        <v>Protocol</v>
      </c>
      <c r="I853" s="62" t="s">
        <v>42</v>
      </c>
      <c r="J853" s="62" t="s">
        <v>53</v>
      </c>
      <c r="K853" s="62" t="s">
        <v>9</v>
      </c>
      <c r="L853" s="70" t="s">
        <v>50</v>
      </c>
      <c r="M853" s="70" t="s">
        <v>153</v>
      </c>
    </row>
    <row r="854" spans="1:13" s="53" customFormat="1" ht="65.25" hidden="1" customHeight="1">
      <c r="A854" s="71" t="s">
        <v>2061</v>
      </c>
      <c r="B854" s="62" t="s">
        <v>1131</v>
      </c>
      <c r="C854" s="77" t="s">
        <v>1138</v>
      </c>
      <c r="G854" s="70"/>
      <c r="H854" s="70" t="str">
        <f t="shared" si="12"/>
        <v>Protocol</v>
      </c>
      <c r="I854" s="62" t="s">
        <v>42</v>
      </c>
      <c r="J854" s="62" t="s">
        <v>53</v>
      </c>
      <c r="K854" s="62" t="s">
        <v>9</v>
      </c>
      <c r="L854" s="70" t="s">
        <v>50</v>
      </c>
      <c r="M854" s="70" t="s">
        <v>153</v>
      </c>
    </row>
    <row r="855" spans="1:13" s="53" customFormat="1" ht="81" hidden="1" customHeight="1">
      <c r="A855" s="71" t="s">
        <v>2062</v>
      </c>
      <c r="B855" s="62" t="s">
        <v>1131</v>
      </c>
      <c r="C855" s="77" t="s">
        <v>1139</v>
      </c>
      <c r="G855" s="70"/>
      <c r="H855" s="70" t="str">
        <f t="shared" si="12"/>
        <v>Protocol</v>
      </c>
      <c r="I855" s="62" t="s">
        <v>42</v>
      </c>
      <c r="J855" s="62" t="s">
        <v>53</v>
      </c>
      <c r="K855" s="62" t="s">
        <v>9</v>
      </c>
      <c r="L855" s="70" t="s">
        <v>50</v>
      </c>
      <c r="M855" s="70" t="s">
        <v>153</v>
      </c>
    </row>
    <row r="856" spans="1:13" s="53" customFormat="1" ht="85.5" hidden="1" customHeight="1">
      <c r="A856" s="71" t="s">
        <v>2063</v>
      </c>
      <c r="B856" s="62" t="s">
        <v>1131</v>
      </c>
      <c r="C856" s="77" t="s">
        <v>1140</v>
      </c>
      <c r="G856" s="70"/>
      <c r="H856" s="70" t="str">
        <f t="shared" si="12"/>
        <v>Protocol</v>
      </c>
      <c r="I856" s="62" t="s">
        <v>42</v>
      </c>
      <c r="J856" s="62" t="s">
        <v>53</v>
      </c>
      <c r="K856" s="62" t="s">
        <v>9</v>
      </c>
      <c r="L856" s="70" t="s">
        <v>50</v>
      </c>
      <c r="M856" s="70" t="s">
        <v>153</v>
      </c>
    </row>
    <row r="857" spans="1:13" s="53" customFormat="1" ht="100.5" hidden="1" customHeight="1">
      <c r="A857" s="71" t="s">
        <v>2064</v>
      </c>
      <c r="B857" s="62" t="s">
        <v>1141</v>
      </c>
      <c r="C857" s="77" t="s">
        <v>1142</v>
      </c>
      <c r="G857" s="70"/>
      <c r="H857" s="70" t="str">
        <f t="shared" si="12"/>
        <v>Protocol</v>
      </c>
      <c r="I857" s="62" t="s">
        <v>42</v>
      </c>
      <c r="J857" s="62" t="s">
        <v>54</v>
      </c>
      <c r="K857" s="62" t="s">
        <v>8</v>
      </c>
      <c r="L857" s="70" t="s">
        <v>50</v>
      </c>
      <c r="M857" s="70" t="s">
        <v>231</v>
      </c>
    </row>
    <row r="858" spans="1:13" s="53" customFormat="1" ht="54" hidden="1" customHeight="1">
      <c r="A858" s="71" t="s">
        <v>2065</v>
      </c>
      <c r="B858" s="62" t="s">
        <v>1141</v>
      </c>
      <c r="C858" s="77" t="s">
        <v>1143</v>
      </c>
      <c r="G858" s="70"/>
      <c r="H858" s="70" t="str">
        <f t="shared" si="12"/>
        <v>Protocol</v>
      </c>
      <c r="I858" s="62" t="s">
        <v>42</v>
      </c>
      <c r="J858" s="62" t="s">
        <v>53</v>
      </c>
      <c r="K858" s="62" t="s">
        <v>9</v>
      </c>
      <c r="L858" s="70" t="s">
        <v>50</v>
      </c>
      <c r="M858" s="70" t="s">
        <v>153</v>
      </c>
    </row>
    <row r="859" spans="1:13" s="53" customFormat="1" ht="82.5" hidden="1" customHeight="1">
      <c r="A859" s="71" t="s">
        <v>2066</v>
      </c>
      <c r="B859" s="62" t="s">
        <v>1141</v>
      </c>
      <c r="C859" s="77" t="s">
        <v>1144</v>
      </c>
      <c r="G859" s="70"/>
      <c r="H859" s="70" t="str">
        <f t="shared" si="12"/>
        <v>Protocol</v>
      </c>
      <c r="I859" s="62" t="s">
        <v>42</v>
      </c>
      <c r="J859" s="62" t="s">
        <v>53</v>
      </c>
      <c r="K859" s="62" t="s">
        <v>9</v>
      </c>
      <c r="L859" s="70" t="s">
        <v>50</v>
      </c>
      <c r="M859" s="70" t="s">
        <v>153</v>
      </c>
    </row>
    <row r="860" spans="1:13" s="53" customFormat="1" ht="69.75" hidden="1" customHeight="1">
      <c r="A860" s="71" t="s">
        <v>2067</v>
      </c>
      <c r="B860" s="62" t="s">
        <v>1141</v>
      </c>
      <c r="C860" s="77" t="s">
        <v>1145</v>
      </c>
      <c r="G860" s="70"/>
      <c r="H860" s="70" t="str">
        <f t="shared" si="12"/>
        <v>Protocol</v>
      </c>
      <c r="I860" s="62" t="s">
        <v>42</v>
      </c>
      <c r="J860" s="62" t="s">
        <v>53</v>
      </c>
      <c r="K860" s="62" t="s">
        <v>9</v>
      </c>
      <c r="L860" s="70" t="s">
        <v>50</v>
      </c>
      <c r="M860" s="70" t="s">
        <v>153</v>
      </c>
    </row>
    <row r="861" spans="1:13" s="53" customFormat="1" ht="53.25" hidden="1" customHeight="1">
      <c r="A861" s="71" t="s">
        <v>2068</v>
      </c>
      <c r="B861" s="62" t="s">
        <v>1141</v>
      </c>
      <c r="C861" s="77" t="s">
        <v>1146</v>
      </c>
      <c r="G861" s="70"/>
      <c r="H861" s="70" t="str">
        <f t="shared" si="12"/>
        <v>Protocol</v>
      </c>
      <c r="I861" s="62" t="s">
        <v>42</v>
      </c>
      <c r="J861" s="62" t="s">
        <v>53</v>
      </c>
      <c r="K861" s="62" t="s">
        <v>9</v>
      </c>
      <c r="L861" s="70" t="s">
        <v>50</v>
      </c>
      <c r="M861" s="70" t="s">
        <v>153</v>
      </c>
    </row>
    <row r="862" spans="1:13" s="53" customFormat="1" ht="84" hidden="1" customHeight="1">
      <c r="A862" s="71" t="s">
        <v>2069</v>
      </c>
      <c r="B862" s="62" t="s">
        <v>1141</v>
      </c>
      <c r="C862" s="77" t="s">
        <v>1147</v>
      </c>
      <c r="G862" s="70"/>
      <c r="H862" s="70" t="str">
        <f t="shared" si="12"/>
        <v>Protocol</v>
      </c>
      <c r="I862" s="62" t="s">
        <v>42</v>
      </c>
      <c r="J862" s="62" t="s">
        <v>53</v>
      </c>
      <c r="K862" s="62" t="s">
        <v>9</v>
      </c>
      <c r="L862" s="70" t="s">
        <v>50</v>
      </c>
      <c r="M862" s="70" t="s">
        <v>153</v>
      </c>
    </row>
    <row r="863" spans="1:13" s="53" customFormat="1" ht="57.75" hidden="1" customHeight="1">
      <c r="A863" s="71" t="s">
        <v>2070</v>
      </c>
      <c r="B863" s="62" t="s">
        <v>1141</v>
      </c>
      <c r="C863" s="77" t="s">
        <v>1148</v>
      </c>
      <c r="G863" s="70"/>
      <c r="H863" s="70" t="str">
        <f t="shared" si="12"/>
        <v>Protocol</v>
      </c>
      <c r="I863" s="62" t="s">
        <v>42</v>
      </c>
      <c r="J863" s="62" t="s">
        <v>53</v>
      </c>
      <c r="K863" s="62" t="s">
        <v>9</v>
      </c>
      <c r="L863" s="70" t="s">
        <v>50</v>
      </c>
      <c r="M863" s="70" t="s">
        <v>153</v>
      </c>
    </row>
    <row r="864" spans="1:13" s="53" customFormat="1" ht="45.75" hidden="1" customHeight="1">
      <c r="A864" s="71" t="s">
        <v>2071</v>
      </c>
      <c r="B864" s="62" t="s">
        <v>1141</v>
      </c>
      <c r="C864" s="77" t="s">
        <v>1149</v>
      </c>
      <c r="G864" s="70"/>
      <c r="H864" s="70" t="str">
        <f t="shared" si="12"/>
        <v>Protocol</v>
      </c>
      <c r="I864" s="62" t="s">
        <v>42</v>
      </c>
      <c r="J864" s="62" t="s">
        <v>53</v>
      </c>
      <c r="K864" s="62" t="s">
        <v>9</v>
      </c>
      <c r="L864" s="70" t="s">
        <v>50</v>
      </c>
      <c r="M864" s="70" t="s">
        <v>153</v>
      </c>
    </row>
    <row r="865" spans="1:13" s="53" customFormat="1" ht="57.75" hidden="1" customHeight="1">
      <c r="A865" s="71" t="s">
        <v>2072</v>
      </c>
      <c r="B865" s="62" t="s">
        <v>1141</v>
      </c>
      <c r="C865" s="77" t="s">
        <v>1150</v>
      </c>
      <c r="D865" s="53" t="s">
        <v>1151</v>
      </c>
      <c r="E865" s="53" t="s">
        <v>1152</v>
      </c>
      <c r="G865" s="70"/>
      <c r="H865" s="70" t="str">
        <f t="shared" si="12"/>
        <v>Protocol</v>
      </c>
      <c r="I865" s="62" t="s">
        <v>42</v>
      </c>
      <c r="J865" s="62" t="s">
        <v>53</v>
      </c>
      <c r="K865" s="62" t="s">
        <v>9</v>
      </c>
      <c r="L865" s="70" t="s">
        <v>50</v>
      </c>
      <c r="M865" s="70" t="s">
        <v>153</v>
      </c>
    </row>
    <row r="866" spans="1:13" s="53" customFormat="1" ht="69" hidden="1" customHeight="1">
      <c r="A866" s="71" t="s">
        <v>2073</v>
      </c>
      <c r="B866" s="62" t="s">
        <v>1141</v>
      </c>
      <c r="C866" s="77" t="s">
        <v>1153</v>
      </c>
      <c r="G866" s="70"/>
      <c r="H866" s="70" t="str">
        <f t="shared" si="12"/>
        <v>Protocol</v>
      </c>
      <c r="I866" s="62" t="s">
        <v>42</v>
      </c>
      <c r="J866" s="62" t="s">
        <v>53</v>
      </c>
      <c r="K866" s="62" t="s">
        <v>9</v>
      </c>
      <c r="L866" s="70" t="s">
        <v>50</v>
      </c>
      <c r="M866" s="70" t="s">
        <v>153</v>
      </c>
    </row>
    <row r="867" spans="1:13" s="53" customFormat="1" ht="81" hidden="1" customHeight="1">
      <c r="A867" s="71" t="s">
        <v>2074</v>
      </c>
      <c r="B867" s="62" t="s">
        <v>1141</v>
      </c>
      <c r="C867" s="77" t="s">
        <v>1154</v>
      </c>
      <c r="G867" s="70"/>
      <c r="H867" s="70" t="str">
        <f t="shared" si="12"/>
        <v>Protocol</v>
      </c>
      <c r="I867" s="62" t="s">
        <v>42</v>
      </c>
      <c r="J867" s="62" t="s">
        <v>53</v>
      </c>
      <c r="K867" s="62" t="s">
        <v>9</v>
      </c>
      <c r="L867" s="70" t="s">
        <v>50</v>
      </c>
      <c r="M867" s="70" t="s">
        <v>153</v>
      </c>
    </row>
    <row r="868" spans="1:13" s="53" customFormat="1" ht="72.75" hidden="1" customHeight="1">
      <c r="A868" s="71" t="s">
        <v>2075</v>
      </c>
      <c r="B868" s="62" t="s">
        <v>1155</v>
      </c>
      <c r="C868" s="77" t="s">
        <v>1156</v>
      </c>
      <c r="G868" s="70"/>
      <c r="H868" s="70" t="str">
        <f t="shared" si="12"/>
        <v>Protocol</v>
      </c>
      <c r="I868" s="62" t="s">
        <v>42</v>
      </c>
      <c r="J868" s="62" t="s">
        <v>53</v>
      </c>
      <c r="K868" s="62" t="s">
        <v>9</v>
      </c>
      <c r="L868" s="70" t="s">
        <v>50</v>
      </c>
      <c r="M868" s="70" t="s">
        <v>153</v>
      </c>
    </row>
    <row r="869" spans="1:13" s="53" customFormat="1" ht="72.75" hidden="1" customHeight="1">
      <c r="A869" s="71" t="s">
        <v>2076</v>
      </c>
      <c r="B869" s="62" t="s">
        <v>1155</v>
      </c>
      <c r="C869" s="77" t="s">
        <v>1157</v>
      </c>
      <c r="G869" s="70"/>
      <c r="H869" s="70" t="str">
        <f t="shared" si="12"/>
        <v>Protocol</v>
      </c>
      <c r="I869" s="62" t="s">
        <v>42</v>
      </c>
      <c r="J869" s="62" t="s">
        <v>53</v>
      </c>
      <c r="K869" s="62" t="s">
        <v>9</v>
      </c>
      <c r="L869" s="70" t="s">
        <v>50</v>
      </c>
      <c r="M869" s="70" t="s">
        <v>153</v>
      </c>
    </row>
    <row r="870" spans="1:13" s="53" customFormat="1" ht="63" hidden="1" customHeight="1">
      <c r="A870" s="71" t="s">
        <v>2077</v>
      </c>
      <c r="B870" s="62" t="s">
        <v>1155</v>
      </c>
      <c r="C870" s="77" t="s">
        <v>1158</v>
      </c>
      <c r="G870" s="70"/>
      <c r="H870" s="70" t="str">
        <f t="shared" si="12"/>
        <v>Protocol</v>
      </c>
      <c r="I870" s="62" t="s">
        <v>42</v>
      </c>
      <c r="J870" s="62" t="s">
        <v>53</v>
      </c>
      <c r="K870" s="62" t="s">
        <v>9</v>
      </c>
      <c r="L870" s="70" t="s">
        <v>50</v>
      </c>
      <c r="M870" s="70" t="s">
        <v>153</v>
      </c>
    </row>
    <row r="871" spans="1:13" s="53" customFormat="1" ht="51" hidden="1" customHeight="1">
      <c r="A871" s="71" t="s">
        <v>2078</v>
      </c>
      <c r="B871" s="62" t="s">
        <v>1155</v>
      </c>
      <c r="C871" s="77" t="s">
        <v>1159</v>
      </c>
      <c r="G871" s="70"/>
      <c r="H871" s="70" t="str">
        <f t="shared" si="12"/>
        <v>Protocol</v>
      </c>
      <c r="I871" s="62" t="s">
        <v>42</v>
      </c>
      <c r="J871" s="62" t="s">
        <v>53</v>
      </c>
      <c r="K871" s="62" t="s">
        <v>9</v>
      </c>
      <c r="L871" s="70" t="s">
        <v>50</v>
      </c>
      <c r="M871" s="70" t="s">
        <v>153</v>
      </c>
    </row>
    <row r="872" spans="1:13" s="53" customFormat="1" ht="51.75" hidden="1" customHeight="1">
      <c r="A872" s="71" t="s">
        <v>2079</v>
      </c>
      <c r="B872" s="62" t="s">
        <v>1155</v>
      </c>
      <c r="C872" s="77" t="s">
        <v>1160</v>
      </c>
      <c r="D872" s="53" t="s">
        <v>1161</v>
      </c>
      <c r="E872" s="53" t="s">
        <v>1162</v>
      </c>
      <c r="G872" s="70"/>
      <c r="H872" s="70" t="str">
        <f t="shared" si="12"/>
        <v>Protocol</v>
      </c>
      <c r="I872" s="62" t="s">
        <v>42</v>
      </c>
      <c r="J872" s="62" t="s">
        <v>53</v>
      </c>
      <c r="K872" s="62" t="s">
        <v>9</v>
      </c>
      <c r="L872" s="70" t="s">
        <v>50</v>
      </c>
      <c r="M872" s="70" t="s">
        <v>153</v>
      </c>
    </row>
    <row r="873" spans="1:13" s="53" customFormat="1" ht="68.25" hidden="1" customHeight="1">
      <c r="A873" s="71" t="s">
        <v>2080</v>
      </c>
      <c r="B873" s="62" t="s">
        <v>1155</v>
      </c>
      <c r="C873" s="77" t="s">
        <v>1163</v>
      </c>
      <c r="G873" s="70"/>
      <c r="H873" s="70" t="str">
        <f t="shared" si="12"/>
        <v>Protocol</v>
      </c>
      <c r="I873" s="62" t="s">
        <v>42</v>
      </c>
      <c r="J873" s="62" t="s">
        <v>53</v>
      </c>
      <c r="K873" s="62" t="s">
        <v>9</v>
      </c>
      <c r="L873" s="70" t="s">
        <v>50</v>
      </c>
      <c r="M873" s="70" t="s">
        <v>153</v>
      </c>
    </row>
    <row r="874" spans="1:13" s="53" customFormat="1" ht="53.25" hidden="1" customHeight="1">
      <c r="A874" s="71" t="s">
        <v>2081</v>
      </c>
      <c r="B874" s="62" t="s">
        <v>1155</v>
      </c>
      <c r="C874" s="77" t="s">
        <v>1164</v>
      </c>
      <c r="G874" s="70"/>
      <c r="H874" s="70" t="str">
        <f t="shared" si="12"/>
        <v>Protocol</v>
      </c>
      <c r="I874" s="62" t="s">
        <v>42</v>
      </c>
      <c r="J874" s="62" t="s">
        <v>53</v>
      </c>
      <c r="K874" s="62" t="s">
        <v>9</v>
      </c>
      <c r="L874" s="70" t="s">
        <v>50</v>
      </c>
      <c r="M874" s="70" t="s">
        <v>153</v>
      </c>
    </row>
    <row r="875" spans="1:13" s="53" customFormat="1" ht="54.75" hidden="1" customHeight="1">
      <c r="A875" s="71" t="s">
        <v>2082</v>
      </c>
      <c r="B875" s="62" t="s">
        <v>1155</v>
      </c>
      <c r="C875" s="77" t="s">
        <v>1165</v>
      </c>
      <c r="G875" s="70"/>
      <c r="H875" s="70" t="str">
        <f t="shared" si="12"/>
        <v>Protocol</v>
      </c>
      <c r="I875" s="62" t="s">
        <v>42</v>
      </c>
      <c r="J875" s="62" t="s">
        <v>54</v>
      </c>
      <c r="K875" s="62" t="s">
        <v>8</v>
      </c>
      <c r="L875" s="70" t="s">
        <v>50</v>
      </c>
      <c r="M875" s="70" t="s">
        <v>231</v>
      </c>
    </row>
    <row r="876" spans="1:13" s="53" customFormat="1" ht="53.25" hidden="1" customHeight="1">
      <c r="A876" s="71" t="s">
        <v>2083</v>
      </c>
      <c r="B876" s="62" t="s">
        <v>1166</v>
      </c>
      <c r="C876" s="77" t="s">
        <v>1167</v>
      </c>
      <c r="G876" s="70"/>
      <c r="H876" s="70" t="str">
        <f t="shared" si="12"/>
        <v>Protocol</v>
      </c>
      <c r="I876" s="62" t="s">
        <v>42</v>
      </c>
      <c r="J876" s="62" t="s">
        <v>53</v>
      </c>
      <c r="K876" s="62" t="s">
        <v>9</v>
      </c>
      <c r="L876" s="70" t="s">
        <v>50</v>
      </c>
      <c r="M876" s="70" t="s">
        <v>153</v>
      </c>
    </row>
    <row r="877" spans="1:13" s="53" customFormat="1" ht="118.5" hidden="1" customHeight="1">
      <c r="A877" s="71" t="s">
        <v>2084</v>
      </c>
      <c r="B877" s="62" t="s">
        <v>1166</v>
      </c>
      <c r="C877" s="77" t="s">
        <v>1168</v>
      </c>
      <c r="G877" s="70"/>
      <c r="H877" s="70" t="str">
        <f t="shared" si="12"/>
        <v>Protocol</v>
      </c>
      <c r="I877" s="62" t="s">
        <v>42</v>
      </c>
      <c r="J877" s="62" t="s">
        <v>53</v>
      </c>
      <c r="K877" s="62" t="s">
        <v>9</v>
      </c>
      <c r="L877" s="70" t="s">
        <v>50</v>
      </c>
      <c r="M877" s="70" t="s">
        <v>153</v>
      </c>
    </row>
    <row r="878" spans="1:13" s="53" customFormat="1" ht="65.25" hidden="1" customHeight="1">
      <c r="A878" s="71" t="s">
        <v>2085</v>
      </c>
      <c r="B878" s="62" t="s">
        <v>1166</v>
      </c>
      <c r="C878" s="77" t="s">
        <v>1169</v>
      </c>
      <c r="G878" s="70"/>
      <c r="H878" s="70" t="str">
        <f t="shared" si="12"/>
        <v>Protocol</v>
      </c>
      <c r="I878" s="62" t="s">
        <v>42</v>
      </c>
      <c r="J878" s="62" t="s">
        <v>53</v>
      </c>
      <c r="K878" s="62" t="s">
        <v>9</v>
      </c>
      <c r="L878" s="70" t="s">
        <v>50</v>
      </c>
      <c r="M878" s="70" t="s">
        <v>153</v>
      </c>
    </row>
    <row r="879" spans="1:13" s="53" customFormat="1" ht="122.25" hidden="1" customHeight="1">
      <c r="A879" s="71" t="s">
        <v>2086</v>
      </c>
      <c r="B879" s="62" t="s">
        <v>96</v>
      </c>
      <c r="C879" s="77" t="s">
        <v>1170</v>
      </c>
      <c r="G879" s="70"/>
      <c r="H879" s="70" t="s">
        <v>142</v>
      </c>
      <c r="I879" s="62" t="s">
        <v>42</v>
      </c>
      <c r="J879" s="62" t="s">
        <v>53</v>
      </c>
      <c r="K879" s="62" t="s">
        <v>9</v>
      </c>
      <c r="L879" s="70" t="s">
        <v>50</v>
      </c>
      <c r="M879" s="70" t="s">
        <v>153</v>
      </c>
    </row>
    <row r="880" spans="1:13" s="53" customFormat="1" ht="70.5" hidden="1" customHeight="1">
      <c r="A880" s="71" t="s">
        <v>2087</v>
      </c>
      <c r="B880" s="62" t="s">
        <v>96</v>
      </c>
      <c r="C880" s="77" t="s">
        <v>1171</v>
      </c>
      <c r="G880" s="70"/>
      <c r="H880" s="70" t="s">
        <v>142</v>
      </c>
      <c r="I880" s="62" t="s">
        <v>42</v>
      </c>
      <c r="J880" s="62" t="s">
        <v>53</v>
      </c>
      <c r="K880" s="62" t="s">
        <v>9</v>
      </c>
      <c r="L880" s="70" t="s">
        <v>50</v>
      </c>
      <c r="M880" s="70" t="s">
        <v>153</v>
      </c>
    </row>
    <row r="881" spans="1:13" s="53" customFormat="1" ht="48.75" hidden="1" customHeight="1">
      <c r="A881" s="71" t="s">
        <v>2088</v>
      </c>
      <c r="B881" s="62" t="s">
        <v>1166</v>
      </c>
      <c r="C881" s="77" t="s">
        <v>1172</v>
      </c>
      <c r="D881" s="53" t="s">
        <v>1173</v>
      </c>
      <c r="E881" s="53" t="s">
        <v>1174</v>
      </c>
      <c r="G881" s="70"/>
      <c r="H881" s="70" t="str">
        <f t="shared" si="12"/>
        <v>Protocol</v>
      </c>
      <c r="I881" s="62" t="s">
        <v>42</v>
      </c>
      <c r="J881" s="62" t="s">
        <v>53</v>
      </c>
      <c r="K881" s="62" t="s">
        <v>9</v>
      </c>
      <c r="L881" s="70" t="s">
        <v>50</v>
      </c>
      <c r="M881" s="70" t="s">
        <v>153</v>
      </c>
    </row>
    <row r="882" spans="1:13" s="53" customFormat="1" ht="56.25" hidden="1" customHeight="1">
      <c r="A882" s="71" t="s">
        <v>2089</v>
      </c>
      <c r="B882" s="62" t="s">
        <v>1166</v>
      </c>
      <c r="C882" s="77" t="s">
        <v>1175</v>
      </c>
      <c r="G882" s="70"/>
      <c r="H882" s="70" t="str">
        <f t="shared" si="12"/>
        <v>Protocol</v>
      </c>
      <c r="I882" s="62" t="s">
        <v>42</v>
      </c>
      <c r="J882" s="62" t="s">
        <v>53</v>
      </c>
      <c r="K882" s="62" t="s">
        <v>9</v>
      </c>
      <c r="L882" s="70" t="s">
        <v>50</v>
      </c>
      <c r="M882" s="70" t="s">
        <v>153</v>
      </c>
    </row>
    <row r="883" spans="1:13" s="53" customFormat="1" ht="54" hidden="1" customHeight="1">
      <c r="A883" s="71" t="s">
        <v>2090</v>
      </c>
      <c r="B883" s="62" t="s">
        <v>1166</v>
      </c>
      <c r="C883" s="77" t="s">
        <v>1176</v>
      </c>
      <c r="G883" s="70"/>
      <c r="H883" s="70" t="str">
        <f t="shared" si="12"/>
        <v>Protocol</v>
      </c>
      <c r="I883" s="62" t="s">
        <v>42</v>
      </c>
      <c r="J883" s="62" t="s">
        <v>53</v>
      </c>
      <c r="K883" s="62" t="s">
        <v>9</v>
      </c>
      <c r="L883" s="70" t="s">
        <v>50</v>
      </c>
      <c r="M883" s="70" t="s">
        <v>153</v>
      </c>
    </row>
    <row r="884" spans="1:13" s="53" customFormat="1" ht="83.25" hidden="1" customHeight="1">
      <c r="A884" s="71" t="s">
        <v>2091</v>
      </c>
      <c r="B884" s="62" t="s">
        <v>1177</v>
      </c>
      <c r="C884" s="77" t="s">
        <v>1178</v>
      </c>
      <c r="G884" s="70"/>
      <c r="H884" s="70" t="str">
        <f t="shared" si="12"/>
        <v>Protocol</v>
      </c>
      <c r="I884" s="62" t="s">
        <v>42</v>
      </c>
      <c r="J884" s="62" t="s">
        <v>53</v>
      </c>
      <c r="K884" s="62" t="s">
        <v>9</v>
      </c>
      <c r="L884" s="70" t="s">
        <v>50</v>
      </c>
      <c r="M884" s="70" t="s">
        <v>153</v>
      </c>
    </row>
    <row r="885" spans="1:13" s="53" customFormat="1" ht="129" hidden="1" customHeight="1">
      <c r="A885" s="71" t="s">
        <v>2092</v>
      </c>
      <c r="B885" s="62" t="s">
        <v>1177</v>
      </c>
      <c r="C885" s="77" t="s">
        <v>1179</v>
      </c>
      <c r="G885" s="70"/>
      <c r="H885" s="70" t="str">
        <f t="shared" si="12"/>
        <v>Protocol</v>
      </c>
      <c r="I885" s="62" t="s">
        <v>42</v>
      </c>
      <c r="J885" s="62" t="s">
        <v>53</v>
      </c>
      <c r="K885" s="62" t="s">
        <v>9</v>
      </c>
      <c r="L885" s="70" t="s">
        <v>50</v>
      </c>
      <c r="M885" s="70" t="s">
        <v>153</v>
      </c>
    </row>
    <row r="886" spans="1:13" s="53" customFormat="1" ht="52.5" hidden="1" customHeight="1">
      <c r="A886" s="71" t="s">
        <v>2093</v>
      </c>
      <c r="B886" s="62" t="s">
        <v>1177</v>
      </c>
      <c r="C886" s="77" t="s">
        <v>1180</v>
      </c>
      <c r="D886" s="53" t="s">
        <v>1181</v>
      </c>
      <c r="E886" s="53" t="s">
        <v>1182</v>
      </c>
      <c r="G886" s="70"/>
      <c r="H886" s="70" t="str">
        <f t="shared" si="12"/>
        <v>Protocol</v>
      </c>
      <c r="I886" s="62" t="s">
        <v>42</v>
      </c>
      <c r="J886" s="62" t="s">
        <v>53</v>
      </c>
      <c r="K886" s="62" t="s">
        <v>9</v>
      </c>
      <c r="L886" s="70" t="s">
        <v>50</v>
      </c>
      <c r="M886" s="70" t="s">
        <v>153</v>
      </c>
    </row>
    <row r="887" spans="1:13" s="53" customFormat="1" ht="52.5" hidden="1" customHeight="1">
      <c r="A887" s="71" t="s">
        <v>2094</v>
      </c>
      <c r="B887" s="62" t="s">
        <v>1177</v>
      </c>
      <c r="C887" s="77" t="s">
        <v>1183</v>
      </c>
      <c r="G887" s="70"/>
      <c r="H887" s="70" t="str">
        <f t="shared" si="12"/>
        <v>Protocol</v>
      </c>
      <c r="I887" s="62" t="s">
        <v>42</v>
      </c>
      <c r="J887" s="62" t="s">
        <v>53</v>
      </c>
      <c r="K887" s="62" t="s">
        <v>9</v>
      </c>
      <c r="L887" s="70" t="s">
        <v>50</v>
      </c>
      <c r="M887" s="70" t="s">
        <v>153</v>
      </c>
    </row>
    <row r="888" spans="1:13" s="53" customFormat="1" ht="57" hidden="1" customHeight="1">
      <c r="A888" s="71" t="s">
        <v>2095</v>
      </c>
      <c r="B888" s="62" t="s">
        <v>1177</v>
      </c>
      <c r="C888" s="77" t="s">
        <v>1184</v>
      </c>
      <c r="G888" s="70"/>
      <c r="H888" s="70" t="str">
        <f t="shared" si="12"/>
        <v>Protocol</v>
      </c>
      <c r="I888" s="62" t="s">
        <v>42</v>
      </c>
      <c r="J888" s="62" t="s">
        <v>53</v>
      </c>
      <c r="K888" s="62" t="s">
        <v>9</v>
      </c>
      <c r="L888" s="70" t="s">
        <v>50</v>
      </c>
      <c r="M888" s="70" t="s">
        <v>153</v>
      </c>
    </row>
    <row r="889" spans="1:13" s="53" customFormat="1" ht="48" hidden="1" customHeight="1">
      <c r="A889" s="71" t="s">
        <v>2096</v>
      </c>
      <c r="B889" s="62" t="s">
        <v>1177</v>
      </c>
      <c r="C889" s="77" t="s">
        <v>1185</v>
      </c>
      <c r="G889" s="70"/>
      <c r="H889" s="70" t="str">
        <f t="shared" si="12"/>
        <v>Protocol</v>
      </c>
      <c r="I889" s="62" t="s">
        <v>42</v>
      </c>
      <c r="J889" s="62" t="s">
        <v>53</v>
      </c>
      <c r="K889" s="62" t="s">
        <v>9</v>
      </c>
      <c r="L889" s="70" t="s">
        <v>50</v>
      </c>
      <c r="M889" s="70" t="s">
        <v>153</v>
      </c>
    </row>
    <row r="890" spans="1:13" s="53" customFormat="1" ht="55.5" hidden="1" customHeight="1">
      <c r="A890" s="71" t="s">
        <v>2097</v>
      </c>
      <c r="B890" s="62" t="s">
        <v>1186</v>
      </c>
      <c r="C890" s="77" t="s">
        <v>1187</v>
      </c>
      <c r="G890" s="70"/>
      <c r="H890" s="70" t="str">
        <f t="shared" si="12"/>
        <v>Protocol</v>
      </c>
      <c r="I890" s="62" t="s">
        <v>42</v>
      </c>
      <c r="J890" s="62" t="s">
        <v>54</v>
      </c>
      <c r="K890" s="62" t="s">
        <v>8</v>
      </c>
      <c r="L890" s="70" t="s">
        <v>50</v>
      </c>
      <c r="M890" s="70" t="s">
        <v>231</v>
      </c>
    </row>
    <row r="891" spans="1:13" s="53" customFormat="1" ht="66" hidden="1" customHeight="1">
      <c r="A891" s="71" t="s">
        <v>2098</v>
      </c>
      <c r="B891" s="62" t="s">
        <v>1186</v>
      </c>
      <c r="C891" s="77" t="s">
        <v>1188</v>
      </c>
      <c r="D891" s="53" t="s">
        <v>1189</v>
      </c>
      <c r="E891" s="53" t="s">
        <v>1190</v>
      </c>
      <c r="G891" s="70"/>
      <c r="H891" s="70" t="str">
        <f t="shared" si="12"/>
        <v>Protocol</v>
      </c>
      <c r="I891" s="62" t="s">
        <v>42</v>
      </c>
      <c r="J891" s="62" t="s">
        <v>53</v>
      </c>
      <c r="K891" s="62" t="s">
        <v>9</v>
      </c>
      <c r="L891" s="70" t="s">
        <v>50</v>
      </c>
      <c r="M891" s="70" t="s">
        <v>153</v>
      </c>
    </row>
    <row r="892" spans="1:13" s="53" customFormat="1" ht="70.5" hidden="1" customHeight="1">
      <c r="A892" s="71" t="s">
        <v>2099</v>
      </c>
      <c r="B892" s="62" t="s">
        <v>1191</v>
      </c>
      <c r="C892" s="77" t="s">
        <v>1192</v>
      </c>
      <c r="G892" s="70"/>
      <c r="H892" s="70" t="str">
        <f t="shared" si="12"/>
        <v>Protocol</v>
      </c>
      <c r="I892" s="62" t="s">
        <v>42</v>
      </c>
      <c r="J892" s="62" t="s">
        <v>54</v>
      </c>
      <c r="K892" s="62" t="s">
        <v>8</v>
      </c>
      <c r="L892" s="70" t="s">
        <v>50</v>
      </c>
      <c r="M892" s="70" t="s">
        <v>231</v>
      </c>
    </row>
    <row r="893" spans="1:13" s="53" customFormat="1" ht="56.25" hidden="1" customHeight="1">
      <c r="A893" s="71" t="s">
        <v>2100</v>
      </c>
      <c r="B893" s="62" t="s">
        <v>1191</v>
      </c>
      <c r="C893" s="77" t="s">
        <v>1193</v>
      </c>
      <c r="G893" s="70"/>
      <c r="H893" s="70" t="str">
        <f t="shared" si="12"/>
        <v>Protocol</v>
      </c>
      <c r="I893" s="62" t="s">
        <v>42</v>
      </c>
      <c r="J893" s="62" t="s">
        <v>53</v>
      </c>
      <c r="K893" s="62" t="s">
        <v>9</v>
      </c>
      <c r="L893" s="70" t="s">
        <v>50</v>
      </c>
      <c r="M893" s="70" t="s">
        <v>153</v>
      </c>
    </row>
    <row r="894" spans="1:13" s="53" customFormat="1" ht="66.75" hidden="1" customHeight="1">
      <c r="A894" s="71" t="s">
        <v>2101</v>
      </c>
      <c r="B894" s="62" t="s">
        <v>1194</v>
      </c>
      <c r="C894" s="77" t="s">
        <v>1195</v>
      </c>
      <c r="G894" s="70"/>
      <c r="H894" s="70" t="str">
        <f t="shared" si="12"/>
        <v>Protocol</v>
      </c>
      <c r="I894" s="62" t="s">
        <v>42</v>
      </c>
      <c r="J894" s="62" t="s">
        <v>53</v>
      </c>
      <c r="K894" s="62" t="s">
        <v>9</v>
      </c>
      <c r="L894" s="70" t="s">
        <v>50</v>
      </c>
      <c r="M894" s="70" t="s">
        <v>153</v>
      </c>
    </row>
    <row r="895" spans="1:13" s="53" customFormat="1" ht="51" hidden="1" customHeight="1">
      <c r="A895" s="71" t="s">
        <v>2102</v>
      </c>
      <c r="B895" s="62" t="s">
        <v>1194</v>
      </c>
      <c r="C895" s="77" t="s">
        <v>1196</v>
      </c>
      <c r="G895" s="70"/>
      <c r="H895" s="70" t="str">
        <f t="shared" si="12"/>
        <v>Protocol</v>
      </c>
      <c r="I895" s="62" t="s">
        <v>42</v>
      </c>
      <c r="J895" s="62" t="s">
        <v>53</v>
      </c>
      <c r="K895" s="62" t="s">
        <v>9</v>
      </c>
      <c r="L895" s="70" t="s">
        <v>50</v>
      </c>
      <c r="M895" s="70" t="s">
        <v>153</v>
      </c>
    </row>
    <row r="896" spans="1:13" s="53" customFormat="1" ht="65.25" hidden="1" customHeight="1">
      <c r="A896" s="71" t="s">
        <v>2103</v>
      </c>
      <c r="B896" s="62" t="s">
        <v>1197</v>
      </c>
      <c r="C896" s="77" t="s">
        <v>1198</v>
      </c>
      <c r="G896" s="70"/>
      <c r="H896" s="70" t="str">
        <f t="shared" si="12"/>
        <v>Protocol</v>
      </c>
      <c r="I896" s="62" t="s">
        <v>42</v>
      </c>
      <c r="J896" s="62" t="s">
        <v>53</v>
      </c>
      <c r="K896" s="62" t="s">
        <v>9</v>
      </c>
      <c r="L896" s="70" t="s">
        <v>50</v>
      </c>
      <c r="M896" s="70" t="s">
        <v>153</v>
      </c>
    </row>
    <row r="897" spans="1:13" s="53" customFormat="1" ht="54" hidden="1" customHeight="1">
      <c r="A897" s="71" t="s">
        <v>2104</v>
      </c>
      <c r="B897" s="62" t="s">
        <v>1197</v>
      </c>
      <c r="C897" s="77" t="s">
        <v>1199</v>
      </c>
      <c r="G897" s="70"/>
      <c r="H897" s="70" t="str">
        <f t="shared" ref="H897:H924" si="13">IF(LEFT(B897,1)="6","Product","Protocol")</f>
        <v>Protocol</v>
      </c>
      <c r="I897" s="62" t="s">
        <v>42</v>
      </c>
      <c r="J897" s="62" t="s">
        <v>54</v>
      </c>
      <c r="K897" s="62" t="s">
        <v>8</v>
      </c>
      <c r="L897" s="70" t="s">
        <v>50</v>
      </c>
      <c r="M897" s="70" t="s">
        <v>231</v>
      </c>
    </row>
    <row r="898" spans="1:13" s="53" customFormat="1" ht="73.5" hidden="1" customHeight="1">
      <c r="A898" s="71" t="s">
        <v>2105</v>
      </c>
      <c r="B898" s="62" t="s">
        <v>1197</v>
      </c>
      <c r="C898" s="77" t="s">
        <v>1200</v>
      </c>
      <c r="G898" s="70"/>
      <c r="H898" s="70" t="str">
        <f t="shared" si="13"/>
        <v>Protocol</v>
      </c>
      <c r="I898" s="62" t="s">
        <v>42</v>
      </c>
      <c r="J898" s="62" t="s">
        <v>54</v>
      </c>
      <c r="K898" s="62" t="s">
        <v>8</v>
      </c>
      <c r="L898" s="70" t="s">
        <v>50</v>
      </c>
      <c r="M898" s="70" t="s">
        <v>231</v>
      </c>
    </row>
    <row r="899" spans="1:13" s="53" customFormat="1" ht="71.25" hidden="1" customHeight="1">
      <c r="A899" s="71" t="s">
        <v>2106</v>
      </c>
      <c r="B899" s="62" t="s">
        <v>1197</v>
      </c>
      <c r="C899" s="77" t="s">
        <v>1201</v>
      </c>
      <c r="G899" s="70"/>
      <c r="H899" s="70" t="str">
        <f t="shared" si="13"/>
        <v>Protocol</v>
      </c>
      <c r="I899" s="62" t="s">
        <v>42</v>
      </c>
      <c r="J899" s="62" t="s">
        <v>54</v>
      </c>
      <c r="K899" s="62" t="s">
        <v>8</v>
      </c>
      <c r="L899" s="70" t="s">
        <v>50</v>
      </c>
      <c r="M899" s="70" t="s">
        <v>231</v>
      </c>
    </row>
    <row r="900" spans="1:13" s="53" customFormat="1" ht="69.75" hidden="1" customHeight="1">
      <c r="A900" s="71" t="s">
        <v>2107</v>
      </c>
      <c r="B900" s="62" t="s">
        <v>1197</v>
      </c>
      <c r="C900" s="77" t="s">
        <v>1202</v>
      </c>
      <c r="G900" s="70"/>
      <c r="H900" s="70" t="str">
        <f t="shared" si="13"/>
        <v>Protocol</v>
      </c>
      <c r="I900" s="62" t="s">
        <v>42</v>
      </c>
      <c r="J900" s="62" t="s">
        <v>53</v>
      </c>
      <c r="K900" s="62" t="s">
        <v>9</v>
      </c>
      <c r="L900" s="70" t="s">
        <v>50</v>
      </c>
      <c r="M900" s="70" t="s">
        <v>153</v>
      </c>
    </row>
    <row r="901" spans="1:13" s="53" customFormat="1" ht="51.75" hidden="1" customHeight="1">
      <c r="A901" s="71" t="s">
        <v>2108</v>
      </c>
      <c r="B901" s="62" t="s">
        <v>1203</v>
      </c>
      <c r="C901" s="77" t="s">
        <v>1204</v>
      </c>
      <c r="G901" s="70"/>
      <c r="H901" s="70" t="str">
        <f t="shared" si="13"/>
        <v>Protocol</v>
      </c>
      <c r="I901" s="62" t="s">
        <v>42</v>
      </c>
      <c r="J901" s="62" t="s">
        <v>53</v>
      </c>
      <c r="K901" s="62" t="s">
        <v>9</v>
      </c>
      <c r="L901" s="70" t="s">
        <v>50</v>
      </c>
      <c r="M901" s="70" t="s">
        <v>153</v>
      </c>
    </row>
    <row r="902" spans="1:13" s="53" customFormat="1" ht="69.75" hidden="1" customHeight="1">
      <c r="A902" s="71" t="s">
        <v>2109</v>
      </c>
      <c r="B902" s="62" t="s">
        <v>1203</v>
      </c>
      <c r="C902" s="77" t="s">
        <v>1205</v>
      </c>
      <c r="D902" s="61"/>
      <c r="G902" s="70"/>
      <c r="H902" s="70" t="str">
        <f t="shared" si="13"/>
        <v>Protocol</v>
      </c>
      <c r="I902" s="62" t="s">
        <v>42</v>
      </c>
      <c r="J902" s="62" t="s">
        <v>53</v>
      </c>
      <c r="K902" s="62" t="s">
        <v>9</v>
      </c>
      <c r="L902" s="70" t="s">
        <v>50</v>
      </c>
      <c r="M902" s="70" t="s">
        <v>153</v>
      </c>
    </row>
    <row r="903" spans="1:13" s="53" customFormat="1" ht="81" hidden="1" customHeight="1">
      <c r="A903" s="71" t="s">
        <v>2110</v>
      </c>
      <c r="B903" s="62" t="s">
        <v>1203</v>
      </c>
      <c r="C903" s="77" t="s">
        <v>1206</v>
      </c>
      <c r="G903" s="70"/>
      <c r="H903" s="70" t="str">
        <f t="shared" si="13"/>
        <v>Protocol</v>
      </c>
      <c r="I903" s="62" t="s">
        <v>42</v>
      </c>
      <c r="J903" s="62" t="s">
        <v>53</v>
      </c>
      <c r="K903" s="62" t="s">
        <v>9</v>
      </c>
      <c r="L903" s="70" t="s">
        <v>50</v>
      </c>
      <c r="M903" s="70" t="s">
        <v>153</v>
      </c>
    </row>
    <row r="904" spans="1:13" s="53" customFormat="1" ht="131.25" hidden="1" customHeight="1">
      <c r="A904" s="71" t="s">
        <v>2111</v>
      </c>
      <c r="B904" s="62" t="s">
        <v>1203</v>
      </c>
      <c r="C904" s="77" t="s">
        <v>1207</v>
      </c>
      <c r="E904" s="61"/>
      <c r="G904" s="70"/>
      <c r="H904" s="70" t="str">
        <f t="shared" si="13"/>
        <v>Protocol</v>
      </c>
      <c r="I904" s="62" t="s">
        <v>42</v>
      </c>
      <c r="J904" s="62" t="s">
        <v>53</v>
      </c>
      <c r="K904" s="62" t="s">
        <v>9</v>
      </c>
      <c r="L904" s="70" t="s">
        <v>50</v>
      </c>
      <c r="M904" s="70" t="s">
        <v>153</v>
      </c>
    </row>
    <row r="905" spans="1:13" s="53" customFormat="1" ht="90" hidden="1">
      <c r="A905" s="71" t="s">
        <v>2112</v>
      </c>
      <c r="B905" s="62" t="s">
        <v>1203</v>
      </c>
      <c r="C905" s="77" t="s">
        <v>1208</v>
      </c>
      <c r="G905" s="70"/>
      <c r="H905" s="70" t="str">
        <f t="shared" si="13"/>
        <v>Protocol</v>
      </c>
      <c r="I905" s="62" t="s">
        <v>42</v>
      </c>
      <c r="J905" s="62" t="s">
        <v>53</v>
      </c>
      <c r="K905" s="62" t="s">
        <v>9</v>
      </c>
      <c r="L905" s="70" t="s">
        <v>50</v>
      </c>
      <c r="M905" s="70" t="s">
        <v>153</v>
      </c>
    </row>
    <row r="906" spans="1:13" s="53" customFormat="1" ht="60" hidden="1">
      <c r="A906" s="71" t="s">
        <v>2113</v>
      </c>
      <c r="B906" s="62" t="s">
        <v>1203</v>
      </c>
      <c r="C906" s="77" t="s">
        <v>1209</v>
      </c>
      <c r="G906" s="70"/>
      <c r="H906" s="70" t="str">
        <f t="shared" si="13"/>
        <v>Protocol</v>
      </c>
      <c r="I906" s="62" t="s">
        <v>42</v>
      </c>
      <c r="J906" s="62" t="s">
        <v>53</v>
      </c>
      <c r="K906" s="62" t="s">
        <v>9</v>
      </c>
      <c r="L906" s="70" t="s">
        <v>50</v>
      </c>
      <c r="M906" s="70" t="s">
        <v>153</v>
      </c>
    </row>
    <row r="907" spans="1:13" s="53" customFormat="1" ht="75" hidden="1">
      <c r="A907" s="71" t="s">
        <v>2114</v>
      </c>
      <c r="B907" s="62" t="s">
        <v>1203</v>
      </c>
      <c r="C907" s="77" t="s">
        <v>1210</v>
      </c>
      <c r="G907" s="70"/>
      <c r="H907" s="70" t="str">
        <f t="shared" si="13"/>
        <v>Protocol</v>
      </c>
      <c r="I907" s="62" t="s">
        <v>42</v>
      </c>
      <c r="J907" s="62" t="s">
        <v>53</v>
      </c>
      <c r="K907" s="62" t="s">
        <v>9</v>
      </c>
      <c r="L907" s="70" t="s">
        <v>50</v>
      </c>
      <c r="M907" s="70" t="s">
        <v>153</v>
      </c>
    </row>
    <row r="908" spans="1:13" s="53" customFormat="1" ht="105" hidden="1">
      <c r="A908" s="71" t="s">
        <v>2115</v>
      </c>
      <c r="B908" s="62" t="s">
        <v>1203</v>
      </c>
      <c r="C908" s="77" t="s">
        <v>1211</v>
      </c>
      <c r="G908" s="70"/>
      <c r="H908" s="70" t="str">
        <f t="shared" si="13"/>
        <v>Protocol</v>
      </c>
      <c r="I908" s="62" t="s">
        <v>42</v>
      </c>
      <c r="J908" s="62" t="s">
        <v>54</v>
      </c>
      <c r="K908" s="62" t="s">
        <v>8</v>
      </c>
      <c r="L908" s="70" t="s">
        <v>50</v>
      </c>
      <c r="M908" s="70" t="s">
        <v>231</v>
      </c>
    </row>
    <row r="909" spans="1:13" s="53" customFormat="1" ht="75" hidden="1">
      <c r="A909" s="71" t="s">
        <v>2116</v>
      </c>
      <c r="B909" s="62" t="s">
        <v>1203</v>
      </c>
      <c r="C909" s="77" t="s">
        <v>1212</v>
      </c>
      <c r="G909" s="70"/>
      <c r="H909" s="70" t="str">
        <f t="shared" si="13"/>
        <v>Protocol</v>
      </c>
      <c r="I909" s="62" t="s">
        <v>42</v>
      </c>
      <c r="J909" s="62" t="s">
        <v>54</v>
      </c>
      <c r="K909" s="62" t="s">
        <v>8</v>
      </c>
      <c r="L909" s="70" t="s">
        <v>50</v>
      </c>
      <c r="M909" s="70" t="s">
        <v>231</v>
      </c>
    </row>
    <row r="910" spans="1:13" s="53" customFormat="1" ht="75" hidden="1">
      <c r="A910" s="71" t="s">
        <v>2117</v>
      </c>
      <c r="B910" s="62" t="s">
        <v>1203</v>
      </c>
      <c r="C910" s="77" t="s">
        <v>1213</v>
      </c>
      <c r="G910" s="70"/>
      <c r="H910" s="70" t="str">
        <f t="shared" si="13"/>
        <v>Protocol</v>
      </c>
      <c r="I910" s="62" t="s">
        <v>42</v>
      </c>
      <c r="J910" s="62" t="s">
        <v>54</v>
      </c>
      <c r="K910" s="62" t="s">
        <v>8</v>
      </c>
      <c r="L910" s="70" t="s">
        <v>50</v>
      </c>
      <c r="M910" s="70" t="s">
        <v>231</v>
      </c>
    </row>
    <row r="911" spans="1:13" s="53" customFormat="1" ht="75" hidden="1">
      <c r="A911" s="71" t="s">
        <v>2118</v>
      </c>
      <c r="B911" s="62" t="s">
        <v>1203</v>
      </c>
      <c r="C911" s="77" t="s">
        <v>1214</v>
      </c>
      <c r="G911" s="70"/>
      <c r="H911" s="70" t="str">
        <f t="shared" si="13"/>
        <v>Protocol</v>
      </c>
      <c r="I911" s="62" t="s">
        <v>42</v>
      </c>
      <c r="J911" s="62" t="s">
        <v>54</v>
      </c>
      <c r="K911" s="62" t="s">
        <v>8</v>
      </c>
      <c r="L911" s="70" t="s">
        <v>50</v>
      </c>
      <c r="M911" s="70" t="s">
        <v>231</v>
      </c>
    </row>
    <row r="912" spans="1:13" s="53" customFormat="1" ht="150" hidden="1">
      <c r="A912" s="71" t="s">
        <v>2119</v>
      </c>
      <c r="B912" s="62" t="s">
        <v>1203</v>
      </c>
      <c r="C912" s="77" t="s">
        <v>1215</v>
      </c>
      <c r="G912" s="70"/>
      <c r="H912" s="70" t="str">
        <f t="shared" si="13"/>
        <v>Protocol</v>
      </c>
      <c r="I912" s="62" t="s">
        <v>42</v>
      </c>
      <c r="J912" s="62" t="s">
        <v>54</v>
      </c>
      <c r="K912" s="62" t="s">
        <v>8</v>
      </c>
      <c r="L912" s="70" t="s">
        <v>50</v>
      </c>
      <c r="M912" s="70" t="s">
        <v>231</v>
      </c>
    </row>
    <row r="913" spans="1:13" s="53" customFormat="1" ht="75" hidden="1">
      <c r="A913" s="71" t="s">
        <v>2120</v>
      </c>
      <c r="B913" s="62" t="s">
        <v>1203</v>
      </c>
      <c r="C913" s="77" t="s">
        <v>1216</v>
      </c>
      <c r="G913" s="70"/>
      <c r="H913" s="70" t="str">
        <f t="shared" si="13"/>
        <v>Protocol</v>
      </c>
      <c r="I913" s="62" t="s">
        <v>42</v>
      </c>
      <c r="J913" s="62" t="s">
        <v>54</v>
      </c>
      <c r="K913" s="62" t="s">
        <v>8</v>
      </c>
      <c r="L913" s="70" t="s">
        <v>50</v>
      </c>
      <c r="M913" s="70" t="s">
        <v>231</v>
      </c>
    </row>
    <row r="914" spans="1:13" s="53" customFormat="1" ht="90" hidden="1">
      <c r="A914" s="71" t="s">
        <v>2121</v>
      </c>
      <c r="B914" s="62" t="s">
        <v>1203</v>
      </c>
      <c r="C914" s="77" t="s">
        <v>1217</v>
      </c>
      <c r="G914" s="70"/>
      <c r="H914" s="70" t="str">
        <f t="shared" si="13"/>
        <v>Protocol</v>
      </c>
      <c r="I914" s="62" t="s">
        <v>42</v>
      </c>
      <c r="J914" s="62" t="s">
        <v>54</v>
      </c>
      <c r="K914" s="62" t="s">
        <v>8</v>
      </c>
      <c r="L914" s="70" t="s">
        <v>50</v>
      </c>
      <c r="M914" s="70" t="s">
        <v>231</v>
      </c>
    </row>
    <row r="915" spans="1:13" s="53" customFormat="1" ht="75" hidden="1">
      <c r="A915" s="71" t="s">
        <v>2122</v>
      </c>
      <c r="B915" s="62" t="s">
        <v>1203</v>
      </c>
      <c r="C915" s="77" t="s">
        <v>1218</v>
      </c>
      <c r="G915" s="70"/>
      <c r="H915" s="70" t="str">
        <f t="shared" si="13"/>
        <v>Protocol</v>
      </c>
      <c r="I915" s="62" t="s">
        <v>42</v>
      </c>
      <c r="J915" s="62" t="s">
        <v>54</v>
      </c>
      <c r="K915" s="62" t="s">
        <v>8</v>
      </c>
      <c r="L915" s="70" t="s">
        <v>50</v>
      </c>
      <c r="M915" s="70" t="s">
        <v>231</v>
      </c>
    </row>
    <row r="916" spans="1:13" s="53" customFormat="1" ht="90" hidden="1">
      <c r="A916" s="71" t="s">
        <v>2123</v>
      </c>
      <c r="B916" s="62" t="s">
        <v>1203</v>
      </c>
      <c r="C916" s="77" t="s">
        <v>1219</v>
      </c>
      <c r="G916" s="70"/>
      <c r="H916" s="70" t="str">
        <f t="shared" si="13"/>
        <v>Protocol</v>
      </c>
      <c r="I916" s="62" t="s">
        <v>42</v>
      </c>
      <c r="J916" s="62" t="s">
        <v>54</v>
      </c>
      <c r="K916" s="62" t="s">
        <v>8</v>
      </c>
      <c r="L916" s="70" t="s">
        <v>50</v>
      </c>
      <c r="M916" s="70" t="s">
        <v>231</v>
      </c>
    </row>
    <row r="917" spans="1:13" s="53" customFormat="1" ht="75" hidden="1">
      <c r="A917" s="71" t="s">
        <v>2124</v>
      </c>
      <c r="B917" s="62" t="s">
        <v>1220</v>
      </c>
      <c r="C917" s="77" t="s">
        <v>1221</v>
      </c>
      <c r="G917" s="70"/>
      <c r="H917" s="70" t="str">
        <f t="shared" si="13"/>
        <v>Protocol</v>
      </c>
      <c r="I917" s="62" t="s">
        <v>42</v>
      </c>
      <c r="J917" s="62" t="s">
        <v>53</v>
      </c>
      <c r="K917" s="62" t="s">
        <v>9</v>
      </c>
      <c r="L917" s="70" t="s">
        <v>50</v>
      </c>
      <c r="M917" s="70" t="s">
        <v>153</v>
      </c>
    </row>
    <row r="918" spans="1:13" s="53" customFormat="1" ht="60" hidden="1">
      <c r="A918" s="71" t="s">
        <v>2125</v>
      </c>
      <c r="B918" s="62" t="s">
        <v>1220</v>
      </c>
      <c r="C918" s="77" t="s">
        <v>1222</v>
      </c>
      <c r="G918" s="70"/>
      <c r="H918" s="70" t="str">
        <f t="shared" si="13"/>
        <v>Protocol</v>
      </c>
      <c r="I918" s="62" t="s">
        <v>42</v>
      </c>
      <c r="J918" s="62" t="s">
        <v>53</v>
      </c>
      <c r="K918" s="62" t="s">
        <v>9</v>
      </c>
      <c r="L918" s="70" t="s">
        <v>50</v>
      </c>
      <c r="M918" s="70" t="s">
        <v>153</v>
      </c>
    </row>
    <row r="919" spans="1:13" s="53" customFormat="1" ht="60" hidden="1">
      <c r="A919" s="71" t="s">
        <v>2126</v>
      </c>
      <c r="B919" s="62" t="s">
        <v>1220</v>
      </c>
      <c r="C919" s="77" t="s">
        <v>1223</v>
      </c>
      <c r="G919" s="70"/>
      <c r="H919" s="70" t="str">
        <f t="shared" si="13"/>
        <v>Protocol</v>
      </c>
      <c r="I919" s="62" t="s">
        <v>42</v>
      </c>
      <c r="J919" s="62" t="s">
        <v>53</v>
      </c>
      <c r="K919" s="62" t="s">
        <v>9</v>
      </c>
      <c r="L919" s="70" t="s">
        <v>50</v>
      </c>
      <c r="M919" s="70" t="s">
        <v>153</v>
      </c>
    </row>
    <row r="920" spans="1:13" s="53" customFormat="1" ht="120" hidden="1">
      <c r="A920" s="71" t="s">
        <v>2127</v>
      </c>
      <c r="B920" s="62" t="s">
        <v>1220</v>
      </c>
      <c r="C920" s="77" t="s">
        <v>1224</v>
      </c>
      <c r="G920" s="70"/>
      <c r="H920" s="70" t="str">
        <f t="shared" si="13"/>
        <v>Protocol</v>
      </c>
      <c r="I920" s="62" t="s">
        <v>42</v>
      </c>
      <c r="J920" s="62" t="s">
        <v>53</v>
      </c>
      <c r="K920" s="62" t="s">
        <v>9</v>
      </c>
      <c r="L920" s="70" t="s">
        <v>50</v>
      </c>
      <c r="M920" s="70" t="s">
        <v>153</v>
      </c>
    </row>
    <row r="921" spans="1:13" s="53" customFormat="1" ht="60" hidden="1">
      <c r="A921" s="71" t="s">
        <v>2128</v>
      </c>
      <c r="B921" s="62" t="s">
        <v>1220</v>
      </c>
      <c r="C921" s="77" t="s">
        <v>1225</v>
      </c>
      <c r="G921" s="70"/>
      <c r="H921" s="70" t="str">
        <f t="shared" si="13"/>
        <v>Protocol</v>
      </c>
      <c r="I921" s="62" t="s">
        <v>42</v>
      </c>
      <c r="J921" s="62" t="s">
        <v>53</v>
      </c>
      <c r="K921" s="62" t="s">
        <v>9</v>
      </c>
      <c r="L921" s="70" t="s">
        <v>50</v>
      </c>
      <c r="M921" s="70" t="s">
        <v>153</v>
      </c>
    </row>
    <row r="922" spans="1:13" s="53" customFormat="1" ht="60" hidden="1">
      <c r="A922" s="71" t="s">
        <v>2129</v>
      </c>
      <c r="B922" s="62" t="s">
        <v>1226</v>
      </c>
      <c r="C922" s="77" t="s">
        <v>1227</v>
      </c>
      <c r="G922" s="70"/>
      <c r="H922" s="70" t="str">
        <f t="shared" si="13"/>
        <v>Protocol</v>
      </c>
      <c r="I922" s="62" t="s">
        <v>42</v>
      </c>
      <c r="J922" s="62" t="s">
        <v>53</v>
      </c>
      <c r="K922" s="62" t="s">
        <v>9</v>
      </c>
      <c r="L922" s="70" t="s">
        <v>50</v>
      </c>
      <c r="M922" s="70" t="s">
        <v>153</v>
      </c>
    </row>
    <row r="923" spans="1:13" s="53" customFormat="1" ht="75" hidden="1">
      <c r="A923" s="71" t="s">
        <v>2130</v>
      </c>
      <c r="B923" s="62" t="s">
        <v>1226</v>
      </c>
      <c r="C923" s="77" t="s">
        <v>1228</v>
      </c>
      <c r="G923" s="70"/>
      <c r="H923" s="70" t="str">
        <f t="shared" si="13"/>
        <v>Protocol</v>
      </c>
      <c r="I923" s="62" t="s">
        <v>42</v>
      </c>
      <c r="J923" s="62" t="s">
        <v>54</v>
      </c>
      <c r="K923" s="62" t="s">
        <v>8</v>
      </c>
      <c r="L923" s="70" t="s">
        <v>50</v>
      </c>
      <c r="M923" s="70" t="s">
        <v>231</v>
      </c>
    </row>
    <row r="924" spans="1:13" s="53" customFormat="1" ht="90" hidden="1">
      <c r="A924" s="71" t="s">
        <v>2131</v>
      </c>
      <c r="B924" s="62" t="s">
        <v>1226</v>
      </c>
      <c r="C924" s="77" t="s">
        <v>1229</v>
      </c>
      <c r="G924" s="70"/>
      <c r="H924" s="70" t="str">
        <f t="shared" si="13"/>
        <v>Protocol</v>
      </c>
      <c r="I924" s="62" t="s">
        <v>42</v>
      </c>
      <c r="J924" s="62" t="s">
        <v>54</v>
      </c>
      <c r="K924" s="62" t="s">
        <v>8</v>
      </c>
      <c r="L924" s="70" t="s">
        <v>50</v>
      </c>
      <c r="M924" s="70" t="s">
        <v>231</v>
      </c>
    </row>
    <row r="925" spans="1:13" s="53" customFormat="1" ht="30" hidden="1">
      <c r="A925" s="71" t="s">
        <v>2136</v>
      </c>
      <c r="B925" s="68" t="s">
        <v>592</v>
      </c>
      <c r="C925" s="78" t="s">
        <v>2171</v>
      </c>
      <c r="F925" s="53" t="s">
        <v>2172</v>
      </c>
      <c r="G925" s="73"/>
      <c r="H925" s="70" t="s">
        <v>618</v>
      </c>
      <c r="I925" s="69" t="s">
        <v>42</v>
      </c>
      <c r="J925" s="69" t="s">
        <v>54</v>
      </c>
      <c r="K925" s="69" t="s">
        <v>9</v>
      </c>
      <c r="L925" s="70" t="s">
        <v>50</v>
      </c>
      <c r="M925" s="70" t="s">
        <v>153</v>
      </c>
    </row>
    <row r="926" spans="1:13" s="53" customFormat="1" ht="30">
      <c r="A926" s="71" t="s">
        <v>2137</v>
      </c>
      <c r="B926" s="68" t="s">
        <v>592</v>
      </c>
      <c r="C926" s="78" t="s">
        <v>2198</v>
      </c>
      <c r="F926" s="53" t="s">
        <v>2172</v>
      </c>
      <c r="G926" s="73" t="s">
        <v>149</v>
      </c>
      <c r="H926" s="70" t="s">
        <v>618</v>
      </c>
      <c r="I926" s="69" t="s">
        <v>41</v>
      </c>
      <c r="J926" s="69" t="s">
        <v>54</v>
      </c>
      <c r="K926" s="69" t="s">
        <v>9</v>
      </c>
      <c r="L926" s="70" t="s">
        <v>56</v>
      </c>
      <c r="M926" s="70" t="s">
        <v>2226</v>
      </c>
    </row>
    <row r="927" spans="1:13" s="53" customFormat="1" ht="30" hidden="1">
      <c r="A927" s="71" t="s">
        <v>2138</v>
      </c>
      <c r="B927" s="68" t="s">
        <v>592</v>
      </c>
      <c r="C927" s="78" t="s">
        <v>2173</v>
      </c>
      <c r="F927" s="53" t="s">
        <v>2172</v>
      </c>
      <c r="G927" s="73"/>
      <c r="H927" s="70" t="s">
        <v>618</v>
      </c>
      <c r="I927" s="69" t="s">
        <v>42</v>
      </c>
      <c r="J927" s="69" t="s">
        <v>54</v>
      </c>
      <c r="K927" s="69" t="s">
        <v>9</v>
      </c>
      <c r="L927" s="70" t="s">
        <v>50</v>
      </c>
      <c r="M927" s="70" t="s">
        <v>153</v>
      </c>
    </row>
    <row r="928" spans="1:13" s="53" customFormat="1" ht="30" hidden="1">
      <c r="A928" s="71" t="s">
        <v>2139</v>
      </c>
      <c r="B928" s="68" t="s">
        <v>592</v>
      </c>
      <c r="C928" s="78" t="s">
        <v>2174</v>
      </c>
      <c r="F928" s="53" t="s">
        <v>2172</v>
      </c>
      <c r="G928" s="73"/>
      <c r="H928" s="70" t="s">
        <v>618</v>
      </c>
      <c r="I928" s="69" t="s">
        <v>42</v>
      </c>
      <c r="J928" s="69" t="s">
        <v>54</v>
      </c>
      <c r="K928" s="69" t="s">
        <v>9</v>
      </c>
      <c r="L928" s="70" t="s">
        <v>50</v>
      </c>
      <c r="M928" s="70" t="s">
        <v>153</v>
      </c>
    </row>
    <row r="929" spans="1:13" s="53" customFormat="1" ht="30">
      <c r="A929" s="71" t="s">
        <v>2140</v>
      </c>
      <c r="B929" s="68" t="s">
        <v>592</v>
      </c>
      <c r="C929" s="78" t="s">
        <v>2199</v>
      </c>
      <c r="F929" s="53" t="s">
        <v>2172</v>
      </c>
      <c r="G929" s="73" t="s">
        <v>698</v>
      </c>
      <c r="H929" s="70" t="s">
        <v>618</v>
      </c>
      <c r="I929" s="69" t="s">
        <v>41</v>
      </c>
      <c r="J929" s="69" t="s">
        <v>54</v>
      </c>
      <c r="K929" s="69" t="s">
        <v>9</v>
      </c>
      <c r="L929" s="70" t="s">
        <v>56</v>
      </c>
      <c r="M929" s="70" t="s">
        <v>2226</v>
      </c>
    </row>
    <row r="930" spans="1:13" s="53" customFormat="1" ht="30" hidden="1">
      <c r="A930" s="71" t="s">
        <v>2141</v>
      </c>
      <c r="B930" s="68" t="s">
        <v>592</v>
      </c>
      <c r="C930" s="78" t="s">
        <v>2175</v>
      </c>
      <c r="F930" s="53" t="s">
        <v>2172</v>
      </c>
      <c r="G930" s="73"/>
      <c r="H930" s="70" t="s">
        <v>618</v>
      </c>
      <c r="I930" s="69" t="s">
        <v>42</v>
      </c>
      <c r="J930" s="69" t="s">
        <v>54</v>
      </c>
      <c r="K930" s="69" t="s">
        <v>9</v>
      </c>
      <c r="L930" s="70" t="s">
        <v>50</v>
      </c>
      <c r="M930" s="70" t="s">
        <v>153</v>
      </c>
    </row>
    <row r="931" spans="1:13" s="53" customFormat="1" ht="30">
      <c r="A931" s="71" t="s">
        <v>2142</v>
      </c>
      <c r="B931" s="68" t="s">
        <v>592</v>
      </c>
      <c r="C931" s="78" t="s">
        <v>2200</v>
      </c>
      <c r="F931" s="53" t="s">
        <v>2172</v>
      </c>
      <c r="G931" s="73" t="s">
        <v>698</v>
      </c>
      <c r="H931" s="70" t="s">
        <v>618</v>
      </c>
      <c r="I931" s="69" t="s">
        <v>41</v>
      </c>
      <c r="J931" s="69" t="s">
        <v>54</v>
      </c>
      <c r="K931" s="69" t="s">
        <v>9</v>
      </c>
      <c r="L931" s="70" t="s">
        <v>56</v>
      </c>
      <c r="M931" s="70" t="s">
        <v>2226</v>
      </c>
    </row>
    <row r="932" spans="1:13" s="53" customFormat="1" ht="30" hidden="1">
      <c r="A932" s="71" t="s">
        <v>2143</v>
      </c>
      <c r="B932" s="68" t="s">
        <v>592</v>
      </c>
      <c r="C932" s="78" t="s">
        <v>2176</v>
      </c>
      <c r="F932" s="53" t="s">
        <v>2172</v>
      </c>
      <c r="G932" s="73"/>
      <c r="H932" s="70" t="s">
        <v>618</v>
      </c>
      <c r="I932" s="69" t="s">
        <v>42</v>
      </c>
      <c r="J932" s="69" t="s">
        <v>54</v>
      </c>
      <c r="K932" s="69" t="s">
        <v>9</v>
      </c>
      <c r="L932" s="70" t="s">
        <v>50</v>
      </c>
      <c r="M932" s="70" t="s">
        <v>153</v>
      </c>
    </row>
    <row r="933" spans="1:13" s="53" customFormat="1" ht="30">
      <c r="A933" s="71" t="s">
        <v>2144</v>
      </c>
      <c r="B933" s="68" t="s">
        <v>592</v>
      </c>
      <c r="C933" s="78" t="s">
        <v>2201</v>
      </c>
      <c r="F933" s="53" t="s">
        <v>2172</v>
      </c>
      <c r="G933" s="73" t="s">
        <v>121</v>
      </c>
      <c r="H933" s="70" t="s">
        <v>618</v>
      </c>
      <c r="I933" s="69" t="s">
        <v>41</v>
      </c>
      <c r="J933" s="69" t="s">
        <v>54</v>
      </c>
      <c r="K933" s="69" t="s">
        <v>9</v>
      </c>
      <c r="L933" s="70" t="s">
        <v>56</v>
      </c>
      <c r="M933" s="70" t="s">
        <v>2226</v>
      </c>
    </row>
    <row r="934" spans="1:13" s="53" customFormat="1" ht="30" hidden="1">
      <c r="A934" s="71" t="s">
        <v>2145</v>
      </c>
      <c r="B934" s="68" t="s">
        <v>592</v>
      </c>
      <c r="C934" s="78" t="s">
        <v>2177</v>
      </c>
      <c r="F934" s="53" t="s">
        <v>2172</v>
      </c>
      <c r="G934" s="73"/>
      <c r="H934" s="70" t="s">
        <v>618</v>
      </c>
      <c r="I934" s="69" t="s">
        <v>42</v>
      </c>
      <c r="J934" s="69" t="s">
        <v>54</v>
      </c>
      <c r="K934" s="69" t="s">
        <v>9</v>
      </c>
      <c r="L934" s="70" t="s">
        <v>50</v>
      </c>
      <c r="M934" s="70" t="s">
        <v>153</v>
      </c>
    </row>
    <row r="935" spans="1:13" s="53" customFormat="1" ht="30">
      <c r="A935" s="71" t="s">
        <v>2146</v>
      </c>
      <c r="B935" s="68" t="s">
        <v>592</v>
      </c>
      <c r="C935" s="78" t="s">
        <v>2202</v>
      </c>
      <c r="F935" s="53" t="s">
        <v>2172</v>
      </c>
      <c r="G935" s="73" t="s">
        <v>122</v>
      </c>
      <c r="H935" s="70" t="s">
        <v>618</v>
      </c>
      <c r="I935" s="69" t="s">
        <v>41</v>
      </c>
      <c r="J935" s="69" t="s">
        <v>54</v>
      </c>
      <c r="K935" s="69" t="s">
        <v>9</v>
      </c>
      <c r="L935" s="70" t="s">
        <v>56</v>
      </c>
      <c r="M935" s="70" t="s">
        <v>2226</v>
      </c>
    </row>
    <row r="936" spans="1:13" s="53" customFormat="1" ht="30" hidden="1">
      <c r="A936" s="71" t="s">
        <v>2147</v>
      </c>
      <c r="B936" s="68" t="s">
        <v>592</v>
      </c>
      <c r="C936" s="78" t="s">
        <v>2178</v>
      </c>
      <c r="F936" s="53" t="s">
        <v>2172</v>
      </c>
      <c r="G936" s="73"/>
      <c r="H936" s="70" t="s">
        <v>618</v>
      </c>
      <c r="I936" s="69" t="s">
        <v>42</v>
      </c>
      <c r="J936" s="69" t="s">
        <v>54</v>
      </c>
      <c r="K936" s="69" t="s">
        <v>9</v>
      </c>
      <c r="L936" s="70" t="s">
        <v>50</v>
      </c>
      <c r="M936" s="70" t="s">
        <v>153</v>
      </c>
    </row>
    <row r="937" spans="1:13" s="53" customFormat="1" ht="30">
      <c r="A937" s="71" t="s">
        <v>2148</v>
      </c>
      <c r="B937" s="68" t="s">
        <v>592</v>
      </c>
      <c r="C937" s="78" t="s">
        <v>2203</v>
      </c>
      <c r="F937" s="53" t="s">
        <v>2172</v>
      </c>
      <c r="G937" s="73"/>
      <c r="H937" s="70" t="s">
        <v>618</v>
      </c>
      <c r="I937" s="69" t="s">
        <v>41</v>
      </c>
      <c r="J937" s="69" t="s">
        <v>54</v>
      </c>
      <c r="K937" s="69" t="s">
        <v>9</v>
      </c>
      <c r="L937" s="70" t="s">
        <v>51</v>
      </c>
      <c r="M937" s="70" t="s">
        <v>2215</v>
      </c>
    </row>
    <row r="938" spans="1:13" s="53" customFormat="1" ht="30" hidden="1">
      <c r="A938" s="71" t="s">
        <v>2149</v>
      </c>
      <c r="B938" s="68" t="s">
        <v>592</v>
      </c>
      <c r="C938" s="78" t="s">
        <v>2179</v>
      </c>
      <c r="F938" s="53" t="s">
        <v>2172</v>
      </c>
      <c r="G938" s="73"/>
      <c r="H938" s="70" t="s">
        <v>618</v>
      </c>
      <c r="I938" s="69" t="s">
        <v>42</v>
      </c>
      <c r="J938" s="69" t="s">
        <v>54</v>
      </c>
      <c r="K938" s="69" t="s">
        <v>9</v>
      </c>
      <c r="L938" s="70" t="s">
        <v>50</v>
      </c>
      <c r="M938" s="70" t="s">
        <v>153</v>
      </c>
    </row>
    <row r="939" spans="1:13" s="53" customFormat="1" ht="45">
      <c r="A939" s="71" t="s">
        <v>2150</v>
      </c>
      <c r="B939" s="68" t="s">
        <v>592</v>
      </c>
      <c r="C939" s="78" t="s">
        <v>2204</v>
      </c>
      <c r="F939" s="53" t="s">
        <v>2172</v>
      </c>
      <c r="G939" s="73"/>
      <c r="H939" s="70" t="s">
        <v>618</v>
      </c>
      <c r="I939" s="69" t="s">
        <v>41</v>
      </c>
      <c r="J939" s="69" t="s">
        <v>54</v>
      </c>
      <c r="K939" s="69" t="s">
        <v>9</v>
      </c>
      <c r="L939" s="70" t="s">
        <v>51</v>
      </c>
      <c r="M939" s="70" t="s">
        <v>2215</v>
      </c>
    </row>
    <row r="940" spans="1:13" s="53" customFormat="1" ht="30" hidden="1">
      <c r="A940" s="71" t="s">
        <v>2151</v>
      </c>
      <c r="B940" s="68" t="s">
        <v>592</v>
      </c>
      <c r="C940" s="78" t="s">
        <v>2180</v>
      </c>
      <c r="F940" s="53" t="s">
        <v>2172</v>
      </c>
      <c r="G940" s="73"/>
      <c r="H940" s="70" t="s">
        <v>618</v>
      </c>
      <c r="I940" s="69" t="s">
        <v>42</v>
      </c>
      <c r="J940" s="69" t="s">
        <v>54</v>
      </c>
      <c r="K940" s="69" t="s">
        <v>9</v>
      </c>
      <c r="L940" s="70" t="s">
        <v>50</v>
      </c>
      <c r="M940" s="70" t="s">
        <v>153</v>
      </c>
    </row>
    <row r="941" spans="1:13" s="53" customFormat="1" ht="30">
      <c r="A941" s="71" t="s">
        <v>2152</v>
      </c>
      <c r="B941" s="68" t="s">
        <v>592</v>
      </c>
      <c r="C941" s="78" t="s">
        <v>2205</v>
      </c>
      <c r="F941" s="53" t="s">
        <v>2172</v>
      </c>
      <c r="G941" s="73" t="s">
        <v>121</v>
      </c>
      <c r="H941" s="70" t="s">
        <v>618</v>
      </c>
      <c r="I941" s="69" t="s">
        <v>41</v>
      </c>
      <c r="J941" s="69" t="s">
        <v>54</v>
      </c>
      <c r="K941" s="69" t="s">
        <v>9</v>
      </c>
      <c r="L941" s="70" t="s">
        <v>56</v>
      </c>
      <c r="M941" s="70" t="s">
        <v>2226</v>
      </c>
    </row>
    <row r="942" spans="1:13" s="53" customFormat="1" ht="30" hidden="1">
      <c r="A942" s="71" t="s">
        <v>2153</v>
      </c>
      <c r="B942" s="68" t="s">
        <v>592</v>
      </c>
      <c r="C942" s="78" t="s">
        <v>2181</v>
      </c>
      <c r="F942" s="53" t="s">
        <v>2172</v>
      </c>
      <c r="G942" s="73"/>
      <c r="H942" s="70" t="s">
        <v>618</v>
      </c>
      <c r="I942" s="69" t="s">
        <v>42</v>
      </c>
      <c r="J942" s="69" t="s">
        <v>54</v>
      </c>
      <c r="K942" s="69" t="s">
        <v>9</v>
      </c>
      <c r="L942" s="70" t="s">
        <v>50</v>
      </c>
      <c r="M942" s="70" t="s">
        <v>153</v>
      </c>
    </row>
    <row r="943" spans="1:13" s="53" customFormat="1" ht="30">
      <c r="A943" s="71" t="s">
        <v>2154</v>
      </c>
      <c r="B943" s="68" t="s">
        <v>592</v>
      </c>
      <c r="C943" s="78" t="s">
        <v>2206</v>
      </c>
      <c r="F943" s="53" t="s">
        <v>2172</v>
      </c>
      <c r="G943" s="73" t="s">
        <v>122</v>
      </c>
      <c r="H943" s="70" t="s">
        <v>618</v>
      </c>
      <c r="I943" s="69" t="s">
        <v>41</v>
      </c>
      <c r="J943" s="69" t="s">
        <v>54</v>
      </c>
      <c r="K943" s="69" t="s">
        <v>9</v>
      </c>
      <c r="L943" s="70" t="s">
        <v>56</v>
      </c>
      <c r="M943" s="70" t="s">
        <v>2226</v>
      </c>
    </row>
    <row r="944" spans="1:13" s="53" customFormat="1" ht="30" hidden="1">
      <c r="A944" s="71" t="s">
        <v>2155</v>
      </c>
      <c r="B944" s="68" t="s">
        <v>592</v>
      </c>
      <c r="C944" s="78" t="s">
        <v>2182</v>
      </c>
      <c r="F944" s="53" t="s">
        <v>2172</v>
      </c>
      <c r="G944" s="73"/>
      <c r="H944" s="70" t="s">
        <v>618</v>
      </c>
      <c r="I944" s="69" t="s">
        <v>42</v>
      </c>
      <c r="J944" s="69" t="s">
        <v>54</v>
      </c>
      <c r="K944" s="69" t="s">
        <v>9</v>
      </c>
      <c r="L944" s="70" t="s">
        <v>50</v>
      </c>
      <c r="M944" s="70" t="s">
        <v>153</v>
      </c>
    </row>
    <row r="945" spans="1:13" s="53" customFormat="1" ht="30">
      <c r="A945" s="71" t="s">
        <v>2156</v>
      </c>
      <c r="B945" s="68" t="s">
        <v>592</v>
      </c>
      <c r="C945" s="78" t="s">
        <v>2207</v>
      </c>
      <c r="F945" s="53" t="s">
        <v>2172</v>
      </c>
      <c r="G945" s="73" t="s">
        <v>122</v>
      </c>
      <c r="H945" s="70" t="s">
        <v>618</v>
      </c>
      <c r="I945" s="69" t="s">
        <v>41</v>
      </c>
      <c r="J945" s="69" t="s">
        <v>54</v>
      </c>
      <c r="K945" s="69" t="s">
        <v>9</v>
      </c>
      <c r="L945" s="70" t="s">
        <v>56</v>
      </c>
      <c r="M945" s="70" t="s">
        <v>2226</v>
      </c>
    </row>
    <row r="946" spans="1:13" s="53" customFormat="1" ht="30" hidden="1">
      <c r="A946" s="71" t="s">
        <v>2157</v>
      </c>
      <c r="B946" s="68" t="s">
        <v>592</v>
      </c>
      <c r="C946" s="78" t="s">
        <v>2183</v>
      </c>
      <c r="F946" s="53" t="s">
        <v>2172</v>
      </c>
      <c r="G946" s="73"/>
      <c r="H946" s="70" t="s">
        <v>618</v>
      </c>
      <c r="I946" s="69" t="s">
        <v>42</v>
      </c>
      <c r="J946" s="69" t="s">
        <v>54</v>
      </c>
      <c r="K946" s="69" t="s">
        <v>9</v>
      </c>
      <c r="L946" s="70" t="s">
        <v>50</v>
      </c>
      <c r="M946" s="70" t="s">
        <v>153</v>
      </c>
    </row>
    <row r="947" spans="1:13" s="53" customFormat="1" ht="30">
      <c r="A947" s="71" t="s">
        <v>2158</v>
      </c>
      <c r="B947" s="68" t="s">
        <v>592</v>
      </c>
      <c r="C947" s="78" t="s">
        <v>2208</v>
      </c>
      <c r="F947" s="53" t="s">
        <v>2172</v>
      </c>
      <c r="G947" s="73" t="s">
        <v>23</v>
      </c>
      <c r="H947" s="70" t="s">
        <v>618</v>
      </c>
      <c r="I947" s="69" t="s">
        <v>41</v>
      </c>
      <c r="J947" s="69" t="s">
        <v>54</v>
      </c>
      <c r="K947" s="69" t="s">
        <v>9</v>
      </c>
      <c r="L947" s="70" t="s">
        <v>56</v>
      </c>
      <c r="M947" s="70" t="s">
        <v>2226</v>
      </c>
    </row>
    <row r="948" spans="1:13" s="53" customFormat="1" ht="30" hidden="1">
      <c r="A948" s="71" t="s">
        <v>2159</v>
      </c>
      <c r="B948" s="68" t="s">
        <v>592</v>
      </c>
      <c r="C948" s="78" t="s">
        <v>2184</v>
      </c>
      <c r="F948" s="53" t="s">
        <v>2172</v>
      </c>
      <c r="G948" s="73"/>
      <c r="H948" s="70" t="s">
        <v>618</v>
      </c>
      <c r="I948" s="69" t="s">
        <v>42</v>
      </c>
      <c r="J948" s="69" t="s">
        <v>54</v>
      </c>
      <c r="K948" s="69" t="s">
        <v>9</v>
      </c>
      <c r="L948" s="70" t="s">
        <v>50</v>
      </c>
      <c r="M948" s="70" t="s">
        <v>153</v>
      </c>
    </row>
    <row r="949" spans="1:13" s="53" customFormat="1" ht="30">
      <c r="A949" s="71" t="s">
        <v>2160</v>
      </c>
      <c r="B949" s="68" t="s">
        <v>592</v>
      </c>
      <c r="C949" s="78" t="s">
        <v>2209</v>
      </c>
      <c r="F949" s="53" t="s">
        <v>2172</v>
      </c>
      <c r="G949" s="73" t="s">
        <v>23</v>
      </c>
      <c r="H949" s="70" t="s">
        <v>618</v>
      </c>
      <c r="I949" s="69" t="s">
        <v>41</v>
      </c>
      <c r="J949" s="69" t="s">
        <v>54</v>
      </c>
      <c r="K949" s="69" t="s">
        <v>9</v>
      </c>
      <c r="L949" s="70" t="s">
        <v>56</v>
      </c>
      <c r="M949" s="70" t="s">
        <v>2226</v>
      </c>
    </row>
    <row r="950" spans="1:13" s="53" customFormat="1" ht="30" hidden="1">
      <c r="A950" s="71" t="s">
        <v>2161</v>
      </c>
      <c r="B950" s="68" t="s">
        <v>592</v>
      </c>
      <c r="C950" s="78" t="s">
        <v>2185</v>
      </c>
      <c r="F950" s="53" t="s">
        <v>2172</v>
      </c>
      <c r="G950" s="73"/>
      <c r="H950" s="70" t="s">
        <v>618</v>
      </c>
      <c r="I950" s="69" t="s">
        <v>42</v>
      </c>
      <c r="J950" s="69" t="s">
        <v>54</v>
      </c>
      <c r="K950" s="69" t="s">
        <v>9</v>
      </c>
      <c r="L950" s="70" t="s">
        <v>50</v>
      </c>
      <c r="M950" s="70" t="s">
        <v>153</v>
      </c>
    </row>
    <row r="951" spans="1:13" s="53" customFormat="1" ht="30">
      <c r="A951" s="71" t="s">
        <v>2162</v>
      </c>
      <c r="B951" s="68" t="s">
        <v>592</v>
      </c>
      <c r="C951" s="78" t="s">
        <v>2210</v>
      </c>
      <c r="F951" s="53" t="s">
        <v>2172</v>
      </c>
      <c r="G951" s="73" t="s">
        <v>121</v>
      </c>
      <c r="H951" s="70" t="s">
        <v>618</v>
      </c>
      <c r="I951" s="69" t="s">
        <v>41</v>
      </c>
      <c r="J951" s="69" t="s">
        <v>54</v>
      </c>
      <c r="K951" s="69" t="s">
        <v>9</v>
      </c>
      <c r="L951" s="70" t="s">
        <v>56</v>
      </c>
      <c r="M951" s="70" t="s">
        <v>2226</v>
      </c>
    </row>
    <row r="952" spans="1:13" s="53" customFormat="1" ht="30" hidden="1">
      <c r="A952" s="71" t="s">
        <v>2163</v>
      </c>
      <c r="B952" s="68" t="s">
        <v>592</v>
      </c>
      <c r="C952" s="78" t="s">
        <v>2186</v>
      </c>
      <c r="F952" s="53" t="s">
        <v>2172</v>
      </c>
      <c r="G952" s="73"/>
      <c r="H952" s="70" t="s">
        <v>618</v>
      </c>
      <c r="I952" s="69" t="s">
        <v>42</v>
      </c>
      <c r="J952" s="69" t="s">
        <v>54</v>
      </c>
      <c r="K952" s="69" t="s">
        <v>9</v>
      </c>
      <c r="L952" s="70" t="s">
        <v>50</v>
      </c>
      <c r="M952" s="70" t="s">
        <v>153</v>
      </c>
    </row>
    <row r="953" spans="1:13" s="53" customFormat="1" ht="30">
      <c r="A953" s="71" t="s">
        <v>2164</v>
      </c>
      <c r="B953" s="68" t="s">
        <v>592</v>
      </c>
      <c r="C953" s="78" t="s">
        <v>2211</v>
      </c>
      <c r="F953" s="53" t="s">
        <v>2172</v>
      </c>
      <c r="G953" s="73"/>
      <c r="H953" s="70" t="s">
        <v>618</v>
      </c>
      <c r="I953" s="69" t="s">
        <v>41</v>
      </c>
      <c r="J953" s="69" t="s">
        <v>54</v>
      </c>
      <c r="K953" s="69" t="s">
        <v>9</v>
      </c>
      <c r="L953" s="70" t="s">
        <v>51</v>
      </c>
      <c r="M953" s="70" t="s">
        <v>2215</v>
      </c>
    </row>
    <row r="954" spans="1:13" s="53" customFormat="1" ht="30" hidden="1">
      <c r="A954" s="71" t="s">
        <v>2165</v>
      </c>
      <c r="B954" s="68" t="s">
        <v>592</v>
      </c>
      <c r="C954" s="78" t="s">
        <v>2187</v>
      </c>
      <c r="F954" s="53" t="s">
        <v>2172</v>
      </c>
      <c r="G954" s="73"/>
      <c r="H954" s="70" t="s">
        <v>618</v>
      </c>
      <c r="I954" s="69" t="s">
        <v>42</v>
      </c>
      <c r="J954" s="69" t="s">
        <v>54</v>
      </c>
      <c r="K954" s="69" t="s">
        <v>9</v>
      </c>
      <c r="L954" s="70" t="s">
        <v>50</v>
      </c>
      <c r="M954" s="70" t="s">
        <v>153</v>
      </c>
    </row>
    <row r="955" spans="1:13" s="53" customFormat="1" ht="30">
      <c r="A955" s="71" t="s">
        <v>2166</v>
      </c>
      <c r="B955" s="68" t="s">
        <v>592</v>
      </c>
      <c r="C955" s="78" t="s">
        <v>2212</v>
      </c>
      <c r="F955" s="53" t="s">
        <v>2172</v>
      </c>
      <c r="G955" s="73" t="s">
        <v>122</v>
      </c>
      <c r="H955" s="70" t="s">
        <v>618</v>
      </c>
      <c r="I955" s="69" t="s">
        <v>41</v>
      </c>
      <c r="J955" s="69" t="s">
        <v>54</v>
      </c>
      <c r="K955" s="69" t="s">
        <v>9</v>
      </c>
      <c r="L955" s="70" t="s">
        <v>56</v>
      </c>
      <c r="M955" s="70" t="s">
        <v>2226</v>
      </c>
    </row>
    <row r="956" spans="1:13" s="53" customFormat="1" ht="30" hidden="1">
      <c r="A956" s="71" t="s">
        <v>2167</v>
      </c>
      <c r="B956" s="68" t="s">
        <v>592</v>
      </c>
      <c r="C956" s="78" t="s">
        <v>2188</v>
      </c>
      <c r="F956" s="53" t="s">
        <v>2172</v>
      </c>
      <c r="G956" s="73"/>
      <c r="H956" s="70" t="s">
        <v>618</v>
      </c>
      <c r="I956" s="69" t="s">
        <v>42</v>
      </c>
      <c r="J956" s="69" t="s">
        <v>54</v>
      </c>
      <c r="K956" s="69" t="s">
        <v>9</v>
      </c>
      <c r="L956" s="70" t="s">
        <v>50</v>
      </c>
      <c r="M956" s="70" t="s">
        <v>153</v>
      </c>
    </row>
    <row r="957" spans="1:13" s="53" customFormat="1" ht="30">
      <c r="A957" s="71" t="s">
        <v>2168</v>
      </c>
      <c r="B957" s="68" t="s">
        <v>592</v>
      </c>
      <c r="C957" s="78" t="s">
        <v>2213</v>
      </c>
      <c r="F957" s="53" t="s">
        <v>2172</v>
      </c>
      <c r="G957" s="73"/>
      <c r="H957" s="70" t="s">
        <v>618</v>
      </c>
      <c r="I957" s="69" t="s">
        <v>41</v>
      </c>
      <c r="J957" s="69" t="s">
        <v>54</v>
      </c>
      <c r="K957" s="69" t="s">
        <v>9</v>
      </c>
      <c r="L957" s="70" t="s">
        <v>51</v>
      </c>
      <c r="M957" s="70" t="s">
        <v>2215</v>
      </c>
    </row>
    <row r="958" spans="1:13" s="53" customFormat="1" ht="30" hidden="1">
      <c r="A958" s="71" t="s">
        <v>2169</v>
      </c>
      <c r="B958" s="68" t="s">
        <v>592</v>
      </c>
      <c r="C958" s="78" t="s">
        <v>2189</v>
      </c>
      <c r="F958" s="53" t="s">
        <v>2172</v>
      </c>
      <c r="G958" s="73"/>
      <c r="H958" s="70" t="s">
        <v>618</v>
      </c>
      <c r="I958" s="69" t="s">
        <v>42</v>
      </c>
      <c r="J958" s="69" t="s">
        <v>54</v>
      </c>
      <c r="K958" s="69" t="s">
        <v>9</v>
      </c>
      <c r="L958" s="70" t="s">
        <v>50</v>
      </c>
      <c r="M958" s="70" t="s">
        <v>153</v>
      </c>
    </row>
    <row r="959" spans="1:13" s="53" customFormat="1" ht="30">
      <c r="A959" s="71" t="s">
        <v>2170</v>
      </c>
      <c r="B959" s="68" t="s">
        <v>592</v>
      </c>
      <c r="C959" s="78" t="s">
        <v>2214</v>
      </c>
      <c r="F959" s="53" t="s">
        <v>2172</v>
      </c>
      <c r="G959" s="73"/>
      <c r="H959" s="70" t="s">
        <v>618</v>
      </c>
      <c r="I959" s="69" t="s">
        <v>41</v>
      </c>
      <c r="J959" s="69" t="s">
        <v>54</v>
      </c>
      <c r="K959" s="69" t="s">
        <v>9</v>
      </c>
      <c r="L959" s="70" t="s">
        <v>51</v>
      </c>
      <c r="M959" s="70" t="s">
        <v>2215</v>
      </c>
    </row>
    <row r="960" spans="1:13" s="53" customFormat="1" ht="30">
      <c r="A960" s="71" t="s">
        <v>2190</v>
      </c>
      <c r="B960" s="68" t="s">
        <v>96</v>
      </c>
      <c r="C960" s="78" t="s">
        <v>2230</v>
      </c>
      <c r="F960" s="53" t="s">
        <v>2196</v>
      </c>
      <c r="G960" s="73" t="s">
        <v>149</v>
      </c>
      <c r="H960" s="70" t="s">
        <v>142</v>
      </c>
      <c r="I960" s="69" t="s">
        <v>41</v>
      </c>
      <c r="J960" s="69" t="s">
        <v>54</v>
      </c>
      <c r="K960" s="69" t="s">
        <v>9</v>
      </c>
      <c r="L960" s="70" t="s">
        <v>56</v>
      </c>
      <c r="M960" s="70" t="s">
        <v>2226</v>
      </c>
    </row>
    <row r="961" spans="1:13" s="53" customFormat="1" ht="60">
      <c r="A961" s="71" t="s">
        <v>2191</v>
      </c>
      <c r="B961" s="68" t="s">
        <v>96</v>
      </c>
      <c r="C961" s="78" t="s">
        <v>2231</v>
      </c>
      <c r="F961" s="53" t="s">
        <v>2196</v>
      </c>
      <c r="G961" s="73"/>
      <c r="H961" s="70" t="s">
        <v>142</v>
      </c>
      <c r="I961" s="69" t="s">
        <v>41</v>
      </c>
      <c r="J961" s="69" t="s">
        <v>54</v>
      </c>
      <c r="K961" s="69" t="s">
        <v>9</v>
      </c>
      <c r="L961" s="70" t="s">
        <v>56</v>
      </c>
      <c r="M961" s="70" t="s">
        <v>2227</v>
      </c>
    </row>
    <row r="962" spans="1:13" s="53" customFormat="1" ht="30">
      <c r="A962" s="71" t="s">
        <v>2192</v>
      </c>
      <c r="B962" s="68" t="s">
        <v>96</v>
      </c>
      <c r="C962" s="78" t="s">
        <v>2232</v>
      </c>
      <c r="F962" s="53" t="s">
        <v>2197</v>
      </c>
      <c r="G962" s="73" t="s">
        <v>149</v>
      </c>
      <c r="H962" s="70" t="s">
        <v>142</v>
      </c>
      <c r="I962" s="69" t="s">
        <v>41</v>
      </c>
      <c r="J962" s="69" t="s">
        <v>54</v>
      </c>
      <c r="K962" s="69" t="s">
        <v>9</v>
      </c>
      <c r="L962" s="70" t="s">
        <v>56</v>
      </c>
      <c r="M962" s="70" t="s">
        <v>2226</v>
      </c>
    </row>
    <row r="963" spans="1:13" s="53" customFormat="1" ht="45">
      <c r="A963" s="71" t="s">
        <v>2195</v>
      </c>
      <c r="B963" s="68" t="s">
        <v>96</v>
      </c>
      <c r="C963" s="78" t="s">
        <v>2233</v>
      </c>
      <c r="F963" s="53" t="s">
        <v>2197</v>
      </c>
      <c r="G963" s="73"/>
      <c r="H963" s="70" t="s">
        <v>142</v>
      </c>
      <c r="I963" s="69" t="s">
        <v>41</v>
      </c>
      <c r="J963" s="69" t="s">
        <v>54</v>
      </c>
      <c r="K963" s="69" t="s">
        <v>9</v>
      </c>
      <c r="L963" s="70" t="s">
        <v>56</v>
      </c>
      <c r="M963" s="70" t="s">
        <v>2227</v>
      </c>
    </row>
    <row r="964" spans="1:13" s="53" customFormat="1" ht="75">
      <c r="A964" s="72" t="str">
        <f>"MS-WSP_R"&amp;ROW(A964)-22</f>
        <v>MS-WSP_R942</v>
      </c>
      <c r="B964" s="68" t="s">
        <v>734</v>
      </c>
      <c r="C964" s="78" t="s">
        <v>2222</v>
      </c>
      <c r="G964" s="73" t="s">
        <v>23</v>
      </c>
      <c r="H964" s="70" t="s">
        <v>618</v>
      </c>
      <c r="I964" s="69" t="s">
        <v>41</v>
      </c>
      <c r="J964" s="69" t="s">
        <v>54</v>
      </c>
      <c r="K964" s="69" t="s">
        <v>9</v>
      </c>
      <c r="L964" s="70" t="s">
        <v>56</v>
      </c>
      <c r="M964" s="70" t="s">
        <v>2226</v>
      </c>
    </row>
    <row r="965" spans="1:13" s="53" customFormat="1" ht="30">
      <c r="A965" s="72" t="str">
        <f>"MS-WSP_R"&amp;ROW(A965)-22</f>
        <v>MS-WSP_R943</v>
      </c>
      <c r="B965" s="68" t="s">
        <v>821</v>
      </c>
      <c r="C965" s="77" t="s">
        <v>2223</v>
      </c>
      <c r="G965" s="73" t="s">
        <v>121</v>
      </c>
      <c r="H965" s="70" t="s">
        <v>618</v>
      </c>
      <c r="I965" s="69" t="s">
        <v>41</v>
      </c>
      <c r="J965" s="69" t="s">
        <v>54</v>
      </c>
      <c r="K965" s="69" t="s">
        <v>9</v>
      </c>
      <c r="L965" s="70" t="s">
        <v>56</v>
      </c>
      <c r="M965" s="70" t="s">
        <v>2226</v>
      </c>
    </row>
    <row r="966" spans="1:13" s="53" customFormat="1" ht="45">
      <c r="A966" s="72" t="str">
        <f>"MS-WSP_R"&amp;ROW(A966)-22</f>
        <v>MS-WSP_R944</v>
      </c>
      <c r="B966" s="68" t="s">
        <v>821</v>
      </c>
      <c r="C966" s="77" t="s">
        <v>2224</v>
      </c>
      <c r="G966" s="73" t="s">
        <v>121</v>
      </c>
      <c r="H966" s="70" t="s">
        <v>618</v>
      </c>
      <c r="I966" s="69" t="s">
        <v>41</v>
      </c>
      <c r="J966" s="69" t="s">
        <v>54</v>
      </c>
      <c r="K966" s="69" t="s">
        <v>9</v>
      </c>
      <c r="L966" s="70" t="s">
        <v>56</v>
      </c>
      <c r="M966" s="70" t="s">
        <v>2226</v>
      </c>
    </row>
    <row r="967" spans="1:13">
      <c r="A967"/>
      <c r="B967" s="49"/>
    </row>
    <row r="968" spans="1:13">
      <c r="A968"/>
      <c r="B968" s="49"/>
    </row>
  </sheetData>
  <mergeCells count="18">
    <mergeCell ref="B21:M21"/>
    <mergeCell ref="B18:M18"/>
    <mergeCell ref="B19:M19"/>
    <mergeCell ref="D12:K12"/>
    <mergeCell ref="D14:K17"/>
    <mergeCell ref="B13:M13"/>
    <mergeCell ref="B7:M7"/>
    <mergeCell ref="B8:M8"/>
    <mergeCell ref="F3:G3"/>
    <mergeCell ref="B20:C20"/>
    <mergeCell ref="D20:M20"/>
    <mergeCell ref="B12:C12"/>
    <mergeCell ref="B9:C9"/>
    <mergeCell ref="D9:K9"/>
    <mergeCell ref="B5:C5"/>
    <mergeCell ref="B11:M11"/>
    <mergeCell ref="A4:K4"/>
    <mergeCell ref="B6:M6"/>
  </mergeCells>
  <phoneticPr fontId="11" type="noConversion"/>
  <conditionalFormatting sqref="I23:I966">
    <cfRule type="expression" dxfId="29" priority="6">
      <formula>NOT(VLOOKUP(I23,$A$14:$C$17,2,FALSE)="In")</formula>
    </cfRule>
    <cfRule type="expression" dxfId="28" priority="7">
      <formula>(VLOOKUP(I23,$A$14:$C$17,2,FALSE)="In")</formula>
    </cfRule>
  </conditionalFormatting>
  <conditionalFormatting sqref="H23:H966">
    <cfRule type="cellIs" dxfId="27" priority="5" operator="equal">
      <formula>"Product"</formula>
    </cfRule>
  </conditionalFormatting>
  <conditionalFormatting sqref="A23:B966 C962:C963 C23:C959 A964:K966 D23:K966">
    <cfRule type="expression" dxfId="26" priority="4">
      <formula>EXACT(INDIRECT("L"&amp;ROW()),"Deleted")</formula>
    </cfRule>
  </conditionalFormatting>
  <conditionalFormatting sqref="I23:I966">
    <cfRule type="expression" dxfId="25" priority="2">
      <formula>NOT(VLOOKUP(I23,$A$15:$C$18,2,FALSE)="In")</formula>
    </cfRule>
    <cfRule type="expression" dxfId="24" priority="3">
      <formula>(VLOOKUP(I23,$A$15:$C$18,2,FALSE)="In")</formula>
    </cfRule>
  </conditionalFormatting>
  <dataValidations count="8">
    <dataValidation type="list" allowBlank="1" showInputMessage="1" showErrorMessage="1" sqref="I4">
      <formula1>$A$15:$A$17</formula1>
    </dataValidation>
    <dataValidation type="list" allowBlank="1" showInputMessage="1" showErrorMessage="1" sqref="H4 H23:H966">
      <formula1>"Protocol,Product"</formula1>
    </dataValidation>
    <dataValidation type="list" allowBlank="1" showInputMessage="1" showErrorMessage="1" sqref="K4 K23:K966">
      <formula1>"Informative,Normative"</formula1>
    </dataValidation>
    <dataValidation type="list" allowBlank="1" showInputMessage="1" showErrorMessage="1" sqref="J4 J23:J966">
      <formula1>"p0,p1,p2"</formula1>
    </dataValidation>
    <dataValidation type="list" allowBlank="1" showInputMessage="1" showErrorMessage="1" sqref="B15:B17">
      <formula1>"In, Out"</formula1>
    </dataValidation>
    <dataValidation type="list" allowBlank="1" showInputMessage="1" showErrorMessage="1" sqref="L23:L966">
      <formula1>"Non-testable, Unverified, Adapter, Test Case, Deleted"</formula1>
    </dataValidation>
    <dataValidation allowBlank="1" showInputMessage="1" showErrorMessage="1" sqref="C3"/>
    <dataValidation type="list" allowBlank="1" showInputMessage="1" showErrorMessage="1" sqref="I23:I966">
      <formula1>"Client,Server,Both"</formula1>
    </dataValidation>
  </dataValidations>
  <pageMargins left="0.25" right="0.25" top="0.5" bottom="0.5" header="0.3" footer="0.3"/>
  <pageSetup paperSize="9" scale="74" orientation="landscape" blackAndWhite="1" r:id="rId1"/>
  <headerFooter>
    <oddFooter>&amp;F&amp;RPage &amp;P</oddFooter>
  </headerFooter>
  <ignoredErrors>
    <ignoredError sqref="B23:B33 B620:B637 B580 B879:B880 B960:B963 K2" numberStoredAsText="1"/>
    <ignoredError sqref="A23:A322 A925:A934 A935:A963 A778:A806 A808:A816 A743:A767 A768:A776 A817:A924 A556:A616 A330:A386 A324:A328 A706:A742 A675:A696 A698:A704 A323 A705 A697 A329 A555 A673:A674 A618:A672 A387:A554" calculatedColumn="1"/>
  </ignoredErrors>
  <tableParts count="2">
    <tablePart r:id="rId2"/>
    <tablePart r:id="rId3"/>
  </tableParts>
</worksheet>
</file>

<file path=xl/worksheets/sheet2.xml><?xml version="1.0" encoding="utf-8"?>
<worksheet xmlns="http://schemas.openxmlformats.org/spreadsheetml/2006/main" xmlns:r="http://schemas.openxmlformats.org/officeDocument/2006/relationships">
  <sheetPr codeName="Sheet2"/>
  <dimension ref="A1:N1049"/>
  <sheetViews>
    <sheetView topLeftCell="A934" workbookViewId="0">
      <selection activeCell="F953" sqref="F953"/>
    </sheetView>
  </sheetViews>
  <sheetFormatPr defaultRowHeight="15"/>
  <cols>
    <col min="1" max="1" width="13.7109375" bestFit="1" customWidth="1"/>
    <col min="2" max="2" width="8.140625" customWidth="1"/>
    <col min="3" max="7" width="7.5703125" customWidth="1"/>
    <col min="10" max="11" width="10.5703125" customWidth="1"/>
    <col min="13" max="13" width="11.140625" customWidth="1"/>
  </cols>
  <sheetData>
    <row r="1" spans="1:14" ht="15.75">
      <c r="A1" s="112" t="s">
        <v>2</v>
      </c>
      <c r="B1" s="112"/>
      <c r="C1" s="112"/>
      <c r="D1" s="112"/>
      <c r="E1" s="112"/>
      <c r="F1" s="112"/>
      <c r="G1" s="112"/>
      <c r="H1" s="113"/>
      <c r="I1" s="113"/>
    </row>
    <row r="2" spans="1:14">
      <c r="A2" s="23" t="s">
        <v>39</v>
      </c>
      <c r="B2" s="23"/>
      <c r="C2" s="23"/>
      <c r="D2" s="23"/>
      <c r="E2" s="23"/>
      <c r="F2" s="23"/>
      <c r="G2" s="23"/>
      <c r="H2" s="23"/>
      <c r="I2" s="32" t="str">
        <f>Requirements!J2</f>
        <v>RS Version:</v>
      </c>
      <c r="J2" s="7" t="str">
        <f>Requirements!K2</f>
        <v>3.0</v>
      </c>
      <c r="L2" s="32" t="str">
        <f>Requirements!J3</f>
        <v>RS Date:</v>
      </c>
      <c r="M2" s="48">
        <f>Requirements!K3</f>
        <v>39708</v>
      </c>
    </row>
    <row r="3" spans="1:14">
      <c r="A3" s="114" t="str">
        <f>Requirements!C2</f>
        <v>[MS-WSP]: Windows Search Protocol Specification</v>
      </c>
      <c r="B3" s="114"/>
      <c r="C3" s="114"/>
      <c r="D3" s="114"/>
      <c r="E3" s="114"/>
      <c r="F3" s="114"/>
      <c r="H3" s="17"/>
    </row>
    <row r="4" spans="1:14" ht="28.5" customHeight="1">
      <c r="A4" s="4" t="s">
        <v>40</v>
      </c>
      <c r="B4" s="5" t="s">
        <v>48</v>
      </c>
      <c r="C4" s="5" t="s">
        <v>48</v>
      </c>
      <c r="D4" s="5" t="s">
        <v>48</v>
      </c>
      <c r="E4" s="5" t="s">
        <v>48</v>
      </c>
      <c r="F4" s="5" t="s">
        <v>48</v>
      </c>
      <c r="G4" s="5" t="s">
        <v>48</v>
      </c>
    </row>
    <row r="5" spans="1:14" ht="31.5" customHeight="1">
      <c r="A5" s="4" t="s">
        <v>0</v>
      </c>
      <c r="B5" s="2" t="s">
        <v>121</v>
      </c>
      <c r="C5" s="2" t="s">
        <v>122</v>
      </c>
      <c r="D5" s="2" t="s">
        <v>23</v>
      </c>
      <c r="E5" s="2" t="s">
        <v>25</v>
      </c>
      <c r="F5" s="2" t="s">
        <v>26</v>
      </c>
      <c r="G5" s="2" t="s">
        <v>27</v>
      </c>
      <c r="H5" s="5" t="s">
        <v>117</v>
      </c>
      <c r="I5" s="5" t="s">
        <v>118</v>
      </c>
      <c r="J5" s="50" t="s">
        <v>116</v>
      </c>
      <c r="K5" s="2" t="s">
        <v>9</v>
      </c>
      <c r="L5" s="2" t="s">
        <v>52</v>
      </c>
      <c r="M5" s="2" t="s">
        <v>66</v>
      </c>
      <c r="N5" s="5" t="s">
        <v>119</v>
      </c>
    </row>
    <row r="6" spans="1:14">
      <c r="A6" s="1" t="str">
        <f>Requirements!A23</f>
        <v>MS-WSP_R1</v>
      </c>
      <c r="B6" s="1">
        <v>1</v>
      </c>
      <c r="C6" s="1">
        <v>1</v>
      </c>
      <c r="D6" s="1">
        <v>1</v>
      </c>
      <c r="E6" s="1"/>
      <c r="F6" s="1"/>
      <c r="G6" s="1"/>
      <c r="H6" s="3">
        <f t="shared" ref="H6:H69" si="0">SUM(B6:G6)</f>
        <v>3</v>
      </c>
      <c r="I6" s="6">
        <f>IF(H6=0,0,1)</f>
        <v>1</v>
      </c>
      <c r="J6" s="1" t="b">
        <f>AND(K6:M6)</f>
        <v>1</v>
      </c>
      <c r="K6" s="1" t="b">
        <f>(Requirements!K23="Normative")</f>
        <v>1</v>
      </c>
      <c r="L6" s="1" t="b">
        <f>(Requirements!L23&lt;&gt;"Non-testable")</f>
        <v>1</v>
      </c>
      <c r="M6" s="1" t="b">
        <f>(VLOOKUP(Requirements!I23,Scope[[Role]:[Description]],2,FALSE)="In")</f>
        <v>1</v>
      </c>
      <c r="N6" s="1">
        <f>IF(J6,I6,0)</f>
        <v>1</v>
      </c>
    </row>
    <row r="7" spans="1:14">
      <c r="A7" s="1" t="str">
        <f>Requirements!A24</f>
        <v>MS-WSP_R2</v>
      </c>
      <c r="B7" s="1">
        <v>1</v>
      </c>
      <c r="C7" s="1">
        <v>1</v>
      </c>
      <c r="D7" s="1">
        <v>1</v>
      </c>
      <c r="E7" s="1"/>
      <c r="F7" s="1"/>
      <c r="G7" s="1"/>
      <c r="H7" s="3">
        <f t="shared" si="0"/>
        <v>3</v>
      </c>
      <c r="I7" s="6">
        <f t="shared" ref="I7:I70" si="1">IF(H7=0,0,1)</f>
        <v>1</v>
      </c>
      <c r="J7" s="1" t="b">
        <f t="shared" ref="J7:J70" si="2">AND(K7:M7)</f>
        <v>1</v>
      </c>
      <c r="K7" s="1" t="b">
        <f>(Requirements!K24="Normative")</f>
        <v>1</v>
      </c>
      <c r="L7" s="1" t="b">
        <f>(Requirements!L24&lt;&gt;"Non-testable")</f>
        <v>1</v>
      </c>
      <c r="M7" s="1" t="b">
        <f>(VLOOKUP(Requirements!I24,Scope[[Role]:[Description]],2,FALSE)="In")</f>
        <v>1</v>
      </c>
      <c r="N7" s="1">
        <f t="shared" ref="N7:N70" si="3">IF(J7,I7,0)</f>
        <v>1</v>
      </c>
    </row>
    <row r="8" spans="1:14">
      <c r="A8" s="1" t="str">
        <f>Requirements!A25</f>
        <v>MS-WSP_R3</v>
      </c>
      <c r="B8" s="1">
        <v>1</v>
      </c>
      <c r="C8" s="1">
        <v>1</v>
      </c>
      <c r="D8" s="1">
        <v>1</v>
      </c>
      <c r="E8" s="1"/>
      <c r="F8" s="1"/>
      <c r="G8" s="1"/>
      <c r="H8" s="3">
        <f t="shared" si="0"/>
        <v>3</v>
      </c>
      <c r="I8" s="6">
        <f t="shared" si="1"/>
        <v>1</v>
      </c>
      <c r="J8" s="1" t="b">
        <f t="shared" si="2"/>
        <v>1</v>
      </c>
      <c r="K8" s="1" t="b">
        <f>(Requirements!K25="Normative")</f>
        <v>1</v>
      </c>
      <c r="L8" s="1" t="b">
        <f>(Requirements!L25&lt;&gt;"Non-testable")</f>
        <v>1</v>
      </c>
      <c r="M8" s="1" t="b">
        <f>(VLOOKUP(Requirements!I25,Scope[[Role]:[Description]],2,FALSE)="In")</f>
        <v>1</v>
      </c>
      <c r="N8" s="1">
        <f t="shared" si="3"/>
        <v>1</v>
      </c>
    </row>
    <row r="9" spans="1:14">
      <c r="A9" s="1" t="str">
        <f>Requirements!A26</f>
        <v>MS-WSP_R4</v>
      </c>
      <c r="B9" s="1"/>
      <c r="C9" s="1"/>
      <c r="D9" s="1"/>
      <c r="E9" s="1"/>
      <c r="F9" s="1"/>
      <c r="G9" s="1"/>
      <c r="H9" s="3">
        <f t="shared" si="0"/>
        <v>0</v>
      </c>
      <c r="I9" s="6">
        <f t="shared" si="1"/>
        <v>0</v>
      </c>
      <c r="J9" s="1" t="b">
        <f t="shared" si="2"/>
        <v>0</v>
      </c>
      <c r="K9" s="1" t="b">
        <f>(Requirements!K26="Normative")</f>
        <v>1</v>
      </c>
      <c r="L9" s="1" t="b">
        <f>(Requirements!L26&lt;&gt;"Non-testable")</f>
        <v>1</v>
      </c>
      <c r="M9" s="1" t="b">
        <f>(VLOOKUP(Requirements!I26,Scope[[Role]:[Description]],2,FALSE)="In")</f>
        <v>0</v>
      </c>
      <c r="N9" s="1">
        <f t="shared" si="3"/>
        <v>0</v>
      </c>
    </row>
    <row r="10" spans="1:14">
      <c r="A10" s="1" t="str">
        <f>Requirements!A27</f>
        <v>MS-WSP_R5</v>
      </c>
      <c r="B10" s="1"/>
      <c r="C10" s="1"/>
      <c r="D10" s="1"/>
      <c r="E10" s="1"/>
      <c r="F10" s="1"/>
      <c r="G10" s="1"/>
      <c r="H10" s="3">
        <f t="shared" si="0"/>
        <v>0</v>
      </c>
      <c r="I10" s="6">
        <f t="shared" si="1"/>
        <v>0</v>
      </c>
      <c r="J10" s="1" t="b">
        <f t="shared" si="2"/>
        <v>1</v>
      </c>
      <c r="K10" s="1" t="b">
        <f>(Requirements!K27="Normative")</f>
        <v>1</v>
      </c>
      <c r="L10" s="1" t="b">
        <f>(Requirements!L27&lt;&gt;"Non-testable")</f>
        <v>1</v>
      </c>
      <c r="M10" s="1" t="b">
        <f>(VLOOKUP(Requirements!I27,Scope[[Role]:[Description]],2,FALSE)="In")</f>
        <v>1</v>
      </c>
      <c r="N10" s="1">
        <f t="shared" si="3"/>
        <v>0</v>
      </c>
    </row>
    <row r="11" spans="1:14">
      <c r="A11" s="1" t="str">
        <f>Requirements!A28</f>
        <v>MS-WSP_R6</v>
      </c>
      <c r="B11" s="1">
        <v>1</v>
      </c>
      <c r="C11" s="1">
        <v>1</v>
      </c>
      <c r="D11" s="1">
        <v>1</v>
      </c>
      <c r="E11" s="1"/>
      <c r="F11" s="1">
        <v>1</v>
      </c>
      <c r="G11" s="1">
        <v>1</v>
      </c>
      <c r="H11" s="3">
        <f t="shared" si="0"/>
        <v>5</v>
      </c>
      <c r="I11" s="6">
        <f t="shared" si="1"/>
        <v>1</v>
      </c>
      <c r="J11" s="1" t="b">
        <f t="shared" si="2"/>
        <v>1</v>
      </c>
      <c r="K11" s="1" t="b">
        <f>(Requirements!K28="Normative")</f>
        <v>1</v>
      </c>
      <c r="L11" s="1" t="b">
        <f>(Requirements!L28&lt;&gt;"Non-testable")</f>
        <v>1</v>
      </c>
      <c r="M11" s="1" t="b">
        <f>(VLOOKUP(Requirements!I28,Scope[[Role]:[Description]],2,FALSE)="In")</f>
        <v>1</v>
      </c>
      <c r="N11" s="1">
        <f t="shared" si="3"/>
        <v>1</v>
      </c>
    </row>
    <row r="12" spans="1:14">
      <c r="A12" s="1" t="str">
        <f>Requirements!A29</f>
        <v>MS-WSP_R7</v>
      </c>
      <c r="B12" s="1">
        <v>1</v>
      </c>
      <c r="C12" s="1">
        <v>1</v>
      </c>
      <c r="D12" s="1">
        <v>1</v>
      </c>
      <c r="E12" s="1"/>
      <c r="F12" s="1">
        <v>1</v>
      </c>
      <c r="G12" s="1">
        <v>1</v>
      </c>
      <c r="H12" s="3">
        <f t="shared" si="0"/>
        <v>5</v>
      </c>
      <c r="I12" s="6">
        <f t="shared" si="1"/>
        <v>1</v>
      </c>
      <c r="J12" s="1" t="b">
        <f t="shared" si="2"/>
        <v>1</v>
      </c>
      <c r="K12" s="1" t="b">
        <f>(Requirements!K29="Normative")</f>
        <v>1</v>
      </c>
      <c r="L12" s="1" t="b">
        <f>(Requirements!L29&lt;&gt;"Non-testable")</f>
        <v>1</v>
      </c>
      <c r="M12" s="1" t="b">
        <f>(VLOOKUP(Requirements!I29,Scope[[Role]:[Description]],2,FALSE)="In")</f>
        <v>1</v>
      </c>
      <c r="N12" s="1">
        <f t="shared" si="3"/>
        <v>1</v>
      </c>
    </row>
    <row r="13" spans="1:14">
      <c r="A13" s="1" t="str">
        <f>Requirements!A30</f>
        <v>MS-WSP_R8</v>
      </c>
      <c r="B13" s="1">
        <v>1</v>
      </c>
      <c r="C13" s="1">
        <v>1</v>
      </c>
      <c r="D13" s="1">
        <v>1</v>
      </c>
      <c r="E13" s="1"/>
      <c r="F13" s="1">
        <v>1</v>
      </c>
      <c r="G13" s="1">
        <v>1</v>
      </c>
      <c r="H13" s="3">
        <f t="shared" si="0"/>
        <v>5</v>
      </c>
      <c r="I13" s="6">
        <f t="shared" si="1"/>
        <v>1</v>
      </c>
      <c r="J13" s="1" t="b">
        <f t="shared" si="2"/>
        <v>1</v>
      </c>
      <c r="K13" s="1" t="b">
        <f>(Requirements!K30="Normative")</f>
        <v>1</v>
      </c>
      <c r="L13" s="1" t="b">
        <f>(Requirements!L30&lt;&gt;"Non-testable")</f>
        <v>1</v>
      </c>
      <c r="M13" s="1" t="b">
        <f>(VLOOKUP(Requirements!I30,Scope[[Role]:[Description]],2,FALSE)="In")</f>
        <v>1</v>
      </c>
      <c r="N13" s="1">
        <f t="shared" si="3"/>
        <v>1</v>
      </c>
    </row>
    <row r="14" spans="1:14">
      <c r="A14" s="1" t="str">
        <f>Requirements!A31</f>
        <v>MS-WSP_R9</v>
      </c>
      <c r="B14" s="1">
        <v>1</v>
      </c>
      <c r="C14" s="1">
        <v>1</v>
      </c>
      <c r="D14" s="1">
        <v>1</v>
      </c>
      <c r="E14" s="1"/>
      <c r="F14" s="1">
        <v>1</v>
      </c>
      <c r="G14" s="1">
        <v>1</v>
      </c>
      <c r="H14" s="3">
        <f t="shared" si="0"/>
        <v>5</v>
      </c>
      <c r="I14" s="6">
        <f t="shared" si="1"/>
        <v>1</v>
      </c>
      <c r="J14" s="1" t="b">
        <f t="shared" si="2"/>
        <v>1</v>
      </c>
      <c r="K14" s="1" t="b">
        <f>(Requirements!K31="Normative")</f>
        <v>1</v>
      </c>
      <c r="L14" s="1" t="b">
        <f>(Requirements!L31&lt;&gt;"Non-testable")</f>
        <v>1</v>
      </c>
      <c r="M14" s="1" t="b">
        <f>(VLOOKUP(Requirements!I31,Scope[[Role]:[Description]],2,FALSE)="In")</f>
        <v>1</v>
      </c>
      <c r="N14" s="1">
        <f t="shared" si="3"/>
        <v>1</v>
      </c>
    </row>
    <row r="15" spans="1:14">
      <c r="A15" s="1" t="str">
        <f>Requirements!A32</f>
        <v>MS-WSP_R10</v>
      </c>
      <c r="B15" s="1">
        <v>1</v>
      </c>
      <c r="C15" s="1">
        <v>1</v>
      </c>
      <c r="D15" s="1">
        <v>1</v>
      </c>
      <c r="E15" s="1"/>
      <c r="F15" s="1">
        <v>1</v>
      </c>
      <c r="G15" s="1">
        <v>1</v>
      </c>
      <c r="H15" s="3">
        <f t="shared" si="0"/>
        <v>5</v>
      </c>
      <c r="I15" s="6">
        <f t="shared" si="1"/>
        <v>1</v>
      </c>
      <c r="J15" s="1" t="b">
        <f t="shared" si="2"/>
        <v>1</v>
      </c>
      <c r="K15" s="1" t="b">
        <f>(Requirements!K32="Normative")</f>
        <v>1</v>
      </c>
      <c r="L15" s="1" t="b">
        <f>(Requirements!L32&lt;&gt;"Non-testable")</f>
        <v>1</v>
      </c>
      <c r="M15" s="1" t="b">
        <f>(VLOOKUP(Requirements!I32,Scope[[Role]:[Description]],2,FALSE)="In")</f>
        <v>1</v>
      </c>
      <c r="N15" s="1">
        <f t="shared" si="3"/>
        <v>1</v>
      </c>
    </row>
    <row r="16" spans="1:14">
      <c r="A16" s="1" t="str">
        <f>Requirements!A33</f>
        <v>MS-WSP_R11</v>
      </c>
      <c r="B16" s="1">
        <v>1</v>
      </c>
      <c r="C16" s="1">
        <v>1</v>
      </c>
      <c r="D16" s="1">
        <v>1</v>
      </c>
      <c r="E16" s="1"/>
      <c r="F16" s="1">
        <v>1</v>
      </c>
      <c r="G16" s="1">
        <v>1</v>
      </c>
      <c r="H16" s="3">
        <f t="shared" si="0"/>
        <v>5</v>
      </c>
      <c r="I16" s="6">
        <f t="shared" si="1"/>
        <v>1</v>
      </c>
      <c r="J16" s="1" t="b">
        <f t="shared" si="2"/>
        <v>1</v>
      </c>
      <c r="K16" s="1" t="b">
        <f>(Requirements!K33="Normative")</f>
        <v>1</v>
      </c>
      <c r="L16" s="1" t="b">
        <f>(Requirements!L33&lt;&gt;"Non-testable")</f>
        <v>1</v>
      </c>
      <c r="M16" s="1" t="b">
        <f>(VLOOKUP(Requirements!I33,Scope[[Role]:[Description]],2,FALSE)="In")</f>
        <v>1</v>
      </c>
      <c r="N16" s="1">
        <f t="shared" si="3"/>
        <v>1</v>
      </c>
    </row>
    <row r="17" spans="1:14">
      <c r="A17" s="1" t="str">
        <f>Requirements!A34</f>
        <v>MS-WSP_R12</v>
      </c>
      <c r="B17" s="1"/>
      <c r="C17" s="1"/>
      <c r="D17" s="1"/>
      <c r="E17" s="1"/>
      <c r="F17" s="1"/>
      <c r="G17" s="1"/>
      <c r="H17" s="3">
        <f t="shared" si="0"/>
        <v>0</v>
      </c>
      <c r="I17" s="6">
        <f t="shared" si="1"/>
        <v>0</v>
      </c>
      <c r="J17" s="1" t="b">
        <f t="shared" si="2"/>
        <v>1</v>
      </c>
      <c r="K17" s="1" t="b">
        <f>(Requirements!K34="Normative")</f>
        <v>1</v>
      </c>
      <c r="L17" s="1" t="b">
        <f>(Requirements!L34&lt;&gt;"Non-testable")</f>
        <v>1</v>
      </c>
      <c r="M17" s="1" t="b">
        <f>(VLOOKUP(Requirements!I34,Scope[[Role]:[Description]],2,FALSE)="In")</f>
        <v>1</v>
      </c>
      <c r="N17" s="1">
        <f t="shared" si="3"/>
        <v>0</v>
      </c>
    </row>
    <row r="18" spans="1:14">
      <c r="A18" s="1" t="str">
        <f>Requirements!A35</f>
        <v>MS-WSP_R13</v>
      </c>
      <c r="B18" s="1"/>
      <c r="C18" s="1"/>
      <c r="D18" s="1"/>
      <c r="E18" s="1"/>
      <c r="F18" s="1"/>
      <c r="G18" s="1"/>
      <c r="H18" s="3">
        <f t="shared" si="0"/>
        <v>0</v>
      </c>
      <c r="I18" s="6">
        <f t="shared" si="1"/>
        <v>0</v>
      </c>
      <c r="J18" s="1" t="b">
        <f t="shared" si="2"/>
        <v>1</v>
      </c>
      <c r="K18" s="1" t="b">
        <f>(Requirements!K35="Normative")</f>
        <v>1</v>
      </c>
      <c r="L18" s="1" t="b">
        <f>(Requirements!L35&lt;&gt;"Non-testable")</f>
        <v>1</v>
      </c>
      <c r="M18" s="1" t="b">
        <f>(VLOOKUP(Requirements!I35,Scope[[Role]:[Description]],2,FALSE)="In")</f>
        <v>1</v>
      </c>
      <c r="N18" s="1">
        <f t="shared" si="3"/>
        <v>0</v>
      </c>
    </row>
    <row r="19" spans="1:14">
      <c r="A19" s="1" t="str">
        <f>Requirements!A36</f>
        <v>MS-WSP_R14</v>
      </c>
      <c r="B19" s="1"/>
      <c r="C19" s="1"/>
      <c r="D19" s="1"/>
      <c r="E19" s="1"/>
      <c r="F19" s="1"/>
      <c r="G19" s="1"/>
      <c r="H19" s="3">
        <f t="shared" si="0"/>
        <v>0</v>
      </c>
      <c r="I19" s="6">
        <f t="shared" si="1"/>
        <v>0</v>
      </c>
      <c r="J19" s="1" t="b">
        <f t="shared" si="2"/>
        <v>1</v>
      </c>
      <c r="K19" s="1" t="b">
        <f>(Requirements!K36="Normative")</f>
        <v>1</v>
      </c>
      <c r="L19" s="1" t="b">
        <f>(Requirements!L36&lt;&gt;"Non-testable")</f>
        <v>1</v>
      </c>
      <c r="M19" s="1" t="b">
        <f>(VLOOKUP(Requirements!I36,Scope[[Role]:[Description]],2,FALSE)="In")</f>
        <v>1</v>
      </c>
      <c r="N19" s="1">
        <f t="shared" si="3"/>
        <v>0</v>
      </c>
    </row>
    <row r="20" spans="1:14">
      <c r="A20" s="1" t="str">
        <f>Requirements!A37</f>
        <v>MS-WSP_R15</v>
      </c>
      <c r="B20" s="1"/>
      <c r="C20" s="1"/>
      <c r="D20" s="1"/>
      <c r="E20" s="1"/>
      <c r="F20" s="1"/>
      <c r="G20" s="1"/>
      <c r="H20" s="3">
        <f t="shared" si="0"/>
        <v>0</v>
      </c>
      <c r="I20" s="6">
        <f t="shared" si="1"/>
        <v>0</v>
      </c>
      <c r="J20" s="1" t="b">
        <f t="shared" si="2"/>
        <v>1</v>
      </c>
      <c r="K20" s="1" t="b">
        <f>(Requirements!K37="Normative")</f>
        <v>1</v>
      </c>
      <c r="L20" s="1" t="b">
        <f>(Requirements!L37&lt;&gt;"Non-testable")</f>
        <v>1</v>
      </c>
      <c r="M20" s="1" t="b">
        <f>(VLOOKUP(Requirements!I37,Scope[[Role]:[Description]],2,FALSE)="In")</f>
        <v>1</v>
      </c>
      <c r="N20" s="1">
        <f t="shared" si="3"/>
        <v>0</v>
      </c>
    </row>
    <row r="21" spans="1:14">
      <c r="A21" s="1" t="str">
        <f>Requirements!A38</f>
        <v>MS-WSP_R16</v>
      </c>
      <c r="B21" s="1"/>
      <c r="C21" s="1"/>
      <c r="D21" s="1"/>
      <c r="E21" s="1"/>
      <c r="F21" s="1"/>
      <c r="G21" s="1"/>
      <c r="H21" s="3">
        <f t="shared" si="0"/>
        <v>0</v>
      </c>
      <c r="I21" s="6">
        <f t="shared" si="1"/>
        <v>0</v>
      </c>
      <c r="J21" s="1" t="b">
        <f t="shared" si="2"/>
        <v>1</v>
      </c>
      <c r="K21" s="1" t="b">
        <f>(Requirements!K38="Normative")</f>
        <v>1</v>
      </c>
      <c r="L21" s="1" t="b">
        <f>(Requirements!L38&lt;&gt;"Non-testable")</f>
        <v>1</v>
      </c>
      <c r="M21" s="1" t="b">
        <f>(VLOOKUP(Requirements!I38,Scope[[Role]:[Description]],2,FALSE)="In")</f>
        <v>1</v>
      </c>
      <c r="N21" s="1">
        <f t="shared" si="3"/>
        <v>0</v>
      </c>
    </row>
    <row r="22" spans="1:14">
      <c r="A22" s="1" t="str">
        <f>Requirements!A39</f>
        <v>MS-WSP_R17</v>
      </c>
      <c r="B22" s="1">
        <v>1</v>
      </c>
      <c r="C22" s="1">
        <v>1</v>
      </c>
      <c r="D22" s="1">
        <v>1</v>
      </c>
      <c r="E22" s="1"/>
      <c r="F22" s="1">
        <v>1</v>
      </c>
      <c r="G22" s="1">
        <v>1</v>
      </c>
      <c r="H22" s="3">
        <f t="shared" si="0"/>
        <v>5</v>
      </c>
      <c r="I22" s="6">
        <f t="shared" si="1"/>
        <v>1</v>
      </c>
      <c r="J22" s="1" t="b">
        <f t="shared" si="2"/>
        <v>1</v>
      </c>
      <c r="K22" s="1" t="b">
        <f>(Requirements!K39="Normative")</f>
        <v>1</v>
      </c>
      <c r="L22" s="1" t="b">
        <f>(Requirements!L39&lt;&gt;"Non-testable")</f>
        <v>1</v>
      </c>
      <c r="M22" s="1" t="b">
        <f>(VLOOKUP(Requirements!I39,Scope[[Role]:[Description]],2,FALSE)="In")</f>
        <v>1</v>
      </c>
      <c r="N22" s="1">
        <f t="shared" si="3"/>
        <v>1</v>
      </c>
    </row>
    <row r="23" spans="1:14">
      <c r="A23" s="1" t="str">
        <f>Requirements!A40</f>
        <v>MS-WSP_R18</v>
      </c>
      <c r="B23" s="1"/>
      <c r="C23" s="1"/>
      <c r="D23" s="1"/>
      <c r="E23" s="1"/>
      <c r="F23" s="1"/>
      <c r="G23" s="1"/>
      <c r="H23" s="3">
        <f t="shared" si="0"/>
        <v>0</v>
      </c>
      <c r="I23" s="6">
        <f t="shared" si="1"/>
        <v>0</v>
      </c>
      <c r="J23" s="1" t="b">
        <f t="shared" si="2"/>
        <v>1</v>
      </c>
      <c r="K23" s="1" t="b">
        <f>(Requirements!K40="Normative")</f>
        <v>1</v>
      </c>
      <c r="L23" s="1" t="b">
        <f>(Requirements!L40&lt;&gt;"Non-testable")</f>
        <v>1</v>
      </c>
      <c r="M23" s="1" t="b">
        <f>(VLOOKUP(Requirements!I40,Scope[[Role]:[Description]],2,FALSE)="In")</f>
        <v>1</v>
      </c>
      <c r="N23" s="1">
        <f t="shared" si="3"/>
        <v>0</v>
      </c>
    </row>
    <row r="24" spans="1:14">
      <c r="A24" s="1" t="str">
        <f>Requirements!A41</f>
        <v>MS-WSP_R19</v>
      </c>
      <c r="B24" s="1"/>
      <c r="C24" s="1"/>
      <c r="D24" s="1"/>
      <c r="E24" s="1"/>
      <c r="F24" s="1"/>
      <c r="G24" s="1"/>
      <c r="H24" s="3">
        <f t="shared" si="0"/>
        <v>0</v>
      </c>
      <c r="I24" s="6">
        <f t="shared" si="1"/>
        <v>0</v>
      </c>
      <c r="J24" s="1" t="b">
        <f t="shared" si="2"/>
        <v>1</v>
      </c>
      <c r="K24" s="1" t="b">
        <f>(Requirements!K41="Normative")</f>
        <v>1</v>
      </c>
      <c r="L24" s="1" t="b">
        <f>(Requirements!L41&lt;&gt;"Non-testable")</f>
        <v>1</v>
      </c>
      <c r="M24" s="1" t="b">
        <f>(VLOOKUP(Requirements!I41,Scope[[Role]:[Description]],2,FALSE)="In")</f>
        <v>1</v>
      </c>
      <c r="N24" s="1">
        <f t="shared" si="3"/>
        <v>0</v>
      </c>
    </row>
    <row r="25" spans="1:14">
      <c r="A25" s="1" t="str">
        <f>Requirements!A42</f>
        <v>MS-WSP_R20</v>
      </c>
      <c r="B25" s="1"/>
      <c r="C25" s="1"/>
      <c r="D25" s="1"/>
      <c r="E25" s="1"/>
      <c r="F25" s="1"/>
      <c r="G25" s="1"/>
      <c r="H25" s="3">
        <f t="shared" si="0"/>
        <v>0</v>
      </c>
      <c r="I25" s="6">
        <f t="shared" si="1"/>
        <v>0</v>
      </c>
      <c r="J25" s="1" t="b">
        <f t="shared" si="2"/>
        <v>1</v>
      </c>
      <c r="K25" s="1" t="b">
        <f>(Requirements!K42="Normative")</f>
        <v>1</v>
      </c>
      <c r="L25" s="1" t="b">
        <f>(Requirements!L42&lt;&gt;"Non-testable")</f>
        <v>1</v>
      </c>
      <c r="M25" s="1" t="b">
        <f>(VLOOKUP(Requirements!I42,Scope[[Role]:[Description]],2,FALSE)="In")</f>
        <v>1</v>
      </c>
      <c r="N25" s="1">
        <f t="shared" si="3"/>
        <v>0</v>
      </c>
    </row>
    <row r="26" spans="1:14">
      <c r="A26" s="1" t="str">
        <f>Requirements!A43</f>
        <v>MS-WSP_R21</v>
      </c>
      <c r="B26" s="1"/>
      <c r="C26" s="1"/>
      <c r="D26" s="1"/>
      <c r="E26" s="1"/>
      <c r="F26" s="1"/>
      <c r="G26" s="1"/>
      <c r="H26" s="3">
        <f t="shared" si="0"/>
        <v>0</v>
      </c>
      <c r="I26" s="6">
        <f t="shared" si="1"/>
        <v>0</v>
      </c>
      <c r="J26" s="1" t="b">
        <f t="shared" si="2"/>
        <v>1</v>
      </c>
      <c r="K26" s="1" t="b">
        <f>(Requirements!K43="Normative")</f>
        <v>1</v>
      </c>
      <c r="L26" s="1" t="b">
        <f>(Requirements!L43&lt;&gt;"Non-testable")</f>
        <v>1</v>
      </c>
      <c r="M26" s="1" t="b">
        <f>(VLOOKUP(Requirements!I43,Scope[[Role]:[Description]],2,FALSE)="In")</f>
        <v>1</v>
      </c>
      <c r="N26" s="1">
        <f t="shared" si="3"/>
        <v>0</v>
      </c>
    </row>
    <row r="27" spans="1:14">
      <c r="A27" s="1" t="str">
        <f>Requirements!A44</f>
        <v>MS-WSP_R22</v>
      </c>
      <c r="B27" s="1"/>
      <c r="C27" s="1"/>
      <c r="D27" s="1"/>
      <c r="E27" s="1"/>
      <c r="F27" s="1"/>
      <c r="G27" s="1"/>
      <c r="H27" s="3">
        <f t="shared" si="0"/>
        <v>0</v>
      </c>
      <c r="I27" s="6">
        <f t="shared" si="1"/>
        <v>0</v>
      </c>
      <c r="J27" s="1" t="b">
        <f t="shared" si="2"/>
        <v>1</v>
      </c>
      <c r="K27" s="1" t="b">
        <f>(Requirements!K44="Normative")</f>
        <v>1</v>
      </c>
      <c r="L27" s="1" t="b">
        <f>(Requirements!L44&lt;&gt;"Non-testable")</f>
        <v>1</v>
      </c>
      <c r="M27" s="1" t="b">
        <f>(VLOOKUP(Requirements!I44,Scope[[Role]:[Description]],2,FALSE)="In")</f>
        <v>1</v>
      </c>
      <c r="N27" s="1">
        <f t="shared" si="3"/>
        <v>0</v>
      </c>
    </row>
    <row r="28" spans="1:14">
      <c r="A28" s="1" t="str">
        <f>Requirements!A45</f>
        <v>MS-WSP_R23</v>
      </c>
      <c r="B28" s="1"/>
      <c r="C28" s="1"/>
      <c r="D28" s="1"/>
      <c r="E28" s="1"/>
      <c r="F28" s="1"/>
      <c r="G28" s="1"/>
      <c r="H28" s="3">
        <f t="shared" si="0"/>
        <v>0</v>
      </c>
      <c r="I28" s="6">
        <f t="shared" si="1"/>
        <v>0</v>
      </c>
      <c r="J28" s="1" t="b">
        <f t="shared" si="2"/>
        <v>1</v>
      </c>
      <c r="K28" s="1" t="b">
        <f>(Requirements!K45="Normative")</f>
        <v>1</v>
      </c>
      <c r="L28" s="1" t="b">
        <f>(Requirements!L45&lt;&gt;"Non-testable")</f>
        <v>1</v>
      </c>
      <c r="M28" s="1" t="b">
        <f>(VLOOKUP(Requirements!I45,Scope[[Role]:[Description]],2,FALSE)="In")</f>
        <v>1</v>
      </c>
      <c r="N28" s="1">
        <f t="shared" si="3"/>
        <v>0</v>
      </c>
    </row>
    <row r="29" spans="1:14">
      <c r="A29" s="1" t="str">
        <f>Requirements!A46</f>
        <v>MS-WSP_R24</v>
      </c>
      <c r="B29" s="1">
        <v>1</v>
      </c>
      <c r="C29" s="1">
        <v>1</v>
      </c>
      <c r="D29" s="1">
        <v>1</v>
      </c>
      <c r="E29" s="1"/>
      <c r="F29" s="1">
        <v>1</v>
      </c>
      <c r="G29" s="1">
        <v>1</v>
      </c>
      <c r="H29" s="3">
        <f t="shared" si="0"/>
        <v>5</v>
      </c>
      <c r="I29" s="6">
        <f t="shared" si="1"/>
        <v>1</v>
      </c>
      <c r="J29" s="1" t="b">
        <f t="shared" si="2"/>
        <v>1</v>
      </c>
      <c r="K29" s="1" t="b">
        <f>(Requirements!K46="Normative")</f>
        <v>1</v>
      </c>
      <c r="L29" s="1" t="b">
        <f>(Requirements!L46&lt;&gt;"Non-testable")</f>
        <v>1</v>
      </c>
      <c r="M29" s="1" t="b">
        <f>(VLOOKUP(Requirements!I46,Scope[[Role]:[Description]],2,FALSE)="In")</f>
        <v>1</v>
      </c>
      <c r="N29" s="1">
        <f t="shared" si="3"/>
        <v>1</v>
      </c>
    </row>
    <row r="30" spans="1:14">
      <c r="A30" s="1" t="str">
        <f>Requirements!A47</f>
        <v>MS-WSP_R25</v>
      </c>
      <c r="B30" s="1"/>
      <c r="C30" s="1"/>
      <c r="D30" s="1"/>
      <c r="E30" s="1"/>
      <c r="F30" s="1"/>
      <c r="G30" s="1"/>
      <c r="H30" s="3">
        <f t="shared" si="0"/>
        <v>0</v>
      </c>
      <c r="I30" s="6">
        <f t="shared" si="1"/>
        <v>0</v>
      </c>
      <c r="J30" s="1" t="b">
        <f t="shared" si="2"/>
        <v>1</v>
      </c>
      <c r="K30" s="1" t="b">
        <f>(Requirements!K47="Normative")</f>
        <v>1</v>
      </c>
      <c r="L30" s="1" t="b">
        <f>(Requirements!L47&lt;&gt;"Non-testable")</f>
        <v>1</v>
      </c>
      <c r="M30" s="1" t="b">
        <f>(VLOOKUP(Requirements!I47,Scope[[Role]:[Description]],2,FALSE)="In")</f>
        <v>1</v>
      </c>
      <c r="N30" s="1">
        <f t="shared" si="3"/>
        <v>0</v>
      </c>
    </row>
    <row r="31" spans="1:14">
      <c r="A31" s="1" t="str">
        <f>Requirements!A48</f>
        <v>MS-WSP_R26</v>
      </c>
      <c r="B31" s="1"/>
      <c r="C31" s="1"/>
      <c r="D31" s="1"/>
      <c r="E31" s="1"/>
      <c r="F31" s="1"/>
      <c r="G31" s="1"/>
      <c r="H31" s="3">
        <f t="shared" si="0"/>
        <v>0</v>
      </c>
      <c r="I31" s="6">
        <f t="shared" si="1"/>
        <v>0</v>
      </c>
      <c r="J31" s="1" t="b">
        <f t="shared" si="2"/>
        <v>1</v>
      </c>
      <c r="K31" s="1" t="b">
        <f>(Requirements!K48="Normative")</f>
        <v>1</v>
      </c>
      <c r="L31" s="1" t="b">
        <f>(Requirements!L48&lt;&gt;"Non-testable")</f>
        <v>1</v>
      </c>
      <c r="M31" s="1" t="b">
        <f>(VLOOKUP(Requirements!I48,Scope[[Role]:[Description]],2,FALSE)="In")</f>
        <v>1</v>
      </c>
      <c r="N31" s="1">
        <f t="shared" si="3"/>
        <v>0</v>
      </c>
    </row>
    <row r="32" spans="1:14">
      <c r="A32" s="1" t="str">
        <f>Requirements!A49</f>
        <v>MS-WSP_R27</v>
      </c>
      <c r="B32" s="1"/>
      <c r="C32" s="1"/>
      <c r="D32" s="1"/>
      <c r="E32" s="1"/>
      <c r="F32" s="1"/>
      <c r="G32" s="1"/>
      <c r="H32" s="3">
        <f t="shared" si="0"/>
        <v>0</v>
      </c>
      <c r="I32" s="6">
        <f t="shared" si="1"/>
        <v>0</v>
      </c>
      <c r="J32" s="1" t="b">
        <f t="shared" si="2"/>
        <v>1</v>
      </c>
      <c r="K32" s="1" t="b">
        <f>(Requirements!K49="Normative")</f>
        <v>1</v>
      </c>
      <c r="L32" s="1" t="b">
        <f>(Requirements!L49&lt;&gt;"Non-testable")</f>
        <v>1</v>
      </c>
      <c r="M32" s="1" t="b">
        <f>(VLOOKUP(Requirements!I49,Scope[[Role]:[Description]],2,FALSE)="In")</f>
        <v>1</v>
      </c>
      <c r="N32" s="1">
        <f t="shared" si="3"/>
        <v>0</v>
      </c>
    </row>
    <row r="33" spans="1:14">
      <c r="A33" s="1" t="str">
        <f>Requirements!A50</f>
        <v>MS-WSP_R28</v>
      </c>
      <c r="B33" s="1">
        <v>1</v>
      </c>
      <c r="C33" s="1">
        <v>1</v>
      </c>
      <c r="D33" s="1">
        <v>1</v>
      </c>
      <c r="E33" s="1"/>
      <c r="F33" s="1">
        <v>1</v>
      </c>
      <c r="G33" s="1">
        <v>1</v>
      </c>
      <c r="H33" s="3">
        <f t="shared" si="0"/>
        <v>5</v>
      </c>
      <c r="I33" s="6">
        <f t="shared" si="1"/>
        <v>1</v>
      </c>
      <c r="J33" s="1" t="b">
        <f t="shared" si="2"/>
        <v>1</v>
      </c>
      <c r="K33" s="1" t="b">
        <f>(Requirements!K50="Normative")</f>
        <v>1</v>
      </c>
      <c r="L33" s="1" t="b">
        <f>(Requirements!L50&lt;&gt;"Non-testable")</f>
        <v>1</v>
      </c>
      <c r="M33" s="1" t="b">
        <f>(VLOOKUP(Requirements!I50,Scope[[Role]:[Description]],2,FALSE)="In")</f>
        <v>1</v>
      </c>
      <c r="N33" s="1">
        <f t="shared" si="3"/>
        <v>1</v>
      </c>
    </row>
    <row r="34" spans="1:14">
      <c r="A34" s="1" t="str">
        <f>Requirements!A51</f>
        <v>MS-WSP_R29</v>
      </c>
      <c r="B34" s="1"/>
      <c r="C34" s="1"/>
      <c r="D34" s="1"/>
      <c r="E34" s="1"/>
      <c r="F34" s="1"/>
      <c r="G34" s="1"/>
      <c r="H34" s="3">
        <f t="shared" si="0"/>
        <v>0</v>
      </c>
      <c r="I34" s="6">
        <f t="shared" si="1"/>
        <v>0</v>
      </c>
      <c r="J34" s="1" t="b">
        <f t="shared" si="2"/>
        <v>1</v>
      </c>
      <c r="K34" s="1" t="b">
        <f>(Requirements!K51="Normative")</f>
        <v>1</v>
      </c>
      <c r="L34" s="1" t="b">
        <f>(Requirements!L51&lt;&gt;"Non-testable")</f>
        <v>1</v>
      </c>
      <c r="M34" s="1" t="b">
        <f>(VLOOKUP(Requirements!I51,Scope[[Role]:[Description]],2,FALSE)="In")</f>
        <v>1</v>
      </c>
      <c r="N34" s="1">
        <f t="shared" si="3"/>
        <v>0</v>
      </c>
    </row>
    <row r="35" spans="1:14">
      <c r="A35" s="1" t="str">
        <f>Requirements!A52</f>
        <v>MS-WSP_R30</v>
      </c>
      <c r="B35" s="1">
        <v>1</v>
      </c>
      <c r="C35" s="1">
        <v>1</v>
      </c>
      <c r="D35" s="1">
        <v>1</v>
      </c>
      <c r="E35" s="1"/>
      <c r="F35" s="1">
        <v>1</v>
      </c>
      <c r="G35" s="1">
        <v>1</v>
      </c>
      <c r="H35" s="3">
        <f t="shared" si="0"/>
        <v>5</v>
      </c>
      <c r="I35" s="6">
        <f t="shared" si="1"/>
        <v>1</v>
      </c>
      <c r="J35" s="1" t="b">
        <f t="shared" si="2"/>
        <v>1</v>
      </c>
      <c r="K35" s="1" t="b">
        <f>(Requirements!K52="Normative")</f>
        <v>1</v>
      </c>
      <c r="L35" s="1" t="b">
        <f>(Requirements!L52&lt;&gt;"Non-testable")</f>
        <v>1</v>
      </c>
      <c r="M35" s="1" t="b">
        <f>(VLOOKUP(Requirements!I52,Scope[[Role]:[Description]],2,FALSE)="In")</f>
        <v>1</v>
      </c>
      <c r="N35" s="1">
        <f t="shared" si="3"/>
        <v>1</v>
      </c>
    </row>
    <row r="36" spans="1:14">
      <c r="A36" s="1" t="str">
        <f>Requirements!A53</f>
        <v>MS-WSP_R31</v>
      </c>
      <c r="B36" s="1">
        <v>1</v>
      </c>
      <c r="C36" s="1">
        <v>1</v>
      </c>
      <c r="D36" s="1">
        <v>1</v>
      </c>
      <c r="E36" s="1"/>
      <c r="F36" s="1">
        <v>1</v>
      </c>
      <c r="G36" s="1">
        <v>1</v>
      </c>
      <c r="H36" s="3">
        <f t="shared" si="0"/>
        <v>5</v>
      </c>
      <c r="I36" s="6">
        <f t="shared" si="1"/>
        <v>1</v>
      </c>
      <c r="J36" s="1" t="b">
        <f t="shared" si="2"/>
        <v>1</v>
      </c>
      <c r="K36" s="1" t="b">
        <f>(Requirements!K53="Normative")</f>
        <v>1</v>
      </c>
      <c r="L36" s="1" t="b">
        <f>(Requirements!L53&lt;&gt;"Non-testable")</f>
        <v>1</v>
      </c>
      <c r="M36" s="1" t="b">
        <f>(VLOOKUP(Requirements!I53,Scope[[Role]:[Description]],2,FALSE)="In")</f>
        <v>1</v>
      </c>
      <c r="N36" s="1">
        <f t="shared" si="3"/>
        <v>1</v>
      </c>
    </row>
    <row r="37" spans="1:14">
      <c r="A37" s="1" t="str">
        <f>Requirements!A54</f>
        <v>MS-WSP_R32</v>
      </c>
      <c r="B37" s="1">
        <v>1</v>
      </c>
      <c r="C37" s="1">
        <v>1</v>
      </c>
      <c r="D37" s="1">
        <v>1</v>
      </c>
      <c r="E37" s="1"/>
      <c r="F37" s="1">
        <v>1</v>
      </c>
      <c r="G37" s="1">
        <v>1</v>
      </c>
      <c r="H37" s="3">
        <f t="shared" si="0"/>
        <v>5</v>
      </c>
      <c r="I37" s="6">
        <f t="shared" si="1"/>
        <v>1</v>
      </c>
      <c r="J37" s="1" t="b">
        <f t="shared" si="2"/>
        <v>1</v>
      </c>
      <c r="K37" s="1" t="b">
        <f>(Requirements!K54="Normative")</f>
        <v>1</v>
      </c>
      <c r="L37" s="1" t="b">
        <f>(Requirements!L54&lt;&gt;"Non-testable")</f>
        <v>1</v>
      </c>
      <c r="M37" s="1" t="b">
        <f>(VLOOKUP(Requirements!I54,Scope[[Role]:[Description]],2,FALSE)="In")</f>
        <v>1</v>
      </c>
      <c r="N37" s="1">
        <f t="shared" si="3"/>
        <v>1</v>
      </c>
    </row>
    <row r="38" spans="1:14">
      <c r="A38" s="1" t="str">
        <f>Requirements!A55</f>
        <v>MS-WSP_R33</v>
      </c>
      <c r="B38" s="1">
        <v>1</v>
      </c>
      <c r="C38" s="1">
        <v>1</v>
      </c>
      <c r="D38" s="1">
        <v>1</v>
      </c>
      <c r="E38" s="1"/>
      <c r="F38" s="1">
        <v>1</v>
      </c>
      <c r="G38" s="1">
        <v>1</v>
      </c>
      <c r="H38" s="3">
        <f t="shared" si="0"/>
        <v>5</v>
      </c>
      <c r="I38" s="6">
        <f t="shared" si="1"/>
        <v>1</v>
      </c>
      <c r="J38" s="1" t="b">
        <f t="shared" si="2"/>
        <v>1</v>
      </c>
      <c r="K38" s="1" t="b">
        <f>(Requirements!K55="Normative")</f>
        <v>1</v>
      </c>
      <c r="L38" s="1" t="b">
        <f>(Requirements!L55&lt;&gt;"Non-testable")</f>
        <v>1</v>
      </c>
      <c r="M38" s="1" t="b">
        <f>(VLOOKUP(Requirements!I55,Scope[[Role]:[Description]],2,FALSE)="In")</f>
        <v>1</v>
      </c>
      <c r="N38" s="1">
        <f t="shared" si="3"/>
        <v>1</v>
      </c>
    </row>
    <row r="39" spans="1:14">
      <c r="A39" s="1" t="str">
        <f>Requirements!A56</f>
        <v>MS-WSP_R34</v>
      </c>
      <c r="B39" s="1"/>
      <c r="C39" s="1"/>
      <c r="D39" s="1"/>
      <c r="E39" s="1"/>
      <c r="F39" s="1"/>
      <c r="G39" s="1"/>
      <c r="H39" s="3">
        <f t="shared" si="0"/>
        <v>0</v>
      </c>
      <c r="I39" s="6">
        <f t="shared" si="1"/>
        <v>0</v>
      </c>
      <c r="J39" s="1" t="b">
        <f t="shared" si="2"/>
        <v>0</v>
      </c>
      <c r="K39" s="1" t="b">
        <f>(Requirements!K56="Normative")</f>
        <v>1</v>
      </c>
      <c r="L39" s="1" t="b">
        <f>(Requirements!L56&lt;&gt;"Non-testable")</f>
        <v>0</v>
      </c>
      <c r="M39" s="1" t="b">
        <f>(VLOOKUP(Requirements!I56,Scope[[Role]:[Description]],2,FALSE)="In")</f>
        <v>1</v>
      </c>
      <c r="N39" s="1">
        <f t="shared" si="3"/>
        <v>0</v>
      </c>
    </row>
    <row r="40" spans="1:14">
      <c r="A40" s="1" t="str">
        <f>Requirements!A57</f>
        <v>MS-WSP_R35</v>
      </c>
      <c r="B40" s="1">
        <v>1</v>
      </c>
      <c r="C40" s="1">
        <v>1</v>
      </c>
      <c r="D40" s="1">
        <v>1</v>
      </c>
      <c r="E40" s="1"/>
      <c r="F40" s="1">
        <v>1</v>
      </c>
      <c r="G40" s="1">
        <v>1</v>
      </c>
      <c r="H40" s="3">
        <f t="shared" si="0"/>
        <v>5</v>
      </c>
      <c r="I40" s="6">
        <f t="shared" si="1"/>
        <v>1</v>
      </c>
      <c r="J40" s="1" t="b">
        <f t="shared" si="2"/>
        <v>1</v>
      </c>
      <c r="K40" s="1" t="b">
        <f>(Requirements!K57="Normative")</f>
        <v>1</v>
      </c>
      <c r="L40" s="1" t="b">
        <f>(Requirements!L57&lt;&gt;"Non-testable")</f>
        <v>1</v>
      </c>
      <c r="M40" s="1" t="b">
        <f>(VLOOKUP(Requirements!I57,Scope[[Role]:[Description]],2,FALSE)="In")</f>
        <v>1</v>
      </c>
      <c r="N40" s="1">
        <f t="shared" si="3"/>
        <v>1</v>
      </c>
    </row>
    <row r="41" spans="1:14">
      <c r="A41" s="1" t="str">
        <f>Requirements!A58</f>
        <v>MS-WSP_R36</v>
      </c>
      <c r="B41" s="1"/>
      <c r="C41" s="1"/>
      <c r="D41" s="1"/>
      <c r="E41" s="1"/>
      <c r="F41" s="1"/>
      <c r="G41" s="1"/>
      <c r="H41" s="3">
        <f t="shared" si="0"/>
        <v>0</v>
      </c>
      <c r="I41" s="6">
        <f t="shared" si="1"/>
        <v>0</v>
      </c>
      <c r="J41" s="1" t="b">
        <f t="shared" si="2"/>
        <v>1</v>
      </c>
      <c r="K41" s="1" t="b">
        <f>(Requirements!K58="Normative")</f>
        <v>1</v>
      </c>
      <c r="L41" s="1" t="b">
        <f>(Requirements!L58&lt;&gt;"Non-testable")</f>
        <v>1</v>
      </c>
      <c r="M41" s="1" t="b">
        <f>(VLOOKUP(Requirements!I58,Scope[[Role]:[Description]],2,FALSE)="In")</f>
        <v>1</v>
      </c>
      <c r="N41" s="1">
        <f t="shared" si="3"/>
        <v>0</v>
      </c>
    </row>
    <row r="42" spans="1:14">
      <c r="A42" s="1" t="str">
        <f>Requirements!A59</f>
        <v>MS-WSP_R37</v>
      </c>
      <c r="B42" s="1">
        <v>1</v>
      </c>
      <c r="C42" s="1">
        <v>1</v>
      </c>
      <c r="D42" s="1">
        <v>1</v>
      </c>
      <c r="E42" s="1"/>
      <c r="F42" s="1">
        <v>1</v>
      </c>
      <c r="G42" s="1">
        <v>1</v>
      </c>
      <c r="H42" s="3">
        <f t="shared" si="0"/>
        <v>5</v>
      </c>
      <c r="I42" s="6">
        <f t="shared" si="1"/>
        <v>1</v>
      </c>
      <c r="J42" s="1" t="b">
        <f t="shared" si="2"/>
        <v>1</v>
      </c>
      <c r="K42" s="1" t="b">
        <f>(Requirements!K59="Normative")</f>
        <v>1</v>
      </c>
      <c r="L42" s="1" t="b">
        <f>(Requirements!L59&lt;&gt;"Non-testable")</f>
        <v>1</v>
      </c>
      <c r="M42" s="1" t="b">
        <f>(VLOOKUP(Requirements!I59,Scope[[Role]:[Description]],2,FALSE)="In")</f>
        <v>1</v>
      </c>
      <c r="N42" s="1">
        <f t="shared" si="3"/>
        <v>1</v>
      </c>
    </row>
    <row r="43" spans="1:14">
      <c r="A43" s="1" t="str">
        <f>Requirements!A60</f>
        <v>MS-WSP_R38</v>
      </c>
      <c r="B43" s="1">
        <v>1</v>
      </c>
      <c r="C43" s="1">
        <v>1</v>
      </c>
      <c r="D43" s="1">
        <v>1</v>
      </c>
      <c r="E43" s="1"/>
      <c r="F43" s="1">
        <v>1</v>
      </c>
      <c r="G43" s="1">
        <v>1</v>
      </c>
      <c r="H43" s="3">
        <f t="shared" si="0"/>
        <v>5</v>
      </c>
      <c r="I43" s="6">
        <f t="shared" si="1"/>
        <v>1</v>
      </c>
      <c r="J43" s="1" t="b">
        <f t="shared" si="2"/>
        <v>1</v>
      </c>
      <c r="K43" s="1" t="b">
        <f>(Requirements!K60="Normative")</f>
        <v>1</v>
      </c>
      <c r="L43" s="1" t="b">
        <f>(Requirements!L60&lt;&gt;"Non-testable")</f>
        <v>1</v>
      </c>
      <c r="M43" s="1" t="b">
        <f>(VLOOKUP(Requirements!I60,Scope[[Role]:[Description]],2,FALSE)="In")</f>
        <v>1</v>
      </c>
      <c r="N43" s="1">
        <f t="shared" si="3"/>
        <v>1</v>
      </c>
    </row>
    <row r="44" spans="1:14">
      <c r="A44" s="1" t="str">
        <f>Requirements!A61</f>
        <v>MS-WSP_R39</v>
      </c>
      <c r="B44" s="1"/>
      <c r="C44" s="1"/>
      <c r="D44" s="1"/>
      <c r="E44" s="1"/>
      <c r="F44" s="1"/>
      <c r="G44" s="1"/>
      <c r="H44" s="3">
        <f t="shared" si="0"/>
        <v>0</v>
      </c>
      <c r="I44" s="6">
        <f t="shared" si="1"/>
        <v>0</v>
      </c>
      <c r="J44" s="1" t="b">
        <f t="shared" si="2"/>
        <v>1</v>
      </c>
      <c r="K44" s="1" t="b">
        <f>(Requirements!K61="Normative")</f>
        <v>1</v>
      </c>
      <c r="L44" s="1" t="b">
        <f>(Requirements!L61&lt;&gt;"Non-testable")</f>
        <v>1</v>
      </c>
      <c r="M44" s="1" t="b">
        <f>(VLOOKUP(Requirements!I61,Scope[[Role]:[Description]],2,FALSE)="In")</f>
        <v>1</v>
      </c>
      <c r="N44" s="1">
        <f t="shared" si="3"/>
        <v>0</v>
      </c>
    </row>
    <row r="45" spans="1:14">
      <c r="A45" s="1" t="str">
        <f>Requirements!A62</f>
        <v>MS-WSP_R40</v>
      </c>
      <c r="B45" s="1"/>
      <c r="C45" s="1"/>
      <c r="D45" s="1"/>
      <c r="E45" s="1"/>
      <c r="F45" s="1"/>
      <c r="G45" s="1"/>
      <c r="H45" s="3">
        <f t="shared" si="0"/>
        <v>0</v>
      </c>
      <c r="I45" s="6">
        <f t="shared" si="1"/>
        <v>0</v>
      </c>
      <c r="J45" s="1" t="b">
        <f t="shared" si="2"/>
        <v>1</v>
      </c>
      <c r="K45" s="1" t="b">
        <f>(Requirements!K62="Normative")</f>
        <v>1</v>
      </c>
      <c r="L45" s="1" t="b">
        <f>(Requirements!L62&lt;&gt;"Non-testable")</f>
        <v>1</v>
      </c>
      <c r="M45" s="1" t="b">
        <f>(VLOOKUP(Requirements!I62,Scope[[Role]:[Description]],2,FALSE)="In")</f>
        <v>1</v>
      </c>
      <c r="N45" s="1">
        <f t="shared" si="3"/>
        <v>0</v>
      </c>
    </row>
    <row r="46" spans="1:14">
      <c r="A46" s="1" t="str">
        <f>Requirements!A63</f>
        <v>MS-WSP_R41</v>
      </c>
      <c r="B46" s="1"/>
      <c r="C46" s="1"/>
      <c r="D46" s="1"/>
      <c r="E46" s="1"/>
      <c r="F46" s="1"/>
      <c r="G46" s="1"/>
      <c r="H46" s="3">
        <f t="shared" si="0"/>
        <v>0</v>
      </c>
      <c r="I46" s="6">
        <f t="shared" si="1"/>
        <v>0</v>
      </c>
      <c r="J46" s="1" t="b">
        <f t="shared" si="2"/>
        <v>1</v>
      </c>
      <c r="K46" s="1" t="b">
        <f>(Requirements!K63="Normative")</f>
        <v>1</v>
      </c>
      <c r="L46" s="1" t="b">
        <f>(Requirements!L63&lt;&gt;"Non-testable")</f>
        <v>1</v>
      </c>
      <c r="M46" s="1" t="b">
        <f>(VLOOKUP(Requirements!I63,Scope[[Role]:[Description]],2,FALSE)="In")</f>
        <v>1</v>
      </c>
      <c r="N46" s="1">
        <f t="shared" si="3"/>
        <v>0</v>
      </c>
    </row>
    <row r="47" spans="1:14">
      <c r="A47" s="1" t="str">
        <f>Requirements!A64</f>
        <v>MS-WSP_R42</v>
      </c>
      <c r="B47" s="1"/>
      <c r="C47" s="1"/>
      <c r="D47" s="1"/>
      <c r="E47" s="1"/>
      <c r="F47" s="1"/>
      <c r="G47" s="1"/>
      <c r="H47" s="3">
        <f t="shared" si="0"/>
        <v>0</v>
      </c>
      <c r="I47" s="6">
        <f t="shared" si="1"/>
        <v>0</v>
      </c>
      <c r="J47" s="1" t="b">
        <f t="shared" si="2"/>
        <v>1</v>
      </c>
      <c r="K47" s="1" t="b">
        <f>(Requirements!K64="Normative")</f>
        <v>1</v>
      </c>
      <c r="L47" s="1" t="b">
        <f>(Requirements!L64&lt;&gt;"Non-testable")</f>
        <v>1</v>
      </c>
      <c r="M47" s="1" t="b">
        <f>(VLOOKUP(Requirements!I64,Scope[[Role]:[Description]],2,FALSE)="In")</f>
        <v>1</v>
      </c>
      <c r="N47" s="1">
        <f t="shared" si="3"/>
        <v>0</v>
      </c>
    </row>
    <row r="48" spans="1:14">
      <c r="A48" s="1" t="str">
        <f>Requirements!A65</f>
        <v>MS-WSP_R43</v>
      </c>
      <c r="B48" s="1"/>
      <c r="C48" s="1"/>
      <c r="D48" s="1"/>
      <c r="E48" s="1"/>
      <c r="F48" s="1"/>
      <c r="G48" s="1"/>
      <c r="H48" s="3">
        <f t="shared" si="0"/>
        <v>0</v>
      </c>
      <c r="I48" s="6">
        <f t="shared" si="1"/>
        <v>0</v>
      </c>
      <c r="J48" s="1" t="b">
        <f t="shared" si="2"/>
        <v>1</v>
      </c>
      <c r="K48" s="1" t="b">
        <f>(Requirements!K65="Normative")</f>
        <v>1</v>
      </c>
      <c r="L48" s="1" t="b">
        <f>(Requirements!L65&lt;&gt;"Non-testable")</f>
        <v>1</v>
      </c>
      <c r="M48" s="1" t="b">
        <f>(VLOOKUP(Requirements!I65,Scope[[Role]:[Description]],2,FALSE)="In")</f>
        <v>1</v>
      </c>
      <c r="N48" s="1">
        <f t="shared" si="3"/>
        <v>0</v>
      </c>
    </row>
    <row r="49" spans="1:14">
      <c r="A49" s="1" t="str">
        <f>Requirements!A66</f>
        <v>MS-WSP_R44</v>
      </c>
      <c r="B49" s="1"/>
      <c r="C49" s="1"/>
      <c r="D49" s="1"/>
      <c r="E49" s="1"/>
      <c r="F49" s="1"/>
      <c r="G49" s="1"/>
      <c r="H49" s="3">
        <f t="shared" si="0"/>
        <v>0</v>
      </c>
      <c r="I49" s="6">
        <f t="shared" si="1"/>
        <v>0</v>
      </c>
      <c r="J49" s="1" t="b">
        <f t="shared" si="2"/>
        <v>1</v>
      </c>
      <c r="K49" s="1" t="b">
        <f>(Requirements!K66="Normative")</f>
        <v>1</v>
      </c>
      <c r="L49" s="1" t="b">
        <f>(Requirements!L66&lt;&gt;"Non-testable")</f>
        <v>1</v>
      </c>
      <c r="M49" s="1" t="b">
        <f>(VLOOKUP(Requirements!I66,Scope[[Role]:[Description]],2,FALSE)="In")</f>
        <v>1</v>
      </c>
      <c r="N49" s="1">
        <f t="shared" si="3"/>
        <v>0</v>
      </c>
    </row>
    <row r="50" spans="1:14">
      <c r="A50" s="1" t="str">
        <f>Requirements!A67</f>
        <v>MS-WSP_R45</v>
      </c>
      <c r="B50" s="1"/>
      <c r="C50" s="1"/>
      <c r="D50" s="1"/>
      <c r="E50" s="1"/>
      <c r="F50" s="1"/>
      <c r="G50" s="1"/>
      <c r="H50" s="3">
        <f t="shared" si="0"/>
        <v>0</v>
      </c>
      <c r="I50" s="6">
        <f t="shared" si="1"/>
        <v>0</v>
      </c>
      <c r="J50" s="1" t="b">
        <f t="shared" si="2"/>
        <v>1</v>
      </c>
      <c r="K50" s="1" t="b">
        <f>(Requirements!K67="Normative")</f>
        <v>1</v>
      </c>
      <c r="L50" s="1" t="b">
        <f>(Requirements!L67&lt;&gt;"Non-testable")</f>
        <v>1</v>
      </c>
      <c r="M50" s="1" t="b">
        <f>(VLOOKUP(Requirements!I67,Scope[[Role]:[Description]],2,FALSE)="In")</f>
        <v>1</v>
      </c>
      <c r="N50" s="1">
        <f t="shared" si="3"/>
        <v>0</v>
      </c>
    </row>
    <row r="51" spans="1:14">
      <c r="A51" s="1" t="str">
        <f>Requirements!A68</f>
        <v>MS-WSP_R46</v>
      </c>
      <c r="B51" s="1"/>
      <c r="C51" s="1"/>
      <c r="D51" s="1"/>
      <c r="E51" s="1"/>
      <c r="F51" s="1"/>
      <c r="G51" s="1"/>
      <c r="H51" s="3">
        <f t="shared" si="0"/>
        <v>0</v>
      </c>
      <c r="I51" s="6">
        <f t="shared" si="1"/>
        <v>0</v>
      </c>
      <c r="J51" s="1" t="b">
        <f t="shared" si="2"/>
        <v>1</v>
      </c>
      <c r="K51" s="1" t="b">
        <f>(Requirements!K68="Normative")</f>
        <v>1</v>
      </c>
      <c r="L51" s="1" t="b">
        <f>(Requirements!L68&lt;&gt;"Non-testable")</f>
        <v>1</v>
      </c>
      <c r="M51" s="1" t="b">
        <f>(VLOOKUP(Requirements!I68,Scope[[Role]:[Description]],2,FALSE)="In")</f>
        <v>1</v>
      </c>
      <c r="N51" s="1">
        <f t="shared" si="3"/>
        <v>0</v>
      </c>
    </row>
    <row r="52" spans="1:14">
      <c r="A52" s="1" t="str">
        <f>Requirements!A69</f>
        <v>MS-WSP_R47</v>
      </c>
      <c r="B52" s="1"/>
      <c r="C52" s="1"/>
      <c r="D52" s="1"/>
      <c r="E52" s="1"/>
      <c r="F52" s="1"/>
      <c r="G52" s="1"/>
      <c r="H52" s="3">
        <f t="shared" si="0"/>
        <v>0</v>
      </c>
      <c r="I52" s="6">
        <f t="shared" si="1"/>
        <v>0</v>
      </c>
      <c r="J52" s="1" t="b">
        <f t="shared" si="2"/>
        <v>1</v>
      </c>
      <c r="K52" s="1" t="b">
        <f>(Requirements!K69="Normative")</f>
        <v>1</v>
      </c>
      <c r="L52" s="1" t="b">
        <f>(Requirements!L69&lt;&gt;"Non-testable")</f>
        <v>1</v>
      </c>
      <c r="M52" s="1" t="b">
        <f>(VLOOKUP(Requirements!I69,Scope[[Role]:[Description]],2,FALSE)="In")</f>
        <v>1</v>
      </c>
      <c r="N52" s="1">
        <f t="shared" si="3"/>
        <v>0</v>
      </c>
    </row>
    <row r="53" spans="1:14">
      <c r="A53" s="1" t="str">
        <f>Requirements!A70</f>
        <v>MS-WSP_R48</v>
      </c>
      <c r="B53" s="1"/>
      <c r="C53" s="1"/>
      <c r="D53" s="1"/>
      <c r="E53" s="1"/>
      <c r="F53" s="1"/>
      <c r="G53" s="1"/>
      <c r="H53" s="3">
        <f t="shared" si="0"/>
        <v>0</v>
      </c>
      <c r="I53" s="6">
        <f t="shared" si="1"/>
        <v>0</v>
      </c>
      <c r="J53" s="1" t="b">
        <f t="shared" si="2"/>
        <v>1</v>
      </c>
      <c r="K53" s="1" t="b">
        <f>(Requirements!K70="Normative")</f>
        <v>1</v>
      </c>
      <c r="L53" s="1" t="b">
        <f>(Requirements!L70&lt;&gt;"Non-testable")</f>
        <v>1</v>
      </c>
      <c r="M53" s="1" t="b">
        <f>(VLOOKUP(Requirements!I70,Scope[[Role]:[Description]],2,FALSE)="In")</f>
        <v>1</v>
      </c>
      <c r="N53" s="1">
        <f t="shared" si="3"/>
        <v>0</v>
      </c>
    </row>
    <row r="54" spans="1:14">
      <c r="A54" s="1" t="str">
        <f>Requirements!A71</f>
        <v>MS-WSP_R49</v>
      </c>
      <c r="B54" s="1"/>
      <c r="C54" s="1"/>
      <c r="D54" s="1"/>
      <c r="E54" s="1"/>
      <c r="F54" s="1"/>
      <c r="G54" s="1"/>
      <c r="H54" s="3">
        <f t="shared" si="0"/>
        <v>0</v>
      </c>
      <c r="I54" s="6">
        <f t="shared" si="1"/>
        <v>0</v>
      </c>
      <c r="J54" s="1" t="b">
        <f t="shared" si="2"/>
        <v>1</v>
      </c>
      <c r="K54" s="1" t="b">
        <f>(Requirements!K71="Normative")</f>
        <v>1</v>
      </c>
      <c r="L54" s="1" t="b">
        <f>(Requirements!L71&lt;&gt;"Non-testable")</f>
        <v>1</v>
      </c>
      <c r="M54" s="1" t="b">
        <f>(VLOOKUP(Requirements!I71,Scope[[Role]:[Description]],2,FALSE)="In")</f>
        <v>1</v>
      </c>
      <c r="N54" s="1">
        <f t="shared" si="3"/>
        <v>0</v>
      </c>
    </row>
    <row r="55" spans="1:14">
      <c r="A55" s="1" t="str">
        <f>Requirements!A72</f>
        <v>MS-WSP_R50</v>
      </c>
      <c r="B55" s="1"/>
      <c r="C55" s="1"/>
      <c r="D55" s="1"/>
      <c r="E55" s="1"/>
      <c r="F55" s="1"/>
      <c r="G55" s="1"/>
      <c r="H55" s="3">
        <f t="shared" si="0"/>
        <v>0</v>
      </c>
      <c r="I55" s="6">
        <f t="shared" si="1"/>
        <v>0</v>
      </c>
      <c r="J55" s="1" t="b">
        <f t="shared" si="2"/>
        <v>1</v>
      </c>
      <c r="K55" s="1" t="b">
        <f>(Requirements!K72="Normative")</f>
        <v>1</v>
      </c>
      <c r="L55" s="1" t="b">
        <f>(Requirements!L72&lt;&gt;"Non-testable")</f>
        <v>1</v>
      </c>
      <c r="M55" s="1" t="b">
        <f>(VLOOKUP(Requirements!I72,Scope[[Role]:[Description]],2,FALSE)="In")</f>
        <v>1</v>
      </c>
      <c r="N55" s="1">
        <f t="shared" si="3"/>
        <v>0</v>
      </c>
    </row>
    <row r="56" spans="1:14">
      <c r="A56" s="1" t="str">
        <f>Requirements!A73</f>
        <v>MS-WSP_R51</v>
      </c>
      <c r="B56" s="1"/>
      <c r="C56" s="1"/>
      <c r="D56" s="1"/>
      <c r="E56" s="1"/>
      <c r="F56" s="1"/>
      <c r="G56" s="1"/>
      <c r="H56" s="3">
        <f t="shared" si="0"/>
        <v>0</v>
      </c>
      <c r="I56" s="6">
        <f t="shared" si="1"/>
        <v>0</v>
      </c>
      <c r="J56" s="1" t="b">
        <f t="shared" si="2"/>
        <v>0</v>
      </c>
      <c r="K56" s="1" t="b">
        <f>(Requirements!K73="Normative")</f>
        <v>1</v>
      </c>
      <c r="L56" s="1" t="b">
        <f>(Requirements!L73&lt;&gt;"Non-testable")</f>
        <v>1</v>
      </c>
      <c r="M56" s="1" t="b">
        <f>(VLOOKUP(Requirements!I73,Scope[[Role]:[Description]],2,FALSE)="In")</f>
        <v>0</v>
      </c>
      <c r="N56" s="1">
        <f t="shared" si="3"/>
        <v>0</v>
      </c>
    </row>
    <row r="57" spans="1:14">
      <c r="A57" s="1" t="str">
        <f>Requirements!A74</f>
        <v>MS-WSP_R52</v>
      </c>
      <c r="B57" s="1"/>
      <c r="C57" s="1"/>
      <c r="D57" s="1"/>
      <c r="E57" s="1"/>
      <c r="F57" s="1"/>
      <c r="G57" s="1"/>
      <c r="H57" s="3">
        <f t="shared" si="0"/>
        <v>0</v>
      </c>
      <c r="I57" s="6">
        <f t="shared" si="1"/>
        <v>0</v>
      </c>
      <c r="J57" s="1" t="b">
        <f t="shared" si="2"/>
        <v>0</v>
      </c>
      <c r="K57" s="1" t="b">
        <f>(Requirements!K74="Normative")</f>
        <v>1</v>
      </c>
      <c r="L57" s="1" t="b">
        <f>(Requirements!L74&lt;&gt;"Non-testable")</f>
        <v>1</v>
      </c>
      <c r="M57" s="1" t="b">
        <f>(VLOOKUP(Requirements!I74,Scope[[Role]:[Description]],2,FALSE)="In")</f>
        <v>0</v>
      </c>
      <c r="N57" s="1">
        <f t="shared" si="3"/>
        <v>0</v>
      </c>
    </row>
    <row r="58" spans="1:14">
      <c r="A58" s="1" t="str">
        <f>Requirements!A75</f>
        <v>MS-WSP_R53</v>
      </c>
      <c r="B58" s="1"/>
      <c r="C58" s="1"/>
      <c r="D58" s="1"/>
      <c r="E58" s="1"/>
      <c r="F58" s="1"/>
      <c r="G58" s="1"/>
      <c r="H58" s="3">
        <f t="shared" si="0"/>
        <v>0</v>
      </c>
      <c r="I58" s="6">
        <f t="shared" si="1"/>
        <v>0</v>
      </c>
      <c r="J58" s="1" t="b">
        <f t="shared" si="2"/>
        <v>0</v>
      </c>
      <c r="K58" s="1" t="b">
        <f>(Requirements!K75="Normative")</f>
        <v>1</v>
      </c>
      <c r="L58" s="1" t="b">
        <f>(Requirements!L75&lt;&gt;"Non-testable")</f>
        <v>1</v>
      </c>
      <c r="M58" s="1" t="b">
        <f>(VLOOKUP(Requirements!I75,Scope[[Role]:[Description]],2,FALSE)="In")</f>
        <v>0</v>
      </c>
      <c r="N58" s="1">
        <f t="shared" si="3"/>
        <v>0</v>
      </c>
    </row>
    <row r="59" spans="1:14">
      <c r="A59" s="1" t="str">
        <f>Requirements!A76</f>
        <v>MS-WSP_R54</v>
      </c>
      <c r="B59" s="1"/>
      <c r="C59" s="1"/>
      <c r="D59" s="1"/>
      <c r="E59" s="1"/>
      <c r="F59" s="1"/>
      <c r="G59" s="1"/>
      <c r="H59" s="3">
        <f t="shared" si="0"/>
        <v>0</v>
      </c>
      <c r="I59" s="6">
        <f t="shared" si="1"/>
        <v>0</v>
      </c>
      <c r="J59" s="1" t="b">
        <f t="shared" si="2"/>
        <v>0</v>
      </c>
      <c r="K59" s="1" t="b">
        <f>(Requirements!K76="Normative")</f>
        <v>1</v>
      </c>
      <c r="L59" s="1" t="b">
        <f>(Requirements!L76&lt;&gt;"Non-testable")</f>
        <v>1</v>
      </c>
      <c r="M59" s="1" t="b">
        <f>(VLOOKUP(Requirements!I76,Scope[[Role]:[Description]],2,FALSE)="In")</f>
        <v>0</v>
      </c>
      <c r="N59" s="1">
        <f t="shared" si="3"/>
        <v>0</v>
      </c>
    </row>
    <row r="60" spans="1:14">
      <c r="A60" s="1" t="str">
        <f>Requirements!A77</f>
        <v>MS-WSP_R55</v>
      </c>
      <c r="B60" s="1"/>
      <c r="C60" s="1"/>
      <c r="D60" s="1"/>
      <c r="E60" s="1"/>
      <c r="F60" s="1"/>
      <c r="G60" s="1"/>
      <c r="H60" s="3">
        <f t="shared" si="0"/>
        <v>0</v>
      </c>
      <c r="I60" s="6">
        <f t="shared" si="1"/>
        <v>0</v>
      </c>
      <c r="J60" s="1" t="b">
        <f t="shared" si="2"/>
        <v>0</v>
      </c>
      <c r="K60" s="1" t="b">
        <f>(Requirements!K77="Normative")</f>
        <v>1</v>
      </c>
      <c r="L60" s="1" t="b">
        <f>(Requirements!L77&lt;&gt;"Non-testable")</f>
        <v>1</v>
      </c>
      <c r="M60" s="1" t="b">
        <f>(VLOOKUP(Requirements!I77,Scope[[Role]:[Description]],2,FALSE)="In")</f>
        <v>0</v>
      </c>
      <c r="N60" s="1">
        <f t="shared" si="3"/>
        <v>0</v>
      </c>
    </row>
    <row r="61" spans="1:14">
      <c r="A61" s="1" t="str">
        <f>Requirements!A78</f>
        <v>MS-WSP_R56</v>
      </c>
      <c r="B61" s="1"/>
      <c r="C61" s="1"/>
      <c r="D61" s="1"/>
      <c r="E61" s="1"/>
      <c r="F61" s="1"/>
      <c r="G61" s="1"/>
      <c r="H61" s="3">
        <f t="shared" si="0"/>
        <v>0</v>
      </c>
      <c r="I61" s="6">
        <f t="shared" si="1"/>
        <v>0</v>
      </c>
      <c r="J61" s="1" t="b">
        <f t="shared" si="2"/>
        <v>0</v>
      </c>
      <c r="K61" s="1" t="b">
        <f>(Requirements!K78="Normative")</f>
        <v>1</v>
      </c>
      <c r="L61" s="1" t="b">
        <f>(Requirements!L78&lt;&gt;"Non-testable")</f>
        <v>1</v>
      </c>
      <c r="M61" s="1" t="b">
        <f>(VLOOKUP(Requirements!I78,Scope[[Role]:[Description]],2,FALSE)="In")</f>
        <v>0</v>
      </c>
      <c r="N61" s="1">
        <f t="shared" si="3"/>
        <v>0</v>
      </c>
    </row>
    <row r="62" spans="1:14">
      <c r="A62" s="1" t="str">
        <f>Requirements!A79</f>
        <v>MS-WSP_R57</v>
      </c>
      <c r="B62" s="1"/>
      <c r="C62" s="1"/>
      <c r="D62" s="1"/>
      <c r="E62" s="1"/>
      <c r="F62" s="1"/>
      <c r="G62" s="1"/>
      <c r="H62" s="3">
        <f t="shared" si="0"/>
        <v>0</v>
      </c>
      <c r="I62" s="6">
        <f t="shared" si="1"/>
        <v>0</v>
      </c>
      <c r="J62" s="1" t="b">
        <f t="shared" si="2"/>
        <v>0</v>
      </c>
      <c r="K62" s="1" t="b">
        <f>(Requirements!K79="Normative")</f>
        <v>1</v>
      </c>
      <c r="L62" s="1" t="b">
        <f>(Requirements!L79&lt;&gt;"Non-testable")</f>
        <v>1</v>
      </c>
      <c r="M62" s="1" t="b">
        <f>(VLOOKUP(Requirements!I79,Scope[[Role]:[Description]],2,FALSE)="In")</f>
        <v>0</v>
      </c>
      <c r="N62" s="1">
        <f t="shared" si="3"/>
        <v>0</v>
      </c>
    </row>
    <row r="63" spans="1:14">
      <c r="A63" s="1" t="str">
        <f>Requirements!A80</f>
        <v>MS-WSP_R58</v>
      </c>
      <c r="B63" s="1"/>
      <c r="C63" s="1"/>
      <c r="D63" s="1"/>
      <c r="E63" s="1"/>
      <c r="F63" s="1"/>
      <c r="G63" s="1"/>
      <c r="H63" s="3">
        <f t="shared" si="0"/>
        <v>0</v>
      </c>
      <c r="I63" s="6">
        <f t="shared" si="1"/>
        <v>0</v>
      </c>
      <c r="J63" s="1" t="b">
        <f t="shared" si="2"/>
        <v>0</v>
      </c>
      <c r="K63" s="1" t="b">
        <f>(Requirements!K80="Normative")</f>
        <v>1</v>
      </c>
      <c r="L63" s="1" t="b">
        <f>(Requirements!L80&lt;&gt;"Non-testable")</f>
        <v>1</v>
      </c>
      <c r="M63" s="1" t="b">
        <f>(VLOOKUP(Requirements!I80,Scope[[Role]:[Description]],2,FALSE)="In")</f>
        <v>0</v>
      </c>
      <c r="N63" s="1">
        <f t="shared" si="3"/>
        <v>0</v>
      </c>
    </row>
    <row r="64" spans="1:14">
      <c r="A64" s="1" t="str">
        <f>Requirements!A81</f>
        <v>MS-WSP_R59</v>
      </c>
      <c r="B64" s="1"/>
      <c r="C64" s="1"/>
      <c r="D64" s="1"/>
      <c r="E64" s="1"/>
      <c r="F64" s="1"/>
      <c r="G64" s="1"/>
      <c r="H64" s="3">
        <f t="shared" si="0"/>
        <v>0</v>
      </c>
      <c r="I64" s="6">
        <f t="shared" si="1"/>
        <v>0</v>
      </c>
      <c r="J64" s="1" t="b">
        <f t="shared" si="2"/>
        <v>0</v>
      </c>
      <c r="K64" s="1" t="b">
        <f>(Requirements!K81="Normative")</f>
        <v>1</v>
      </c>
      <c r="L64" s="1" t="b">
        <f>(Requirements!L81&lt;&gt;"Non-testable")</f>
        <v>1</v>
      </c>
      <c r="M64" s="1" t="b">
        <f>(VLOOKUP(Requirements!I81,Scope[[Role]:[Description]],2,FALSE)="In")</f>
        <v>0</v>
      </c>
      <c r="N64" s="1">
        <f t="shared" si="3"/>
        <v>0</v>
      </c>
    </row>
    <row r="65" spans="1:14">
      <c r="A65" s="1" t="str">
        <f>Requirements!A82</f>
        <v>MS-WSP_R60</v>
      </c>
      <c r="B65" s="1"/>
      <c r="C65" s="1"/>
      <c r="D65" s="1"/>
      <c r="E65" s="1"/>
      <c r="F65" s="1"/>
      <c r="G65" s="1"/>
      <c r="H65" s="3">
        <f t="shared" si="0"/>
        <v>0</v>
      </c>
      <c r="I65" s="6">
        <f t="shared" si="1"/>
        <v>0</v>
      </c>
      <c r="J65" s="1" t="b">
        <f t="shared" si="2"/>
        <v>0</v>
      </c>
      <c r="K65" s="1" t="b">
        <f>(Requirements!K82="Normative")</f>
        <v>1</v>
      </c>
      <c r="L65" s="1" t="b">
        <f>(Requirements!L82&lt;&gt;"Non-testable")</f>
        <v>1</v>
      </c>
      <c r="M65" s="1" t="b">
        <f>(VLOOKUP(Requirements!I82,Scope[[Role]:[Description]],2,FALSE)="In")</f>
        <v>0</v>
      </c>
      <c r="N65" s="1">
        <f t="shared" si="3"/>
        <v>0</v>
      </c>
    </row>
    <row r="66" spans="1:14">
      <c r="A66" s="1" t="str">
        <f>Requirements!A83</f>
        <v>MS-WSP_R61</v>
      </c>
      <c r="B66" s="1"/>
      <c r="C66" s="1"/>
      <c r="D66" s="1"/>
      <c r="E66" s="1"/>
      <c r="F66" s="1"/>
      <c r="G66" s="1"/>
      <c r="H66" s="3">
        <f t="shared" si="0"/>
        <v>0</v>
      </c>
      <c r="I66" s="6">
        <f t="shared" si="1"/>
        <v>0</v>
      </c>
      <c r="J66" s="1" t="b">
        <f t="shared" si="2"/>
        <v>0</v>
      </c>
      <c r="K66" s="1" t="b">
        <f>(Requirements!K83="Normative")</f>
        <v>1</v>
      </c>
      <c r="L66" s="1" t="b">
        <f>(Requirements!L83&lt;&gt;"Non-testable")</f>
        <v>1</v>
      </c>
      <c r="M66" s="1" t="b">
        <f>(VLOOKUP(Requirements!I83,Scope[[Role]:[Description]],2,FALSE)="In")</f>
        <v>0</v>
      </c>
      <c r="N66" s="1">
        <f t="shared" si="3"/>
        <v>0</v>
      </c>
    </row>
    <row r="67" spans="1:14">
      <c r="A67" s="1" t="str">
        <f>Requirements!A84</f>
        <v>MS-WSP_R62</v>
      </c>
      <c r="B67" s="1"/>
      <c r="C67" s="1"/>
      <c r="D67" s="1"/>
      <c r="E67" s="1"/>
      <c r="F67" s="1"/>
      <c r="G67" s="1"/>
      <c r="H67" s="3">
        <f t="shared" si="0"/>
        <v>0</v>
      </c>
      <c r="I67" s="6">
        <f t="shared" si="1"/>
        <v>0</v>
      </c>
      <c r="J67" s="1" t="b">
        <f t="shared" si="2"/>
        <v>0</v>
      </c>
      <c r="K67" s="1" t="b">
        <f>(Requirements!K84="Normative")</f>
        <v>1</v>
      </c>
      <c r="L67" s="1" t="b">
        <f>(Requirements!L84&lt;&gt;"Non-testable")</f>
        <v>1</v>
      </c>
      <c r="M67" s="1" t="b">
        <f>(VLOOKUP(Requirements!I84,Scope[[Role]:[Description]],2,FALSE)="In")</f>
        <v>0</v>
      </c>
      <c r="N67" s="1">
        <f t="shared" si="3"/>
        <v>0</v>
      </c>
    </row>
    <row r="68" spans="1:14">
      <c r="A68" s="1" t="str">
        <f>Requirements!A85</f>
        <v>MS-WSP_R63</v>
      </c>
      <c r="B68" s="1"/>
      <c r="C68" s="1"/>
      <c r="D68" s="1"/>
      <c r="E68" s="1"/>
      <c r="F68" s="1"/>
      <c r="G68" s="1"/>
      <c r="H68" s="3">
        <f t="shared" si="0"/>
        <v>0</v>
      </c>
      <c r="I68" s="6">
        <f t="shared" si="1"/>
        <v>0</v>
      </c>
      <c r="J68" s="1" t="b">
        <f t="shared" si="2"/>
        <v>0</v>
      </c>
      <c r="K68" s="1" t="b">
        <f>(Requirements!K85="Normative")</f>
        <v>1</v>
      </c>
      <c r="L68" s="1" t="b">
        <f>(Requirements!L85&lt;&gt;"Non-testable")</f>
        <v>1</v>
      </c>
      <c r="M68" s="1" t="b">
        <f>(VLOOKUP(Requirements!I85,Scope[[Role]:[Description]],2,FALSE)="In")</f>
        <v>0</v>
      </c>
      <c r="N68" s="1">
        <f t="shared" si="3"/>
        <v>0</v>
      </c>
    </row>
    <row r="69" spans="1:14">
      <c r="A69" s="1" t="str">
        <f>Requirements!A86</f>
        <v>MS-WSP_R64</v>
      </c>
      <c r="B69" s="1"/>
      <c r="C69" s="1"/>
      <c r="D69" s="1"/>
      <c r="E69" s="1"/>
      <c r="F69" s="1"/>
      <c r="G69" s="1"/>
      <c r="H69" s="3">
        <f t="shared" si="0"/>
        <v>0</v>
      </c>
      <c r="I69" s="6">
        <f t="shared" si="1"/>
        <v>0</v>
      </c>
      <c r="J69" s="1" t="b">
        <f t="shared" si="2"/>
        <v>0</v>
      </c>
      <c r="K69" s="1" t="b">
        <f>(Requirements!K86="Normative")</f>
        <v>1</v>
      </c>
      <c r="L69" s="1" t="b">
        <f>(Requirements!L86&lt;&gt;"Non-testable")</f>
        <v>1</v>
      </c>
      <c r="M69" s="1" t="b">
        <f>(VLOOKUP(Requirements!I86,Scope[[Role]:[Description]],2,FALSE)="In")</f>
        <v>0</v>
      </c>
      <c r="N69" s="1">
        <f t="shared" si="3"/>
        <v>0</v>
      </c>
    </row>
    <row r="70" spans="1:14">
      <c r="A70" s="1" t="str">
        <f>Requirements!A87</f>
        <v>MS-WSP_R65</v>
      </c>
      <c r="B70" s="1"/>
      <c r="C70" s="1"/>
      <c r="D70" s="1"/>
      <c r="E70" s="1"/>
      <c r="F70" s="1"/>
      <c r="G70" s="1"/>
      <c r="H70" s="3">
        <f t="shared" ref="H70:H133" si="4">SUM(B70:G70)</f>
        <v>0</v>
      </c>
      <c r="I70" s="6">
        <f t="shared" si="1"/>
        <v>0</v>
      </c>
      <c r="J70" s="1" t="b">
        <f t="shared" si="2"/>
        <v>0</v>
      </c>
      <c r="K70" s="1" t="b">
        <f>(Requirements!K87="Normative")</f>
        <v>1</v>
      </c>
      <c r="L70" s="1" t="b">
        <f>(Requirements!L87&lt;&gt;"Non-testable")</f>
        <v>1</v>
      </c>
      <c r="M70" s="1" t="b">
        <f>(VLOOKUP(Requirements!I87,Scope[[Role]:[Description]],2,FALSE)="In")</f>
        <v>0</v>
      </c>
      <c r="N70" s="1">
        <f t="shared" si="3"/>
        <v>0</v>
      </c>
    </row>
    <row r="71" spans="1:14">
      <c r="A71" s="1" t="str">
        <f>Requirements!A88</f>
        <v>MS-WSP_R66</v>
      </c>
      <c r="B71" s="1"/>
      <c r="C71" s="1"/>
      <c r="D71" s="1"/>
      <c r="E71" s="1"/>
      <c r="F71" s="1"/>
      <c r="G71" s="1"/>
      <c r="H71" s="3">
        <f t="shared" si="4"/>
        <v>0</v>
      </c>
      <c r="I71" s="6">
        <f t="shared" ref="I71:I134" si="5">IF(H71=0,0,1)</f>
        <v>0</v>
      </c>
      <c r="J71" s="1" t="b">
        <f t="shared" ref="J71:J134" si="6">AND(K71:M71)</f>
        <v>0</v>
      </c>
      <c r="K71" s="1" t="b">
        <f>(Requirements!K88="Normative")</f>
        <v>1</v>
      </c>
      <c r="L71" s="1" t="b">
        <f>(Requirements!L88&lt;&gt;"Non-testable")</f>
        <v>0</v>
      </c>
      <c r="M71" s="1" t="b">
        <f>(VLOOKUP(Requirements!I88,Scope[[Role]:[Description]],2,FALSE)="In")</f>
        <v>1</v>
      </c>
      <c r="N71" s="1">
        <f t="shared" ref="N71:N134" si="7">IF(J71,I71,0)</f>
        <v>0</v>
      </c>
    </row>
    <row r="72" spans="1:14">
      <c r="A72" s="1" t="str">
        <f>Requirements!A89</f>
        <v>MS-WSP_R67</v>
      </c>
      <c r="B72" s="1">
        <v>1</v>
      </c>
      <c r="C72" s="1">
        <v>1</v>
      </c>
      <c r="D72" s="1"/>
      <c r="E72" s="1"/>
      <c r="F72" s="1"/>
      <c r="G72" s="1">
        <v>1</v>
      </c>
      <c r="H72" s="3">
        <f t="shared" si="4"/>
        <v>3</v>
      </c>
      <c r="I72" s="6">
        <f t="shared" si="5"/>
        <v>1</v>
      </c>
      <c r="J72" s="1" t="b">
        <f t="shared" si="6"/>
        <v>1</v>
      </c>
      <c r="K72" s="1" t="b">
        <f>(Requirements!K89="Normative")</f>
        <v>1</v>
      </c>
      <c r="L72" s="1" t="b">
        <f>(Requirements!L89&lt;&gt;"Non-testable")</f>
        <v>1</v>
      </c>
      <c r="M72" s="1" t="b">
        <f>(VLOOKUP(Requirements!I89,Scope[[Role]:[Description]],2,FALSE)="In")</f>
        <v>1</v>
      </c>
      <c r="N72" s="1">
        <f t="shared" si="7"/>
        <v>1</v>
      </c>
    </row>
    <row r="73" spans="1:14">
      <c r="A73" s="1" t="str">
        <f>Requirements!A90</f>
        <v>MS-WSP_R68</v>
      </c>
      <c r="B73" s="1"/>
      <c r="C73" s="1"/>
      <c r="D73" s="1"/>
      <c r="E73" s="1"/>
      <c r="F73" s="1"/>
      <c r="G73" s="1"/>
      <c r="H73" s="3">
        <f t="shared" si="4"/>
        <v>0</v>
      </c>
      <c r="I73" s="6">
        <f t="shared" si="5"/>
        <v>0</v>
      </c>
      <c r="J73" s="1" t="b">
        <f t="shared" si="6"/>
        <v>0</v>
      </c>
      <c r="K73" s="1" t="b">
        <f>(Requirements!K90="Normative")</f>
        <v>1</v>
      </c>
      <c r="L73" s="1" t="b">
        <f>(Requirements!L90&lt;&gt;"Non-testable")</f>
        <v>1</v>
      </c>
      <c r="M73" s="1" t="b">
        <f>(VLOOKUP(Requirements!I90,Scope[[Role]:[Description]],2,FALSE)="In")</f>
        <v>0</v>
      </c>
      <c r="N73" s="1">
        <f t="shared" si="7"/>
        <v>0</v>
      </c>
    </row>
    <row r="74" spans="1:14">
      <c r="A74" s="1" t="str">
        <f>Requirements!A91</f>
        <v>MS-WSP_R69</v>
      </c>
      <c r="B74" s="1"/>
      <c r="C74" s="1"/>
      <c r="D74" s="1"/>
      <c r="E74" s="1"/>
      <c r="F74" s="1"/>
      <c r="G74" s="1"/>
      <c r="H74" s="3">
        <f t="shared" si="4"/>
        <v>0</v>
      </c>
      <c r="I74" s="6">
        <f t="shared" si="5"/>
        <v>0</v>
      </c>
      <c r="J74" s="1" t="b">
        <f t="shared" si="6"/>
        <v>0</v>
      </c>
      <c r="K74" s="1" t="b">
        <f>(Requirements!K91="Normative")</f>
        <v>1</v>
      </c>
      <c r="L74" s="1" t="b">
        <f>(Requirements!L91&lt;&gt;"Non-testable")</f>
        <v>1</v>
      </c>
      <c r="M74" s="1" t="b">
        <f>(VLOOKUP(Requirements!I91,Scope[[Role]:[Description]],2,FALSE)="In")</f>
        <v>0</v>
      </c>
      <c r="N74" s="1">
        <f t="shared" si="7"/>
        <v>0</v>
      </c>
    </row>
    <row r="75" spans="1:14">
      <c r="A75" s="1" t="str">
        <f>Requirements!A92</f>
        <v>MS-WSP_R70</v>
      </c>
      <c r="B75" s="1"/>
      <c r="C75" s="1"/>
      <c r="D75" s="1"/>
      <c r="E75" s="1"/>
      <c r="F75" s="1"/>
      <c r="G75" s="1"/>
      <c r="H75" s="3">
        <f t="shared" si="4"/>
        <v>0</v>
      </c>
      <c r="I75" s="6">
        <f t="shared" si="5"/>
        <v>0</v>
      </c>
      <c r="J75" s="1" t="b">
        <f t="shared" si="6"/>
        <v>0</v>
      </c>
      <c r="K75" s="1" t="b">
        <f>(Requirements!K92="Normative")</f>
        <v>0</v>
      </c>
      <c r="L75" s="1" t="b">
        <f>(Requirements!L92&lt;&gt;"Non-testable")</f>
        <v>1</v>
      </c>
      <c r="M75" s="1" t="b">
        <f>(VLOOKUP(Requirements!I92,Scope[[Role]:[Description]],2,FALSE)="In")</f>
        <v>0</v>
      </c>
      <c r="N75" s="1">
        <f t="shared" si="7"/>
        <v>0</v>
      </c>
    </row>
    <row r="76" spans="1:14">
      <c r="A76" s="1" t="str">
        <f>Requirements!A93</f>
        <v>MS-WSP_R71</v>
      </c>
      <c r="B76" s="1"/>
      <c r="C76" s="1"/>
      <c r="D76" s="1"/>
      <c r="E76" s="1"/>
      <c r="F76" s="1"/>
      <c r="G76" s="1"/>
      <c r="H76" s="3">
        <f t="shared" si="4"/>
        <v>0</v>
      </c>
      <c r="I76" s="6">
        <f t="shared" si="5"/>
        <v>0</v>
      </c>
      <c r="J76" s="1" t="b">
        <f t="shared" si="6"/>
        <v>0</v>
      </c>
      <c r="K76" s="1" t="b">
        <f>(Requirements!K93="Normative")</f>
        <v>0</v>
      </c>
      <c r="L76" s="1" t="b">
        <f>(Requirements!L93&lt;&gt;"Non-testable")</f>
        <v>1</v>
      </c>
      <c r="M76" s="1" t="b">
        <f>(VLOOKUP(Requirements!I93,Scope[[Role]:[Description]],2,FALSE)="In")</f>
        <v>0</v>
      </c>
      <c r="N76" s="1">
        <f t="shared" si="7"/>
        <v>0</v>
      </c>
    </row>
    <row r="77" spans="1:14">
      <c r="A77" s="1" t="str">
        <f>Requirements!A94</f>
        <v>MS-WSP_R72</v>
      </c>
      <c r="B77" s="1"/>
      <c r="C77" s="1"/>
      <c r="D77" s="1"/>
      <c r="E77" s="1"/>
      <c r="F77" s="1"/>
      <c r="G77" s="1"/>
      <c r="H77" s="3">
        <f t="shared" si="4"/>
        <v>0</v>
      </c>
      <c r="I77" s="6">
        <f t="shared" si="5"/>
        <v>0</v>
      </c>
      <c r="J77" s="1" t="b">
        <f t="shared" si="6"/>
        <v>0</v>
      </c>
      <c r="K77" s="1" t="b">
        <f>(Requirements!K94="Normative")</f>
        <v>1</v>
      </c>
      <c r="L77" s="1" t="b">
        <f>(Requirements!L94&lt;&gt;"Non-testable")</f>
        <v>1</v>
      </c>
      <c r="M77" s="1" t="b">
        <f>(VLOOKUP(Requirements!I94,Scope[[Role]:[Description]],2,FALSE)="In")</f>
        <v>0</v>
      </c>
      <c r="N77" s="1">
        <f t="shared" si="7"/>
        <v>0</v>
      </c>
    </row>
    <row r="78" spans="1:14">
      <c r="A78" s="1" t="str">
        <f>Requirements!A95</f>
        <v>MS-WSP_R73</v>
      </c>
      <c r="B78" s="1"/>
      <c r="C78" s="1"/>
      <c r="D78" s="1"/>
      <c r="E78" s="1"/>
      <c r="F78" s="1"/>
      <c r="G78" s="1"/>
      <c r="H78" s="3">
        <f t="shared" si="4"/>
        <v>0</v>
      </c>
      <c r="I78" s="6">
        <f t="shared" si="5"/>
        <v>0</v>
      </c>
      <c r="J78" s="1" t="b">
        <f t="shared" si="6"/>
        <v>0</v>
      </c>
      <c r="K78" s="1" t="b">
        <f>(Requirements!K95="Normative")</f>
        <v>1</v>
      </c>
      <c r="L78" s="1" t="b">
        <f>(Requirements!L95&lt;&gt;"Non-testable")</f>
        <v>1</v>
      </c>
      <c r="M78" s="1" t="b">
        <f>(VLOOKUP(Requirements!I95,Scope[[Role]:[Description]],2,FALSE)="In")</f>
        <v>0</v>
      </c>
      <c r="N78" s="1">
        <f t="shared" si="7"/>
        <v>0</v>
      </c>
    </row>
    <row r="79" spans="1:14">
      <c r="A79" s="1" t="str">
        <f>Requirements!A96</f>
        <v>MS-WSP_R74</v>
      </c>
      <c r="B79" s="1"/>
      <c r="C79" s="1"/>
      <c r="D79" s="1"/>
      <c r="E79" s="1"/>
      <c r="F79" s="1"/>
      <c r="G79" s="1"/>
      <c r="H79" s="3">
        <f t="shared" si="4"/>
        <v>0</v>
      </c>
      <c r="I79" s="6">
        <f t="shared" si="5"/>
        <v>0</v>
      </c>
      <c r="J79" s="1" t="b">
        <f t="shared" si="6"/>
        <v>0</v>
      </c>
      <c r="K79" s="1" t="b">
        <f>(Requirements!K96="Normative")</f>
        <v>1</v>
      </c>
      <c r="L79" s="1" t="b">
        <f>(Requirements!L96&lt;&gt;"Non-testable")</f>
        <v>1</v>
      </c>
      <c r="M79" s="1" t="b">
        <f>(VLOOKUP(Requirements!I96,Scope[[Role]:[Description]],2,FALSE)="In")</f>
        <v>0</v>
      </c>
      <c r="N79" s="1">
        <f t="shared" si="7"/>
        <v>0</v>
      </c>
    </row>
    <row r="80" spans="1:14">
      <c r="A80" s="1" t="str">
        <f>Requirements!A97</f>
        <v>MS-WSP_R75</v>
      </c>
      <c r="B80" s="1"/>
      <c r="C80" s="1"/>
      <c r="D80" s="1"/>
      <c r="E80" s="1"/>
      <c r="F80" s="1"/>
      <c r="G80" s="1"/>
      <c r="H80" s="3">
        <f t="shared" si="4"/>
        <v>0</v>
      </c>
      <c r="I80" s="6">
        <f t="shared" si="5"/>
        <v>0</v>
      </c>
      <c r="J80" s="1" t="b">
        <f t="shared" si="6"/>
        <v>0</v>
      </c>
      <c r="K80" s="1" t="b">
        <f>(Requirements!K97="Normative")</f>
        <v>1</v>
      </c>
      <c r="L80" s="1" t="b">
        <f>(Requirements!L97&lt;&gt;"Non-testable")</f>
        <v>1</v>
      </c>
      <c r="M80" s="1" t="b">
        <f>(VLOOKUP(Requirements!I97,Scope[[Role]:[Description]],2,FALSE)="In")</f>
        <v>0</v>
      </c>
      <c r="N80" s="1">
        <f t="shared" si="7"/>
        <v>0</v>
      </c>
    </row>
    <row r="81" spans="1:14">
      <c r="A81" s="1" t="str">
        <f>Requirements!A98</f>
        <v>MS-WSP_R76</v>
      </c>
      <c r="B81" s="1"/>
      <c r="C81" s="1"/>
      <c r="D81" s="1"/>
      <c r="E81" s="1"/>
      <c r="F81" s="1"/>
      <c r="G81" s="1"/>
      <c r="H81" s="3">
        <f t="shared" si="4"/>
        <v>0</v>
      </c>
      <c r="I81" s="6">
        <f t="shared" si="5"/>
        <v>0</v>
      </c>
      <c r="J81" s="1" t="b">
        <f t="shared" si="6"/>
        <v>0</v>
      </c>
      <c r="K81" s="1" t="b">
        <f>(Requirements!K98="Normative")</f>
        <v>1</v>
      </c>
      <c r="L81" s="1" t="b">
        <f>(Requirements!L98&lt;&gt;"Non-testable")</f>
        <v>1</v>
      </c>
      <c r="M81" s="1" t="b">
        <f>(VLOOKUP(Requirements!I98,Scope[[Role]:[Description]],2,FALSE)="In")</f>
        <v>0</v>
      </c>
      <c r="N81" s="1">
        <f t="shared" si="7"/>
        <v>0</v>
      </c>
    </row>
    <row r="82" spans="1:14">
      <c r="A82" s="1" t="str">
        <f>Requirements!A99</f>
        <v>MS-WSP_R77</v>
      </c>
      <c r="B82" s="1"/>
      <c r="C82" s="1"/>
      <c r="D82" s="1"/>
      <c r="E82" s="1"/>
      <c r="F82" s="1"/>
      <c r="G82" s="1"/>
      <c r="H82" s="3">
        <f t="shared" si="4"/>
        <v>0</v>
      </c>
      <c r="I82" s="6">
        <f t="shared" si="5"/>
        <v>0</v>
      </c>
      <c r="J82" s="1" t="b">
        <f t="shared" si="6"/>
        <v>0</v>
      </c>
      <c r="K82" s="1" t="b">
        <f>(Requirements!K99="Normative")</f>
        <v>1</v>
      </c>
      <c r="L82" s="1" t="b">
        <f>(Requirements!L99&lt;&gt;"Non-testable")</f>
        <v>0</v>
      </c>
      <c r="M82" s="1" t="b">
        <f>(VLOOKUP(Requirements!I99,Scope[[Role]:[Description]],2,FALSE)="In")</f>
        <v>1</v>
      </c>
      <c r="N82" s="1">
        <f t="shared" si="7"/>
        <v>0</v>
      </c>
    </row>
    <row r="83" spans="1:14">
      <c r="A83" s="1" t="str">
        <f>Requirements!A100</f>
        <v>MS-WSP_R78</v>
      </c>
      <c r="B83" s="1">
        <v>1</v>
      </c>
      <c r="C83" s="1">
        <v>1</v>
      </c>
      <c r="D83" s="1"/>
      <c r="E83" s="1"/>
      <c r="F83" s="1"/>
      <c r="G83" s="1">
        <v>1</v>
      </c>
      <c r="H83" s="3">
        <f t="shared" si="4"/>
        <v>3</v>
      </c>
      <c r="I83" s="6">
        <f t="shared" si="5"/>
        <v>1</v>
      </c>
      <c r="J83" s="1" t="b">
        <f t="shared" si="6"/>
        <v>1</v>
      </c>
      <c r="K83" s="1" t="b">
        <f>(Requirements!K100="Normative")</f>
        <v>1</v>
      </c>
      <c r="L83" s="1" t="b">
        <f>(Requirements!L100&lt;&gt;"Non-testable")</f>
        <v>1</v>
      </c>
      <c r="M83" s="1" t="b">
        <f>(VLOOKUP(Requirements!I100,Scope[[Role]:[Description]],2,FALSE)="In")</f>
        <v>1</v>
      </c>
      <c r="N83" s="1">
        <f t="shared" si="7"/>
        <v>1</v>
      </c>
    </row>
    <row r="84" spans="1:14">
      <c r="A84" s="1" t="str">
        <f>Requirements!A101</f>
        <v>MS-WSP_R79</v>
      </c>
      <c r="B84" s="1"/>
      <c r="C84" s="1"/>
      <c r="D84" s="1"/>
      <c r="E84" s="1"/>
      <c r="F84" s="1"/>
      <c r="G84" s="1"/>
      <c r="H84" s="3">
        <f t="shared" si="4"/>
        <v>0</v>
      </c>
      <c r="I84" s="6">
        <f t="shared" si="5"/>
        <v>0</v>
      </c>
      <c r="J84" s="1" t="b">
        <f t="shared" si="6"/>
        <v>0</v>
      </c>
      <c r="K84" s="1" t="b">
        <f>(Requirements!K101="Normative")</f>
        <v>1</v>
      </c>
      <c r="L84" s="1" t="b">
        <f>(Requirements!L101&lt;&gt;"Non-testable")</f>
        <v>1</v>
      </c>
      <c r="M84" s="1" t="b">
        <f>(VLOOKUP(Requirements!I101,Scope[[Role]:[Description]],2,FALSE)="In")</f>
        <v>0</v>
      </c>
      <c r="N84" s="1">
        <f t="shared" si="7"/>
        <v>0</v>
      </c>
    </row>
    <row r="85" spans="1:14">
      <c r="A85" s="1" t="str">
        <f>Requirements!A102</f>
        <v>MS-WSP_R80</v>
      </c>
      <c r="B85" s="1"/>
      <c r="C85" s="1"/>
      <c r="D85" s="1"/>
      <c r="E85" s="1"/>
      <c r="F85" s="1"/>
      <c r="G85" s="1"/>
      <c r="H85" s="3">
        <f t="shared" si="4"/>
        <v>0</v>
      </c>
      <c r="I85" s="6">
        <f t="shared" si="5"/>
        <v>0</v>
      </c>
      <c r="J85" s="1" t="b">
        <f t="shared" si="6"/>
        <v>0</v>
      </c>
      <c r="K85" s="1" t="b">
        <f>(Requirements!K102="Normative")</f>
        <v>1</v>
      </c>
      <c r="L85" s="1" t="b">
        <f>(Requirements!L102&lt;&gt;"Non-testable")</f>
        <v>1</v>
      </c>
      <c r="M85" s="1" t="b">
        <f>(VLOOKUP(Requirements!I102,Scope[[Role]:[Description]],2,FALSE)="In")</f>
        <v>0</v>
      </c>
      <c r="N85" s="1">
        <f t="shared" si="7"/>
        <v>0</v>
      </c>
    </row>
    <row r="86" spans="1:14">
      <c r="A86" s="1" t="str">
        <f>Requirements!A103</f>
        <v>MS-WSP_R81</v>
      </c>
      <c r="B86" s="1"/>
      <c r="C86" s="1"/>
      <c r="D86" s="1"/>
      <c r="E86" s="1"/>
      <c r="F86" s="1"/>
      <c r="G86" s="1"/>
      <c r="H86" s="3">
        <f t="shared" si="4"/>
        <v>0</v>
      </c>
      <c r="I86" s="6">
        <f t="shared" si="5"/>
        <v>0</v>
      </c>
      <c r="J86" s="1" t="b">
        <f t="shared" si="6"/>
        <v>0</v>
      </c>
      <c r="K86" s="1" t="b">
        <f>(Requirements!K103="Normative")</f>
        <v>1</v>
      </c>
      <c r="L86" s="1" t="b">
        <f>(Requirements!L103&lt;&gt;"Non-testable")</f>
        <v>1</v>
      </c>
      <c r="M86" s="1" t="b">
        <f>(VLOOKUP(Requirements!I103,Scope[[Role]:[Description]],2,FALSE)="In")</f>
        <v>0</v>
      </c>
      <c r="N86" s="1">
        <f t="shared" si="7"/>
        <v>0</v>
      </c>
    </row>
    <row r="87" spans="1:14">
      <c r="A87" s="1" t="str">
        <f>Requirements!A104</f>
        <v>MS-WSP_R82</v>
      </c>
      <c r="B87" s="1"/>
      <c r="C87" s="1"/>
      <c r="D87" s="1"/>
      <c r="E87" s="1"/>
      <c r="F87" s="1"/>
      <c r="G87" s="1"/>
      <c r="H87" s="3">
        <f t="shared" si="4"/>
        <v>0</v>
      </c>
      <c r="I87" s="6">
        <f t="shared" si="5"/>
        <v>0</v>
      </c>
      <c r="J87" s="1" t="b">
        <f t="shared" si="6"/>
        <v>0</v>
      </c>
      <c r="K87" s="1" t="b">
        <f>(Requirements!K104="Normative")</f>
        <v>1</v>
      </c>
      <c r="L87" s="1" t="b">
        <f>(Requirements!L104&lt;&gt;"Non-testable")</f>
        <v>1</v>
      </c>
      <c r="M87" s="1" t="b">
        <f>(VLOOKUP(Requirements!I104,Scope[[Role]:[Description]],2,FALSE)="In")</f>
        <v>0</v>
      </c>
      <c r="N87" s="1">
        <f t="shared" si="7"/>
        <v>0</v>
      </c>
    </row>
    <row r="88" spans="1:14">
      <c r="A88" s="1" t="str">
        <f>Requirements!A105</f>
        <v>MS-WSP_R83</v>
      </c>
      <c r="B88" s="1"/>
      <c r="C88" s="1"/>
      <c r="D88" s="1"/>
      <c r="E88" s="1"/>
      <c r="F88" s="1"/>
      <c r="G88" s="1"/>
      <c r="H88" s="3">
        <f t="shared" si="4"/>
        <v>0</v>
      </c>
      <c r="I88" s="6">
        <f t="shared" si="5"/>
        <v>0</v>
      </c>
      <c r="J88" s="1" t="b">
        <f t="shared" si="6"/>
        <v>0</v>
      </c>
      <c r="K88" s="1" t="b">
        <f>(Requirements!K105="Normative")</f>
        <v>1</v>
      </c>
      <c r="L88" s="1" t="b">
        <f>(Requirements!L105&lt;&gt;"Non-testable")</f>
        <v>1</v>
      </c>
      <c r="M88" s="1" t="b">
        <f>(VLOOKUP(Requirements!I105,Scope[[Role]:[Description]],2,FALSE)="In")</f>
        <v>0</v>
      </c>
      <c r="N88" s="1">
        <f t="shared" si="7"/>
        <v>0</v>
      </c>
    </row>
    <row r="89" spans="1:14">
      <c r="A89" s="1" t="str">
        <f>Requirements!A106</f>
        <v>MS-WSP_R84</v>
      </c>
      <c r="B89" s="1"/>
      <c r="C89" s="1"/>
      <c r="D89" s="1"/>
      <c r="E89" s="1"/>
      <c r="F89" s="1"/>
      <c r="G89" s="1"/>
      <c r="H89" s="3">
        <f t="shared" si="4"/>
        <v>0</v>
      </c>
      <c r="I89" s="6">
        <f t="shared" si="5"/>
        <v>0</v>
      </c>
      <c r="J89" s="1" t="b">
        <f t="shared" si="6"/>
        <v>0</v>
      </c>
      <c r="K89" s="1" t="b">
        <f>(Requirements!K106="Normative")</f>
        <v>1</v>
      </c>
      <c r="L89" s="1" t="b">
        <f>(Requirements!L106&lt;&gt;"Non-testable")</f>
        <v>0</v>
      </c>
      <c r="M89" s="1" t="b">
        <f>(VLOOKUP(Requirements!I106,Scope[[Role]:[Description]],2,FALSE)="In")</f>
        <v>1</v>
      </c>
      <c r="N89" s="1">
        <f t="shared" si="7"/>
        <v>0</v>
      </c>
    </row>
    <row r="90" spans="1:14">
      <c r="A90" s="1" t="str">
        <f>Requirements!A107</f>
        <v>MS-WSP_R85</v>
      </c>
      <c r="B90" s="1">
        <v>1</v>
      </c>
      <c r="C90" s="1">
        <v>1</v>
      </c>
      <c r="D90" s="1"/>
      <c r="E90" s="1"/>
      <c r="F90" s="1"/>
      <c r="G90" s="1">
        <v>1</v>
      </c>
      <c r="H90" s="3">
        <f t="shared" si="4"/>
        <v>3</v>
      </c>
      <c r="I90" s="6">
        <f t="shared" si="5"/>
        <v>1</v>
      </c>
      <c r="J90" s="1" t="b">
        <f t="shared" si="6"/>
        <v>1</v>
      </c>
      <c r="K90" s="1" t="b">
        <f>(Requirements!K107="Normative")</f>
        <v>1</v>
      </c>
      <c r="L90" s="1" t="b">
        <f>(Requirements!L107&lt;&gt;"Non-testable")</f>
        <v>1</v>
      </c>
      <c r="M90" s="1" t="b">
        <f>(VLOOKUP(Requirements!I107,Scope[[Role]:[Description]],2,FALSE)="In")</f>
        <v>1</v>
      </c>
      <c r="N90" s="1">
        <f t="shared" si="7"/>
        <v>1</v>
      </c>
    </row>
    <row r="91" spans="1:14">
      <c r="A91" s="1" t="str">
        <f>Requirements!A108</f>
        <v>MS-WSP_R86</v>
      </c>
      <c r="B91" s="1"/>
      <c r="C91" s="1"/>
      <c r="D91" s="1"/>
      <c r="E91" s="1"/>
      <c r="F91" s="1"/>
      <c r="G91" s="1"/>
      <c r="H91" s="3">
        <f t="shared" si="4"/>
        <v>0</v>
      </c>
      <c r="I91" s="6">
        <f t="shared" si="5"/>
        <v>0</v>
      </c>
      <c r="J91" s="1" t="b">
        <f t="shared" si="6"/>
        <v>0</v>
      </c>
      <c r="K91" s="1" t="b">
        <f>(Requirements!K108="Normative")</f>
        <v>1</v>
      </c>
      <c r="L91" s="1" t="b">
        <f>(Requirements!L108&lt;&gt;"Non-testable")</f>
        <v>1</v>
      </c>
      <c r="M91" s="1" t="b">
        <f>(VLOOKUP(Requirements!I108,Scope[[Role]:[Description]],2,FALSE)="In")</f>
        <v>0</v>
      </c>
      <c r="N91" s="1">
        <f t="shared" si="7"/>
        <v>0</v>
      </c>
    </row>
    <row r="92" spans="1:14">
      <c r="A92" s="1" t="str">
        <f>Requirements!A109</f>
        <v>MS-WSP_R87</v>
      </c>
      <c r="B92" s="1"/>
      <c r="C92" s="1"/>
      <c r="D92" s="1"/>
      <c r="E92" s="1"/>
      <c r="F92" s="1"/>
      <c r="G92" s="1"/>
      <c r="H92" s="3">
        <f t="shared" si="4"/>
        <v>0</v>
      </c>
      <c r="I92" s="6">
        <f t="shared" si="5"/>
        <v>0</v>
      </c>
      <c r="J92" s="1" t="b">
        <f t="shared" si="6"/>
        <v>0</v>
      </c>
      <c r="K92" s="1" t="b">
        <f>(Requirements!K109="Normative")</f>
        <v>1</v>
      </c>
      <c r="L92" s="1" t="b">
        <f>(Requirements!L109&lt;&gt;"Non-testable")</f>
        <v>1</v>
      </c>
      <c r="M92" s="1" t="b">
        <f>(VLOOKUP(Requirements!I109,Scope[[Role]:[Description]],2,FALSE)="In")</f>
        <v>0</v>
      </c>
      <c r="N92" s="1">
        <f t="shared" si="7"/>
        <v>0</v>
      </c>
    </row>
    <row r="93" spans="1:14">
      <c r="A93" s="1" t="str">
        <f>Requirements!A110</f>
        <v>MS-WSP_R88</v>
      </c>
      <c r="B93" s="1"/>
      <c r="C93" s="1"/>
      <c r="D93" s="1"/>
      <c r="E93" s="1"/>
      <c r="F93" s="1"/>
      <c r="G93" s="1"/>
      <c r="H93" s="3">
        <f t="shared" si="4"/>
        <v>0</v>
      </c>
      <c r="I93" s="6">
        <f t="shared" si="5"/>
        <v>0</v>
      </c>
      <c r="J93" s="1" t="b">
        <f t="shared" si="6"/>
        <v>0</v>
      </c>
      <c r="K93" s="1" t="b">
        <f>(Requirements!K110="Normative")</f>
        <v>1</v>
      </c>
      <c r="L93" s="1" t="b">
        <f>(Requirements!L110&lt;&gt;"Non-testable")</f>
        <v>1</v>
      </c>
      <c r="M93" s="1" t="b">
        <f>(VLOOKUP(Requirements!I110,Scope[[Role]:[Description]],2,FALSE)="In")</f>
        <v>0</v>
      </c>
      <c r="N93" s="1">
        <f t="shared" si="7"/>
        <v>0</v>
      </c>
    </row>
    <row r="94" spans="1:14">
      <c r="A94" s="1" t="str">
        <f>Requirements!A111</f>
        <v>MS-WSP_R89</v>
      </c>
      <c r="B94" s="1"/>
      <c r="C94" s="1"/>
      <c r="D94" s="1"/>
      <c r="E94" s="1"/>
      <c r="F94" s="1"/>
      <c r="G94" s="1"/>
      <c r="H94" s="3">
        <f t="shared" si="4"/>
        <v>0</v>
      </c>
      <c r="I94" s="6">
        <f t="shared" si="5"/>
        <v>0</v>
      </c>
      <c r="J94" s="1" t="b">
        <f t="shared" si="6"/>
        <v>0</v>
      </c>
      <c r="K94" s="1" t="b">
        <f>(Requirements!K111="Normative")</f>
        <v>1</v>
      </c>
      <c r="L94" s="1" t="b">
        <f>(Requirements!L111&lt;&gt;"Non-testable")</f>
        <v>1</v>
      </c>
      <c r="M94" s="1" t="b">
        <f>(VLOOKUP(Requirements!I111,Scope[[Role]:[Description]],2,FALSE)="In")</f>
        <v>0</v>
      </c>
      <c r="N94" s="1">
        <f t="shared" si="7"/>
        <v>0</v>
      </c>
    </row>
    <row r="95" spans="1:14">
      <c r="A95" s="1" t="str">
        <f>Requirements!A112</f>
        <v>MS-WSP_R90</v>
      </c>
      <c r="B95" s="1"/>
      <c r="C95" s="1"/>
      <c r="D95" s="1"/>
      <c r="E95" s="1"/>
      <c r="F95" s="1"/>
      <c r="G95" s="1"/>
      <c r="H95" s="3">
        <f t="shared" si="4"/>
        <v>0</v>
      </c>
      <c r="I95" s="6">
        <f t="shared" si="5"/>
        <v>0</v>
      </c>
      <c r="J95" s="1" t="b">
        <f t="shared" si="6"/>
        <v>0</v>
      </c>
      <c r="K95" s="1" t="b">
        <f>(Requirements!K112="Normative")</f>
        <v>0</v>
      </c>
      <c r="L95" s="1" t="b">
        <f>(Requirements!L112&lt;&gt;"Non-testable")</f>
        <v>1</v>
      </c>
      <c r="M95" s="1" t="b">
        <f>(VLOOKUP(Requirements!I112,Scope[[Role]:[Description]],2,FALSE)="In")</f>
        <v>0</v>
      </c>
      <c r="N95" s="1">
        <f t="shared" si="7"/>
        <v>0</v>
      </c>
    </row>
    <row r="96" spans="1:14">
      <c r="A96" s="1" t="str">
        <f>Requirements!A113</f>
        <v>MS-WSP_R91</v>
      </c>
      <c r="B96" s="1"/>
      <c r="C96" s="1"/>
      <c r="D96" s="1"/>
      <c r="E96" s="1"/>
      <c r="F96" s="1"/>
      <c r="G96" s="1"/>
      <c r="H96" s="3">
        <f t="shared" si="4"/>
        <v>0</v>
      </c>
      <c r="I96" s="6">
        <f t="shared" si="5"/>
        <v>0</v>
      </c>
      <c r="J96" s="1" t="b">
        <f t="shared" si="6"/>
        <v>0</v>
      </c>
      <c r="K96" s="1" t="b">
        <f>(Requirements!K113="Normative")</f>
        <v>1</v>
      </c>
      <c r="L96" s="1" t="b">
        <f>(Requirements!L113&lt;&gt;"Non-testable")</f>
        <v>1</v>
      </c>
      <c r="M96" s="1" t="b">
        <f>(VLOOKUP(Requirements!I113,Scope[[Role]:[Description]],2,FALSE)="In")</f>
        <v>0</v>
      </c>
      <c r="N96" s="1">
        <f t="shared" si="7"/>
        <v>0</v>
      </c>
    </row>
    <row r="97" spans="1:14">
      <c r="A97" s="1" t="str">
        <f>Requirements!A114</f>
        <v>MS-WSP_R92</v>
      </c>
      <c r="B97" s="1"/>
      <c r="C97" s="1"/>
      <c r="D97" s="1"/>
      <c r="E97" s="1"/>
      <c r="F97" s="1"/>
      <c r="G97" s="1"/>
      <c r="H97" s="3">
        <f t="shared" si="4"/>
        <v>0</v>
      </c>
      <c r="I97" s="6">
        <f t="shared" si="5"/>
        <v>0</v>
      </c>
      <c r="J97" s="1" t="b">
        <f t="shared" si="6"/>
        <v>0</v>
      </c>
      <c r="K97" s="1" t="b">
        <f>(Requirements!K114="Normative")</f>
        <v>1</v>
      </c>
      <c r="L97" s="1" t="b">
        <f>(Requirements!L114&lt;&gt;"Non-testable")</f>
        <v>1</v>
      </c>
      <c r="M97" s="1" t="b">
        <f>(VLOOKUP(Requirements!I114,Scope[[Role]:[Description]],2,FALSE)="In")</f>
        <v>0</v>
      </c>
      <c r="N97" s="1">
        <f t="shared" si="7"/>
        <v>0</v>
      </c>
    </row>
    <row r="98" spans="1:14">
      <c r="A98" s="1" t="str">
        <f>Requirements!A115</f>
        <v>MS-WSP_R93</v>
      </c>
      <c r="B98" s="1"/>
      <c r="C98" s="1"/>
      <c r="D98" s="1"/>
      <c r="E98" s="1"/>
      <c r="F98" s="1"/>
      <c r="G98" s="1"/>
      <c r="H98" s="3">
        <f t="shared" si="4"/>
        <v>0</v>
      </c>
      <c r="I98" s="6">
        <f t="shared" si="5"/>
        <v>0</v>
      </c>
      <c r="J98" s="1" t="b">
        <f t="shared" si="6"/>
        <v>0</v>
      </c>
      <c r="K98" s="1" t="b">
        <f>(Requirements!K115="Normative")</f>
        <v>1</v>
      </c>
      <c r="L98" s="1" t="b">
        <f>(Requirements!L115&lt;&gt;"Non-testable")</f>
        <v>1</v>
      </c>
      <c r="M98" s="1" t="b">
        <f>(VLOOKUP(Requirements!I115,Scope[[Role]:[Description]],2,FALSE)="In")</f>
        <v>0</v>
      </c>
      <c r="N98" s="1">
        <f t="shared" si="7"/>
        <v>0</v>
      </c>
    </row>
    <row r="99" spans="1:14">
      <c r="A99" s="1" t="str">
        <f>Requirements!A116</f>
        <v>MS-WSP_R94</v>
      </c>
      <c r="B99" s="1"/>
      <c r="C99" s="1"/>
      <c r="D99" s="1"/>
      <c r="E99" s="1"/>
      <c r="F99" s="1"/>
      <c r="G99" s="1"/>
      <c r="H99" s="3">
        <f t="shared" si="4"/>
        <v>0</v>
      </c>
      <c r="I99" s="6">
        <f t="shared" si="5"/>
        <v>0</v>
      </c>
      <c r="J99" s="1" t="b">
        <f t="shared" si="6"/>
        <v>0</v>
      </c>
      <c r="K99" s="1" t="b">
        <f>(Requirements!K116="Normative")</f>
        <v>1</v>
      </c>
      <c r="L99" s="1" t="b">
        <f>(Requirements!L116&lt;&gt;"Non-testable")</f>
        <v>1</v>
      </c>
      <c r="M99" s="1" t="b">
        <f>(VLOOKUP(Requirements!I116,Scope[[Role]:[Description]],2,FALSE)="In")</f>
        <v>0</v>
      </c>
      <c r="N99" s="1">
        <f t="shared" si="7"/>
        <v>0</v>
      </c>
    </row>
    <row r="100" spans="1:14">
      <c r="A100" s="1" t="str">
        <f>Requirements!A117</f>
        <v>MS-WSP_R95</v>
      </c>
      <c r="B100" s="1"/>
      <c r="C100" s="1"/>
      <c r="D100" s="1"/>
      <c r="E100" s="1"/>
      <c r="F100" s="1"/>
      <c r="G100" s="1"/>
      <c r="H100" s="3">
        <f t="shared" si="4"/>
        <v>0</v>
      </c>
      <c r="I100" s="6">
        <f t="shared" si="5"/>
        <v>0</v>
      </c>
      <c r="J100" s="1" t="b">
        <f t="shared" si="6"/>
        <v>0</v>
      </c>
      <c r="K100" s="1" t="b">
        <f>(Requirements!K117="Normative")</f>
        <v>1</v>
      </c>
      <c r="L100" s="1" t="b">
        <f>(Requirements!L117&lt;&gt;"Non-testable")</f>
        <v>1</v>
      </c>
      <c r="M100" s="1" t="b">
        <f>(VLOOKUP(Requirements!I117,Scope[[Role]:[Description]],2,FALSE)="In")</f>
        <v>0</v>
      </c>
      <c r="N100" s="1">
        <f t="shared" si="7"/>
        <v>0</v>
      </c>
    </row>
    <row r="101" spans="1:14">
      <c r="A101" s="1" t="str">
        <f>Requirements!A118</f>
        <v>MS-WSP_R96</v>
      </c>
      <c r="B101" s="1"/>
      <c r="C101" s="1"/>
      <c r="D101" s="1"/>
      <c r="E101" s="1"/>
      <c r="F101" s="1"/>
      <c r="G101" s="1"/>
      <c r="H101" s="3">
        <f t="shared" si="4"/>
        <v>0</v>
      </c>
      <c r="I101" s="6">
        <f t="shared" si="5"/>
        <v>0</v>
      </c>
      <c r="J101" s="1" t="b">
        <f t="shared" si="6"/>
        <v>0</v>
      </c>
      <c r="K101" s="1" t="b">
        <f>(Requirements!K118="Normative")</f>
        <v>1</v>
      </c>
      <c r="L101" s="1" t="b">
        <f>(Requirements!L118&lt;&gt;"Non-testable")</f>
        <v>1</v>
      </c>
      <c r="M101" s="1" t="b">
        <f>(VLOOKUP(Requirements!I118,Scope[[Role]:[Description]],2,FALSE)="In")</f>
        <v>0</v>
      </c>
      <c r="N101" s="1">
        <f t="shared" si="7"/>
        <v>0</v>
      </c>
    </row>
    <row r="102" spans="1:14">
      <c r="A102" s="1" t="str">
        <f>Requirements!A119</f>
        <v>MS-WSP_R97</v>
      </c>
      <c r="B102" s="1"/>
      <c r="C102" s="1"/>
      <c r="D102" s="1"/>
      <c r="E102" s="1"/>
      <c r="F102" s="1"/>
      <c r="G102" s="1"/>
      <c r="H102" s="3">
        <f t="shared" si="4"/>
        <v>0</v>
      </c>
      <c r="I102" s="6">
        <f t="shared" si="5"/>
        <v>0</v>
      </c>
      <c r="J102" s="1" t="b">
        <f t="shared" si="6"/>
        <v>0</v>
      </c>
      <c r="K102" s="1" t="b">
        <f>(Requirements!K119="Normative")</f>
        <v>1</v>
      </c>
      <c r="L102" s="1" t="b">
        <f>(Requirements!L119&lt;&gt;"Non-testable")</f>
        <v>1</v>
      </c>
      <c r="M102" s="1" t="b">
        <f>(VLOOKUP(Requirements!I119,Scope[[Role]:[Description]],2,FALSE)="In")</f>
        <v>0</v>
      </c>
      <c r="N102" s="1">
        <f t="shared" si="7"/>
        <v>0</v>
      </c>
    </row>
    <row r="103" spans="1:14">
      <c r="A103" s="1" t="str">
        <f>Requirements!A120</f>
        <v>MS-WSP_R98</v>
      </c>
      <c r="B103" s="1"/>
      <c r="C103" s="1"/>
      <c r="D103" s="1"/>
      <c r="E103" s="1"/>
      <c r="F103" s="1"/>
      <c r="G103" s="1"/>
      <c r="H103" s="3">
        <f t="shared" si="4"/>
        <v>0</v>
      </c>
      <c r="I103" s="6">
        <f t="shared" si="5"/>
        <v>0</v>
      </c>
      <c r="J103" s="1" t="b">
        <f t="shared" si="6"/>
        <v>0</v>
      </c>
      <c r="K103" s="1" t="b">
        <f>(Requirements!K120="Normative")</f>
        <v>1</v>
      </c>
      <c r="L103" s="1" t="b">
        <f>(Requirements!L120&lt;&gt;"Non-testable")</f>
        <v>1</v>
      </c>
      <c r="M103" s="1" t="b">
        <f>(VLOOKUP(Requirements!I120,Scope[[Role]:[Description]],2,FALSE)="In")</f>
        <v>0</v>
      </c>
      <c r="N103" s="1">
        <f t="shared" si="7"/>
        <v>0</v>
      </c>
    </row>
    <row r="104" spans="1:14">
      <c r="A104" s="1" t="str">
        <f>Requirements!A121</f>
        <v>MS-WSP_R99</v>
      </c>
      <c r="B104" s="1"/>
      <c r="C104" s="1"/>
      <c r="D104" s="1"/>
      <c r="E104" s="1"/>
      <c r="F104" s="1"/>
      <c r="G104" s="1"/>
      <c r="H104" s="3">
        <f t="shared" si="4"/>
        <v>0</v>
      </c>
      <c r="I104" s="6">
        <f t="shared" si="5"/>
        <v>0</v>
      </c>
      <c r="J104" s="1" t="b">
        <f t="shared" si="6"/>
        <v>0</v>
      </c>
      <c r="K104" s="1" t="b">
        <f>(Requirements!K121="Normative")</f>
        <v>1</v>
      </c>
      <c r="L104" s="1" t="b">
        <f>(Requirements!L121&lt;&gt;"Non-testable")</f>
        <v>1</v>
      </c>
      <c r="M104" s="1" t="b">
        <f>(VLOOKUP(Requirements!I121,Scope[[Role]:[Description]],2,FALSE)="In")</f>
        <v>0</v>
      </c>
      <c r="N104" s="1">
        <f t="shared" si="7"/>
        <v>0</v>
      </c>
    </row>
    <row r="105" spans="1:14">
      <c r="A105" s="1" t="str">
        <f>Requirements!A122</f>
        <v>MS-WSP_R100</v>
      </c>
      <c r="B105" s="1"/>
      <c r="C105" s="1"/>
      <c r="D105" s="1"/>
      <c r="E105" s="1"/>
      <c r="F105" s="1"/>
      <c r="G105" s="1"/>
      <c r="H105" s="3">
        <f t="shared" si="4"/>
        <v>0</v>
      </c>
      <c r="I105" s="6">
        <f t="shared" si="5"/>
        <v>0</v>
      </c>
      <c r="J105" s="1" t="b">
        <f t="shared" si="6"/>
        <v>0</v>
      </c>
      <c r="K105" s="1" t="b">
        <f>(Requirements!K122="Normative")</f>
        <v>1</v>
      </c>
      <c r="L105" s="1" t="b">
        <f>(Requirements!L122&lt;&gt;"Non-testable")</f>
        <v>1</v>
      </c>
      <c r="M105" s="1" t="b">
        <f>(VLOOKUP(Requirements!I122,Scope[[Role]:[Description]],2,FALSE)="In")</f>
        <v>0</v>
      </c>
      <c r="N105" s="1">
        <f t="shared" si="7"/>
        <v>0</v>
      </c>
    </row>
    <row r="106" spans="1:14">
      <c r="A106" s="1" t="str">
        <f>Requirements!A123</f>
        <v>MS-WSP_R101</v>
      </c>
      <c r="B106" s="1"/>
      <c r="C106" s="1"/>
      <c r="D106" s="1"/>
      <c r="E106" s="1"/>
      <c r="F106" s="1"/>
      <c r="G106" s="1"/>
      <c r="H106" s="3">
        <f t="shared" si="4"/>
        <v>0</v>
      </c>
      <c r="I106" s="6">
        <f t="shared" si="5"/>
        <v>0</v>
      </c>
      <c r="J106" s="1" t="b">
        <f t="shared" si="6"/>
        <v>0</v>
      </c>
      <c r="K106" s="1" t="b">
        <f>(Requirements!K123="Normative")</f>
        <v>1</v>
      </c>
      <c r="L106" s="1" t="b">
        <f>(Requirements!L123&lt;&gt;"Non-testable")</f>
        <v>1</v>
      </c>
      <c r="M106" s="1" t="b">
        <f>(VLOOKUP(Requirements!I123,Scope[[Role]:[Description]],2,FALSE)="In")</f>
        <v>0</v>
      </c>
      <c r="N106" s="1">
        <f t="shared" si="7"/>
        <v>0</v>
      </c>
    </row>
    <row r="107" spans="1:14">
      <c r="A107" s="1" t="str">
        <f>Requirements!A124</f>
        <v>MS-WSP_R102</v>
      </c>
      <c r="B107" s="1"/>
      <c r="C107" s="1"/>
      <c r="D107" s="1"/>
      <c r="E107" s="1"/>
      <c r="F107" s="1"/>
      <c r="G107" s="1"/>
      <c r="H107" s="3">
        <f t="shared" si="4"/>
        <v>0</v>
      </c>
      <c r="I107" s="6">
        <f t="shared" si="5"/>
        <v>0</v>
      </c>
      <c r="J107" s="1" t="b">
        <f t="shared" si="6"/>
        <v>0</v>
      </c>
      <c r="K107" s="1" t="b">
        <f>(Requirements!K124="Normative")</f>
        <v>1</v>
      </c>
      <c r="L107" s="1" t="b">
        <f>(Requirements!L124&lt;&gt;"Non-testable")</f>
        <v>1</v>
      </c>
      <c r="M107" s="1" t="b">
        <f>(VLOOKUP(Requirements!I124,Scope[[Role]:[Description]],2,FALSE)="In")</f>
        <v>0</v>
      </c>
      <c r="N107" s="1">
        <f t="shared" si="7"/>
        <v>0</v>
      </c>
    </row>
    <row r="108" spans="1:14">
      <c r="A108" s="1" t="str">
        <f>Requirements!A125</f>
        <v>MS-WSP_R103</v>
      </c>
      <c r="B108" s="1"/>
      <c r="C108" s="1"/>
      <c r="D108" s="1"/>
      <c r="E108" s="1"/>
      <c r="F108" s="1"/>
      <c r="G108" s="1"/>
      <c r="H108" s="3">
        <f t="shared" si="4"/>
        <v>0</v>
      </c>
      <c r="I108" s="6">
        <f t="shared" si="5"/>
        <v>0</v>
      </c>
      <c r="J108" s="1" t="b">
        <f t="shared" si="6"/>
        <v>0</v>
      </c>
      <c r="K108" s="1" t="b">
        <f>(Requirements!K125="Normative")</f>
        <v>1</v>
      </c>
      <c r="L108" s="1" t="b">
        <f>(Requirements!L125&lt;&gt;"Non-testable")</f>
        <v>0</v>
      </c>
      <c r="M108" s="1" t="b">
        <f>(VLOOKUP(Requirements!I125,Scope[[Role]:[Description]],2,FALSE)="In")</f>
        <v>1</v>
      </c>
      <c r="N108" s="1">
        <f t="shared" si="7"/>
        <v>0</v>
      </c>
    </row>
    <row r="109" spans="1:14">
      <c r="A109" s="1" t="str">
        <f>Requirements!A126</f>
        <v>MS-WSP_R104</v>
      </c>
      <c r="B109" s="1">
        <v>1</v>
      </c>
      <c r="C109" s="1">
        <v>1</v>
      </c>
      <c r="D109" s="1"/>
      <c r="E109" s="1"/>
      <c r="F109" s="1"/>
      <c r="G109" s="1">
        <v>1</v>
      </c>
      <c r="H109" s="3">
        <f t="shared" si="4"/>
        <v>3</v>
      </c>
      <c r="I109" s="6">
        <f t="shared" si="5"/>
        <v>1</v>
      </c>
      <c r="J109" s="1" t="b">
        <f t="shared" si="6"/>
        <v>1</v>
      </c>
      <c r="K109" s="1" t="b">
        <f>(Requirements!K126="Normative")</f>
        <v>1</v>
      </c>
      <c r="L109" s="1" t="b">
        <f>(Requirements!L126&lt;&gt;"Non-testable")</f>
        <v>1</v>
      </c>
      <c r="M109" s="1" t="b">
        <f>(VLOOKUP(Requirements!I126,Scope[[Role]:[Description]],2,FALSE)="In")</f>
        <v>1</v>
      </c>
      <c r="N109" s="1">
        <f t="shared" si="7"/>
        <v>1</v>
      </c>
    </row>
    <row r="110" spans="1:14">
      <c r="A110" s="1" t="str">
        <f>Requirements!A127</f>
        <v>MS-WSP_R105</v>
      </c>
      <c r="B110" s="1"/>
      <c r="C110" s="1"/>
      <c r="D110" s="1"/>
      <c r="E110" s="1"/>
      <c r="F110" s="1"/>
      <c r="G110" s="1"/>
      <c r="H110" s="3">
        <f t="shared" si="4"/>
        <v>0</v>
      </c>
      <c r="I110" s="6">
        <f t="shared" si="5"/>
        <v>0</v>
      </c>
      <c r="J110" s="1" t="b">
        <f t="shared" si="6"/>
        <v>0</v>
      </c>
      <c r="K110" s="1" t="b">
        <f>(Requirements!K127="Normative")</f>
        <v>1</v>
      </c>
      <c r="L110" s="1" t="b">
        <f>(Requirements!L127&lt;&gt;"Non-testable")</f>
        <v>1</v>
      </c>
      <c r="M110" s="1" t="b">
        <f>(VLOOKUP(Requirements!I127,Scope[[Role]:[Description]],2,FALSE)="In")</f>
        <v>0</v>
      </c>
      <c r="N110" s="1">
        <f t="shared" si="7"/>
        <v>0</v>
      </c>
    </row>
    <row r="111" spans="1:14">
      <c r="A111" s="1" t="str">
        <f>Requirements!A128</f>
        <v>MS-WSP_R106</v>
      </c>
      <c r="B111" s="1"/>
      <c r="C111" s="1"/>
      <c r="D111" s="1"/>
      <c r="E111" s="1"/>
      <c r="F111" s="1"/>
      <c r="G111" s="1"/>
      <c r="H111" s="3">
        <f t="shared" si="4"/>
        <v>0</v>
      </c>
      <c r="I111" s="6">
        <f t="shared" si="5"/>
        <v>0</v>
      </c>
      <c r="J111" s="1" t="b">
        <f t="shared" si="6"/>
        <v>0</v>
      </c>
      <c r="K111" s="1" t="b">
        <f>(Requirements!K128="Normative")</f>
        <v>1</v>
      </c>
      <c r="L111" s="1" t="b">
        <f>(Requirements!L128&lt;&gt;"Non-testable")</f>
        <v>1</v>
      </c>
      <c r="M111" s="1" t="b">
        <f>(VLOOKUP(Requirements!I128,Scope[[Role]:[Description]],2,FALSE)="In")</f>
        <v>0</v>
      </c>
      <c r="N111" s="1">
        <f t="shared" si="7"/>
        <v>0</v>
      </c>
    </row>
    <row r="112" spans="1:14">
      <c r="A112" s="1" t="str">
        <f>Requirements!A129</f>
        <v>MS-WSP_R107</v>
      </c>
      <c r="B112" s="1"/>
      <c r="C112" s="1"/>
      <c r="D112" s="1"/>
      <c r="E112" s="1"/>
      <c r="F112" s="1"/>
      <c r="G112" s="1"/>
      <c r="H112" s="3">
        <f t="shared" si="4"/>
        <v>0</v>
      </c>
      <c r="I112" s="6">
        <f t="shared" si="5"/>
        <v>0</v>
      </c>
      <c r="J112" s="1" t="b">
        <f t="shared" si="6"/>
        <v>0</v>
      </c>
      <c r="K112" s="1" t="b">
        <f>(Requirements!K129="Normative")</f>
        <v>1</v>
      </c>
      <c r="L112" s="1" t="b">
        <f>(Requirements!L129&lt;&gt;"Non-testable")</f>
        <v>1</v>
      </c>
      <c r="M112" s="1" t="b">
        <f>(VLOOKUP(Requirements!I129,Scope[[Role]:[Description]],2,FALSE)="In")</f>
        <v>0</v>
      </c>
      <c r="N112" s="1">
        <f t="shared" si="7"/>
        <v>0</v>
      </c>
    </row>
    <row r="113" spans="1:14">
      <c r="A113" s="1" t="str">
        <f>Requirements!A130</f>
        <v>MS-WSP_R108</v>
      </c>
      <c r="B113" s="1"/>
      <c r="C113" s="1"/>
      <c r="D113" s="1"/>
      <c r="E113" s="1"/>
      <c r="F113" s="1"/>
      <c r="G113" s="1"/>
      <c r="H113" s="3">
        <f t="shared" si="4"/>
        <v>0</v>
      </c>
      <c r="I113" s="6">
        <f t="shared" si="5"/>
        <v>0</v>
      </c>
      <c r="J113" s="1" t="b">
        <f t="shared" si="6"/>
        <v>0</v>
      </c>
      <c r="K113" s="1" t="b">
        <f>(Requirements!K130="Normative")</f>
        <v>1</v>
      </c>
      <c r="L113" s="1" t="b">
        <f>(Requirements!L130&lt;&gt;"Non-testable")</f>
        <v>1</v>
      </c>
      <c r="M113" s="1" t="b">
        <f>(VLOOKUP(Requirements!I130,Scope[[Role]:[Description]],2,FALSE)="In")</f>
        <v>0</v>
      </c>
      <c r="N113" s="1">
        <f t="shared" si="7"/>
        <v>0</v>
      </c>
    </row>
    <row r="114" spans="1:14">
      <c r="A114" s="1" t="str">
        <f>Requirements!A131</f>
        <v>MS-WSP_R109</v>
      </c>
      <c r="B114" s="1"/>
      <c r="C114" s="1"/>
      <c r="D114" s="1"/>
      <c r="E114" s="1"/>
      <c r="F114" s="1"/>
      <c r="G114" s="1"/>
      <c r="H114" s="3">
        <f t="shared" si="4"/>
        <v>0</v>
      </c>
      <c r="I114" s="6">
        <f t="shared" si="5"/>
        <v>0</v>
      </c>
      <c r="J114" s="1" t="b">
        <f t="shared" si="6"/>
        <v>0</v>
      </c>
      <c r="K114" s="1" t="b">
        <f>(Requirements!K131="Normative")</f>
        <v>1</v>
      </c>
      <c r="L114" s="1" t="b">
        <f>(Requirements!L131&lt;&gt;"Non-testable")</f>
        <v>1</v>
      </c>
      <c r="M114" s="1" t="b">
        <f>(VLOOKUP(Requirements!I131,Scope[[Role]:[Description]],2,FALSE)="In")</f>
        <v>0</v>
      </c>
      <c r="N114" s="1">
        <f t="shared" si="7"/>
        <v>0</v>
      </c>
    </row>
    <row r="115" spans="1:14">
      <c r="A115" s="1" t="str">
        <f>Requirements!A132</f>
        <v>MS-WSP_R110</v>
      </c>
      <c r="B115" s="1"/>
      <c r="C115" s="1"/>
      <c r="D115" s="1"/>
      <c r="E115" s="1"/>
      <c r="F115" s="1"/>
      <c r="G115" s="1"/>
      <c r="H115" s="3">
        <f t="shared" si="4"/>
        <v>0</v>
      </c>
      <c r="I115" s="6">
        <f t="shared" si="5"/>
        <v>0</v>
      </c>
      <c r="J115" s="1" t="b">
        <f t="shared" si="6"/>
        <v>0</v>
      </c>
      <c r="K115" s="1" t="b">
        <f>(Requirements!K132="Normative")</f>
        <v>1</v>
      </c>
      <c r="L115" s="1" t="b">
        <f>(Requirements!L132&lt;&gt;"Non-testable")</f>
        <v>0</v>
      </c>
      <c r="M115" s="1" t="b">
        <f>(VLOOKUP(Requirements!I132,Scope[[Role]:[Description]],2,FALSE)="In")</f>
        <v>1</v>
      </c>
      <c r="N115" s="1">
        <f t="shared" si="7"/>
        <v>0</v>
      </c>
    </row>
    <row r="116" spans="1:14">
      <c r="A116" s="1" t="str">
        <f>Requirements!A133</f>
        <v>MS-WSP_R111</v>
      </c>
      <c r="B116" s="1">
        <v>1</v>
      </c>
      <c r="C116" s="1">
        <v>1</v>
      </c>
      <c r="D116" s="1"/>
      <c r="E116" s="1"/>
      <c r="F116" s="1"/>
      <c r="G116" s="1">
        <v>1</v>
      </c>
      <c r="H116" s="3">
        <f t="shared" si="4"/>
        <v>3</v>
      </c>
      <c r="I116" s="6">
        <f t="shared" si="5"/>
        <v>1</v>
      </c>
      <c r="J116" s="1" t="b">
        <f t="shared" si="6"/>
        <v>1</v>
      </c>
      <c r="K116" s="1" t="b">
        <f>(Requirements!K133="Normative")</f>
        <v>1</v>
      </c>
      <c r="L116" s="1" t="b">
        <f>(Requirements!L133&lt;&gt;"Non-testable")</f>
        <v>1</v>
      </c>
      <c r="M116" s="1" t="b">
        <f>(VLOOKUP(Requirements!I133,Scope[[Role]:[Description]],2,FALSE)="In")</f>
        <v>1</v>
      </c>
      <c r="N116" s="1">
        <f t="shared" si="7"/>
        <v>1</v>
      </c>
    </row>
    <row r="117" spans="1:14">
      <c r="A117" s="1" t="str">
        <f>Requirements!A134</f>
        <v>MS-WSP_R112</v>
      </c>
      <c r="B117" s="1"/>
      <c r="C117" s="1"/>
      <c r="D117" s="1"/>
      <c r="E117" s="1"/>
      <c r="F117" s="1"/>
      <c r="G117" s="1"/>
      <c r="H117" s="3">
        <f t="shared" si="4"/>
        <v>0</v>
      </c>
      <c r="I117" s="6">
        <f t="shared" si="5"/>
        <v>0</v>
      </c>
      <c r="J117" s="1" t="b">
        <f t="shared" si="6"/>
        <v>0</v>
      </c>
      <c r="K117" s="1" t="b">
        <f>(Requirements!K134="Normative")</f>
        <v>1</v>
      </c>
      <c r="L117" s="1" t="b">
        <f>(Requirements!L134&lt;&gt;"Non-testable")</f>
        <v>1</v>
      </c>
      <c r="M117" s="1" t="b">
        <f>(VLOOKUP(Requirements!I134,Scope[[Role]:[Description]],2,FALSE)="In")</f>
        <v>0</v>
      </c>
      <c r="N117" s="1">
        <f t="shared" si="7"/>
        <v>0</v>
      </c>
    </row>
    <row r="118" spans="1:14">
      <c r="A118" s="1" t="str">
        <f>Requirements!A135</f>
        <v>MS-WSP_R113</v>
      </c>
      <c r="B118" s="1"/>
      <c r="C118" s="1"/>
      <c r="D118" s="1"/>
      <c r="E118" s="1"/>
      <c r="F118" s="1"/>
      <c r="G118" s="1"/>
      <c r="H118" s="3">
        <f t="shared" si="4"/>
        <v>0</v>
      </c>
      <c r="I118" s="6">
        <f t="shared" si="5"/>
        <v>0</v>
      </c>
      <c r="J118" s="1" t="b">
        <f t="shared" si="6"/>
        <v>0</v>
      </c>
      <c r="K118" s="1" t="b">
        <f>(Requirements!K135="Normative")</f>
        <v>1</v>
      </c>
      <c r="L118" s="1" t="b">
        <f>(Requirements!L135&lt;&gt;"Non-testable")</f>
        <v>1</v>
      </c>
      <c r="M118" s="1" t="b">
        <f>(VLOOKUP(Requirements!I135,Scope[[Role]:[Description]],2,FALSE)="In")</f>
        <v>0</v>
      </c>
      <c r="N118" s="1">
        <f t="shared" si="7"/>
        <v>0</v>
      </c>
    </row>
    <row r="119" spans="1:14">
      <c r="A119" s="1" t="str">
        <f>Requirements!A136</f>
        <v>MS-WSP_R114</v>
      </c>
      <c r="B119" s="1"/>
      <c r="C119" s="1"/>
      <c r="D119" s="1"/>
      <c r="E119" s="1"/>
      <c r="F119" s="1"/>
      <c r="G119" s="1"/>
      <c r="H119" s="3">
        <f t="shared" si="4"/>
        <v>0</v>
      </c>
      <c r="I119" s="6">
        <f t="shared" si="5"/>
        <v>0</v>
      </c>
      <c r="J119" s="1" t="b">
        <f t="shared" si="6"/>
        <v>0</v>
      </c>
      <c r="K119" s="1" t="b">
        <f>(Requirements!K136="Normative")</f>
        <v>1</v>
      </c>
      <c r="L119" s="1" t="b">
        <f>(Requirements!L136&lt;&gt;"Non-testable")</f>
        <v>1</v>
      </c>
      <c r="M119" s="1" t="b">
        <f>(VLOOKUP(Requirements!I136,Scope[[Role]:[Description]],2,FALSE)="In")</f>
        <v>0</v>
      </c>
      <c r="N119" s="1">
        <f t="shared" si="7"/>
        <v>0</v>
      </c>
    </row>
    <row r="120" spans="1:14">
      <c r="A120" s="1" t="str">
        <f>Requirements!A137</f>
        <v>MS-WSP_R115</v>
      </c>
      <c r="B120" s="1"/>
      <c r="C120" s="1"/>
      <c r="D120" s="1"/>
      <c r="E120" s="1"/>
      <c r="F120" s="1"/>
      <c r="G120" s="1"/>
      <c r="H120" s="3">
        <f t="shared" si="4"/>
        <v>0</v>
      </c>
      <c r="I120" s="6">
        <f t="shared" si="5"/>
        <v>0</v>
      </c>
      <c r="J120" s="1" t="b">
        <f t="shared" si="6"/>
        <v>0</v>
      </c>
      <c r="K120" s="1" t="b">
        <f>(Requirements!K137="Normative")</f>
        <v>1</v>
      </c>
      <c r="L120" s="1" t="b">
        <f>(Requirements!L137&lt;&gt;"Non-testable")</f>
        <v>0</v>
      </c>
      <c r="M120" s="1" t="b">
        <f>(VLOOKUP(Requirements!I137,Scope[[Role]:[Description]],2,FALSE)="In")</f>
        <v>1</v>
      </c>
      <c r="N120" s="1">
        <f t="shared" si="7"/>
        <v>0</v>
      </c>
    </row>
    <row r="121" spans="1:14">
      <c r="A121" s="1" t="str">
        <f>Requirements!A138</f>
        <v>MS-WSP_R116</v>
      </c>
      <c r="B121" s="1">
        <v>1</v>
      </c>
      <c r="C121" s="1">
        <v>1</v>
      </c>
      <c r="D121" s="1"/>
      <c r="E121" s="1"/>
      <c r="F121" s="1"/>
      <c r="G121" s="1">
        <v>1</v>
      </c>
      <c r="H121" s="3">
        <f t="shared" si="4"/>
        <v>3</v>
      </c>
      <c r="I121" s="6">
        <f t="shared" si="5"/>
        <v>1</v>
      </c>
      <c r="J121" s="1" t="b">
        <f t="shared" si="6"/>
        <v>1</v>
      </c>
      <c r="K121" s="1" t="b">
        <f>(Requirements!K138="Normative")</f>
        <v>1</v>
      </c>
      <c r="L121" s="1" t="b">
        <f>(Requirements!L138&lt;&gt;"Non-testable")</f>
        <v>1</v>
      </c>
      <c r="M121" s="1" t="b">
        <f>(VLOOKUP(Requirements!I138,Scope[[Role]:[Description]],2,FALSE)="In")</f>
        <v>1</v>
      </c>
      <c r="N121" s="1">
        <f t="shared" si="7"/>
        <v>1</v>
      </c>
    </row>
    <row r="122" spans="1:14">
      <c r="A122" s="1" t="str">
        <f>Requirements!A139</f>
        <v>MS-WSP_R117</v>
      </c>
      <c r="B122" s="1"/>
      <c r="C122" s="1"/>
      <c r="D122" s="1"/>
      <c r="E122" s="1"/>
      <c r="F122" s="1"/>
      <c r="G122" s="1"/>
      <c r="H122" s="3">
        <f t="shared" si="4"/>
        <v>0</v>
      </c>
      <c r="I122" s="6">
        <f t="shared" si="5"/>
        <v>0</v>
      </c>
      <c r="J122" s="1" t="b">
        <f t="shared" si="6"/>
        <v>0</v>
      </c>
      <c r="K122" s="1" t="b">
        <f>(Requirements!K139="Normative")</f>
        <v>1</v>
      </c>
      <c r="L122" s="1" t="b">
        <f>(Requirements!L139&lt;&gt;"Non-testable")</f>
        <v>1</v>
      </c>
      <c r="M122" s="1" t="b">
        <f>(VLOOKUP(Requirements!I139,Scope[[Role]:[Description]],2,FALSE)="In")</f>
        <v>0</v>
      </c>
      <c r="N122" s="1">
        <f t="shared" si="7"/>
        <v>0</v>
      </c>
    </row>
    <row r="123" spans="1:14">
      <c r="A123" s="1" t="str">
        <f>Requirements!A140</f>
        <v>MS-WSP_R118</v>
      </c>
      <c r="B123" s="1"/>
      <c r="C123" s="1"/>
      <c r="D123" s="1"/>
      <c r="E123" s="1"/>
      <c r="F123" s="1"/>
      <c r="G123" s="1"/>
      <c r="H123" s="3">
        <f t="shared" si="4"/>
        <v>0</v>
      </c>
      <c r="I123" s="6">
        <f t="shared" si="5"/>
        <v>0</v>
      </c>
      <c r="J123" s="1" t="b">
        <f t="shared" si="6"/>
        <v>0</v>
      </c>
      <c r="K123" s="1" t="b">
        <f>(Requirements!K140="Normative")</f>
        <v>1</v>
      </c>
      <c r="L123" s="1" t="b">
        <f>(Requirements!L140&lt;&gt;"Non-testable")</f>
        <v>1</v>
      </c>
      <c r="M123" s="1" t="b">
        <f>(VLOOKUP(Requirements!I140,Scope[[Role]:[Description]],2,FALSE)="In")</f>
        <v>0</v>
      </c>
      <c r="N123" s="1">
        <f t="shared" si="7"/>
        <v>0</v>
      </c>
    </row>
    <row r="124" spans="1:14">
      <c r="A124" s="1" t="str">
        <f>Requirements!A141</f>
        <v>MS-WSP_R119</v>
      </c>
      <c r="B124" s="1"/>
      <c r="C124" s="1"/>
      <c r="D124" s="1"/>
      <c r="E124" s="1"/>
      <c r="F124" s="1"/>
      <c r="G124" s="1"/>
      <c r="H124" s="3">
        <f t="shared" si="4"/>
        <v>0</v>
      </c>
      <c r="I124" s="6">
        <f t="shared" si="5"/>
        <v>0</v>
      </c>
      <c r="J124" s="1" t="b">
        <f t="shared" si="6"/>
        <v>0</v>
      </c>
      <c r="K124" s="1" t="b">
        <f>(Requirements!K141="Normative")</f>
        <v>1</v>
      </c>
      <c r="L124" s="1" t="b">
        <f>(Requirements!L141&lt;&gt;"Non-testable")</f>
        <v>1</v>
      </c>
      <c r="M124" s="1" t="b">
        <f>(VLOOKUP(Requirements!I141,Scope[[Role]:[Description]],2,FALSE)="In")</f>
        <v>0</v>
      </c>
      <c r="N124" s="1">
        <f t="shared" si="7"/>
        <v>0</v>
      </c>
    </row>
    <row r="125" spans="1:14">
      <c r="A125" s="1" t="str">
        <f>Requirements!A142</f>
        <v>MS-WSP_R120</v>
      </c>
      <c r="B125" s="1"/>
      <c r="C125" s="1"/>
      <c r="D125" s="1"/>
      <c r="E125" s="1"/>
      <c r="F125" s="1"/>
      <c r="G125" s="1"/>
      <c r="H125" s="3">
        <f t="shared" si="4"/>
        <v>0</v>
      </c>
      <c r="I125" s="6">
        <f t="shared" si="5"/>
        <v>0</v>
      </c>
      <c r="J125" s="1" t="b">
        <f t="shared" si="6"/>
        <v>0</v>
      </c>
      <c r="K125" s="1" t="b">
        <f>(Requirements!K142="Normative")</f>
        <v>1</v>
      </c>
      <c r="L125" s="1" t="b">
        <f>(Requirements!L142&lt;&gt;"Non-testable")</f>
        <v>1</v>
      </c>
      <c r="M125" s="1" t="b">
        <f>(VLOOKUP(Requirements!I142,Scope[[Role]:[Description]],2,FALSE)="In")</f>
        <v>0</v>
      </c>
      <c r="N125" s="1">
        <f t="shared" si="7"/>
        <v>0</v>
      </c>
    </row>
    <row r="126" spans="1:14">
      <c r="A126" s="1" t="str">
        <f>Requirements!A143</f>
        <v>MS-WSP_R121</v>
      </c>
      <c r="B126" s="1"/>
      <c r="C126" s="1"/>
      <c r="D126" s="1"/>
      <c r="E126" s="1"/>
      <c r="F126" s="1"/>
      <c r="G126" s="1"/>
      <c r="H126" s="3">
        <f t="shared" si="4"/>
        <v>0</v>
      </c>
      <c r="I126" s="6">
        <f t="shared" si="5"/>
        <v>0</v>
      </c>
      <c r="J126" s="1" t="b">
        <f t="shared" si="6"/>
        <v>0</v>
      </c>
      <c r="K126" s="1" t="b">
        <f>(Requirements!K143="Normative")</f>
        <v>1</v>
      </c>
      <c r="L126" s="1" t="b">
        <f>(Requirements!L143&lt;&gt;"Non-testable")</f>
        <v>1</v>
      </c>
      <c r="M126" s="1" t="b">
        <f>(VLOOKUP(Requirements!I143,Scope[[Role]:[Description]],2,FALSE)="In")</f>
        <v>0</v>
      </c>
      <c r="N126" s="1">
        <f t="shared" si="7"/>
        <v>0</v>
      </c>
    </row>
    <row r="127" spans="1:14">
      <c r="A127" s="1" t="str">
        <f>Requirements!A144</f>
        <v>MS-WSP_R122</v>
      </c>
      <c r="B127" s="1"/>
      <c r="C127" s="1"/>
      <c r="D127" s="1"/>
      <c r="E127" s="1"/>
      <c r="F127" s="1"/>
      <c r="G127" s="1"/>
      <c r="H127" s="3">
        <f t="shared" si="4"/>
        <v>0</v>
      </c>
      <c r="I127" s="6">
        <f t="shared" si="5"/>
        <v>0</v>
      </c>
      <c r="J127" s="1" t="b">
        <f t="shared" si="6"/>
        <v>0</v>
      </c>
      <c r="K127" s="1" t="b">
        <f>(Requirements!K144="Normative")</f>
        <v>1</v>
      </c>
      <c r="L127" s="1" t="b">
        <f>(Requirements!L144&lt;&gt;"Non-testable")</f>
        <v>0</v>
      </c>
      <c r="M127" s="1" t="b">
        <f>(VLOOKUP(Requirements!I144,Scope[[Role]:[Description]],2,FALSE)="In")</f>
        <v>1</v>
      </c>
      <c r="N127" s="1">
        <f t="shared" si="7"/>
        <v>0</v>
      </c>
    </row>
    <row r="128" spans="1:14">
      <c r="A128" s="1" t="str">
        <f>Requirements!A145</f>
        <v>MS-WSP_R123</v>
      </c>
      <c r="B128" s="1">
        <v>1</v>
      </c>
      <c r="C128" s="1">
        <v>1</v>
      </c>
      <c r="D128" s="1"/>
      <c r="E128" s="1"/>
      <c r="F128" s="1"/>
      <c r="G128" s="1">
        <v>1</v>
      </c>
      <c r="H128" s="3">
        <f t="shared" si="4"/>
        <v>3</v>
      </c>
      <c r="I128" s="6">
        <f t="shared" si="5"/>
        <v>1</v>
      </c>
      <c r="J128" s="1" t="b">
        <f t="shared" si="6"/>
        <v>1</v>
      </c>
      <c r="K128" s="1" t="b">
        <f>(Requirements!K145="Normative")</f>
        <v>1</v>
      </c>
      <c r="L128" s="1" t="b">
        <f>(Requirements!L145&lt;&gt;"Non-testable")</f>
        <v>1</v>
      </c>
      <c r="M128" s="1" t="b">
        <f>(VLOOKUP(Requirements!I145,Scope[[Role]:[Description]],2,FALSE)="In")</f>
        <v>1</v>
      </c>
      <c r="N128" s="1">
        <f t="shared" si="7"/>
        <v>1</v>
      </c>
    </row>
    <row r="129" spans="1:14">
      <c r="A129" s="1" t="str">
        <f>Requirements!A146</f>
        <v>MS-WSP_R124</v>
      </c>
      <c r="B129" s="1"/>
      <c r="C129" s="1"/>
      <c r="D129" s="1"/>
      <c r="E129" s="1"/>
      <c r="F129" s="1"/>
      <c r="G129" s="1"/>
      <c r="H129" s="3">
        <f t="shared" si="4"/>
        <v>0</v>
      </c>
      <c r="I129" s="6">
        <f t="shared" si="5"/>
        <v>0</v>
      </c>
      <c r="J129" s="1" t="b">
        <f t="shared" si="6"/>
        <v>0</v>
      </c>
      <c r="K129" s="1" t="b">
        <f>(Requirements!K146="Normative")</f>
        <v>1</v>
      </c>
      <c r="L129" s="1" t="b">
        <f>(Requirements!L146&lt;&gt;"Non-testable")</f>
        <v>1</v>
      </c>
      <c r="M129" s="1" t="b">
        <f>(VLOOKUP(Requirements!I146,Scope[[Role]:[Description]],2,FALSE)="In")</f>
        <v>0</v>
      </c>
      <c r="N129" s="1">
        <f t="shared" si="7"/>
        <v>0</v>
      </c>
    </row>
    <row r="130" spans="1:14">
      <c r="A130" s="1" t="str">
        <f>Requirements!A147</f>
        <v>MS-WSP_R125</v>
      </c>
      <c r="B130" s="1"/>
      <c r="C130" s="1"/>
      <c r="D130" s="1"/>
      <c r="E130" s="1"/>
      <c r="F130" s="1"/>
      <c r="G130" s="1"/>
      <c r="H130" s="3">
        <f t="shared" si="4"/>
        <v>0</v>
      </c>
      <c r="I130" s="6">
        <f t="shared" si="5"/>
        <v>0</v>
      </c>
      <c r="J130" s="1" t="b">
        <f t="shared" si="6"/>
        <v>0</v>
      </c>
      <c r="K130" s="1" t="b">
        <f>(Requirements!K147="Normative")</f>
        <v>1</v>
      </c>
      <c r="L130" s="1" t="b">
        <f>(Requirements!L147&lt;&gt;"Non-testable")</f>
        <v>1</v>
      </c>
      <c r="M130" s="1" t="b">
        <f>(VLOOKUP(Requirements!I147,Scope[[Role]:[Description]],2,FALSE)="In")</f>
        <v>0</v>
      </c>
      <c r="N130" s="1">
        <f t="shared" si="7"/>
        <v>0</v>
      </c>
    </row>
    <row r="131" spans="1:14">
      <c r="A131" s="1" t="str">
        <f>Requirements!A148</f>
        <v>MS-WSP_R126</v>
      </c>
      <c r="B131" s="1"/>
      <c r="C131" s="1"/>
      <c r="D131" s="1"/>
      <c r="E131" s="1"/>
      <c r="F131" s="1"/>
      <c r="G131" s="1"/>
      <c r="H131" s="3">
        <f t="shared" si="4"/>
        <v>0</v>
      </c>
      <c r="I131" s="6">
        <f t="shared" si="5"/>
        <v>0</v>
      </c>
      <c r="J131" s="1" t="b">
        <f t="shared" si="6"/>
        <v>0</v>
      </c>
      <c r="K131" s="1" t="b">
        <f>(Requirements!K148="Normative")</f>
        <v>1</v>
      </c>
      <c r="L131" s="1" t="b">
        <f>(Requirements!L148&lt;&gt;"Non-testable")</f>
        <v>1</v>
      </c>
      <c r="M131" s="1" t="b">
        <f>(VLOOKUP(Requirements!I148,Scope[[Role]:[Description]],2,FALSE)="In")</f>
        <v>0</v>
      </c>
      <c r="N131" s="1">
        <f t="shared" si="7"/>
        <v>0</v>
      </c>
    </row>
    <row r="132" spans="1:14">
      <c r="A132" s="1" t="str">
        <f>Requirements!A149</f>
        <v>MS-WSP_R127</v>
      </c>
      <c r="B132" s="1"/>
      <c r="C132" s="1"/>
      <c r="D132" s="1"/>
      <c r="E132" s="1"/>
      <c r="F132" s="1"/>
      <c r="G132" s="1"/>
      <c r="H132" s="3">
        <f t="shared" si="4"/>
        <v>0</v>
      </c>
      <c r="I132" s="6">
        <f t="shared" si="5"/>
        <v>0</v>
      </c>
      <c r="J132" s="1" t="b">
        <f t="shared" si="6"/>
        <v>0</v>
      </c>
      <c r="K132" s="1" t="b">
        <f>(Requirements!K149="Normative")</f>
        <v>1</v>
      </c>
      <c r="L132" s="1" t="b">
        <f>(Requirements!L149&lt;&gt;"Non-testable")</f>
        <v>1</v>
      </c>
      <c r="M132" s="1" t="b">
        <f>(VLOOKUP(Requirements!I149,Scope[[Role]:[Description]],2,FALSE)="In")</f>
        <v>0</v>
      </c>
      <c r="N132" s="1">
        <f t="shared" si="7"/>
        <v>0</v>
      </c>
    </row>
    <row r="133" spans="1:14">
      <c r="A133" s="1" t="str">
        <f>Requirements!A150</f>
        <v>MS-WSP_R128</v>
      </c>
      <c r="B133" s="1"/>
      <c r="C133" s="1"/>
      <c r="D133" s="1"/>
      <c r="E133" s="1"/>
      <c r="F133" s="1"/>
      <c r="G133" s="1"/>
      <c r="H133" s="3">
        <f t="shared" si="4"/>
        <v>0</v>
      </c>
      <c r="I133" s="6">
        <f t="shared" si="5"/>
        <v>0</v>
      </c>
      <c r="J133" s="1" t="b">
        <f t="shared" si="6"/>
        <v>0</v>
      </c>
      <c r="K133" s="1" t="b">
        <f>(Requirements!K150="Normative")</f>
        <v>1</v>
      </c>
      <c r="L133" s="1" t="b">
        <f>(Requirements!L150&lt;&gt;"Non-testable")</f>
        <v>1</v>
      </c>
      <c r="M133" s="1" t="b">
        <f>(VLOOKUP(Requirements!I150,Scope[[Role]:[Description]],2,FALSE)="In")</f>
        <v>0</v>
      </c>
      <c r="N133" s="1">
        <f t="shared" si="7"/>
        <v>0</v>
      </c>
    </row>
    <row r="134" spans="1:14">
      <c r="A134" s="1" t="str">
        <f>Requirements!A151</f>
        <v>MS-WSP_R129</v>
      </c>
      <c r="B134" s="1"/>
      <c r="C134" s="1"/>
      <c r="D134" s="1"/>
      <c r="E134" s="1"/>
      <c r="F134" s="1"/>
      <c r="G134" s="1"/>
      <c r="H134" s="3">
        <f t="shared" ref="H134:H197" si="8">SUM(B134:G134)</f>
        <v>0</v>
      </c>
      <c r="I134" s="6">
        <f t="shared" si="5"/>
        <v>0</v>
      </c>
      <c r="J134" s="1" t="b">
        <f t="shared" si="6"/>
        <v>0</v>
      </c>
      <c r="K134" s="1" t="b">
        <f>(Requirements!K151="Normative")</f>
        <v>1</v>
      </c>
      <c r="L134" s="1" t="b">
        <f>(Requirements!L151&lt;&gt;"Non-testable")</f>
        <v>1</v>
      </c>
      <c r="M134" s="1" t="b">
        <f>(VLOOKUP(Requirements!I151,Scope[[Role]:[Description]],2,FALSE)="In")</f>
        <v>0</v>
      </c>
      <c r="N134" s="1">
        <f t="shared" si="7"/>
        <v>0</v>
      </c>
    </row>
    <row r="135" spans="1:14">
      <c r="A135" s="1" t="str">
        <f>Requirements!A152</f>
        <v>MS-WSP_R130</v>
      </c>
      <c r="B135" s="1"/>
      <c r="C135" s="1"/>
      <c r="D135" s="1"/>
      <c r="E135" s="1"/>
      <c r="F135" s="1"/>
      <c r="G135" s="1"/>
      <c r="H135" s="3">
        <f t="shared" si="8"/>
        <v>0</v>
      </c>
      <c r="I135" s="6">
        <f t="shared" ref="I135:I198" si="9">IF(H135=0,0,1)</f>
        <v>0</v>
      </c>
      <c r="J135" s="1" t="b">
        <f t="shared" ref="J135:J198" si="10">AND(K135:M135)</f>
        <v>0</v>
      </c>
      <c r="K135" s="1" t="b">
        <f>(Requirements!K152="Normative")</f>
        <v>1</v>
      </c>
      <c r="L135" s="1" t="b">
        <f>(Requirements!L152&lt;&gt;"Non-testable")</f>
        <v>0</v>
      </c>
      <c r="M135" s="1" t="b">
        <f>(VLOOKUP(Requirements!I152,Scope[[Role]:[Description]],2,FALSE)="In")</f>
        <v>1</v>
      </c>
      <c r="N135" s="1">
        <f t="shared" ref="N135:N198" si="11">IF(J135,I135,0)</f>
        <v>0</v>
      </c>
    </row>
    <row r="136" spans="1:14">
      <c r="A136" s="1" t="str">
        <f>Requirements!A153</f>
        <v>MS-WSP_R131</v>
      </c>
      <c r="B136" s="1">
        <v>1</v>
      </c>
      <c r="C136" s="1">
        <v>1</v>
      </c>
      <c r="D136" s="1"/>
      <c r="E136" s="1"/>
      <c r="F136" s="1"/>
      <c r="G136" s="1">
        <v>1</v>
      </c>
      <c r="H136" s="3">
        <f t="shared" si="8"/>
        <v>3</v>
      </c>
      <c r="I136" s="6">
        <f t="shared" si="9"/>
        <v>1</v>
      </c>
      <c r="J136" s="1" t="b">
        <f t="shared" si="10"/>
        <v>1</v>
      </c>
      <c r="K136" s="1" t="b">
        <f>(Requirements!K153="Normative")</f>
        <v>1</v>
      </c>
      <c r="L136" s="1" t="b">
        <f>(Requirements!L153&lt;&gt;"Non-testable")</f>
        <v>1</v>
      </c>
      <c r="M136" s="1" t="b">
        <f>(VLOOKUP(Requirements!I153,Scope[[Role]:[Description]],2,FALSE)="In")</f>
        <v>1</v>
      </c>
      <c r="N136" s="1">
        <f t="shared" si="11"/>
        <v>1</v>
      </c>
    </row>
    <row r="137" spans="1:14">
      <c r="A137" s="1" t="str">
        <f>Requirements!A154</f>
        <v>MS-WSP_R132</v>
      </c>
      <c r="B137" s="1"/>
      <c r="C137" s="1"/>
      <c r="D137" s="1"/>
      <c r="E137" s="1"/>
      <c r="F137" s="1"/>
      <c r="G137" s="1"/>
      <c r="H137" s="3">
        <f t="shared" si="8"/>
        <v>0</v>
      </c>
      <c r="I137" s="6">
        <f t="shared" si="9"/>
        <v>0</v>
      </c>
      <c r="J137" s="1" t="b">
        <f t="shared" si="10"/>
        <v>0</v>
      </c>
      <c r="K137" s="1" t="b">
        <f>(Requirements!K154="Normative")</f>
        <v>1</v>
      </c>
      <c r="L137" s="1" t="b">
        <f>(Requirements!L154&lt;&gt;"Non-testable")</f>
        <v>1</v>
      </c>
      <c r="M137" s="1" t="b">
        <f>(VLOOKUP(Requirements!I154,Scope[[Role]:[Description]],2,FALSE)="In")</f>
        <v>0</v>
      </c>
      <c r="N137" s="1">
        <f t="shared" si="11"/>
        <v>0</v>
      </c>
    </row>
    <row r="138" spans="1:14">
      <c r="A138" s="1" t="str">
        <f>Requirements!A155</f>
        <v>MS-WSP_R133</v>
      </c>
      <c r="B138" s="1"/>
      <c r="C138" s="1"/>
      <c r="D138" s="1"/>
      <c r="E138" s="1"/>
      <c r="F138" s="1"/>
      <c r="G138" s="1"/>
      <c r="H138" s="3">
        <f t="shared" si="8"/>
        <v>0</v>
      </c>
      <c r="I138" s="6">
        <f t="shared" si="9"/>
        <v>0</v>
      </c>
      <c r="J138" s="1" t="b">
        <f t="shared" si="10"/>
        <v>0</v>
      </c>
      <c r="K138" s="1" t="b">
        <f>(Requirements!K155="Normative")</f>
        <v>1</v>
      </c>
      <c r="L138" s="1" t="b">
        <f>(Requirements!L155&lt;&gt;"Non-testable")</f>
        <v>1</v>
      </c>
      <c r="M138" s="1" t="b">
        <f>(VLOOKUP(Requirements!I155,Scope[[Role]:[Description]],2,FALSE)="In")</f>
        <v>0</v>
      </c>
      <c r="N138" s="1">
        <f t="shared" si="11"/>
        <v>0</v>
      </c>
    </row>
    <row r="139" spans="1:14">
      <c r="A139" s="1" t="str">
        <f>Requirements!A156</f>
        <v>MS-WSP_R134</v>
      </c>
      <c r="B139" s="1"/>
      <c r="C139" s="1"/>
      <c r="D139" s="1"/>
      <c r="E139" s="1"/>
      <c r="F139" s="1"/>
      <c r="G139" s="1"/>
      <c r="H139" s="3">
        <f t="shared" si="8"/>
        <v>0</v>
      </c>
      <c r="I139" s="6">
        <f t="shared" si="9"/>
        <v>0</v>
      </c>
      <c r="J139" s="1" t="b">
        <f t="shared" si="10"/>
        <v>0</v>
      </c>
      <c r="K139" s="1" t="b">
        <f>(Requirements!K156="Normative")</f>
        <v>1</v>
      </c>
      <c r="L139" s="1" t="b">
        <f>(Requirements!L156&lt;&gt;"Non-testable")</f>
        <v>1</v>
      </c>
      <c r="M139" s="1" t="b">
        <f>(VLOOKUP(Requirements!I156,Scope[[Role]:[Description]],2,FALSE)="In")</f>
        <v>0</v>
      </c>
      <c r="N139" s="1">
        <f t="shared" si="11"/>
        <v>0</v>
      </c>
    </row>
    <row r="140" spans="1:14">
      <c r="A140" s="1" t="str">
        <f>Requirements!A157</f>
        <v>MS-WSP_R135</v>
      </c>
      <c r="B140" s="1"/>
      <c r="C140" s="1"/>
      <c r="D140" s="1"/>
      <c r="E140" s="1"/>
      <c r="F140" s="1"/>
      <c r="G140" s="1"/>
      <c r="H140" s="3">
        <f t="shared" si="8"/>
        <v>0</v>
      </c>
      <c r="I140" s="6">
        <f t="shared" si="9"/>
        <v>0</v>
      </c>
      <c r="J140" s="1" t="b">
        <f t="shared" si="10"/>
        <v>0</v>
      </c>
      <c r="K140" s="1" t="b">
        <f>(Requirements!K157="Normative")</f>
        <v>1</v>
      </c>
      <c r="L140" s="1" t="b">
        <f>(Requirements!L157&lt;&gt;"Non-testable")</f>
        <v>1</v>
      </c>
      <c r="M140" s="1" t="b">
        <f>(VLOOKUP(Requirements!I157,Scope[[Role]:[Description]],2,FALSE)="In")</f>
        <v>0</v>
      </c>
      <c r="N140" s="1">
        <f t="shared" si="11"/>
        <v>0</v>
      </c>
    </row>
    <row r="141" spans="1:14">
      <c r="A141" s="1" t="str">
        <f>Requirements!A158</f>
        <v>MS-WSP_R136</v>
      </c>
      <c r="B141" s="1"/>
      <c r="C141" s="1"/>
      <c r="D141" s="1"/>
      <c r="E141" s="1"/>
      <c r="F141" s="1"/>
      <c r="G141" s="1"/>
      <c r="H141" s="3">
        <f t="shared" si="8"/>
        <v>0</v>
      </c>
      <c r="I141" s="6">
        <f t="shared" si="9"/>
        <v>0</v>
      </c>
      <c r="J141" s="1" t="b">
        <f t="shared" si="10"/>
        <v>0</v>
      </c>
      <c r="K141" s="1" t="b">
        <f>(Requirements!K158="Normative")</f>
        <v>1</v>
      </c>
      <c r="L141" s="1" t="b">
        <f>(Requirements!L158&lt;&gt;"Non-testable")</f>
        <v>1</v>
      </c>
      <c r="M141" s="1" t="b">
        <f>(VLOOKUP(Requirements!I158,Scope[[Role]:[Description]],2,FALSE)="In")</f>
        <v>0</v>
      </c>
      <c r="N141" s="1">
        <f t="shared" si="11"/>
        <v>0</v>
      </c>
    </row>
    <row r="142" spans="1:14">
      <c r="A142" s="1" t="str">
        <f>Requirements!A159</f>
        <v>MS-WSP_R137</v>
      </c>
      <c r="B142" s="1"/>
      <c r="C142" s="1"/>
      <c r="D142" s="1"/>
      <c r="E142" s="1"/>
      <c r="F142" s="1"/>
      <c r="G142" s="1"/>
      <c r="H142" s="3">
        <f t="shared" si="8"/>
        <v>0</v>
      </c>
      <c r="I142" s="6">
        <f t="shared" si="9"/>
        <v>0</v>
      </c>
      <c r="J142" s="1" t="b">
        <f t="shared" si="10"/>
        <v>0</v>
      </c>
      <c r="K142" s="1" t="b">
        <f>(Requirements!K159="Normative")</f>
        <v>1</v>
      </c>
      <c r="L142" s="1" t="b">
        <f>(Requirements!L159&lt;&gt;"Non-testable")</f>
        <v>1</v>
      </c>
      <c r="M142" s="1" t="b">
        <f>(VLOOKUP(Requirements!I159,Scope[[Role]:[Description]],2,FALSE)="In")</f>
        <v>0</v>
      </c>
      <c r="N142" s="1">
        <f t="shared" si="11"/>
        <v>0</v>
      </c>
    </row>
    <row r="143" spans="1:14">
      <c r="A143" s="1" t="str">
        <f>Requirements!A160</f>
        <v>MS-WSP_R138</v>
      </c>
      <c r="B143" s="1"/>
      <c r="C143" s="1"/>
      <c r="D143" s="1"/>
      <c r="E143" s="1"/>
      <c r="F143" s="1"/>
      <c r="G143" s="1"/>
      <c r="H143" s="3">
        <f t="shared" si="8"/>
        <v>0</v>
      </c>
      <c r="I143" s="6">
        <f t="shared" si="9"/>
        <v>0</v>
      </c>
      <c r="J143" s="1" t="b">
        <f t="shared" si="10"/>
        <v>0</v>
      </c>
      <c r="K143" s="1" t="b">
        <f>(Requirements!K160="Normative")</f>
        <v>0</v>
      </c>
      <c r="L143" s="1" t="b">
        <f>(Requirements!L160&lt;&gt;"Non-testable")</f>
        <v>1</v>
      </c>
      <c r="M143" s="1" t="b">
        <f>(VLOOKUP(Requirements!I160,Scope[[Role]:[Description]],2,FALSE)="In")</f>
        <v>0</v>
      </c>
      <c r="N143" s="1">
        <f t="shared" si="11"/>
        <v>0</v>
      </c>
    </row>
    <row r="144" spans="1:14">
      <c r="A144" s="1" t="str">
        <f>Requirements!A161</f>
        <v>MS-WSP_R139</v>
      </c>
      <c r="B144" s="1"/>
      <c r="C144" s="1"/>
      <c r="D144" s="1"/>
      <c r="E144" s="1"/>
      <c r="F144" s="1"/>
      <c r="G144" s="1"/>
      <c r="H144" s="3">
        <f t="shared" si="8"/>
        <v>0</v>
      </c>
      <c r="I144" s="6">
        <f t="shared" si="9"/>
        <v>0</v>
      </c>
      <c r="J144" s="1" t="b">
        <f t="shared" si="10"/>
        <v>0</v>
      </c>
      <c r="K144" s="1" t="b">
        <f>(Requirements!K161="Normative")</f>
        <v>1</v>
      </c>
      <c r="L144" s="1" t="b">
        <f>(Requirements!L161&lt;&gt;"Non-testable")</f>
        <v>1</v>
      </c>
      <c r="M144" s="1" t="b">
        <f>(VLOOKUP(Requirements!I161,Scope[[Role]:[Description]],2,FALSE)="In")</f>
        <v>0</v>
      </c>
      <c r="N144" s="1">
        <f t="shared" si="11"/>
        <v>0</v>
      </c>
    </row>
    <row r="145" spans="1:14">
      <c r="A145" s="1" t="str">
        <f>Requirements!A162</f>
        <v>MS-WSP_R140</v>
      </c>
      <c r="B145" s="1"/>
      <c r="C145" s="1"/>
      <c r="D145" s="1"/>
      <c r="E145" s="1"/>
      <c r="F145" s="1"/>
      <c r="G145" s="1"/>
      <c r="H145" s="3">
        <f t="shared" si="8"/>
        <v>0</v>
      </c>
      <c r="I145" s="6">
        <f t="shared" si="9"/>
        <v>0</v>
      </c>
      <c r="J145" s="1" t="b">
        <f t="shared" si="10"/>
        <v>0</v>
      </c>
      <c r="K145" s="1" t="b">
        <f>(Requirements!K162="Normative")</f>
        <v>1</v>
      </c>
      <c r="L145" s="1" t="b">
        <f>(Requirements!L162&lt;&gt;"Non-testable")</f>
        <v>1</v>
      </c>
      <c r="M145" s="1" t="b">
        <f>(VLOOKUP(Requirements!I162,Scope[[Role]:[Description]],2,FALSE)="In")</f>
        <v>0</v>
      </c>
      <c r="N145" s="1">
        <f t="shared" si="11"/>
        <v>0</v>
      </c>
    </row>
    <row r="146" spans="1:14">
      <c r="A146" s="1" t="str">
        <f>Requirements!A163</f>
        <v>MS-WSP_R141</v>
      </c>
      <c r="B146" s="1"/>
      <c r="C146" s="1"/>
      <c r="D146" s="1"/>
      <c r="E146" s="1"/>
      <c r="F146" s="1"/>
      <c r="G146" s="1"/>
      <c r="H146" s="3">
        <f t="shared" si="8"/>
        <v>0</v>
      </c>
      <c r="I146" s="6">
        <f t="shared" si="9"/>
        <v>0</v>
      </c>
      <c r="J146" s="1" t="b">
        <f t="shared" si="10"/>
        <v>0</v>
      </c>
      <c r="K146" s="1" t="b">
        <f>(Requirements!K163="Normative")</f>
        <v>1</v>
      </c>
      <c r="L146" s="1" t="b">
        <f>(Requirements!L163&lt;&gt;"Non-testable")</f>
        <v>1</v>
      </c>
      <c r="M146" s="1" t="b">
        <f>(VLOOKUP(Requirements!I163,Scope[[Role]:[Description]],2,FALSE)="In")</f>
        <v>0</v>
      </c>
      <c r="N146" s="1">
        <f t="shared" si="11"/>
        <v>0</v>
      </c>
    </row>
    <row r="147" spans="1:14">
      <c r="A147" s="1" t="str">
        <f>Requirements!A164</f>
        <v>MS-WSP_R142</v>
      </c>
      <c r="B147" s="1"/>
      <c r="C147" s="1"/>
      <c r="D147" s="1"/>
      <c r="E147" s="1"/>
      <c r="F147" s="1"/>
      <c r="G147" s="1"/>
      <c r="H147" s="3">
        <f t="shared" si="8"/>
        <v>0</v>
      </c>
      <c r="I147" s="6">
        <f t="shared" si="9"/>
        <v>0</v>
      </c>
      <c r="J147" s="1" t="b">
        <f t="shared" si="10"/>
        <v>0</v>
      </c>
      <c r="K147" s="1" t="b">
        <f>(Requirements!K164="Normative")</f>
        <v>1</v>
      </c>
      <c r="L147" s="1" t="b">
        <f>(Requirements!L164&lt;&gt;"Non-testable")</f>
        <v>0</v>
      </c>
      <c r="M147" s="1" t="b">
        <f>(VLOOKUP(Requirements!I164,Scope[[Role]:[Description]],2,FALSE)="In")</f>
        <v>1</v>
      </c>
      <c r="N147" s="1">
        <f t="shared" si="11"/>
        <v>0</v>
      </c>
    </row>
    <row r="148" spans="1:14">
      <c r="A148" s="1" t="str">
        <f>Requirements!A165</f>
        <v>MS-WSP_R143</v>
      </c>
      <c r="B148" s="1">
        <v>1</v>
      </c>
      <c r="C148" s="1">
        <v>1</v>
      </c>
      <c r="D148" s="1"/>
      <c r="E148" s="1"/>
      <c r="F148" s="1"/>
      <c r="G148" s="1">
        <v>1</v>
      </c>
      <c r="H148" s="3">
        <f t="shared" si="8"/>
        <v>3</v>
      </c>
      <c r="I148" s="6">
        <f t="shared" si="9"/>
        <v>1</v>
      </c>
      <c r="J148" s="1" t="b">
        <f t="shared" si="10"/>
        <v>1</v>
      </c>
      <c r="K148" s="1" t="b">
        <f>(Requirements!K165="Normative")</f>
        <v>1</v>
      </c>
      <c r="L148" s="1" t="b">
        <f>(Requirements!L165&lt;&gt;"Non-testable")</f>
        <v>1</v>
      </c>
      <c r="M148" s="1" t="b">
        <f>(VLOOKUP(Requirements!I165,Scope[[Role]:[Description]],2,FALSE)="In")</f>
        <v>1</v>
      </c>
      <c r="N148" s="1">
        <f t="shared" si="11"/>
        <v>1</v>
      </c>
    </row>
    <row r="149" spans="1:14">
      <c r="A149" s="1" t="str">
        <f>Requirements!A166</f>
        <v>MS-WSP_R144</v>
      </c>
      <c r="B149" s="1"/>
      <c r="C149" s="1"/>
      <c r="D149" s="1"/>
      <c r="E149" s="1"/>
      <c r="F149" s="1"/>
      <c r="G149" s="1"/>
      <c r="H149" s="3">
        <f t="shared" si="8"/>
        <v>0</v>
      </c>
      <c r="I149" s="6">
        <f t="shared" si="9"/>
        <v>0</v>
      </c>
      <c r="J149" s="1" t="b">
        <f t="shared" si="10"/>
        <v>0</v>
      </c>
      <c r="K149" s="1" t="b">
        <f>(Requirements!K166="Normative")</f>
        <v>1</v>
      </c>
      <c r="L149" s="1" t="b">
        <f>(Requirements!L166&lt;&gt;"Non-testable")</f>
        <v>1</v>
      </c>
      <c r="M149" s="1" t="b">
        <f>(VLOOKUP(Requirements!I166,Scope[[Role]:[Description]],2,FALSE)="In")</f>
        <v>0</v>
      </c>
      <c r="N149" s="1">
        <f t="shared" si="11"/>
        <v>0</v>
      </c>
    </row>
    <row r="150" spans="1:14">
      <c r="A150" s="1" t="str">
        <f>Requirements!A167</f>
        <v>MS-WSP_R145</v>
      </c>
      <c r="B150" s="1"/>
      <c r="C150" s="1"/>
      <c r="D150" s="1"/>
      <c r="E150" s="1"/>
      <c r="F150" s="1"/>
      <c r="G150" s="1"/>
      <c r="H150" s="3">
        <f t="shared" si="8"/>
        <v>0</v>
      </c>
      <c r="I150" s="6">
        <f t="shared" si="9"/>
        <v>0</v>
      </c>
      <c r="J150" s="1" t="b">
        <f t="shared" si="10"/>
        <v>0</v>
      </c>
      <c r="K150" s="1" t="b">
        <f>(Requirements!K167="Normative")</f>
        <v>1</v>
      </c>
      <c r="L150" s="1" t="b">
        <f>(Requirements!L167&lt;&gt;"Non-testable")</f>
        <v>1</v>
      </c>
      <c r="M150" s="1" t="b">
        <f>(VLOOKUP(Requirements!I167,Scope[[Role]:[Description]],2,FALSE)="In")</f>
        <v>0</v>
      </c>
      <c r="N150" s="1">
        <f t="shared" si="11"/>
        <v>0</v>
      </c>
    </row>
    <row r="151" spans="1:14">
      <c r="A151" s="1" t="str">
        <f>Requirements!A168</f>
        <v>MS-WSP_R146</v>
      </c>
      <c r="B151" s="1"/>
      <c r="C151" s="1"/>
      <c r="D151" s="1"/>
      <c r="E151" s="1"/>
      <c r="F151" s="1"/>
      <c r="G151" s="1"/>
      <c r="H151" s="3">
        <f t="shared" si="8"/>
        <v>0</v>
      </c>
      <c r="I151" s="6">
        <f t="shared" si="9"/>
        <v>0</v>
      </c>
      <c r="J151" s="1" t="b">
        <f t="shared" si="10"/>
        <v>0</v>
      </c>
      <c r="K151" s="1" t="b">
        <f>(Requirements!K168="Normative")</f>
        <v>1</v>
      </c>
      <c r="L151" s="1" t="b">
        <f>(Requirements!L168&lt;&gt;"Non-testable")</f>
        <v>1</v>
      </c>
      <c r="M151" s="1" t="b">
        <f>(VLOOKUP(Requirements!I168,Scope[[Role]:[Description]],2,FALSE)="In")</f>
        <v>0</v>
      </c>
      <c r="N151" s="1">
        <f t="shared" si="11"/>
        <v>0</v>
      </c>
    </row>
    <row r="152" spans="1:14">
      <c r="A152" s="1" t="str">
        <f>Requirements!A169</f>
        <v>MS-WSP_R147</v>
      </c>
      <c r="B152" s="1"/>
      <c r="C152" s="1"/>
      <c r="D152" s="1"/>
      <c r="E152" s="1"/>
      <c r="F152" s="1"/>
      <c r="G152" s="1"/>
      <c r="H152" s="3">
        <f t="shared" si="8"/>
        <v>0</v>
      </c>
      <c r="I152" s="6">
        <f t="shared" si="9"/>
        <v>0</v>
      </c>
      <c r="J152" s="1" t="b">
        <f t="shared" si="10"/>
        <v>0</v>
      </c>
      <c r="K152" s="1" t="b">
        <f>(Requirements!K169="Normative")</f>
        <v>1</v>
      </c>
      <c r="L152" s="1" t="b">
        <f>(Requirements!L169&lt;&gt;"Non-testable")</f>
        <v>1</v>
      </c>
      <c r="M152" s="1" t="b">
        <f>(VLOOKUP(Requirements!I169,Scope[[Role]:[Description]],2,FALSE)="In")</f>
        <v>0</v>
      </c>
      <c r="N152" s="1">
        <f t="shared" si="11"/>
        <v>0</v>
      </c>
    </row>
    <row r="153" spans="1:14">
      <c r="A153" s="1" t="str">
        <f>Requirements!A170</f>
        <v>MS-WSP_R148</v>
      </c>
      <c r="B153" s="1"/>
      <c r="C153" s="1"/>
      <c r="D153" s="1"/>
      <c r="E153" s="1"/>
      <c r="F153" s="1"/>
      <c r="G153" s="1"/>
      <c r="H153" s="3">
        <f t="shared" si="8"/>
        <v>0</v>
      </c>
      <c r="I153" s="6">
        <f t="shared" si="9"/>
        <v>0</v>
      </c>
      <c r="J153" s="1" t="b">
        <f t="shared" si="10"/>
        <v>0</v>
      </c>
      <c r="K153" s="1" t="b">
        <f>(Requirements!K170="Normative")</f>
        <v>1</v>
      </c>
      <c r="L153" s="1" t="b">
        <f>(Requirements!L170&lt;&gt;"Non-testable")</f>
        <v>1</v>
      </c>
      <c r="M153" s="1" t="b">
        <f>(VLOOKUP(Requirements!I170,Scope[[Role]:[Description]],2,FALSE)="In")</f>
        <v>0</v>
      </c>
      <c r="N153" s="1">
        <f t="shared" si="11"/>
        <v>0</v>
      </c>
    </row>
    <row r="154" spans="1:14">
      <c r="A154" s="1" t="str">
        <f>Requirements!A171</f>
        <v>MS-WSP_R149</v>
      </c>
      <c r="B154" s="1"/>
      <c r="C154" s="1"/>
      <c r="D154" s="1"/>
      <c r="E154" s="1"/>
      <c r="F154" s="1"/>
      <c r="G154" s="1"/>
      <c r="H154" s="3">
        <f t="shared" si="8"/>
        <v>0</v>
      </c>
      <c r="I154" s="6">
        <f t="shared" si="9"/>
        <v>0</v>
      </c>
      <c r="J154" s="1" t="b">
        <f t="shared" si="10"/>
        <v>0</v>
      </c>
      <c r="K154" s="1" t="b">
        <f>(Requirements!K171="Normative")</f>
        <v>1</v>
      </c>
      <c r="L154" s="1" t="b">
        <f>(Requirements!L171&lt;&gt;"Non-testable")</f>
        <v>1</v>
      </c>
      <c r="M154" s="1" t="b">
        <f>(VLOOKUP(Requirements!I171,Scope[[Role]:[Description]],2,FALSE)="In")</f>
        <v>0</v>
      </c>
      <c r="N154" s="1">
        <f t="shared" si="11"/>
        <v>0</v>
      </c>
    </row>
    <row r="155" spans="1:14">
      <c r="A155" s="1" t="str">
        <f>Requirements!A172</f>
        <v>MS-WSP_R150</v>
      </c>
      <c r="B155" s="1"/>
      <c r="C155" s="1"/>
      <c r="D155" s="1"/>
      <c r="E155" s="1"/>
      <c r="F155" s="1"/>
      <c r="G155" s="1"/>
      <c r="H155" s="3">
        <f t="shared" si="8"/>
        <v>0</v>
      </c>
      <c r="I155" s="6">
        <f t="shared" si="9"/>
        <v>0</v>
      </c>
      <c r="J155" s="1" t="b">
        <f t="shared" si="10"/>
        <v>0</v>
      </c>
      <c r="K155" s="1" t="b">
        <f>(Requirements!K172="Normative")</f>
        <v>1</v>
      </c>
      <c r="L155" s="1" t="b">
        <f>(Requirements!L172&lt;&gt;"Non-testable")</f>
        <v>1</v>
      </c>
      <c r="M155" s="1" t="b">
        <f>(VLOOKUP(Requirements!I172,Scope[[Role]:[Description]],2,FALSE)="In")</f>
        <v>0</v>
      </c>
      <c r="N155" s="1">
        <f t="shared" si="11"/>
        <v>0</v>
      </c>
    </row>
    <row r="156" spans="1:14">
      <c r="A156" s="1" t="str">
        <f>Requirements!A173</f>
        <v>MS-WSP_R151</v>
      </c>
      <c r="B156" s="1"/>
      <c r="C156" s="1"/>
      <c r="D156" s="1"/>
      <c r="E156" s="1"/>
      <c r="F156" s="1"/>
      <c r="G156" s="1"/>
      <c r="H156" s="3">
        <f t="shared" si="8"/>
        <v>0</v>
      </c>
      <c r="I156" s="6">
        <f t="shared" si="9"/>
        <v>0</v>
      </c>
      <c r="J156" s="1" t="b">
        <f t="shared" si="10"/>
        <v>0</v>
      </c>
      <c r="K156" s="1" t="b">
        <f>(Requirements!K173="Normative")</f>
        <v>1</v>
      </c>
      <c r="L156" s="1" t="b">
        <f>(Requirements!L173&lt;&gt;"Non-testable")</f>
        <v>1</v>
      </c>
      <c r="M156" s="1" t="b">
        <f>(VLOOKUP(Requirements!I173,Scope[[Role]:[Description]],2,FALSE)="In")</f>
        <v>0</v>
      </c>
      <c r="N156" s="1">
        <f t="shared" si="11"/>
        <v>0</v>
      </c>
    </row>
    <row r="157" spans="1:14">
      <c r="A157" s="1" t="str">
        <f>Requirements!A174</f>
        <v>MS-WSP_R152</v>
      </c>
      <c r="B157" s="1"/>
      <c r="C157" s="1"/>
      <c r="D157" s="1"/>
      <c r="E157" s="1"/>
      <c r="F157" s="1"/>
      <c r="G157" s="1"/>
      <c r="H157" s="3">
        <f t="shared" si="8"/>
        <v>0</v>
      </c>
      <c r="I157" s="6">
        <f t="shared" si="9"/>
        <v>0</v>
      </c>
      <c r="J157" s="1" t="b">
        <f t="shared" si="10"/>
        <v>0</v>
      </c>
      <c r="K157" s="1" t="b">
        <f>(Requirements!K174="Normative")</f>
        <v>1</v>
      </c>
      <c r="L157" s="1" t="b">
        <f>(Requirements!L174&lt;&gt;"Non-testable")</f>
        <v>1</v>
      </c>
      <c r="M157" s="1" t="b">
        <f>(VLOOKUP(Requirements!I174,Scope[[Role]:[Description]],2,FALSE)="In")</f>
        <v>0</v>
      </c>
      <c r="N157" s="1">
        <f t="shared" si="11"/>
        <v>0</v>
      </c>
    </row>
    <row r="158" spans="1:14">
      <c r="A158" s="1" t="str">
        <f>Requirements!A175</f>
        <v>MS-WSP_R153</v>
      </c>
      <c r="B158" s="1"/>
      <c r="C158" s="1"/>
      <c r="D158" s="1"/>
      <c r="E158" s="1"/>
      <c r="F158" s="1"/>
      <c r="G158" s="1"/>
      <c r="H158" s="3">
        <f t="shared" si="8"/>
        <v>0</v>
      </c>
      <c r="I158" s="6">
        <f t="shared" si="9"/>
        <v>0</v>
      </c>
      <c r="J158" s="1" t="b">
        <f t="shared" si="10"/>
        <v>0</v>
      </c>
      <c r="K158" s="1" t="b">
        <f>(Requirements!K175="Normative")</f>
        <v>1</v>
      </c>
      <c r="L158" s="1" t="b">
        <f>(Requirements!L175&lt;&gt;"Non-testable")</f>
        <v>1</v>
      </c>
      <c r="M158" s="1" t="b">
        <f>(VLOOKUP(Requirements!I175,Scope[[Role]:[Description]],2,FALSE)="In")</f>
        <v>0</v>
      </c>
      <c r="N158" s="1">
        <f t="shared" si="11"/>
        <v>0</v>
      </c>
    </row>
    <row r="159" spans="1:14">
      <c r="A159" s="1" t="str">
        <f>Requirements!A176</f>
        <v>MS-WSP_R154</v>
      </c>
      <c r="B159" s="1"/>
      <c r="C159" s="1"/>
      <c r="D159" s="1"/>
      <c r="E159" s="1"/>
      <c r="F159" s="1"/>
      <c r="G159" s="1"/>
      <c r="H159" s="3">
        <f t="shared" si="8"/>
        <v>0</v>
      </c>
      <c r="I159" s="6">
        <f t="shared" si="9"/>
        <v>0</v>
      </c>
      <c r="J159" s="1" t="b">
        <f t="shared" si="10"/>
        <v>0</v>
      </c>
      <c r="K159" s="1" t="b">
        <f>(Requirements!K176="Normative")</f>
        <v>1</v>
      </c>
      <c r="L159" s="1" t="b">
        <f>(Requirements!L176&lt;&gt;"Non-testable")</f>
        <v>1</v>
      </c>
      <c r="M159" s="1" t="b">
        <f>(VLOOKUP(Requirements!I176,Scope[[Role]:[Description]],2,FALSE)="In")</f>
        <v>0</v>
      </c>
      <c r="N159" s="1">
        <f t="shared" si="11"/>
        <v>0</v>
      </c>
    </row>
    <row r="160" spans="1:14">
      <c r="A160" s="1" t="str">
        <f>Requirements!A177</f>
        <v>MS-WSP_R155</v>
      </c>
      <c r="B160" s="1"/>
      <c r="C160" s="1"/>
      <c r="D160" s="1"/>
      <c r="E160" s="1"/>
      <c r="F160" s="1"/>
      <c r="G160" s="1"/>
      <c r="H160" s="3">
        <f t="shared" si="8"/>
        <v>0</v>
      </c>
      <c r="I160" s="6">
        <f t="shared" si="9"/>
        <v>0</v>
      </c>
      <c r="J160" s="1" t="b">
        <f t="shared" si="10"/>
        <v>0</v>
      </c>
      <c r="K160" s="1" t="b">
        <f>(Requirements!K177="Normative")</f>
        <v>1</v>
      </c>
      <c r="L160" s="1" t="b">
        <f>(Requirements!L177&lt;&gt;"Non-testable")</f>
        <v>1</v>
      </c>
      <c r="M160" s="1" t="b">
        <f>(VLOOKUP(Requirements!I177,Scope[[Role]:[Description]],2,FALSE)="In")</f>
        <v>0</v>
      </c>
      <c r="N160" s="1">
        <f t="shared" si="11"/>
        <v>0</v>
      </c>
    </row>
    <row r="161" spans="1:14">
      <c r="A161" s="1" t="str">
        <f>Requirements!A178</f>
        <v>MS-WSP_R156</v>
      </c>
      <c r="B161" s="1"/>
      <c r="C161" s="1"/>
      <c r="D161" s="1"/>
      <c r="E161" s="1"/>
      <c r="F161" s="1"/>
      <c r="G161" s="1"/>
      <c r="H161" s="3">
        <f t="shared" si="8"/>
        <v>0</v>
      </c>
      <c r="I161" s="6">
        <f t="shared" si="9"/>
        <v>0</v>
      </c>
      <c r="J161" s="1" t="b">
        <f t="shared" si="10"/>
        <v>0</v>
      </c>
      <c r="K161" s="1" t="b">
        <f>(Requirements!K178="Normative")</f>
        <v>1</v>
      </c>
      <c r="L161" s="1" t="b">
        <f>(Requirements!L178&lt;&gt;"Non-testable")</f>
        <v>1</v>
      </c>
      <c r="M161" s="1" t="b">
        <f>(VLOOKUP(Requirements!I178,Scope[[Role]:[Description]],2,FALSE)="In")</f>
        <v>0</v>
      </c>
      <c r="N161" s="1">
        <f t="shared" si="11"/>
        <v>0</v>
      </c>
    </row>
    <row r="162" spans="1:14">
      <c r="A162" s="1" t="str">
        <f>Requirements!A179</f>
        <v>MS-WSP_R157</v>
      </c>
      <c r="B162" s="1"/>
      <c r="C162" s="1"/>
      <c r="D162" s="1"/>
      <c r="E162" s="1"/>
      <c r="F162" s="1"/>
      <c r="G162" s="1"/>
      <c r="H162" s="3">
        <f t="shared" si="8"/>
        <v>0</v>
      </c>
      <c r="I162" s="6">
        <f t="shared" si="9"/>
        <v>0</v>
      </c>
      <c r="J162" s="1" t="b">
        <f t="shared" si="10"/>
        <v>0</v>
      </c>
      <c r="K162" s="1" t="b">
        <f>(Requirements!K179="Normative")</f>
        <v>1</v>
      </c>
      <c r="L162" s="1" t="b">
        <f>(Requirements!L179&lt;&gt;"Non-testable")</f>
        <v>1</v>
      </c>
      <c r="M162" s="1" t="b">
        <f>(VLOOKUP(Requirements!I179,Scope[[Role]:[Description]],2,FALSE)="In")</f>
        <v>0</v>
      </c>
      <c r="N162" s="1">
        <f t="shared" si="11"/>
        <v>0</v>
      </c>
    </row>
    <row r="163" spans="1:14">
      <c r="A163" s="1" t="str">
        <f>Requirements!A180</f>
        <v>MS-WSP_R158</v>
      </c>
      <c r="B163" s="1"/>
      <c r="C163" s="1"/>
      <c r="D163" s="1"/>
      <c r="E163" s="1"/>
      <c r="F163" s="1"/>
      <c r="G163" s="1"/>
      <c r="H163" s="3">
        <f t="shared" si="8"/>
        <v>0</v>
      </c>
      <c r="I163" s="6">
        <f t="shared" si="9"/>
        <v>0</v>
      </c>
      <c r="J163" s="1" t="b">
        <f t="shared" si="10"/>
        <v>0</v>
      </c>
      <c r="K163" s="1" t="b">
        <f>(Requirements!K180="Normative")</f>
        <v>1</v>
      </c>
      <c r="L163" s="1" t="b">
        <f>(Requirements!L180&lt;&gt;"Non-testable")</f>
        <v>1</v>
      </c>
      <c r="M163" s="1" t="b">
        <f>(VLOOKUP(Requirements!I180,Scope[[Role]:[Description]],2,FALSE)="In")</f>
        <v>0</v>
      </c>
      <c r="N163" s="1">
        <f t="shared" si="11"/>
        <v>0</v>
      </c>
    </row>
    <row r="164" spans="1:14">
      <c r="A164" s="1" t="str">
        <f>Requirements!A181</f>
        <v>MS-WSP_R159</v>
      </c>
      <c r="B164" s="1"/>
      <c r="C164" s="1"/>
      <c r="D164" s="1"/>
      <c r="E164" s="1"/>
      <c r="F164" s="1"/>
      <c r="G164" s="1"/>
      <c r="H164" s="3">
        <f t="shared" si="8"/>
        <v>0</v>
      </c>
      <c r="I164" s="6">
        <f t="shared" si="9"/>
        <v>0</v>
      </c>
      <c r="J164" s="1" t="b">
        <f t="shared" si="10"/>
        <v>0</v>
      </c>
      <c r="K164" s="1" t="b">
        <f>(Requirements!K181="Normative")</f>
        <v>1</v>
      </c>
      <c r="L164" s="1" t="b">
        <f>(Requirements!L181&lt;&gt;"Non-testable")</f>
        <v>1</v>
      </c>
      <c r="M164" s="1" t="b">
        <f>(VLOOKUP(Requirements!I181,Scope[[Role]:[Description]],2,FALSE)="In")</f>
        <v>0</v>
      </c>
      <c r="N164" s="1">
        <f t="shared" si="11"/>
        <v>0</v>
      </c>
    </row>
    <row r="165" spans="1:14">
      <c r="A165" s="1" t="str">
        <f>Requirements!A182</f>
        <v>MS-WSP_R160</v>
      </c>
      <c r="B165" s="1"/>
      <c r="C165" s="1"/>
      <c r="D165" s="1"/>
      <c r="E165" s="1"/>
      <c r="F165" s="1"/>
      <c r="G165" s="1"/>
      <c r="H165" s="3">
        <f t="shared" si="8"/>
        <v>0</v>
      </c>
      <c r="I165" s="6">
        <f t="shared" si="9"/>
        <v>0</v>
      </c>
      <c r="J165" s="1" t="b">
        <f t="shared" si="10"/>
        <v>0</v>
      </c>
      <c r="K165" s="1" t="b">
        <f>(Requirements!K182="Normative")</f>
        <v>1</v>
      </c>
      <c r="L165" s="1" t="b">
        <f>(Requirements!L182&lt;&gt;"Non-testable")</f>
        <v>1</v>
      </c>
      <c r="M165" s="1" t="b">
        <f>(VLOOKUP(Requirements!I182,Scope[[Role]:[Description]],2,FALSE)="In")</f>
        <v>0</v>
      </c>
      <c r="N165" s="1">
        <f t="shared" si="11"/>
        <v>0</v>
      </c>
    </row>
    <row r="166" spans="1:14">
      <c r="A166" s="1" t="str">
        <f>Requirements!A183</f>
        <v>MS-WSP_R161</v>
      </c>
      <c r="B166" s="1"/>
      <c r="C166" s="1"/>
      <c r="D166" s="1"/>
      <c r="E166" s="1"/>
      <c r="F166" s="1"/>
      <c r="G166" s="1"/>
      <c r="H166" s="3">
        <f t="shared" si="8"/>
        <v>0</v>
      </c>
      <c r="I166" s="6">
        <f t="shared" si="9"/>
        <v>0</v>
      </c>
      <c r="J166" s="1" t="b">
        <f t="shared" si="10"/>
        <v>0</v>
      </c>
      <c r="K166" s="1" t="b">
        <f>(Requirements!K183="Normative")</f>
        <v>1</v>
      </c>
      <c r="L166" s="1" t="b">
        <f>(Requirements!L183&lt;&gt;"Non-testable")</f>
        <v>1</v>
      </c>
      <c r="M166" s="1" t="b">
        <f>(VLOOKUP(Requirements!I183,Scope[[Role]:[Description]],2,FALSE)="In")</f>
        <v>0</v>
      </c>
      <c r="N166" s="1">
        <f t="shared" si="11"/>
        <v>0</v>
      </c>
    </row>
    <row r="167" spans="1:14">
      <c r="A167" s="1" t="str">
        <f>Requirements!A184</f>
        <v>MS-WSP_R162</v>
      </c>
      <c r="B167" s="1"/>
      <c r="C167" s="1"/>
      <c r="D167" s="1"/>
      <c r="E167" s="1"/>
      <c r="F167" s="1"/>
      <c r="G167" s="1"/>
      <c r="H167" s="3">
        <f t="shared" si="8"/>
        <v>0</v>
      </c>
      <c r="I167" s="6">
        <f t="shared" si="9"/>
        <v>0</v>
      </c>
      <c r="J167" s="1" t="b">
        <f t="shared" si="10"/>
        <v>0</v>
      </c>
      <c r="K167" s="1" t="b">
        <f>(Requirements!K184="Normative")</f>
        <v>1</v>
      </c>
      <c r="L167" s="1" t="b">
        <f>(Requirements!L184&lt;&gt;"Non-testable")</f>
        <v>1</v>
      </c>
      <c r="M167" s="1" t="b">
        <f>(VLOOKUP(Requirements!I184,Scope[[Role]:[Description]],2,FALSE)="In")</f>
        <v>0</v>
      </c>
      <c r="N167" s="1">
        <f t="shared" si="11"/>
        <v>0</v>
      </c>
    </row>
    <row r="168" spans="1:14">
      <c r="A168" s="1" t="str">
        <f>Requirements!A185</f>
        <v>MS-WSP_R163</v>
      </c>
      <c r="B168" s="1"/>
      <c r="C168" s="1"/>
      <c r="D168" s="1"/>
      <c r="E168" s="1"/>
      <c r="F168" s="1"/>
      <c r="G168" s="1"/>
      <c r="H168" s="3">
        <f t="shared" si="8"/>
        <v>0</v>
      </c>
      <c r="I168" s="6">
        <f t="shared" si="9"/>
        <v>0</v>
      </c>
      <c r="J168" s="1" t="b">
        <f t="shared" si="10"/>
        <v>0</v>
      </c>
      <c r="K168" s="1" t="b">
        <f>(Requirements!K185="Normative")</f>
        <v>1</v>
      </c>
      <c r="L168" s="1" t="b">
        <f>(Requirements!L185&lt;&gt;"Non-testable")</f>
        <v>1</v>
      </c>
      <c r="M168" s="1" t="b">
        <f>(VLOOKUP(Requirements!I185,Scope[[Role]:[Description]],2,FALSE)="In")</f>
        <v>0</v>
      </c>
      <c r="N168" s="1">
        <f t="shared" si="11"/>
        <v>0</v>
      </c>
    </row>
    <row r="169" spans="1:14">
      <c r="A169" s="1" t="str">
        <f>Requirements!A186</f>
        <v>MS-WSP_R164</v>
      </c>
      <c r="B169" s="1"/>
      <c r="C169" s="1"/>
      <c r="D169" s="1"/>
      <c r="E169" s="1"/>
      <c r="F169" s="1"/>
      <c r="G169" s="1"/>
      <c r="H169" s="3">
        <f t="shared" si="8"/>
        <v>0</v>
      </c>
      <c r="I169" s="6">
        <f t="shared" si="9"/>
        <v>0</v>
      </c>
      <c r="J169" s="1" t="b">
        <f t="shared" si="10"/>
        <v>0</v>
      </c>
      <c r="K169" s="1" t="b">
        <f>(Requirements!K186="Normative")</f>
        <v>1</v>
      </c>
      <c r="L169" s="1" t="b">
        <f>(Requirements!L186&lt;&gt;"Non-testable")</f>
        <v>1</v>
      </c>
      <c r="M169" s="1" t="b">
        <f>(VLOOKUP(Requirements!I186,Scope[[Role]:[Description]],2,FALSE)="In")</f>
        <v>0</v>
      </c>
      <c r="N169" s="1">
        <f t="shared" si="11"/>
        <v>0</v>
      </c>
    </row>
    <row r="170" spans="1:14">
      <c r="A170" s="1" t="str">
        <f>Requirements!A187</f>
        <v>MS-WSP_R165</v>
      </c>
      <c r="B170" s="1"/>
      <c r="C170" s="1"/>
      <c r="D170" s="1"/>
      <c r="E170" s="1"/>
      <c r="F170" s="1"/>
      <c r="G170" s="1"/>
      <c r="H170" s="3">
        <f t="shared" si="8"/>
        <v>0</v>
      </c>
      <c r="I170" s="6">
        <f t="shared" si="9"/>
        <v>0</v>
      </c>
      <c r="J170" s="1" t="b">
        <f t="shared" si="10"/>
        <v>0</v>
      </c>
      <c r="K170" s="1" t="b">
        <f>(Requirements!K187="Normative")</f>
        <v>1</v>
      </c>
      <c r="L170" s="1" t="b">
        <f>(Requirements!L187&lt;&gt;"Non-testable")</f>
        <v>0</v>
      </c>
      <c r="M170" s="1" t="b">
        <f>(VLOOKUP(Requirements!I187,Scope[[Role]:[Description]],2,FALSE)="In")</f>
        <v>1</v>
      </c>
      <c r="N170" s="1">
        <f t="shared" si="11"/>
        <v>0</v>
      </c>
    </row>
    <row r="171" spans="1:14">
      <c r="A171" s="1" t="str">
        <f>Requirements!A188</f>
        <v>MS-WSP_R166</v>
      </c>
      <c r="B171" s="1">
        <v>1</v>
      </c>
      <c r="C171" s="1">
        <v>1</v>
      </c>
      <c r="D171" s="1"/>
      <c r="E171" s="1"/>
      <c r="F171" s="1"/>
      <c r="G171" s="1">
        <v>1</v>
      </c>
      <c r="H171" s="3">
        <f t="shared" si="8"/>
        <v>3</v>
      </c>
      <c r="I171" s="6">
        <f t="shared" si="9"/>
        <v>1</v>
      </c>
      <c r="J171" s="1" t="b">
        <f t="shared" si="10"/>
        <v>1</v>
      </c>
      <c r="K171" s="1" t="b">
        <f>(Requirements!K188="Normative")</f>
        <v>1</v>
      </c>
      <c r="L171" s="1" t="b">
        <f>(Requirements!L188&lt;&gt;"Non-testable")</f>
        <v>1</v>
      </c>
      <c r="M171" s="1" t="b">
        <f>(VLOOKUP(Requirements!I188,Scope[[Role]:[Description]],2,FALSE)="In")</f>
        <v>1</v>
      </c>
      <c r="N171" s="1">
        <f t="shared" si="11"/>
        <v>1</v>
      </c>
    </row>
    <row r="172" spans="1:14">
      <c r="A172" s="1" t="str">
        <f>Requirements!A189</f>
        <v>MS-WSP_R167</v>
      </c>
      <c r="B172" s="1"/>
      <c r="C172" s="1"/>
      <c r="D172" s="1"/>
      <c r="E172" s="1"/>
      <c r="F172" s="1"/>
      <c r="G172" s="1"/>
      <c r="H172" s="3">
        <f t="shared" si="8"/>
        <v>0</v>
      </c>
      <c r="I172" s="6">
        <f t="shared" si="9"/>
        <v>0</v>
      </c>
      <c r="J172" s="1" t="b">
        <f t="shared" si="10"/>
        <v>0</v>
      </c>
      <c r="K172" s="1" t="b">
        <f>(Requirements!K189="Normative")</f>
        <v>1</v>
      </c>
      <c r="L172" s="1" t="b">
        <f>(Requirements!L189&lt;&gt;"Non-testable")</f>
        <v>1</v>
      </c>
      <c r="M172" s="1" t="b">
        <f>(VLOOKUP(Requirements!I189,Scope[[Role]:[Description]],2,FALSE)="In")</f>
        <v>0</v>
      </c>
      <c r="N172" s="1">
        <f t="shared" si="11"/>
        <v>0</v>
      </c>
    </row>
    <row r="173" spans="1:14">
      <c r="A173" s="1" t="str">
        <f>Requirements!A190</f>
        <v>MS-WSP_R168</v>
      </c>
      <c r="B173" s="1"/>
      <c r="C173" s="1"/>
      <c r="D173" s="1"/>
      <c r="E173" s="1"/>
      <c r="F173" s="1"/>
      <c r="G173" s="1"/>
      <c r="H173" s="3">
        <f t="shared" si="8"/>
        <v>0</v>
      </c>
      <c r="I173" s="6">
        <f t="shared" si="9"/>
        <v>0</v>
      </c>
      <c r="J173" s="1" t="b">
        <f t="shared" si="10"/>
        <v>0</v>
      </c>
      <c r="K173" s="1" t="b">
        <f>(Requirements!K190="Normative")</f>
        <v>1</v>
      </c>
      <c r="L173" s="1" t="b">
        <f>(Requirements!L190&lt;&gt;"Non-testable")</f>
        <v>1</v>
      </c>
      <c r="M173" s="1" t="b">
        <f>(VLOOKUP(Requirements!I190,Scope[[Role]:[Description]],2,FALSE)="In")</f>
        <v>0</v>
      </c>
      <c r="N173" s="1">
        <f t="shared" si="11"/>
        <v>0</v>
      </c>
    </row>
    <row r="174" spans="1:14">
      <c r="A174" s="1" t="str">
        <f>Requirements!A191</f>
        <v>MS-WSP_R169</v>
      </c>
      <c r="B174" s="1"/>
      <c r="C174" s="1"/>
      <c r="D174" s="1"/>
      <c r="E174" s="1"/>
      <c r="F174" s="1"/>
      <c r="G174" s="1"/>
      <c r="H174" s="3">
        <f t="shared" si="8"/>
        <v>0</v>
      </c>
      <c r="I174" s="6">
        <f t="shared" si="9"/>
        <v>0</v>
      </c>
      <c r="J174" s="1" t="b">
        <f t="shared" si="10"/>
        <v>0</v>
      </c>
      <c r="K174" s="1" t="b">
        <f>(Requirements!K191="Normative")</f>
        <v>1</v>
      </c>
      <c r="L174" s="1" t="b">
        <f>(Requirements!L191&lt;&gt;"Non-testable")</f>
        <v>1</v>
      </c>
      <c r="M174" s="1" t="b">
        <f>(VLOOKUP(Requirements!I191,Scope[[Role]:[Description]],2,FALSE)="In")</f>
        <v>0</v>
      </c>
      <c r="N174" s="1">
        <f t="shared" si="11"/>
        <v>0</v>
      </c>
    </row>
    <row r="175" spans="1:14">
      <c r="A175" s="1" t="str">
        <f>Requirements!A192</f>
        <v>MS-WSP_R170</v>
      </c>
      <c r="B175" s="1"/>
      <c r="C175" s="1"/>
      <c r="D175" s="1"/>
      <c r="E175" s="1"/>
      <c r="F175" s="1"/>
      <c r="G175" s="1"/>
      <c r="H175" s="3">
        <f t="shared" si="8"/>
        <v>0</v>
      </c>
      <c r="I175" s="6">
        <f t="shared" si="9"/>
        <v>0</v>
      </c>
      <c r="J175" s="1" t="b">
        <f t="shared" si="10"/>
        <v>0</v>
      </c>
      <c r="K175" s="1" t="b">
        <f>(Requirements!K192="Normative")</f>
        <v>1</v>
      </c>
      <c r="L175" s="1" t="b">
        <f>(Requirements!L192&lt;&gt;"Non-testable")</f>
        <v>1</v>
      </c>
      <c r="M175" s="1" t="b">
        <f>(VLOOKUP(Requirements!I192,Scope[[Role]:[Description]],2,FALSE)="In")</f>
        <v>0</v>
      </c>
      <c r="N175" s="1">
        <f t="shared" si="11"/>
        <v>0</v>
      </c>
    </row>
    <row r="176" spans="1:14">
      <c r="A176" s="1" t="str">
        <f>Requirements!A193</f>
        <v>MS-WSP_R171</v>
      </c>
      <c r="B176" s="1"/>
      <c r="C176" s="1"/>
      <c r="D176" s="1"/>
      <c r="E176" s="1"/>
      <c r="F176" s="1"/>
      <c r="G176" s="1"/>
      <c r="H176" s="3">
        <f t="shared" si="8"/>
        <v>0</v>
      </c>
      <c r="I176" s="6">
        <f t="shared" si="9"/>
        <v>0</v>
      </c>
      <c r="J176" s="1" t="b">
        <f t="shared" si="10"/>
        <v>0</v>
      </c>
      <c r="K176" s="1" t="b">
        <f>(Requirements!K193="Normative")</f>
        <v>1</v>
      </c>
      <c r="L176" s="1" t="b">
        <f>(Requirements!L193&lt;&gt;"Non-testable")</f>
        <v>1</v>
      </c>
      <c r="M176" s="1" t="b">
        <f>(VLOOKUP(Requirements!I193,Scope[[Role]:[Description]],2,FALSE)="In")</f>
        <v>0</v>
      </c>
      <c r="N176" s="1">
        <f t="shared" si="11"/>
        <v>0</v>
      </c>
    </row>
    <row r="177" spans="1:14">
      <c r="A177" s="1" t="str">
        <f>Requirements!A194</f>
        <v>MS-WSP_R172</v>
      </c>
      <c r="B177" s="1"/>
      <c r="C177" s="1"/>
      <c r="D177" s="1"/>
      <c r="E177" s="1"/>
      <c r="F177" s="1"/>
      <c r="G177" s="1"/>
      <c r="H177" s="3">
        <f t="shared" si="8"/>
        <v>0</v>
      </c>
      <c r="I177" s="6">
        <f t="shared" si="9"/>
        <v>0</v>
      </c>
      <c r="J177" s="1" t="b">
        <f t="shared" si="10"/>
        <v>0</v>
      </c>
      <c r="K177" s="1" t="b">
        <f>(Requirements!K194="Normative")</f>
        <v>1</v>
      </c>
      <c r="L177" s="1" t="b">
        <f>(Requirements!L194&lt;&gt;"Non-testable")</f>
        <v>1</v>
      </c>
      <c r="M177" s="1" t="b">
        <f>(VLOOKUP(Requirements!I194,Scope[[Role]:[Description]],2,FALSE)="In")</f>
        <v>0</v>
      </c>
      <c r="N177" s="1">
        <f t="shared" si="11"/>
        <v>0</v>
      </c>
    </row>
    <row r="178" spans="1:14">
      <c r="A178" s="1" t="str">
        <f>Requirements!A195</f>
        <v>MS-WSP_R173</v>
      </c>
      <c r="B178" s="1"/>
      <c r="C178" s="1"/>
      <c r="D178" s="1"/>
      <c r="E178" s="1"/>
      <c r="F178" s="1"/>
      <c r="G178" s="1"/>
      <c r="H178" s="3">
        <f t="shared" si="8"/>
        <v>0</v>
      </c>
      <c r="I178" s="6">
        <f t="shared" si="9"/>
        <v>0</v>
      </c>
      <c r="J178" s="1" t="b">
        <f t="shared" si="10"/>
        <v>0</v>
      </c>
      <c r="K178" s="1" t="b">
        <f>(Requirements!K195="Normative")</f>
        <v>1</v>
      </c>
      <c r="L178" s="1" t="b">
        <f>(Requirements!L195&lt;&gt;"Non-testable")</f>
        <v>1</v>
      </c>
      <c r="M178" s="1" t="b">
        <f>(VLOOKUP(Requirements!I195,Scope[[Role]:[Description]],2,FALSE)="In")</f>
        <v>0</v>
      </c>
      <c r="N178" s="1">
        <f t="shared" si="11"/>
        <v>0</v>
      </c>
    </row>
    <row r="179" spans="1:14">
      <c r="A179" s="1" t="str">
        <f>Requirements!A196</f>
        <v>MS-WSP_R174</v>
      </c>
      <c r="B179" s="1"/>
      <c r="C179" s="1"/>
      <c r="D179" s="1"/>
      <c r="E179" s="1"/>
      <c r="F179" s="1"/>
      <c r="G179" s="1"/>
      <c r="H179" s="3">
        <f t="shared" si="8"/>
        <v>0</v>
      </c>
      <c r="I179" s="6">
        <f t="shared" si="9"/>
        <v>0</v>
      </c>
      <c r="J179" s="1" t="b">
        <f t="shared" si="10"/>
        <v>0</v>
      </c>
      <c r="K179" s="1" t="b">
        <f>(Requirements!K196="Normative")</f>
        <v>1</v>
      </c>
      <c r="L179" s="1" t="b">
        <f>(Requirements!L196&lt;&gt;"Non-testable")</f>
        <v>1</v>
      </c>
      <c r="M179" s="1" t="b">
        <f>(VLOOKUP(Requirements!I196,Scope[[Role]:[Description]],2,FALSE)="In")</f>
        <v>0</v>
      </c>
      <c r="N179" s="1">
        <f t="shared" si="11"/>
        <v>0</v>
      </c>
    </row>
    <row r="180" spans="1:14">
      <c r="A180" s="1" t="str">
        <f>Requirements!A197</f>
        <v>MS-WSP_R175</v>
      </c>
      <c r="B180" s="1"/>
      <c r="C180" s="1"/>
      <c r="D180" s="1"/>
      <c r="E180" s="1"/>
      <c r="F180" s="1"/>
      <c r="G180" s="1"/>
      <c r="H180" s="3">
        <f t="shared" si="8"/>
        <v>0</v>
      </c>
      <c r="I180" s="6">
        <f t="shared" si="9"/>
        <v>0</v>
      </c>
      <c r="J180" s="1" t="b">
        <f t="shared" si="10"/>
        <v>0</v>
      </c>
      <c r="K180" s="1" t="b">
        <f>(Requirements!K197="Normative")</f>
        <v>1</v>
      </c>
      <c r="L180" s="1" t="b">
        <f>(Requirements!L197&lt;&gt;"Non-testable")</f>
        <v>1</v>
      </c>
      <c r="M180" s="1" t="b">
        <f>(VLOOKUP(Requirements!I197,Scope[[Role]:[Description]],2,FALSE)="In")</f>
        <v>0</v>
      </c>
      <c r="N180" s="1">
        <f t="shared" si="11"/>
        <v>0</v>
      </c>
    </row>
    <row r="181" spans="1:14">
      <c r="A181" s="1" t="str">
        <f>Requirements!A198</f>
        <v>MS-WSP_R176</v>
      </c>
      <c r="B181" s="1"/>
      <c r="C181" s="1"/>
      <c r="D181" s="1"/>
      <c r="E181" s="1"/>
      <c r="F181" s="1"/>
      <c r="G181" s="1"/>
      <c r="H181" s="3">
        <f t="shared" si="8"/>
        <v>0</v>
      </c>
      <c r="I181" s="6">
        <f t="shared" si="9"/>
        <v>0</v>
      </c>
      <c r="J181" s="1" t="b">
        <f t="shared" si="10"/>
        <v>0</v>
      </c>
      <c r="K181" s="1" t="b">
        <f>(Requirements!K198="Normative")</f>
        <v>1</v>
      </c>
      <c r="L181" s="1" t="b">
        <f>(Requirements!L198&lt;&gt;"Non-testable")</f>
        <v>1</v>
      </c>
      <c r="M181" s="1" t="b">
        <f>(VLOOKUP(Requirements!I198,Scope[[Role]:[Description]],2,FALSE)="In")</f>
        <v>0</v>
      </c>
      <c r="N181" s="1">
        <f t="shared" si="11"/>
        <v>0</v>
      </c>
    </row>
    <row r="182" spans="1:14">
      <c r="A182" s="1" t="str">
        <f>Requirements!A199</f>
        <v>MS-WSP_R177</v>
      </c>
      <c r="B182" s="1"/>
      <c r="C182" s="1"/>
      <c r="D182" s="1"/>
      <c r="E182" s="1"/>
      <c r="F182" s="1"/>
      <c r="G182" s="1"/>
      <c r="H182" s="3">
        <f t="shared" si="8"/>
        <v>0</v>
      </c>
      <c r="I182" s="6">
        <f t="shared" si="9"/>
        <v>0</v>
      </c>
      <c r="J182" s="1" t="b">
        <f t="shared" si="10"/>
        <v>0</v>
      </c>
      <c r="K182" s="1" t="b">
        <f>(Requirements!K199="Normative")</f>
        <v>1</v>
      </c>
      <c r="L182" s="1" t="b">
        <f>(Requirements!L199&lt;&gt;"Non-testable")</f>
        <v>1</v>
      </c>
      <c r="M182" s="1" t="b">
        <f>(VLOOKUP(Requirements!I199,Scope[[Role]:[Description]],2,FALSE)="In")</f>
        <v>0</v>
      </c>
      <c r="N182" s="1">
        <f t="shared" si="11"/>
        <v>0</v>
      </c>
    </row>
    <row r="183" spans="1:14">
      <c r="A183" s="1" t="str">
        <f>Requirements!A200</f>
        <v>MS-WSP_R178</v>
      </c>
      <c r="B183" s="1"/>
      <c r="C183" s="1"/>
      <c r="D183" s="1"/>
      <c r="E183" s="1"/>
      <c r="F183" s="1"/>
      <c r="G183" s="1"/>
      <c r="H183" s="3">
        <f t="shared" si="8"/>
        <v>0</v>
      </c>
      <c r="I183" s="6">
        <f t="shared" si="9"/>
        <v>0</v>
      </c>
      <c r="J183" s="1" t="b">
        <f t="shared" si="10"/>
        <v>0</v>
      </c>
      <c r="K183" s="1" t="b">
        <f>(Requirements!K200="Normative")</f>
        <v>1</v>
      </c>
      <c r="L183" s="1" t="b">
        <f>(Requirements!L200&lt;&gt;"Non-testable")</f>
        <v>1</v>
      </c>
      <c r="M183" s="1" t="b">
        <f>(VLOOKUP(Requirements!I200,Scope[[Role]:[Description]],2,FALSE)="In")</f>
        <v>0</v>
      </c>
      <c r="N183" s="1">
        <f t="shared" si="11"/>
        <v>0</v>
      </c>
    </row>
    <row r="184" spans="1:14">
      <c r="A184" s="1" t="str">
        <f>Requirements!A201</f>
        <v>MS-WSP_R179</v>
      </c>
      <c r="B184" s="1"/>
      <c r="C184" s="1"/>
      <c r="D184" s="1"/>
      <c r="E184" s="1"/>
      <c r="F184" s="1"/>
      <c r="G184" s="1"/>
      <c r="H184" s="3">
        <f t="shared" si="8"/>
        <v>0</v>
      </c>
      <c r="I184" s="6">
        <f t="shared" si="9"/>
        <v>0</v>
      </c>
      <c r="J184" s="1" t="b">
        <f t="shared" si="10"/>
        <v>0</v>
      </c>
      <c r="K184" s="1" t="b">
        <f>(Requirements!K201="Normative")</f>
        <v>1</v>
      </c>
      <c r="L184" s="1" t="b">
        <f>(Requirements!L201&lt;&gt;"Non-testable")</f>
        <v>1</v>
      </c>
      <c r="M184" s="1" t="b">
        <f>(VLOOKUP(Requirements!I201,Scope[[Role]:[Description]],2,FALSE)="In")</f>
        <v>0</v>
      </c>
      <c r="N184" s="1">
        <f t="shared" si="11"/>
        <v>0</v>
      </c>
    </row>
    <row r="185" spans="1:14">
      <c r="A185" s="1" t="str">
        <f>Requirements!A202</f>
        <v>MS-WSP_R180</v>
      </c>
      <c r="B185" s="1"/>
      <c r="C185" s="1"/>
      <c r="D185" s="1"/>
      <c r="E185" s="1"/>
      <c r="F185" s="1"/>
      <c r="G185" s="1"/>
      <c r="H185" s="3">
        <f t="shared" si="8"/>
        <v>0</v>
      </c>
      <c r="I185" s="6">
        <f t="shared" si="9"/>
        <v>0</v>
      </c>
      <c r="J185" s="1" t="b">
        <f t="shared" si="10"/>
        <v>0</v>
      </c>
      <c r="K185" s="1" t="b">
        <f>(Requirements!K202="Normative")</f>
        <v>1</v>
      </c>
      <c r="L185" s="1" t="b">
        <f>(Requirements!L202&lt;&gt;"Non-testable")</f>
        <v>1</v>
      </c>
      <c r="M185" s="1" t="b">
        <f>(VLOOKUP(Requirements!I202,Scope[[Role]:[Description]],2,FALSE)="In")</f>
        <v>0</v>
      </c>
      <c r="N185" s="1">
        <f t="shared" si="11"/>
        <v>0</v>
      </c>
    </row>
    <row r="186" spans="1:14">
      <c r="A186" s="1" t="str">
        <f>Requirements!A203</f>
        <v>MS-WSP_R181</v>
      </c>
      <c r="B186" s="1"/>
      <c r="C186" s="1"/>
      <c r="D186" s="1"/>
      <c r="E186" s="1"/>
      <c r="F186" s="1"/>
      <c r="G186" s="1"/>
      <c r="H186" s="3">
        <f t="shared" si="8"/>
        <v>0</v>
      </c>
      <c r="I186" s="6">
        <f t="shared" si="9"/>
        <v>0</v>
      </c>
      <c r="J186" s="1" t="b">
        <f t="shared" si="10"/>
        <v>0</v>
      </c>
      <c r="K186" s="1" t="b">
        <f>(Requirements!K203="Normative")</f>
        <v>1</v>
      </c>
      <c r="L186" s="1" t="b">
        <f>(Requirements!L203&lt;&gt;"Non-testable")</f>
        <v>1</v>
      </c>
      <c r="M186" s="1" t="b">
        <f>(VLOOKUP(Requirements!I203,Scope[[Role]:[Description]],2,FALSE)="In")</f>
        <v>0</v>
      </c>
      <c r="N186" s="1">
        <f t="shared" si="11"/>
        <v>0</v>
      </c>
    </row>
    <row r="187" spans="1:14">
      <c r="A187" s="1" t="str">
        <f>Requirements!A204</f>
        <v>MS-WSP_R182</v>
      </c>
      <c r="B187" s="1"/>
      <c r="C187" s="1"/>
      <c r="D187" s="1"/>
      <c r="E187" s="1"/>
      <c r="F187" s="1"/>
      <c r="G187" s="1"/>
      <c r="H187" s="3">
        <f t="shared" si="8"/>
        <v>0</v>
      </c>
      <c r="I187" s="6">
        <f t="shared" si="9"/>
        <v>0</v>
      </c>
      <c r="J187" s="1" t="b">
        <f t="shared" si="10"/>
        <v>0</v>
      </c>
      <c r="K187" s="1" t="b">
        <f>(Requirements!K204="Normative")</f>
        <v>1</v>
      </c>
      <c r="L187" s="1" t="b">
        <f>(Requirements!L204&lt;&gt;"Non-testable")</f>
        <v>1</v>
      </c>
      <c r="M187" s="1" t="b">
        <f>(VLOOKUP(Requirements!I204,Scope[[Role]:[Description]],2,FALSE)="In")</f>
        <v>0</v>
      </c>
      <c r="N187" s="1">
        <f t="shared" si="11"/>
        <v>0</v>
      </c>
    </row>
    <row r="188" spans="1:14">
      <c r="A188" s="1" t="str">
        <f>Requirements!A205</f>
        <v>MS-WSP_R183</v>
      </c>
      <c r="B188" s="1"/>
      <c r="C188" s="1"/>
      <c r="D188" s="1"/>
      <c r="E188" s="1"/>
      <c r="F188" s="1"/>
      <c r="G188" s="1"/>
      <c r="H188" s="3">
        <f t="shared" si="8"/>
        <v>0</v>
      </c>
      <c r="I188" s="6">
        <f t="shared" si="9"/>
        <v>0</v>
      </c>
      <c r="J188" s="1" t="b">
        <f t="shared" si="10"/>
        <v>0</v>
      </c>
      <c r="K188" s="1" t="b">
        <f>(Requirements!K205="Normative")</f>
        <v>1</v>
      </c>
      <c r="L188" s="1" t="b">
        <f>(Requirements!L205&lt;&gt;"Non-testable")</f>
        <v>1</v>
      </c>
      <c r="M188" s="1" t="b">
        <f>(VLOOKUP(Requirements!I205,Scope[[Role]:[Description]],2,FALSE)="In")</f>
        <v>0</v>
      </c>
      <c r="N188" s="1">
        <f t="shared" si="11"/>
        <v>0</v>
      </c>
    </row>
    <row r="189" spans="1:14">
      <c r="A189" s="1" t="str">
        <f>Requirements!A206</f>
        <v>MS-WSP_R184</v>
      </c>
      <c r="B189" s="1"/>
      <c r="C189" s="1"/>
      <c r="D189" s="1"/>
      <c r="E189" s="1"/>
      <c r="F189" s="1"/>
      <c r="G189" s="1"/>
      <c r="H189" s="3">
        <f t="shared" si="8"/>
        <v>0</v>
      </c>
      <c r="I189" s="6">
        <f t="shared" si="9"/>
        <v>0</v>
      </c>
      <c r="J189" s="1" t="b">
        <f t="shared" si="10"/>
        <v>0</v>
      </c>
      <c r="K189" s="1" t="b">
        <f>(Requirements!K206="Normative")</f>
        <v>1</v>
      </c>
      <c r="L189" s="1" t="b">
        <f>(Requirements!L206&lt;&gt;"Non-testable")</f>
        <v>1</v>
      </c>
      <c r="M189" s="1" t="b">
        <f>(VLOOKUP(Requirements!I206,Scope[[Role]:[Description]],2,FALSE)="In")</f>
        <v>0</v>
      </c>
      <c r="N189" s="1">
        <f t="shared" si="11"/>
        <v>0</v>
      </c>
    </row>
    <row r="190" spans="1:14">
      <c r="A190" s="1" t="str">
        <f>Requirements!A207</f>
        <v>MS-WSP_R185</v>
      </c>
      <c r="B190" s="1"/>
      <c r="C190" s="1"/>
      <c r="D190" s="1"/>
      <c r="E190" s="1"/>
      <c r="F190" s="1"/>
      <c r="G190" s="1"/>
      <c r="H190" s="3">
        <f t="shared" si="8"/>
        <v>0</v>
      </c>
      <c r="I190" s="6">
        <f t="shared" si="9"/>
        <v>0</v>
      </c>
      <c r="J190" s="1" t="b">
        <f t="shared" si="10"/>
        <v>0</v>
      </c>
      <c r="K190" s="1" t="b">
        <f>(Requirements!K207="Normative")</f>
        <v>1</v>
      </c>
      <c r="L190" s="1" t="b">
        <f>(Requirements!L207&lt;&gt;"Non-testable")</f>
        <v>1</v>
      </c>
      <c r="M190" s="1" t="b">
        <f>(VLOOKUP(Requirements!I207,Scope[[Role]:[Description]],2,FALSE)="In")</f>
        <v>0</v>
      </c>
      <c r="N190" s="1">
        <f t="shared" si="11"/>
        <v>0</v>
      </c>
    </row>
    <row r="191" spans="1:14">
      <c r="A191" s="1" t="str">
        <f>Requirements!A208</f>
        <v>MS-WSP_R186</v>
      </c>
      <c r="B191" s="1"/>
      <c r="C191" s="1"/>
      <c r="D191" s="1"/>
      <c r="E191" s="1"/>
      <c r="F191" s="1"/>
      <c r="G191" s="1"/>
      <c r="H191" s="3">
        <f t="shared" si="8"/>
        <v>0</v>
      </c>
      <c r="I191" s="6">
        <f t="shared" si="9"/>
        <v>0</v>
      </c>
      <c r="J191" s="1" t="b">
        <f t="shared" si="10"/>
        <v>0</v>
      </c>
      <c r="K191" s="1" t="b">
        <f>(Requirements!K208="Normative")</f>
        <v>1</v>
      </c>
      <c r="L191" s="1" t="b">
        <f>(Requirements!L208&lt;&gt;"Non-testable")</f>
        <v>1</v>
      </c>
      <c r="M191" s="1" t="b">
        <f>(VLOOKUP(Requirements!I208,Scope[[Role]:[Description]],2,FALSE)="In")</f>
        <v>0</v>
      </c>
      <c r="N191" s="1">
        <f t="shared" si="11"/>
        <v>0</v>
      </c>
    </row>
    <row r="192" spans="1:14">
      <c r="A192" s="1" t="str">
        <f>Requirements!A209</f>
        <v>MS-WSP_R187</v>
      </c>
      <c r="B192" s="1"/>
      <c r="C192" s="1"/>
      <c r="D192" s="1"/>
      <c r="E192" s="1"/>
      <c r="F192" s="1"/>
      <c r="G192" s="1"/>
      <c r="H192" s="3">
        <f t="shared" si="8"/>
        <v>0</v>
      </c>
      <c r="I192" s="6">
        <f t="shared" si="9"/>
        <v>0</v>
      </c>
      <c r="J192" s="1" t="b">
        <f t="shared" si="10"/>
        <v>0</v>
      </c>
      <c r="K192" s="1" t="b">
        <f>(Requirements!K209="Normative")</f>
        <v>1</v>
      </c>
      <c r="L192" s="1" t="b">
        <f>(Requirements!L209&lt;&gt;"Non-testable")</f>
        <v>1</v>
      </c>
      <c r="M192" s="1" t="b">
        <f>(VLOOKUP(Requirements!I209,Scope[[Role]:[Description]],2,FALSE)="In")</f>
        <v>0</v>
      </c>
      <c r="N192" s="1">
        <f t="shared" si="11"/>
        <v>0</v>
      </c>
    </row>
    <row r="193" spans="1:14">
      <c r="A193" s="1" t="str">
        <f>Requirements!A210</f>
        <v>MS-WSP_R188</v>
      </c>
      <c r="B193" s="1"/>
      <c r="C193" s="1"/>
      <c r="D193" s="1"/>
      <c r="E193" s="1"/>
      <c r="F193" s="1"/>
      <c r="G193" s="1"/>
      <c r="H193" s="3">
        <f t="shared" si="8"/>
        <v>0</v>
      </c>
      <c r="I193" s="6">
        <f t="shared" si="9"/>
        <v>0</v>
      </c>
      <c r="J193" s="1" t="b">
        <f t="shared" si="10"/>
        <v>0</v>
      </c>
      <c r="K193" s="1" t="b">
        <f>(Requirements!K210="Normative")</f>
        <v>1</v>
      </c>
      <c r="L193" s="1" t="b">
        <f>(Requirements!L210&lt;&gt;"Non-testable")</f>
        <v>1</v>
      </c>
      <c r="M193" s="1" t="b">
        <f>(VLOOKUP(Requirements!I210,Scope[[Role]:[Description]],2,FALSE)="In")</f>
        <v>0</v>
      </c>
      <c r="N193" s="1">
        <f t="shared" si="11"/>
        <v>0</v>
      </c>
    </row>
    <row r="194" spans="1:14">
      <c r="A194" s="1" t="str">
        <f>Requirements!A211</f>
        <v>MS-WSP_R189</v>
      </c>
      <c r="B194" s="1"/>
      <c r="C194" s="1"/>
      <c r="D194" s="1"/>
      <c r="E194" s="1"/>
      <c r="F194" s="1"/>
      <c r="G194" s="1"/>
      <c r="H194" s="3">
        <f t="shared" si="8"/>
        <v>0</v>
      </c>
      <c r="I194" s="6">
        <f t="shared" si="9"/>
        <v>0</v>
      </c>
      <c r="J194" s="1" t="b">
        <f t="shared" si="10"/>
        <v>0</v>
      </c>
      <c r="K194" s="1" t="b">
        <f>(Requirements!K211="Normative")</f>
        <v>0</v>
      </c>
      <c r="L194" s="1" t="b">
        <f>(Requirements!L211&lt;&gt;"Non-testable")</f>
        <v>1</v>
      </c>
      <c r="M194" s="1" t="b">
        <f>(VLOOKUP(Requirements!I211,Scope[[Role]:[Description]],2,FALSE)="In")</f>
        <v>1</v>
      </c>
      <c r="N194" s="1">
        <f t="shared" si="11"/>
        <v>0</v>
      </c>
    </row>
    <row r="195" spans="1:14">
      <c r="A195" s="1" t="str">
        <f>Requirements!A212</f>
        <v>MS-WSP_R190</v>
      </c>
      <c r="B195" s="1"/>
      <c r="C195" s="1"/>
      <c r="D195" s="1"/>
      <c r="E195" s="1"/>
      <c r="F195" s="1"/>
      <c r="G195" s="1"/>
      <c r="H195" s="3">
        <f t="shared" si="8"/>
        <v>0</v>
      </c>
      <c r="I195" s="6">
        <f t="shared" si="9"/>
        <v>0</v>
      </c>
      <c r="J195" s="1" t="b">
        <f t="shared" si="10"/>
        <v>0</v>
      </c>
      <c r="K195" s="1" t="b">
        <f>(Requirements!K212="Normative")</f>
        <v>1</v>
      </c>
      <c r="L195" s="1" t="b">
        <f>(Requirements!L212&lt;&gt;"Non-testable")</f>
        <v>0</v>
      </c>
      <c r="M195" s="1" t="b">
        <f>(VLOOKUP(Requirements!I212,Scope[[Role]:[Description]],2,FALSE)="In")</f>
        <v>1</v>
      </c>
      <c r="N195" s="1">
        <f t="shared" si="11"/>
        <v>0</v>
      </c>
    </row>
    <row r="196" spans="1:14">
      <c r="A196" s="1" t="str">
        <f>Requirements!A213</f>
        <v>MS-WSP_R191</v>
      </c>
      <c r="B196" s="1"/>
      <c r="C196" s="1"/>
      <c r="D196" s="1"/>
      <c r="E196" s="1"/>
      <c r="F196" s="1"/>
      <c r="G196" s="1"/>
      <c r="H196" s="3">
        <f t="shared" si="8"/>
        <v>0</v>
      </c>
      <c r="I196" s="6">
        <f t="shared" si="9"/>
        <v>0</v>
      </c>
      <c r="J196" s="1" t="b">
        <f t="shared" si="10"/>
        <v>0</v>
      </c>
      <c r="K196" s="1" t="b">
        <f>(Requirements!K213="Normative")</f>
        <v>1</v>
      </c>
      <c r="L196" s="1" t="b">
        <f>(Requirements!L213&lt;&gt;"Non-testable")</f>
        <v>1</v>
      </c>
      <c r="M196" s="1" t="b">
        <f>(VLOOKUP(Requirements!I213,Scope[[Role]:[Description]],2,FALSE)="In")</f>
        <v>0</v>
      </c>
      <c r="N196" s="1">
        <f t="shared" si="11"/>
        <v>0</v>
      </c>
    </row>
    <row r="197" spans="1:14">
      <c r="A197" s="1" t="str">
        <f>Requirements!A214</f>
        <v>MS-WSP_R192</v>
      </c>
      <c r="B197" s="1"/>
      <c r="C197" s="1"/>
      <c r="D197" s="1"/>
      <c r="E197" s="1"/>
      <c r="F197" s="1"/>
      <c r="G197" s="1"/>
      <c r="H197" s="3">
        <f t="shared" si="8"/>
        <v>0</v>
      </c>
      <c r="I197" s="6">
        <f t="shared" si="9"/>
        <v>0</v>
      </c>
      <c r="J197" s="1" t="b">
        <f t="shared" si="10"/>
        <v>0</v>
      </c>
      <c r="K197" s="1" t="b">
        <f>(Requirements!K214="Normative")</f>
        <v>1</v>
      </c>
      <c r="L197" s="1" t="b">
        <f>(Requirements!L214&lt;&gt;"Non-testable")</f>
        <v>1</v>
      </c>
      <c r="M197" s="1" t="b">
        <f>(VLOOKUP(Requirements!I214,Scope[[Role]:[Description]],2,FALSE)="In")</f>
        <v>0</v>
      </c>
      <c r="N197" s="1">
        <f t="shared" si="11"/>
        <v>0</v>
      </c>
    </row>
    <row r="198" spans="1:14">
      <c r="A198" s="1" t="str">
        <f>Requirements!A215</f>
        <v>MS-WSP_R193</v>
      </c>
      <c r="B198" s="1"/>
      <c r="C198" s="1"/>
      <c r="D198" s="1"/>
      <c r="E198" s="1"/>
      <c r="F198" s="1"/>
      <c r="G198" s="1"/>
      <c r="H198" s="3">
        <f t="shared" ref="H198:H261" si="12">SUM(B198:G198)</f>
        <v>0</v>
      </c>
      <c r="I198" s="6">
        <f t="shared" si="9"/>
        <v>0</v>
      </c>
      <c r="J198" s="1" t="b">
        <f t="shared" si="10"/>
        <v>0</v>
      </c>
      <c r="K198" s="1" t="b">
        <f>(Requirements!K215="Normative")</f>
        <v>1</v>
      </c>
      <c r="L198" s="1" t="b">
        <f>(Requirements!L215&lt;&gt;"Non-testable")</f>
        <v>1</v>
      </c>
      <c r="M198" s="1" t="b">
        <f>(VLOOKUP(Requirements!I215,Scope[[Role]:[Description]],2,FALSE)="In")</f>
        <v>0</v>
      </c>
      <c r="N198" s="1">
        <f t="shared" si="11"/>
        <v>0</v>
      </c>
    </row>
    <row r="199" spans="1:14">
      <c r="A199" s="1" t="str">
        <f>Requirements!A216</f>
        <v>MS-WSP_R194</v>
      </c>
      <c r="B199" s="1"/>
      <c r="C199" s="1"/>
      <c r="D199" s="1"/>
      <c r="E199" s="1"/>
      <c r="F199" s="1"/>
      <c r="G199" s="1"/>
      <c r="H199" s="3">
        <f t="shared" si="12"/>
        <v>0</v>
      </c>
      <c r="I199" s="6">
        <f t="shared" ref="I199:I262" si="13">IF(H199=0,0,1)</f>
        <v>0</v>
      </c>
      <c r="J199" s="1" t="b">
        <f t="shared" ref="J199:J262" si="14">AND(K199:M199)</f>
        <v>0</v>
      </c>
      <c r="K199" s="1" t="b">
        <f>(Requirements!K216="Normative")</f>
        <v>1</v>
      </c>
      <c r="L199" s="1" t="b">
        <f>(Requirements!L216&lt;&gt;"Non-testable")</f>
        <v>1</v>
      </c>
      <c r="M199" s="1" t="b">
        <f>(VLOOKUP(Requirements!I216,Scope[[Role]:[Description]],2,FALSE)="In")</f>
        <v>0</v>
      </c>
      <c r="N199" s="1">
        <f t="shared" ref="N199:N262" si="15">IF(J199,I199,0)</f>
        <v>0</v>
      </c>
    </row>
    <row r="200" spans="1:14">
      <c r="A200" s="1" t="str">
        <f>Requirements!A217</f>
        <v>MS-WSP_R195</v>
      </c>
      <c r="B200" s="1"/>
      <c r="C200" s="1"/>
      <c r="D200" s="1"/>
      <c r="E200" s="1"/>
      <c r="F200" s="1"/>
      <c r="G200" s="1"/>
      <c r="H200" s="3">
        <f t="shared" si="12"/>
        <v>0</v>
      </c>
      <c r="I200" s="6">
        <f t="shared" si="13"/>
        <v>0</v>
      </c>
      <c r="J200" s="1" t="b">
        <f t="shared" si="14"/>
        <v>0</v>
      </c>
      <c r="K200" s="1" t="b">
        <f>(Requirements!K217="Normative")</f>
        <v>1</v>
      </c>
      <c r="L200" s="1" t="b">
        <f>(Requirements!L217&lt;&gt;"Non-testable")</f>
        <v>1</v>
      </c>
      <c r="M200" s="1" t="b">
        <f>(VLOOKUP(Requirements!I217,Scope[[Role]:[Description]],2,FALSE)="In")</f>
        <v>0</v>
      </c>
      <c r="N200" s="1">
        <f t="shared" si="15"/>
        <v>0</v>
      </c>
    </row>
    <row r="201" spans="1:14">
      <c r="A201" s="1" t="str">
        <f>Requirements!A218</f>
        <v>MS-WSP_R196</v>
      </c>
      <c r="B201" s="1"/>
      <c r="C201" s="1"/>
      <c r="D201" s="1"/>
      <c r="E201" s="1"/>
      <c r="F201" s="1"/>
      <c r="G201" s="1"/>
      <c r="H201" s="3">
        <f t="shared" si="12"/>
        <v>0</v>
      </c>
      <c r="I201" s="6">
        <f t="shared" si="13"/>
        <v>0</v>
      </c>
      <c r="J201" s="1" t="b">
        <f t="shared" si="14"/>
        <v>0</v>
      </c>
      <c r="K201" s="1" t="b">
        <f>(Requirements!K218="Normative")</f>
        <v>1</v>
      </c>
      <c r="L201" s="1" t="b">
        <f>(Requirements!L218&lt;&gt;"Non-testable")</f>
        <v>1</v>
      </c>
      <c r="M201" s="1" t="b">
        <f>(VLOOKUP(Requirements!I218,Scope[[Role]:[Description]],2,FALSE)="In")</f>
        <v>0</v>
      </c>
      <c r="N201" s="1">
        <f t="shared" si="15"/>
        <v>0</v>
      </c>
    </row>
    <row r="202" spans="1:14">
      <c r="A202" s="1" t="str">
        <f>Requirements!A219</f>
        <v>MS-WSP_R197</v>
      </c>
      <c r="B202" s="1"/>
      <c r="C202" s="1"/>
      <c r="D202" s="1"/>
      <c r="E202" s="1"/>
      <c r="F202" s="1"/>
      <c r="G202" s="1"/>
      <c r="H202" s="3">
        <f t="shared" si="12"/>
        <v>0</v>
      </c>
      <c r="I202" s="6">
        <f t="shared" si="13"/>
        <v>0</v>
      </c>
      <c r="J202" s="1" t="b">
        <f t="shared" si="14"/>
        <v>0</v>
      </c>
      <c r="K202" s="1" t="b">
        <f>(Requirements!K219="Normative")</f>
        <v>1</v>
      </c>
      <c r="L202" s="1" t="b">
        <f>(Requirements!L219&lt;&gt;"Non-testable")</f>
        <v>1</v>
      </c>
      <c r="M202" s="1" t="b">
        <f>(VLOOKUP(Requirements!I219,Scope[[Role]:[Description]],2,FALSE)="In")</f>
        <v>0</v>
      </c>
      <c r="N202" s="1">
        <f t="shared" si="15"/>
        <v>0</v>
      </c>
    </row>
    <row r="203" spans="1:14">
      <c r="A203" s="1" t="str">
        <f>Requirements!A220</f>
        <v>MS-WSP_R198</v>
      </c>
      <c r="B203" s="1"/>
      <c r="C203" s="1"/>
      <c r="D203" s="1"/>
      <c r="E203" s="1"/>
      <c r="F203" s="1"/>
      <c r="G203" s="1"/>
      <c r="H203" s="3">
        <f t="shared" si="12"/>
        <v>0</v>
      </c>
      <c r="I203" s="6">
        <f t="shared" si="13"/>
        <v>0</v>
      </c>
      <c r="J203" s="1" t="b">
        <f t="shared" si="14"/>
        <v>0</v>
      </c>
      <c r="K203" s="1" t="b">
        <f>(Requirements!K220="Normative")</f>
        <v>1</v>
      </c>
      <c r="L203" s="1" t="b">
        <f>(Requirements!L220&lt;&gt;"Non-testable")</f>
        <v>1</v>
      </c>
      <c r="M203" s="1" t="b">
        <f>(VLOOKUP(Requirements!I220,Scope[[Role]:[Description]],2,FALSE)="In")</f>
        <v>0</v>
      </c>
      <c r="N203" s="1">
        <f t="shared" si="15"/>
        <v>0</v>
      </c>
    </row>
    <row r="204" spans="1:14">
      <c r="A204" s="1" t="str">
        <f>Requirements!A221</f>
        <v>MS-WSP_R199</v>
      </c>
      <c r="B204" s="1"/>
      <c r="C204" s="1"/>
      <c r="D204" s="1"/>
      <c r="E204" s="1"/>
      <c r="F204" s="1"/>
      <c r="G204" s="1"/>
      <c r="H204" s="3">
        <f t="shared" si="12"/>
        <v>0</v>
      </c>
      <c r="I204" s="6">
        <f t="shared" si="13"/>
        <v>0</v>
      </c>
      <c r="J204" s="1" t="b">
        <f t="shared" si="14"/>
        <v>0</v>
      </c>
      <c r="K204" s="1" t="b">
        <f>(Requirements!K221="Normative")</f>
        <v>1</v>
      </c>
      <c r="L204" s="1" t="b">
        <f>(Requirements!L221&lt;&gt;"Non-testable")</f>
        <v>1</v>
      </c>
      <c r="M204" s="1" t="b">
        <f>(VLOOKUP(Requirements!I221,Scope[[Role]:[Description]],2,FALSE)="In")</f>
        <v>0</v>
      </c>
      <c r="N204" s="1">
        <f t="shared" si="15"/>
        <v>0</v>
      </c>
    </row>
    <row r="205" spans="1:14">
      <c r="A205" s="1" t="str">
        <f>Requirements!A222</f>
        <v>MS-WSP_R200</v>
      </c>
      <c r="B205" s="1"/>
      <c r="C205" s="1"/>
      <c r="D205" s="1"/>
      <c r="E205" s="1"/>
      <c r="F205" s="1"/>
      <c r="G205" s="1"/>
      <c r="H205" s="3">
        <f t="shared" si="12"/>
        <v>0</v>
      </c>
      <c r="I205" s="6">
        <f t="shared" si="13"/>
        <v>0</v>
      </c>
      <c r="J205" s="1" t="b">
        <f t="shared" si="14"/>
        <v>0</v>
      </c>
      <c r="K205" s="1" t="b">
        <f>(Requirements!K222="Normative")</f>
        <v>1</v>
      </c>
      <c r="L205" s="1" t="b">
        <f>(Requirements!L222&lt;&gt;"Non-testable")</f>
        <v>1</v>
      </c>
      <c r="M205" s="1" t="b">
        <f>(VLOOKUP(Requirements!I222,Scope[[Role]:[Description]],2,FALSE)="In")</f>
        <v>0</v>
      </c>
      <c r="N205" s="1">
        <f t="shared" si="15"/>
        <v>0</v>
      </c>
    </row>
    <row r="206" spans="1:14">
      <c r="A206" s="1" t="str">
        <f>Requirements!A223</f>
        <v>MS-WSP_R201</v>
      </c>
      <c r="B206" s="1"/>
      <c r="C206" s="1"/>
      <c r="D206" s="1"/>
      <c r="E206" s="1"/>
      <c r="F206" s="1"/>
      <c r="G206" s="1"/>
      <c r="H206" s="3">
        <f t="shared" si="12"/>
        <v>0</v>
      </c>
      <c r="I206" s="6">
        <f t="shared" si="13"/>
        <v>0</v>
      </c>
      <c r="J206" s="1" t="b">
        <f t="shared" si="14"/>
        <v>0</v>
      </c>
      <c r="K206" s="1" t="b">
        <f>(Requirements!K223="Normative")</f>
        <v>1</v>
      </c>
      <c r="L206" s="1" t="b">
        <f>(Requirements!L223&lt;&gt;"Non-testable")</f>
        <v>1</v>
      </c>
      <c r="M206" s="1" t="b">
        <f>(VLOOKUP(Requirements!I223,Scope[[Role]:[Description]],2,FALSE)="In")</f>
        <v>0</v>
      </c>
      <c r="N206" s="1">
        <f t="shared" si="15"/>
        <v>0</v>
      </c>
    </row>
    <row r="207" spans="1:14">
      <c r="A207" s="1" t="str">
        <f>Requirements!A224</f>
        <v>MS-WSP_R202</v>
      </c>
      <c r="B207" s="1"/>
      <c r="C207" s="1"/>
      <c r="D207" s="1"/>
      <c r="E207" s="1"/>
      <c r="F207" s="1"/>
      <c r="G207" s="1"/>
      <c r="H207" s="3">
        <f t="shared" si="12"/>
        <v>0</v>
      </c>
      <c r="I207" s="6">
        <f t="shared" si="13"/>
        <v>0</v>
      </c>
      <c r="J207" s="1" t="b">
        <f t="shared" si="14"/>
        <v>0</v>
      </c>
      <c r="K207" s="1" t="b">
        <f>(Requirements!K224="Normative")</f>
        <v>1</v>
      </c>
      <c r="L207" s="1" t="b">
        <f>(Requirements!L224&lt;&gt;"Non-testable")</f>
        <v>1</v>
      </c>
      <c r="M207" s="1" t="b">
        <f>(VLOOKUP(Requirements!I224,Scope[[Role]:[Description]],2,FALSE)="In")</f>
        <v>0</v>
      </c>
      <c r="N207" s="1">
        <f t="shared" si="15"/>
        <v>0</v>
      </c>
    </row>
    <row r="208" spans="1:14">
      <c r="A208" s="1" t="str">
        <f>Requirements!A225</f>
        <v>MS-WSP_R203</v>
      </c>
      <c r="B208" s="1"/>
      <c r="C208" s="1"/>
      <c r="D208" s="1"/>
      <c r="E208" s="1"/>
      <c r="F208" s="1"/>
      <c r="G208" s="1"/>
      <c r="H208" s="3">
        <f t="shared" si="12"/>
        <v>0</v>
      </c>
      <c r="I208" s="6">
        <f t="shared" si="13"/>
        <v>0</v>
      </c>
      <c r="J208" s="1" t="b">
        <f t="shared" si="14"/>
        <v>0</v>
      </c>
      <c r="K208" s="1" t="b">
        <f>(Requirements!K225="Normative")</f>
        <v>1</v>
      </c>
      <c r="L208" s="1" t="b">
        <f>(Requirements!L225&lt;&gt;"Non-testable")</f>
        <v>0</v>
      </c>
      <c r="M208" s="1" t="b">
        <f>(VLOOKUP(Requirements!I225,Scope[[Role]:[Description]],2,FALSE)="In")</f>
        <v>1</v>
      </c>
      <c r="N208" s="1">
        <f t="shared" si="15"/>
        <v>0</v>
      </c>
    </row>
    <row r="209" spans="1:14">
      <c r="A209" s="1" t="str">
        <f>Requirements!A226</f>
        <v>MS-WSP_R204</v>
      </c>
      <c r="B209" s="1">
        <v>1</v>
      </c>
      <c r="C209" s="1">
        <v>1</v>
      </c>
      <c r="D209" s="1">
        <v>1</v>
      </c>
      <c r="E209" s="1"/>
      <c r="F209" s="1">
        <v>1</v>
      </c>
      <c r="G209" s="1">
        <v>1</v>
      </c>
      <c r="H209" s="3">
        <f t="shared" si="12"/>
        <v>5</v>
      </c>
      <c r="I209" s="6">
        <f t="shared" si="13"/>
        <v>1</v>
      </c>
      <c r="J209" s="1" t="b">
        <f t="shared" si="14"/>
        <v>1</v>
      </c>
      <c r="K209" s="1" t="b">
        <f>(Requirements!K226="Normative")</f>
        <v>1</v>
      </c>
      <c r="L209" s="1" t="b">
        <f>(Requirements!L226&lt;&gt;"Non-testable")</f>
        <v>1</v>
      </c>
      <c r="M209" s="1" t="b">
        <f>(VLOOKUP(Requirements!I226,Scope[[Role]:[Description]],2,FALSE)="In")</f>
        <v>1</v>
      </c>
      <c r="N209" s="1">
        <f t="shared" si="15"/>
        <v>1</v>
      </c>
    </row>
    <row r="210" spans="1:14">
      <c r="A210" s="1" t="str">
        <f>Requirements!A227</f>
        <v>MS-WSP_R205</v>
      </c>
      <c r="B210" s="1"/>
      <c r="C210" s="1"/>
      <c r="D210" s="1"/>
      <c r="E210" s="1"/>
      <c r="F210" s="1"/>
      <c r="G210" s="1"/>
      <c r="H210" s="3">
        <f t="shared" si="12"/>
        <v>0</v>
      </c>
      <c r="I210" s="6">
        <f t="shared" si="13"/>
        <v>0</v>
      </c>
      <c r="J210" s="1" t="b">
        <f t="shared" si="14"/>
        <v>0</v>
      </c>
      <c r="K210" s="1" t="b">
        <f>(Requirements!K227="Normative")</f>
        <v>1</v>
      </c>
      <c r="L210" s="1" t="b">
        <f>(Requirements!L227&lt;&gt;"Non-testable")</f>
        <v>1</v>
      </c>
      <c r="M210" s="1" t="b">
        <f>(VLOOKUP(Requirements!I227,Scope[[Role]:[Description]],2,FALSE)="In")</f>
        <v>0</v>
      </c>
      <c r="N210" s="1">
        <f t="shared" si="15"/>
        <v>0</v>
      </c>
    </row>
    <row r="211" spans="1:14">
      <c r="A211" s="1" t="str">
        <f>Requirements!A228</f>
        <v>MS-WSP_R206</v>
      </c>
      <c r="B211" s="1"/>
      <c r="C211" s="1"/>
      <c r="D211" s="1"/>
      <c r="E211" s="1"/>
      <c r="F211" s="1"/>
      <c r="G211" s="1"/>
      <c r="H211" s="3">
        <f t="shared" si="12"/>
        <v>0</v>
      </c>
      <c r="I211" s="6">
        <f t="shared" si="13"/>
        <v>0</v>
      </c>
      <c r="J211" s="1" t="b">
        <f t="shared" si="14"/>
        <v>0</v>
      </c>
      <c r="K211" s="1" t="b">
        <f>(Requirements!K228="Normative")</f>
        <v>1</v>
      </c>
      <c r="L211" s="1" t="b">
        <f>(Requirements!L228&lt;&gt;"Non-testable")</f>
        <v>1</v>
      </c>
      <c r="M211" s="1" t="b">
        <f>(VLOOKUP(Requirements!I228,Scope[[Role]:[Description]],2,FALSE)="In")</f>
        <v>0</v>
      </c>
      <c r="N211" s="1">
        <f t="shared" si="15"/>
        <v>0</v>
      </c>
    </row>
    <row r="212" spans="1:14">
      <c r="A212" s="1" t="str">
        <f>Requirements!A229</f>
        <v>MS-WSP_R207</v>
      </c>
      <c r="B212" s="1"/>
      <c r="C212" s="1"/>
      <c r="D212" s="1"/>
      <c r="E212" s="1"/>
      <c r="F212" s="1"/>
      <c r="G212" s="1"/>
      <c r="H212" s="3">
        <f t="shared" si="12"/>
        <v>0</v>
      </c>
      <c r="I212" s="6">
        <f t="shared" si="13"/>
        <v>0</v>
      </c>
      <c r="J212" s="1" t="b">
        <f t="shared" si="14"/>
        <v>0</v>
      </c>
      <c r="K212" s="1" t="b">
        <f>(Requirements!K229="Normative")</f>
        <v>1</v>
      </c>
      <c r="L212" s="1" t="b">
        <f>(Requirements!L229&lt;&gt;"Non-testable")</f>
        <v>1</v>
      </c>
      <c r="M212" s="1" t="b">
        <f>(VLOOKUP(Requirements!I229,Scope[[Role]:[Description]],2,FALSE)="In")</f>
        <v>0</v>
      </c>
      <c r="N212" s="1">
        <f t="shared" si="15"/>
        <v>0</v>
      </c>
    </row>
    <row r="213" spans="1:14">
      <c r="A213" s="1" t="str">
        <f>Requirements!A230</f>
        <v>MS-WSP_R208</v>
      </c>
      <c r="B213" s="1"/>
      <c r="C213" s="1"/>
      <c r="D213" s="1"/>
      <c r="E213" s="1"/>
      <c r="F213" s="1"/>
      <c r="G213" s="1"/>
      <c r="H213" s="3">
        <f t="shared" si="12"/>
        <v>0</v>
      </c>
      <c r="I213" s="6">
        <f t="shared" si="13"/>
        <v>0</v>
      </c>
      <c r="J213" s="1" t="b">
        <f t="shared" si="14"/>
        <v>0</v>
      </c>
      <c r="K213" s="1" t="b">
        <f>(Requirements!K230="Normative")</f>
        <v>1</v>
      </c>
      <c r="L213" s="1" t="b">
        <f>(Requirements!L230&lt;&gt;"Non-testable")</f>
        <v>1</v>
      </c>
      <c r="M213" s="1" t="b">
        <f>(VLOOKUP(Requirements!I230,Scope[[Role]:[Description]],2,FALSE)="In")</f>
        <v>0</v>
      </c>
      <c r="N213" s="1">
        <f t="shared" si="15"/>
        <v>0</v>
      </c>
    </row>
    <row r="214" spans="1:14">
      <c r="A214" s="1" t="str">
        <f>Requirements!A231</f>
        <v>MS-WSP_R209</v>
      </c>
      <c r="B214" s="1"/>
      <c r="C214" s="1"/>
      <c r="D214" s="1"/>
      <c r="E214" s="1"/>
      <c r="F214" s="1"/>
      <c r="G214" s="1"/>
      <c r="H214" s="3">
        <f t="shared" si="12"/>
        <v>0</v>
      </c>
      <c r="I214" s="6">
        <f t="shared" si="13"/>
        <v>0</v>
      </c>
      <c r="J214" s="1" t="b">
        <f t="shared" si="14"/>
        <v>0</v>
      </c>
      <c r="K214" s="1" t="b">
        <f>(Requirements!K231="Normative")</f>
        <v>1</v>
      </c>
      <c r="L214" s="1" t="b">
        <f>(Requirements!L231&lt;&gt;"Non-testable")</f>
        <v>1</v>
      </c>
      <c r="M214" s="1" t="b">
        <f>(VLOOKUP(Requirements!I231,Scope[[Role]:[Description]],2,FALSE)="In")</f>
        <v>0</v>
      </c>
      <c r="N214" s="1">
        <f t="shared" si="15"/>
        <v>0</v>
      </c>
    </row>
    <row r="215" spans="1:14">
      <c r="A215" s="1" t="str">
        <f>Requirements!A232</f>
        <v>MS-WSP_R210</v>
      </c>
      <c r="B215" s="1"/>
      <c r="C215" s="1"/>
      <c r="D215" s="1"/>
      <c r="E215" s="1"/>
      <c r="F215" s="1"/>
      <c r="G215" s="1"/>
      <c r="H215" s="3">
        <f t="shared" si="12"/>
        <v>0</v>
      </c>
      <c r="I215" s="6">
        <f t="shared" si="13"/>
        <v>0</v>
      </c>
      <c r="J215" s="1" t="b">
        <f t="shared" si="14"/>
        <v>0</v>
      </c>
      <c r="K215" s="1" t="b">
        <f>(Requirements!K232="Normative")</f>
        <v>1</v>
      </c>
      <c r="L215" s="1" t="b">
        <f>(Requirements!L232&lt;&gt;"Non-testable")</f>
        <v>1</v>
      </c>
      <c r="M215" s="1" t="b">
        <f>(VLOOKUP(Requirements!I232,Scope[[Role]:[Description]],2,FALSE)="In")</f>
        <v>0</v>
      </c>
      <c r="N215" s="1">
        <f t="shared" si="15"/>
        <v>0</v>
      </c>
    </row>
    <row r="216" spans="1:14">
      <c r="A216" s="1" t="str">
        <f>Requirements!A233</f>
        <v>MS-WSP_R211</v>
      </c>
      <c r="B216" s="1"/>
      <c r="C216" s="1"/>
      <c r="D216" s="1"/>
      <c r="E216" s="1"/>
      <c r="F216" s="1"/>
      <c r="G216" s="1"/>
      <c r="H216" s="3">
        <f t="shared" si="12"/>
        <v>0</v>
      </c>
      <c r="I216" s="6">
        <f t="shared" si="13"/>
        <v>0</v>
      </c>
      <c r="J216" s="1" t="b">
        <f t="shared" si="14"/>
        <v>0</v>
      </c>
      <c r="K216" s="1" t="b">
        <f>(Requirements!K233="Normative")</f>
        <v>1</v>
      </c>
      <c r="L216" s="1" t="b">
        <f>(Requirements!L233&lt;&gt;"Non-testable")</f>
        <v>1</v>
      </c>
      <c r="M216" s="1" t="b">
        <f>(VLOOKUP(Requirements!I233,Scope[[Role]:[Description]],2,FALSE)="In")</f>
        <v>0</v>
      </c>
      <c r="N216" s="1">
        <f t="shared" si="15"/>
        <v>0</v>
      </c>
    </row>
    <row r="217" spans="1:14">
      <c r="A217" s="1" t="str">
        <f>Requirements!A234</f>
        <v>MS-WSP_R212</v>
      </c>
      <c r="B217" s="1"/>
      <c r="C217" s="1"/>
      <c r="D217" s="1"/>
      <c r="E217" s="1"/>
      <c r="F217" s="1"/>
      <c r="G217" s="1"/>
      <c r="H217" s="3">
        <f t="shared" si="12"/>
        <v>0</v>
      </c>
      <c r="I217" s="6">
        <f t="shared" si="13"/>
        <v>0</v>
      </c>
      <c r="J217" s="1" t="b">
        <f t="shared" si="14"/>
        <v>0</v>
      </c>
      <c r="K217" s="1" t="b">
        <f>(Requirements!K234="Normative")</f>
        <v>1</v>
      </c>
      <c r="L217" s="1" t="b">
        <f>(Requirements!L234&lt;&gt;"Non-testable")</f>
        <v>1</v>
      </c>
      <c r="M217" s="1" t="b">
        <f>(VLOOKUP(Requirements!I234,Scope[[Role]:[Description]],2,FALSE)="In")</f>
        <v>0</v>
      </c>
      <c r="N217" s="1">
        <f t="shared" si="15"/>
        <v>0</v>
      </c>
    </row>
    <row r="218" spans="1:14">
      <c r="A218" s="1" t="str">
        <f>Requirements!A235</f>
        <v>MS-WSP_R213</v>
      </c>
      <c r="B218" s="1"/>
      <c r="C218" s="1"/>
      <c r="D218" s="1"/>
      <c r="E218" s="1"/>
      <c r="F218" s="1"/>
      <c r="G218" s="1"/>
      <c r="H218" s="3">
        <f t="shared" si="12"/>
        <v>0</v>
      </c>
      <c r="I218" s="6">
        <f t="shared" si="13"/>
        <v>0</v>
      </c>
      <c r="J218" s="1" t="b">
        <f t="shared" si="14"/>
        <v>0</v>
      </c>
      <c r="K218" s="1" t="b">
        <f>(Requirements!K235="Normative")</f>
        <v>1</v>
      </c>
      <c r="L218" s="1" t="b">
        <f>(Requirements!L235&lt;&gt;"Non-testable")</f>
        <v>1</v>
      </c>
      <c r="M218" s="1" t="b">
        <f>(VLOOKUP(Requirements!I235,Scope[[Role]:[Description]],2,FALSE)="In")</f>
        <v>0</v>
      </c>
      <c r="N218" s="1">
        <f t="shared" si="15"/>
        <v>0</v>
      </c>
    </row>
    <row r="219" spans="1:14">
      <c r="A219" s="1" t="str">
        <f>Requirements!A236</f>
        <v>MS-WSP_R214</v>
      </c>
      <c r="B219" s="1"/>
      <c r="C219" s="1"/>
      <c r="D219" s="1"/>
      <c r="E219" s="1"/>
      <c r="F219" s="1"/>
      <c r="G219" s="1"/>
      <c r="H219" s="3">
        <f t="shared" si="12"/>
        <v>0</v>
      </c>
      <c r="I219" s="6">
        <f t="shared" si="13"/>
        <v>0</v>
      </c>
      <c r="J219" s="1" t="b">
        <f t="shared" si="14"/>
        <v>0</v>
      </c>
      <c r="K219" s="1" t="b">
        <f>(Requirements!K236="Normative")</f>
        <v>1</v>
      </c>
      <c r="L219" s="1" t="b">
        <f>(Requirements!L236&lt;&gt;"Non-testable")</f>
        <v>0</v>
      </c>
      <c r="M219" s="1" t="b">
        <f>(VLOOKUP(Requirements!I236,Scope[[Role]:[Description]],2,FALSE)="In")</f>
        <v>1</v>
      </c>
      <c r="N219" s="1">
        <f t="shared" si="15"/>
        <v>0</v>
      </c>
    </row>
    <row r="220" spans="1:14">
      <c r="A220" s="1" t="str">
        <f>Requirements!A237</f>
        <v>MS-WSP_R215</v>
      </c>
      <c r="B220" s="1">
        <v>1</v>
      </c>
      <c r="C220" s="1">
        <v>1</v>
      </c>
      <c r="D220" s="1"/>
      <c r="E220" s="1"/>
      <c r="F220" s="1"/>
      <c r="G220" s="1">
        <v>1</v>
      </c>
      <c r="H220" s="3">
        <f t="shared" si="12"/>
        <v>3</v>
      </c>
      <c r="I220" s="6">
        <f t="shared" si="13"/>
        <v>1</v>
      </c>
      <c r="J220" s="1" t="b">
        <f t="shared" si="14"/>
        <v>1</v>
      </c>
      <c r="K220" s="1" t="b">
        <f>(Requirements!K237="Normative")</f>
        <v>1</v>
      </c>
      <c r="L220" s="1" t="b">
        <f>(Requirements!L237&lt;&gt;"Non-testable")</f>
        <v>1</v>
      </c>
      <c r="M220" s="1" t="b">
        <f>(VLOOKUP(Requirements!I237,Scope[[Role]:[Description]],2,FALSE)="In")</f>
        <v>1</v>
      </c>
      <c r="N220" s="1">
        <f t="shared" si="15"/>
        <v>1</v>
      </c>
    </row>
    <row r="221" spans="1:14">
      <c r="A221" s="1" t="str">
        <f>Requirements!A238</f>
        <v>MS-WSP_R216</v>
      </c>
      <c r="B221" s="1"/>
      <c r="C221" s="1"/>
      <c r="D221" s="1"/>
      <c r="E221" s="1"/>
      <c r="F221" s="1"/>
      <c r="G221" s="1"/>
      <c r="H221" s="3">
        <f t="shared" si="12"/>
        <v>0</v>
      </c>
      <c r="I221" s="6">
        <f t="shared" si="13"/>
        <v>0</v>
      </c>
      <c r="J221" s="1" t="b">
        <f t="shared" si="14"/>
        <v>0</v>
      </c>
      <c r="K221" s="1" t="b">
        <f>(Requirements!K238="Normative")</f>
        <v>1</v>
      </c>
      <c r="L221" s="1" t="b">
        <f>(Requirements!L238&lt;&gt;"Non-testable")</f>
        <v>1</v>
      </c>
      <c r="M221" s="1" t="b">
        <f>(VLOOKUP(Requirements!I238,Scope[[Role]:[Description]],2,FALSE)="In")</f>
        <v>0</v>
      </c>
      <c r="N221" s="1">
        <f t="shared" si="15"/>
        <v>0</v>
      </c>
    </row>
    <row r="222" spans="1:14">
      <c r="A222" s="1" t="str">
        <f>Requirements!A239</f>
        <v>MS-WSP_R217</v>
      </c>
      <c r="B222" s="1"/>
      <c r="C222" s="1"/>
      <c r="D222" s="1"/>
      <c r="E222" s="1"/>
      <c r="F222" s="1"/>
      <c r="G222" s="1"/>
      <c r="H222" s="3">
        <f t="shared" si="12"/>
        <v>0</v>
      </c>
      <c r="I222" s="6">
        <f t="shared" si="13"/>
        <v>0</v>
      </c>
      <c r="J222" s="1" t="b">
        <f t="shared" si="14"/>
        <v>0</v>
      </c>
      <c r="K222" s="1" t="b">
        <f>(Requirements!K239="Normative")</f>
        <v>1</v>
      </c>
      <c r="L222" s="1" t="b">
        <f>(Requirements!L239&lt;&gt;"Non-testable")</f>
        <v>1</v>
      </c>
      <c r="M222" s="1" t="b">
        <f>(VLOOKUP(Requirements!I239,Scope[[Role]:[Description]],2,FALSE)="In")</f>
        <v>0</v>
      </c>
      <c r="N222" s="1">
        <f t="shared" si="15"/>
        <v>0</v>
      </c>
    </row>
    <row r="223" spans="1:14">
      <c r="A223" s="1" t="str">
        <f>Requirements!A240</f>
        <v>MS-WSP_R218</v>
      </c>
      <c r="B223" s="1"/>
      <c r="C223" s="1"/>
      <c r="D223" s="1"/>
      <c r="E223" s="1"/>
      <c r="F223" s="1"/>
      <c r="G223" s="1"/>
      <c r="H223" s="3">
        <f t="shared" si="12"/>
        <v>0</v>
      </c>
      <c r="I223" s="6">
        <f t="shared" si="13"/>
        <v>0</v>
      </c>
      <c r="J223" s="1" t="b">
        <f t="shared" si="14"/>
        <v>0</v>
      </c>
      <c r="K223" s="1" t="b">
        <f>(Requirements!K240="Normative")</f>
        <v>1</v>
      </c>
      <c r="L223" s="1" t="b">
        <f>(Requirements!L240&lt;&gt;"Non-testable")</f>
        <v>1</v>
      </c>
      <c r="M223" s="1" t="b">
        <f>(VLOOKUP(Requirements!I240,Scope[[Role]:[Description]],2,FALSE)="In")</f>
        <v>0</v>
      </c>
      <c r="N223" s="1">
        <f t="shared" si="15"/>
        <v>0</v>
      </c>
    </row>
    <row r="224" spans="1:14">
      <c r="A224" s="1" t="str">
        <f>Requirements!A241</f>
        <v>MS-WSP_R219</v>
      </c>
      <c r="B224" s="1"/>
      <c r="C224" s="1"/>
      <c r="D224" s="1"/>
      <c r="E224" s="1"/>
      <c r="F224" s="1"/>
      <c r="G224" s="1"/>
      <c r="H224" s="3">
        <f t="shared" si="12"/>
        <v>0</v>
      </c>
      <c r="I224" s="6">
        <f t="shared" si="13"/>
        <v>0</v>
      </c>
      <c r="J224" s="1" t="b">
        <f t="shared" si="14"/>
        <v>0</v>
      </c>
      <c r="K224" s="1" t="b">
        <f>(Requirements!K241="Normative")</f>
        <v>1</v>
      </c>
      <c r="L224" s="1" t="b">
        <f>(Requirements!L241&lt;&gt;"Non-testable")</f>
        <v>1</v>
      </c>
      <c r="M224" s="1" t="b">
        <f>(VLOOKUP(Requirements!I241,Scope[[Role]:[Description]],2,FALSE)="In")</f>
        <v>0</v>
      </c>
      <c r="N224" s="1">
        <f t="shared" si="15"/>
        <v>0</v>
      </c>
    </row>
    <row r="225" spans="1:14">
      <c r="A225" s="1" t="str">
        <f>Requirements!A242</f>
        <v>MS-WSP_R220</v>
      </c>
      <c r="B225" s="1"/>
      <c r="C225" s="1"/>
      <c r="D225" s="1"/>
      <c r="E225" s="1"/>
      <c r="F225" s="1"/>
      <c r="G225" s="1"/>
      <c r="H225" s="3">
        <f t="shared" si="12"/>
        <v>0</v>
      </c>
      <c r="I225" s="6">
        <f t="shared" si="13"/>
        <v>0</v>
      </c>
      <c r="J225" s="1" t="b">
        <f t="shared" si="14"/>
        <v>0</v>
      </c>
      <c r="K225" s="1" t="b">
        <f>(Requirements!K242="Normative")</f>
        <v>1</v>
      </c>
      <c r="L225" s="1" t="b">
        <f>(Requirements!L242&lt;&gt;"Non-testable")</f>
        <v>1</v>
      </c>
      <c r="M225" s="1" t="b">
        <f>(VLOOKUP(Requirements!I242,Scope[[Role]:[Description]],2,FALSE)="In")</f>
        <v>0</v>
      </c>
      <c r="N225" s="1">
        <f t="shared" si="15"/>
        <v>0</v>
      </c>
    </row>
    <row r="226" spans="1:14">
      <c r="A226" s="1" t="str">
        <f>Requirements!A243</f>
        <v>MS-WSP_R221</v>
      </c>
      <c r="B226" s="1"/>
      <c r="C226" s="1"/>
      <c r="D226" s="1"/>
      <c r="E226" s="1"/>
      <c r="F226" s="1"/>
      <c r="G226" s="1"/>
      <c r="H226" s="3">
        <f t="shared" si="12"/>
        <v>0</v>
      </c>
      <c r="I226" s="6">
        <f t="shared" si="13"/>
        <v>0</v>
      </c>
      <c r="J226" s="1" t="b">
        <f t="shared" si="14"/>
        <v>0</v>
      </c>
      <c r="K226" s="1" t="b">
        <f>(Requirements!K243="Normative")</f>
        <v>1</v>
      </c>
      <c r="L226" s="1" t="b">
        <f>(Requirements!L243&lt;&gt;"Non-testable")</f>
        <v>1</v>
      </c>
      <c r="M226" s="1" t="b">
        <f>(VLOOKUP(Requirements!I243,Scope[[Role]:[Description]],2,FALSE)="In")</f>
        <v>0</v>
      </c>
      <c r="N226" s="1">
        <f t="shared" si="15"/>
        <v>0</v>
      </c>
    </row>
    <row r="227" spans="1:14">
      <c r="A227" s="1" t="str">
        <f>Requirements!A244</f>
        <v>MS-WSP_R222</v>
      </c>
      <c r="B227" s="1"/>
      <c r="C227" s="1"/>
      <c r="D227" s="1"/>
      <c r="E227" s="1"/>
      <c r="F227" s="1"/>
      <c r="G227" s="1"/>
      <c r="H227" s="3">
        <f t="shared" si="12"/>
        <v>0</v>
      </c>
      <c r="I227" s="6">
        <f t="shared" si="13"/>
        <v>0</v>
      </c>
      <c r="J227" s="1" t="b">
        <f t="shared" si="14"/>
        <v>0</v>
      </c>
      <c r="K227" s="1" t="b">
        <f>(Requirements!K244="Normative")</f>
        <v>1</v>
      </c>
      <c r="L227" s="1" t="b">
        <f>(Requirements!L244&lt;&gt;"Non-testable")</f>
        <v>1</v>
      </c>
      <c r="M227" s="1" t="b">
        <f>(VLOOKUP(Requirements!I244,Scope[[Role]:[Description]],2,FALSE)="In")</f>
        <v>0</v>
      </c>
      <c r="N227" s="1">
        <f t="shared" si="15"/>
        <v>0</v>
      </c>
    </row>
    <row r="228" spans="1:14">
      <c r="A228" s="1" t="str">
        <f>Requirements!A245</f>
        <v>MS-WSP_R223</v>
      </c>
      <c r="B228" s="1"/>
      <c r="C228" s="1"/>
      <c r="D228" s="1"/>
      <c r="E228" s="1"/>
      <c r="F228" s="1"/>
      <c r="G228" s="1"/>
      <c r="H228" s="3">
        <f t="shared" si="12"/>
        <v>0</v>
      </c>
      <c r="I228" s="6">
        <f t="shared" si="13"/>
        <v>0</v>
      </c>
      <c r="J228" s="1" t="b">
        <f t="shared" si="14"/>
        <v>0</v>
      </c>
      <c r="K228" s="1" t="b">
        <f>(Requirements!K245="Normative")</f>
        <v>1</v>
      </c>
      <c r="L228" s="1" t="b">
        <f>(Requirements!L245&lt;&gt;"Non-testable")</f>
        <v>1</v>
      </c>
      <c r="M228" s="1" t="b">
        <f>(VLOOKUP(Requirements!I245,Scope[[Role]:[Description]],2,FALSE)="In")</f>
        <v>0</v>
      </c>
      <c r="N228" s="1">
        <f t="shared" si="15"/>
        <v>0</v>
      </c>
    </row>
    <row r="229" spans="1:14">
      <c r="A229" s="1" t="str">
        <f>Requirements!A246</f>
        <v>MS-WSP_R224</v>
      </c>
      <c r="B229" s="1"/>
      <c r="C229" s="1"/>
      <c r="D229" s="1"/>
      <c r="E229" s="1"/>
      <c r="F229" s="1"/>
      <c r="G229" s="1"/>
      <c r="H229" s="3">
        <f t="shared" si="12"/>
        <v>0</v>
      </c>
      <c r="I229" s="6">
        <f t="shared" si="13"/>
        <v>0</v>
      </c>
      <c r="J229" s="1" t="b">
        <f t="shared" si="14"/>
        <v>0</v>
      </c>
      <c r="K229" s="1" t="b">
        <f>(Requirements!K246="Normative")</f>
        <v>1</v>
      </c>
      <c r="L229" s="1" t="b">
        <f>(Requirements!L246&lt;&gt;"Non-testable")</f>
        <v>1</v>
      </c>
      <c r="M229" s="1" t="b">
        <f>(VLOOKUP(Requirements!I246,Scope[[Role]:[Description]],2,FALSE)="In")</f>
        <v>0</v>
      </c>
      <c r="N229" s="1">
        <f t="shared" si="15"/>
        <v>0</v>
      </c>
    </row>
    <row r="230" spans="1:14">
      <c r="A230" s="1" t="str">
        <f>Requirements!A247</f>
        <v>MS-WSP_R225</v>
      </c>
      <c r="B230" s="1"/>
      <c r="C230" s="1"/>
      <c r="D230" s="1"/>
      <c r="E230" s="1"/>
      <c r="F230" s="1"/>
      <c r="G230" s="1"/>
      <c r="H230" s="3">
        <f t="shared" si="12"/>
        <v>0</v>
      </c>
      <c r="I230" s="6">
        <f t="shared" si="13"/>
        <v>0</v>
      </c>
      <c r="J230" s="1" t="b">
        <f t="shared" si="14"/>
        <v>0</v>
      </c>
      <c r="K230" s="1" t="b">
        <f>(Requirements!K247="Normative")</f>
        <v>1</v>
      </c>
      <c r="L230" s="1" t="b">
        <f>(Requirements!L247&lt;&gt;"Non-testable")</f>
        <v>1</v>
      </c>
      <c r="M230" s="1" t="b">
        <f>(VLOOKUP(Requirements!I247,Scope[[Role]:[Description]],2,FALSE)="In")</f>
        <v>0</v>
      </c>
      <c r="N230" s="1">
        <f t="shared" si="15"/>
        <v>0</v>
      </c>
    </row>
    <row r="231" spans="1:14">
      <c r="A231" s="1" t="str">
        <f>Requirements!A248</f>
        <v>MS-WSP_R226</v>
      </c>
      <c r="B231" s="1"/>
      <c r="C231" s="1"/>
      <c r="D231" s="1"/>
      <c r="E231" s="1"/>
      <c r="F231" s="1"/>
      <c r="G231" s="1"/>
      <c r="H231" s="3">
        <f t="shared" si="12"/>
        <v>0</v>
      </c>
      <c r="I231" s="6">
        <f t="shared" si="13"/>
        <v>0</v>
      </c>
      <c r="J231" s="1" t="b">
        <f t="shared" si="14"/>
        <v>0</v>
      </c>
      <c r="K231" s="1" t="b">
        <f>(Requirements!K248="Normative")</f>
        <v>1</v>
      </c>
      <c r="L231" s="1" t="b">
        <f>(Requirements!L248&lt;&gt;"Non-testable")</f>
        <v>1</v>
      </c>
      <c r="M231" s="1" t="b">
        <f>(VLOOKUP(Requirements!I248,Scope[[Role]:[Description]],2,FALSE)="In")</f>
        <v>0</v>
      </c>
      <c r="N231" s="1">
        <f t="shared" si="15"/>
        <v>0</v>
      </c>
    </row>
    <row r="232" spans="1:14">
      <c r="A232" s="1" t="str">
        <f>Requirements!A249</f>
        <v>MS-WSP_R227</v>
      </c>
      <c r="B232" s="1"/>
      <c r="C232" s="1"/>
      <c r="D232" s="1"/>
      <c r="E232" s="1"/>
      <c r="F232" s="1"/>
      <c r="G232" s="1"/>
      <c r="H232" s="3">
        <f t="shared" si="12"/>
        <v>0</v>
      </c>
      <c r="I232" s="6">
        <f t="shared" si="13"/>
        <v>0</v>
      </c>
      <c r="J232" s="1" t="b">
        <f t="shared" si="14"/>
        <v>0</v>
      </c>
      <c r="K232" s="1" t="b">
        <f>(Requirements!K249="Normative")</f>
        <v>1</v>
      </c>
      <c r="L232" s="1" t="b">
        <f>(Requirements!L249&lt;&gt;"Non-testable")</f>
        <v>0</v>
      </c>
      <c r="M232" s="1" t="b">
        <f>(VLOOKUP(Requirements!I249,Scope[[Role]:[Description]],2,FALSE)="In")</f>
        <v>1</v>
      </c>
      <c r="N232" s="1">
        <f t="shared" si="15"/>
        <v>0</v>
      </c>
    </row>
    <row r="233" spans="1:14">
      <c r="A233" s="1" t="str">
        <f>Requirements!A250</f>
        <v>MS-WSP_R228</v>
      </c>
      <c r="B233" s="1">
        <v>1</v>
      </c>
      <c r="C233" s="1">
        <v>1</v>
      </c>
      <c r="D233" s="1"/>
      <c r="E233" s="1"/>
      <c r="F233" s="1"/>
      <c r="G233" s="1">
        <v>1</v>
      </c>
      <c r="H233" s="3">
        <f t="shared" si="12"/>
        <v>3</v>
      </c>
      <c r="I233" s="6">
        <f t="shared" si="13"/>
        <v>1</v>
      </c>
      <c r="J233" s="1" t="b">
        <f t="shared" si="14"/>
        <v>1</v>
      </c>
      <c r="K233" s="1" t="b">
        <f>(Requirements!K250="Normative")</f>
        <v>1</v>
      </c>
      <c r="L233" s="1" t="b">
        <f>(Requirements!L250&lt;&gt;"Non-testable")</f>
        <v>1</v>
      </c>
      <c r="M233" s="1" t="b">
        <f>(VLOOKUP(Requirements!I250,Scope[[Role]:[Description]],2,FALSE)="In")</f>
        <v>1</v>
      </c>
      <c r="N233" s="1">
        <f t="shared" si="15"/>
        <v>1</v>
      </c>
    </row>
    <row r="234" spans="1:14">
      <c r="A234" s="1" t="str">
        <f>Requirements!A251</f>
        <v>MS-WSP_R229</v>
      </c>
      <c r="B234" s="1"/>
      <c r="C234" s="1"/>
      <c r="D234" s="1"/>
      <c r="E234" s="1"/>
      <c r="F234" s="1"/>
      <c r="G234" s="1"/>
      <c r="H234" s="3">
        <f t="shared" si="12"/>
        <v>0</v>
      </c>
      <c r="I234" s="6">
        <f t="shared" si="13"/>
        <v>0</v>
      </c>
      <c r="J234" s="1" t="b">
        <f t="shared" si="14"/>
        <v>0</v>
      </c>
      <c r="K234" s="1" t="b">
        <f>(Requirements!K251="Normative")</f>
        <v>1</v>
      </c>
      <c r="L234" s="1" t="b">
        <f>(Requirements!L251&lt;&gt;"Non-testable")</f>
        <v>1</v>
      </c>
      <c r="M234" s="1" t="b">
        <f>(VLOOKUP(Requirements!I251,Scope[[Role]:[Description]],2,FALSE)="In")</f>
        <v>0</v>
      </c>
      <c r="N234" s="1">
        <f t="shared" si="15"/>
        <v>0</v>
      </c>
    </row>
    <row r="235" spans="1:14">
      <c r="A235" s="1" t="str">
        <f>Requirements!A252</f>
        <v>MS-WSP_R230</v>
      </c>
      <c r="B235" s="1"/>
      <c r="C235" s="1"/>
      <c r="D235" s="1"/>
      <c r="E235" s="1"/>
      <c r="F235" s="1"/>
      <c r="G235" s="1"/>
      <c r="H235" s="3">
        <f t="shared" si="12"/>
        <v>0</v>
      </c>
      <c r="I235" s="6">
        <f t="shared" si="13"/>
        <v>0</v>
      </c>
      <c r="J235" s="1" t="b">
        <f t="shared" si="14"/>
        <v>0</v>
      </c>
      <c r="K235" s="1" t="b">
        <f>(Requirements!K252="Normative")</f>
        <v>1</v>
      </c>
      <c r="L235" s="1" t="b">
        <f>(Requirements!L252&lt;&gt;"Non-testable")</f>
        <v>1</v>
      </c>
      <c r="M235" s="1" t="b">
        <f>(VLOOKUP(Requirements!I252,Scope[[Role]:[Description]],2,FALSE)="In")</f>
        <v>0</v>
      </c>
      <c r="N235" s="1">
        <f t="shared" si="15"/>
        <v>0</v>
      </c>
    </row>
    <row r="236" spans="1:14">
      <c r="A236" s="1" t="str">
        <f>Requirements!A253</f>
        <v>MS-WSP_R231</v>
      </c>
      <c r="B236" s="1"/>
      <c r="C236" s="1"/>
      <c r="D236" s="1"/>
      <c r="E236" s="1"/>
      <c r="F236" s="1"/>
      <c r="G236" s="1"/>
      <c r="H236" s="3">
        <f t="shared" si="12"/>
        <v>0</v>
      </c>
      <c r="I236" s="6">
        <f t="shared" si="13"/>
        <v>0</v>
      </c>
      <c r="J236" s="1" t="b">
        <f t="shared" si="14"/>
        <v>0</v>
      </c>
      <c r="K236" s="1" t="b">
        <f>(Requirements!K253="Normative")</f>
        <v>1</v>
      </c>
      <c r="L236" s="1" t="b">
        <f>(Requirements!L253&lt;&gt;"Non-testable")</f>
        <v>1</v>
      </c>
      <c r="M236" s="1" t="b">
        <f>(VLOOKUP(Requirements!I253,Scope[[Role]:[Description]],2,FALSE)="In")</f>
        <v>0</v>
      </c>
      <c r="N236" s="1">
        <f t="shared" si="15"/>
        <v>0</v>
      </c>
    </row>
    <row r="237" spans="1:14">
      <c r="A237" s="1" t="str">
        <f>Requirements!A254</f>
        <v>MS-WSP_R232</v>
      </c>
      <c r="B237" s="1"/>
      <c r="C237" s="1"/>
      <c r="D237" s="1"/>
      <c r="E237" s="1"/>
      <c r="F237" s="1"/>
      <c r="G237" s="1"/>
      <c r="H237" s="3">
        <f t="shared" si="12"/>
        <v>0</v>
      </c>
      <c r="I237" s="6">
        <f t="shared" si="13"/>
        <v>0</v>
      </c>
      <c r="J237" s="1" t="b">
        <f t="shared" si="14"/>
        <v>0</v>
      </c>
      <c r="K237" s="1" t="b">
        <f>(Requirements!K254="Normative")</f>
        <v>1</v>
      </c>
      <c r="L237" s="1" t="b">
        <f>(Requirements!L254&lt;&gt;"Non-testable")</f>
        <v>1</v>
      </c>
      <c r="M237" s="1" t="b">
        <f>(VLOOKUP(Requirements!I254,Scope[[Role]:[Description]],2,FALSE)="In")</f>
        <v>0</v>
      </c>
      <c r="N237" s="1">
        <f t="shared" si="15"/>
        <v>0</v>
      </c>
    </row>
    <row r="238" spans="1:14">
      <c r="A238" s="1" t="str">
        <f>Requirements!A255</f>
        <v>MS-WSP_R233</v>
      </c>
      <c r="B238" s="1"/>
      <c r="C238" s="1"/>
      <c r="D238" s="1"/>
      <c r="E238" s="1"/>
      <c r="F238" s="1"/>
      <c r="G238" s="1"/>
      <c r="H238" s="3">
        <f t="shared" si="12"/>
        <v>0</v>
      </c>
      <c r="I238" s="6">
        <f t="shared" si="13"/>
        <v>0</v>
      </c>
      <c r="J238" s="1" t="b">
        <f t="shared" si="14"/>
        <v>0</v>
      </c>
      <c r="K238" s="1" t="b">
        <f>(Requirements!K255="Normative")</f>
        <v>1</v>
      </c>
      <c r="L238" s="1" t="b">
        <f>(Requirements!L255&lt;&gt;"Non-testable")</f>
        <v>1</v>
      </c>
      <c r="M238" s="1" t="b">
        <f>(VLOOKUP(Requirements!I255,Scope[[Role]:[Description]],2,FALSE)="In")</f>
        <v>0</v>
      </c>
      <c r="N238" s="1">
        <f t="shared" si="15"/>
        <v>0</v>
      </c>
    </row>
    <row r="239" spans="1:14">
      <c r="A239" s="1" t="str">
        <f>Requirements!A256</f>
        <v>MS-WSP_R234</v>
      </c>
      <c r="B239" s="1"/>
      <c r="C239" s="1"/>
      <c r="D239" s="1"/>
      <c r="E239" s="1"/>
      <c r="F239" s="1"/>
      <c r="G239" s="1"/>
      <c r="H239" s="3">
        <f t="shared" si="12"/>
        <v>0</v>
      </c>
      <c r="I239" s="6">
        <f t="shared" si="13"/>
        <v>0</v>
      </c>
      <c r="J239" s="1" t="b">
        <f t="shared" si="14"/>
        <v>0</v>
      </c>
      <c r="K239" s="1" t="b">
        <f>(Requirements!K256="Normative")</f>
        <v>1</v>
      </c>
      <c r="L239" s="1" t="b">
        <f>(Requirements!L256&lt;&gt;"Non-testable")</f>
        <v>1</v>
      </c>
      <c r="M239" s="1" t="b">
        <f>(VLOOKUP(Requirements!I256,Scope[[Role]:[Description]],2,FALSE)="In")</f>
        <v>0</v>
      </c>
      <c r="N239" s="1">
        <f t="shared" si="15"/>
        <v>0</v>
      </c>
    </row>
    <row r="240" spans="1:14">
      <c r="A240" s="1" t="str">
        <f>Requirements!A257</f>
        <v>MS-WSP_R235</v>
      </c>
      <c r="B240" s="1"/>
      <c r="C240" s="1"/>
      <c r="D240" s="1"/>
      <c r="E240" s="1"/>
      <c r="F240" s="1"/>
      <c r="G240" s="1"/>
      <c r="H240" s="3">
        <f t="shared" si="12"/>
        <v>0</v>
      </c>
      <c r="I240" s="6">
        <f t="shared" si="13"/>
        <v>0</v>
      </c>
      <c r="J240" s="1" t="b">
        <f t="shared" si="14"/>
        <v>0</v>
      </c>
      <c r="K240" s="1" t="b">
        <f>(Requirements!K257="Normative")</f>
        <v>1</v>
      </c>
      <c r="L240" s="1" t="b">
        <f>(Requirements!L257&lt;&gt;"Non-testable")</f>
        <v>1</v>
      </c>
      <c r="M240" s="1" t="b">
        <f>(VLOOKUP(Requirements!I257,Scope[[Role]:[Description]],2,FALSE)="In")</f>
        <v>0</v>
      </c>
      <c r="N240" s="1">
        <f t="shared" si="15"/>
        <v>0</v>
      </c>
    </row>
    <row r="241" spans="1:14">
      <c r="A241" s="1" t="str">
        <f>Requirements!A258</f>
        <v>MS-WSP_R236</v>
      </c>
      <c r="B241" s="1"/>
      <c r="C241" s="1"/>
      <c r="D241" s="1"/>
      <c r="E241" s="1"/>
      <c r="F241" s="1"/>
      <c r="G241" s="1"/>
      <c r="H241" s="3">
        <f t="shared" si="12"/>
        <v>0</v>
      </c>
      <c r="I241" s="6">
        <f t="shared" si="13"/>
        <v>0</v>
      </c>
      <c r="J241" s="1" t="b">
        <f t="shared" si="14"/>
        <v>0</v>
      </c>
      <c r="K241" s="1" t="b">
        <f>(Requirements!K258="Normative")</f>
        <v>1</v>
      </c>
      <c r="L241" s="1" t="b">
        <f>(Requirements!L258&lt;&gt;"Non-testable")</f>
        <v>1</v>
      </c>
      <c r="M241" s="1" t="b">
        <f>(VLOOKUP(Requirements!I258,Scope[[Role]:[Description]],2,FALSE)="In")</f>
        <v>0</v>
      </c>
      <c r="N241" s="1">
        <f t="shared" si="15"/>
        <v>0</v>
      </c>
    </row>
    <row r="242" spans="1:14">
      <c r="A242" s="1" t="str">
        <f>Requirements!A259</f>
        <v>MS-WSP_R237</v>
      </c>
      <c r="B242" s="1"/>
      <c r="C242" s="1"/>
      <c r="D242" s="1"/>
      <c r="E242" s="1"/>
      <c r="F242" s="1"/>
      <c r="G242" s="1"/>
      <c r="H242" s="3">
        <f t="shared" si="12"/>
        <v>0</v>
      </c>
      <c r="I242" s="6">
        <f t="shared" si="13"/>
        <v>0</v>
      </c>
      <c r="J242" s="1" t="b">
        <f t="shared" si="14"/>
        <v>0</v>
      </c>
      <c r="K242" s="1" t="b">
        <f>(Requirements!K259="Normative")</f>
        <v>1</v>
      </c>
      <c r="L242" s="1" t="b">
        <f>(Requirements!L259&lt;&gt;"Non-testable")</f>
        <v>1</v>
      </c>
      <c r="M242" s="1" t="b">
        <f>(VLOOKUP(Requirements!I259,Scope[[Role]:[Description]],2,FALSE)="In")</f>
        <v>0</v>
      </c>
      <c r="N242" s="1">
        <f t="shared" si="15"/>
        <v>0</v>
      </c>
    </row>
    <row r="243" spans="1:14">
      <c r="A243" s="1" t="str">
        <f>Requirements!A260</f>
        <v>MS-WSP_R238</v>
      </c>
      <c r="B243" s="1"/>
      <c r="C243" s="1"/>
      <c r="D243" s="1"/>
      <c r="E243" s="1"/>
      <c r="F243" s="1"/>
      <c r="G243" s="1"/>
      <c r="H243" s="3">
        <f t="shared" si="12"/>
        <v>0</v>
      </c>
      <c r="I243" s="6">
        <f t="shared" si="13"/>
        <v>0</v>
      </c>
      <c r="J243" s="1" t="b">
        <f t="shared" si="14"/>
        <v>0</v>
      </c>
      <c r="K243" s="1" t="b">
        <f>(Requirements!K260="Normative")</f>
        <v>1</v>
      </c>
      <c r="L243" s="1" t="b">
        <f>(Requirements!L260&lt;&gt;"Non-testable")</f>
        <v>1</v>
      </c>
      <c r="M243" s="1" t="b">
        <f>(VLOOKUP(Requirements!I260,Scope[[Role]:[Description]],2,FALSE)="In")</f>
        <v>0</v>
      </c>
      <c r="N243" s="1">
        <f t="shared" si="15"/>
        <v>0</v>
      </c>
    </row>
    <row r="244" spans="1:14">
      <c r="A244" s="1" t="str">
        <f>Requirements!A261</f>
        <v>MS-WSP_R239</v>
      </c>
      <c r="B244" s="1"/>
      <c r="C244" s="1"/>
      <c r="D244" s="1"/>
      <c r="E244" s="1"/>
      <c r="F244" s="1"/>
      <c r="G244" s="1"/>
      <c r="H244" s="3">
        <f t="shared" si="12"/>
        <v>0</v>
      </c>
      <c r="I244" s="6">
        <f t="shared" si="13"/>
        <v>0</v>
      </c>
      <c r="J244" s="1" t="b">
        <f t="shared" si="14"/>
        <v>0</v>
      </c>
      <c r="K244" s="1" t="b">
        <f>(Requirements!K261="Normative")</f>
        <v>1</v>
      </c>
      <c r="L244" s="1" t="b">
        <f>(Requirements!L261&lt;&gt;"Non-testable")</f>
        <v>1</v>
      </c>
      <c r="M244" s="1" t="b">
        <f>(VLOOKUP(Requirements!I261,Scope[[Role]:[Description]],2,FALSE)="In")</f>
        <v>0</v>
      </c>
      <c r="N244" s="1">
        <f t="shared" si="15"/>
        <v>0</v>
      </c>
    </row>
    <row r="245" spans="1:14">
      <c r="A245" s="1" t="str">
        <f>Requirements!A262</f>
        <v>MS-WSP_R240</v>
      </c>
      <c r="B245" s="1"/>
      <c r="C245" s="1"/>
      <c r="D245" s="1"/>
      <c r="E245" s="1"/>
      <c r="F245" s="1"/>
      <c r="G245" s="1"/>
      <c r="H245" s="3">
        <f t="shared" si="12"/>
        <v>0</v>
      </c>
      <c r="I245" s="6">
        <f t="shared" si="13"/>
        <v>0</v>
      </c>
      <c r="J245" s="1" t="b">
        <f t="shared" si="14"/>
        <v>0</v>
      </c>
      <c r="K245" s="1" t="b">
        <f>(Requirements!K262="Normative")</f>
        <v>1</v>
      </c>
      <c r="L245" s="1" t="b">
        <f>(Requirements!L262&lt;&gt;"Non-testable")</f>
        <v>1</v>
      </c>
      <c r="M245" s="1" t="b">
        <f>(VLOOKUP(Requirements!I262,Scope[[Role]:[Description]],2,FALSE)="In")</f>
        <v>0</v>
      </c>
      <c r="N245" s="1">
        <f t="shared" si="15"/>
        <v>0</v>
      </c>
    </row>
    <row r="246" spans="1:14">
      <c r="A246" s="1" t="str">
        <f>Requirements!A263</f>
        <v>MS-WSP_R241</v>
      </c>
      <c r="B246" s="1"/>
      <c r="C246" s="1"/>
      <c r="D246" s="1"/>
      <c r="E246" s="1"/>
      <c r="F246" s="1"/>
      <c r="G246" s="1"/>
      <c r="H246" s="3">
        <f t="shared" si="12"/>
        <v>0</v>
      </c>
      <c r="I246" s="6">
        <f t="shared" si="13"/>
        <v>0</v>
      </c>
      <c r="J246" s="1" t="b">
        <f t="shared" si="14"/>
        <v>0</v>
      </c>
      <c r="K246" s="1" t="b">
        <f>(Requirements!K263="Normative")</f>
        <v>1</v>
      </c>
      <c r="L246" s="1" t="b">
        <f>(Requirements!L263&lt;&gt;"Non-testable")</f>
        <v>1</v>
      </c>
      <c r="M246" s="1" t="b">
        <f>(VLOOKUP(Requirements!I263,Scope[[Role]:[Description]],2,FALSE)="In")</f>
        <v>0</v>
      </c>
      <c r="N246" s="1">
        <f t="shared" si="15"/>
        <v>0</v>
      </c>
    </row>
    <row r="247" spans="1:14">
      <c r="A247" s="1" t="str">
        <f>Requirements!A264</f>
        <v>MS-WSP_R242</v>
      </c>
      <c r="B247" s="1"/>
      <c r="C247" s="1"/>
      <c r="D247" s="1"/>
      <c r="E247" s="1"/>
      <c r="F247" s="1"/>
      <c r="G247" s="1"/>
      <c r="H247" s="3">
        <f t="shared" si="12"/>
        <v>0</v>
      </c>
      <c r="I247" s="6">
        <f t="shared" si="13"/>
        <v>0</v>
      </c>
      <c r="J247" s="1" t="b">
        <f t="shared" si="14"/>
        <v>0</v>
      </c>
      <c r="K247" s="1" t="b">
        <f>(Requirements!K264="Normative")</f>
        <v>1</v>
      </c>
      <c r="L247" s="1" t="b">
        <f>(Requirements!L264&lt;&gt;"Non-testable")</f>
        <v>1</v>
      </c>
      <c r="M247" s="1" t="b">
        <f>(VLOOKUP(Requirements!I264,Scope[[Role]:[Description]],2,FALSE)="In")</f>
        <v>0</v>
      </c>
      <c r="N247" s="1">
        <f t="shared" si="15"/>
        <v>0</v>
      </c>
    </row>
    <row r="248" spans="1:14">
      <c r="A248" s="1" t="str">
        <f>Requirements!A265</f>
        <v>MS-WSP_R243</v>
      </c>
      <c r="B248" s="1"/>
      <c r="C248" s="1"/>
      <c r="D248" s="1"/>
      <c r="E248" s="1"/>
      <c r="F248" s="1"/>
      <c r="G248" s="1"/>
      <c r="H248" s="3">
        <f t="shared" si="12"/>
        <v>0</v>
      </c>
      <c r="I248" s="6">
        <f t="shared" si="13"/>
        <v>0</v>
      </c>
      <c r="J248" s="1" t="b">
        <f t="shared" si="14"/>
        <v>0</v>
      </c>
      <c r="K248" s="1" t="b">
        <f>(Requirements!K265="Normative")</f>
        <v>1</v>
      </c>
      <c r="L248" s="1" t="b">
        <f>(Requirements!L265&lt;&gt;"Non-testable")</f>
        <v>1</v>
      </c>
      <c r="M248" s="1" t="b">
        <f>(VLOOKUP(Requirements!I265,Scope[[Role]:[Description]],2,FALSE)="In")</f>
        <v>0</v>
      </c>
      <c r="N248" s="1">
        <f t="shared" si="15"/>
        <v>0</v>
      </c>
    </row>
    <row r="249" spans="1:14">
      <c r="A249" s="1" t="str">
        <f>Requirements!A266</f>
        <v>MS-WSP_R244</v>
      </c>
      <c r="B249" s="1"/>
      <c r="C249" s="1"/>
      <c r="D249" s="1"/>
      <c r="E249" s="1"/>
      <c r="F249" s="1"/>
      <c r="G249" s="1"/>
      <c r="H249" s="3">
        <f t="shared" si="12"/>
        <v>0</v>
      </c>
      <c r="I249" s="6">
        <f t="shared" si="13"/>
        <v>0</v>
      </c>
      <c r="J249" s="1" t="b">
        <f t="shared" si="14"/>
        <v>0</v>
      </c>
      <c r="K249" s="1" t="b">
        <f>(Requirements!K266="Normative")</f>
        <v>1</v>
      </c>
      <c r="L249" s="1" t="b">
        <f>(Requirements!L266&lt;&gt;"Non-testable")</f>
        <v>1</v>
      </c>
      <c r="M249" s="1" t="b">
        <f>(VLOOKUP(Requirements!I266,Scope[[Role]:[Description]],2,FALSE)="In")</f>
        <v>0</v>
      </c>
      <c r="N249" s="1">
        <f t="shared" si="15"/>
        <v>0</v>
      </c>
    </row>
    <row r="250" spans="1:14">
      <c r="A250" s="1" t="str">
        <f>Requirements!A267</f>
        <v>MS-WSP_R245</v>
      </c>
      <c r="B250" s="1"/>
      <c r="C250" s="1"/>
      <c r="D250" s="1"/>
      <c r="E250" s="1"/>
      <c r="F250" s="1"/>
      <c r="G250" s="1"/>
      <c r="H250" s="3">
        <f t="shared" si="12"/>
        <v>0</v>
      </c>
      <c r="I250" s="6">
        <f t="shared" si="13"/>
        <v>0</v>
      </c>
      <c r="J250" s="1" t="b">
        <f t="shared" si="14"/>
        <v>0</v>
      </c>
      <c r="K250" s="1" t="b">
        <f>(Requirements!K267="Normative")</f>
        <v>1</v>
      </c>
      <c r="L250" s="1" t="b">
        <f>(Requirements!L267&lt;&gt;"Non-testable")</f>
        <v>1</v>
      </c>
      <c r="M250" s="1" t="b">
        <f>(VLOOKUP(Requirements!I267,Scope[[Role]:[Description]],2,FALSE)="In")</f>
        <v>0</v>
      </c>
      <c r="N250" s="1">
        <f t="shared" si="15"/>
        <v>0</v>
      </c>
    </row>
    <row r="251" spans="1:14">
      <c r="A251" s="1" t="str">
        <f>Requirements!A268</f>
        <v>MS-WSP_R246</v>
      </c>
      <c r="B251" s="1"/>
      <c r="C251" s="1"/>
      <c r="D251" s="1"/>
      <c r="E251" s="1"/>
      <c r="F251" s="1"/>
      <c r="G251" s="1"/>
      <c r="H251" s="3">
        <f t="shared" si="12"/>
        <v>0</v>
      </c>
      <c r="I251" s="6">
        <f t="shared" si="13"/>
        <v>0</v>
      </c>
      <c r="J251" s="1" t="b">
        <f t="shared" si="14"/>
        <v>0</v>
      </c>
      <c r="K251" s="1" t="b">
        <f>(Requirements!K268="Normative")</f>
        <v>1</v>
      </c>
      <c r="L251" s="1" t="b">
        <f>(Requirements!L268&lt;&gt;"Non-testable")</f>
        <v>1</v>
      </c>
      <c r="M251" s="1" t="b">
        <f>(VLOOKUP(Requirements!I268,Scope[[Role]:[Description]],2,FALSE)="In")</f>
        <v>0</v>
      </c>
      <c r="N251" s="1">
        <f t="shared" si="15"/>
        <v>0</v>
      </c>
    </row>
    <row r="252" spans="1:14">
      <c r="A252" s="1" t="str">
        <f>Requirements!A269</f>
        <v>MS-WSP_R247</v>
      </c>
      <c r="B252" s="1"/>
      <c r="C252" s="1"/>
      <c r="D252" s="1"/>
      <c r="E252" s="1"/>
      <c r="F252" s="1"/>
      <c r="G252" s="1"/>
      <c r="H252" s="3">
        <f t="shared" si="12"/>
        <v>0</v>
      </c>
      <c r="I252" s="6">
        <f t="shared" si="13"/>
        <v>0</v>
      </c>
      <c r="J252" s="1" t="b">
        <f t="shared" si="14"/>
        <v>0</v>
      </c>
      <c r="K252" s="1" t="b">
        <f>(Requirements!K269="Normative")</f>
        <v>1</v>
      </c>
      <c r="L252" s="1" t="b">
        <f>(Requirements!L269&lt;&gt;"Non-testable")</f>
        <v>1</v>
      </c>
      <c r="M252" s="1" t="b">
        <f>(VLOOKUP(Requirements!I269,Scope[[Role]:[Description]],2,FALSE)="In")</f>
        <v>0</v>
      </c>
      <c r="N252" s="1">
        <f t="shared" si="15"/>
        <v>0</v>
      </c>
    </row>
    <row r="253" spans="1:14">
      <c r="A253" s="1" t="str">
        <f>Requirements!A270</f>
        <v>MS-WSP_R248</v>
      </c>
      <c r="B253" s="1"/>
      <c r="C253" s="1"/>
      <c r="D253" s="1"/>
      <c r="E253" s="1"/>
      <c r="F253" s="1"/>
      <c r="G253" s="1"/>
      <c r="H253" s="3">
        <f t="shared" si="12"/>
        <v>0</v>
      </c>
      <c r="I253" s="6">
        <f t="shared" si="13"/>
        <v>0</v>
      </c>
      <c r="J253" s="1" t="b">
        <f t="shared" si="14"/>
        <v>0</v>
      </c>
      <c r="K253" s="1" t="b">
        <f>(Requirements!K270="Normative")</f>
        <v>1</v>
      </c>
      <c r="L253" s="1" t="b">
        <f>(Requirements!L270&lt;&gt;"Non-testable")</f>
        <v>1</v>
      </c>
      <c r="M253" s="1" t="b">
        <f>(VLOOKUP(Requirements!I270,Scope[[Role]:[Description]],2,FALSE)="In")</f>
        <v>0</v>
      </c>
      <c r="N253" s="1">
        <f t="shared" si="15"/>
        <v>0</v>
      </c>
    </row>
    <row r="254" spans="1:14">
      <c r="A254" s="1" t="str">
        <f>Requirements!A271</f>
        <v>MS-WSP_R249</v>
      </c>
      <c r="B254" s="1"/>
      <c r="C254" s="1"/>
      <c r="D254" s="1"/>
      <c r="E254" s="1"/>
      <c r="F254" s="1"/>
      <c r="G254" s="1"/>
      <c r="H254" s="3">
        <f t="shared" si="12"/>
        <v>0</v>
      </c>
      <c r="I254" s="6">
        <f t="shared" si="13"/>
        <v>0</v>
      </c>
      <c r="J254" s="1" t="b">
        <f t="shared" si="14"/>
        <v>0</v>
      </c>
      <c r="K254" s="1" t="b">
        <f>(Requirements!K271="Normative")</f>
        <v>1</v>
      </c>
      <c r="L254" s="1" t="b">
        <f>(Requirements!L271&lt;&gt;"Non-testable")</f>
        <v>0</v>
      </c>
      <c r="M254" s="1" t="b">
        <f>(VLOOKUP(Requirements!I271,Scope[[Role]:[Description]],2,FALSE)="In")</f>
        <v>1</v>
      </c>
      <c r="N254" s="1">
        <f t="shared" si="15"/>
        <v>0</v>
      </c>
    </row>
    <row r="255" spans="1:14">
      <c r="A255" s="1" t="str">
        <f>Requirements!A272</f>
        <v>MS-WSP_R250</v>
      </c>
      <c r="B255" s="1"/>
      <c r="C255" s="1"/>
      <c r="D255" s="1"/>
      <c r="E255" s="1"/>
      <c r="F255" s="1"/>
      <c r="G255" s="1"/>
      <c r="H255" s="3">
        <f t="shared" si="12"/>
        <v>0</v>
      </c>
      <c r="I255" s="6">
        <f t="shared" si="13"/>
        <v>0</v>
      </c>
      <c r="J255" s="1" t="b">
        <f t="shared" si="14"/>
        <v>0</v>
      </c>
      <c r="K255" s="1" t="b">
        <f>(Requirements!K272="Normative")</f>
        <v>1</v>
      </c>
      <c r="L255" s="1" t="b">
        <f>(Requirements!L272&lt;&gt;"Non-testable")</f>
        <v>1</v>
      </c>
      <c r="M255" s="1" t="b">
        <f>(VLOOKUP(Requirements!I272,Scope[[Role]:[Description]],2,FALSE)="In")</f>
        <v>0</v>
      </c>
      <c r="N255" s="1">
        <f t="shared" si="15"/>
        <v>0</v>
      </c>
    </row>
    <row r="256" spans="1:14">
      <c r="A256" s="1" t="str">
        <f>Requirements!A273</f>
        <v>MS-WSP_R251</v>
      </c>
      <c r="B256" s="1"/>
      <c r="C256" s="1"/>
      <c r="D256" s="1"/>
      <c r="E256" s="1"/>
      <c r="F256" s="1"/>
      <c r="G256" s="1"/>
      <c r="H256" s="3">
        <f t="shared" si="12"/>
        <v>0</v>
      </c>
      <c r="I256" s="6">
        <f t="shared" si="13"/>
        <v>0</v>
      </c>
      <c r="J256" s="1" t="b">
        <f t="shared" si="14"/>
        <v>0</v>
      </c>
      <c r="K256" s="1" t="b">
        <f>(Requirements!K273="Normative")</f>
        <v>1</v>
      </c>
      <c r="L256" s="1" t="b">
        <f>(Requirements!L273&lt;&gt;"Non-testable")</f>
        <v>1</v>
      </c>
      <c r="M256" s="1" t="b">
        <f>(VLOOKUP(Requirements!I273,Scope[[Role]:[Description]],2,FALSE)="In")</f>
        <v>0</v>
      </c>
      <c r="N256" s="1">
        <f t="shared" si="15"/>
        <v>0</v>
      </c>
    </row>
    <row r="257" spans="1:14">
      <c r="A257" s="1" t="str">
        <f>Requirements!A274</f>
        <v>MS-WSP_R252</v>
      </c>
      <c r="B257" s="1"/>
      <c r="C257" s="1"/>
      <c r="D257" s="1"/>
      <c r="E257" s="1"/>
      <c r="F257" s="1"/>
      <c r="G257" s="1"/>
      <c r="H257" s="3">
        <f t="shared" si="12"/>
        <v>0</v>
      </c>
      <c r="I257" s="6">
        <f t="shared" si="13"/>
        <v>0</v>
      </c>
      <c r="J257" s="1" t="b">
        <f t="shared" si="14"/>
        <v>0</v>
      </c>
      <c r="K257" s="1" t="b">
        <f>(Requirements!K274="Normative")</f>
        <v>1</v>
      </c>
      <c r="L257" s="1" t="b">
        <f>(Requirements!L274&lt;&gt;"Non-testable")</f>
        <v>1</v>
      </c>
      <c r="M257" s="1" t="b">
        <f>(VLOOKUP(Requirements!I274,Scope[[Role]:[Description]],2,FALSE)="In")</f>
        <v>0</v>
      </c>
      <c r="N257" s="1">
        <f t="shared" si="15"/>
        <v>0</v>
      </c>
    </row>
    <row r="258" spans="1:14">
      <c r="A258" s="1" t="str">
        <f>Requirements!A275</f>
        <v>MS-WSP_R253</v>
      </c>
      <c r="B258" s="1"/>
      <c r="C258" s="1"/>
      <c r="D258" s="1"/>
      <c r="E258" s="1"/>
      <c r="F258" s="1"/>
      <c r="G258" s="1"/>
      <c r="H258" s="3">
        <f t="shared" si="12"/>
        <v>0</v>
      </c>
      <c r="I258" s="6">
        <f t="shared" si="13"/>
        <v>0</v>
      </c>
      <c r="J258" s="1" t="b">
        <f t="shared" si="14"/>
        <v>0</v>
      </c>
      <c r="K258" s="1" t="b">
        <f>(Requirements!K275="Normative")</f>
        <v>1</v>
      </c>
      <c r="L258" s="1" t="b">
        <f>(Requirements!L275&lt;&gt;"Non-testable")</f>
        <v>1</v>
      </c>
      <c r="M258" s="1" t="b">
        <f>(VLOOKUP(Requirements!I275,Scope[[Role]:[Description]],2,FALSE)="In")</f>
        <v>0</v>
      </c>
      <c r="N258" s="1">
        <f t="shared" si="15"/>
        <v>0</v>
      </c>
    </row>
    <row r="259" spans="1:14">
      <c r="A259" s="1" t="str">
        <f>Requirements!A276</f>
        <v>MS-WSP_R254</v>
      </c>
      <c r="B259" s="1"/>
      <c r="C259" s="1"/>
      <c r="D259" s="1"/>
      <c r="E259" s="1"/>
      <c r="F259" s="1"/>
      <c r="G259" s="1"/>
      <c r="H259" s="3">
        <f t="shared" si="12"/>
        <v>0</v>
      </c>
      <c r="I259" s="6">
        <f t="shared" si="13"/>
        <v>0</v>
      </c>
      <c r="J259" s="1" t="b">
        <f t="shared" si="14"/>
        <v>0</v>
      </c>
      <c r="K259" s="1" t="b">
        <f>(Requirements!K276="Normative")</f>
        <v>1</v>
      </c>
      <c r="L259" s="1" t="b">
        <f>(Requirements!L276&lt;&gt;"Non-testable")</f>
        <v>1</v>
      </c>
      <c r="M259" s="1" t="b">
        <f>(VLOOKUP(Requirements!I276,Scope[[Role]:[Description]],2,FALSE)="In")</f>
        <v>0</v>
      </c>
      <c r="N259" s="1">
        <f t="shared" si="15"/>
        <v>0</v>
      </c>
    </row>
    <row r="260" spans="1:14">
      <c r="A260" s="1" t="str">
        <f>Requirements!A277</f>
        <v>MS-WSP_R255</v>
      </c>
      <c r="B260" s="1"/>
      <c r="C260" s="1"/>
      <c r="D260" s="1"/>
      <c r="E260" s="1"/>
      <c r="F260" s="1"/>
      <c r="G260" s="1"/>
      <c r="H260" s="3">
        <f t="shared" si="12"/>
        <v>0</v>
      </c>
      <c r="I260" s="6">
        <f t="shared" si="13"/>
        <v>0</v>
      </c>
      <c r="J260" s="1" t="b">
        <f t="shared" si="14"/>
        <v>0</v>
      </c>
      <c r="K260" s="1" t="b">
        <f>(Requirements!K277="Normative")</f>
        <v>1</v>
      </c>
      <c r="L260" s="1" t="b">
        <f>(Requirements!L277&lt;&gt;"Non-testable")</f>
        <v>1</v>
      </c>
      <c r="M260" s="1" t="b">
        <f>(VLOOKUP(Requirements!I277,Scope[[Role]:[Description]],2,FALSE)="In")</f>
        <v>0</v>
      </c>
      <c r="N260" s="1">
        <f t="shared" si="15"/>
        <v>0</v>
      </c>
    </row>
    <row r="261" spans="1:14">
      <c r="A261" s="1" t="str">
        <f>Requirements!A278</f>
        <v>MS-WSP_R256</v>
      </c>
      <c r="B261" s="1"/>
      <c r="C261" s="1"/>
      <c r="D261" s="1"/>
      <c r="E261" s="1"/>
      <c r="F261" s="1"/>
      <c r="G261" s="1"/>
      <c r="H261" s="3">
        <f t="shared" si="12"/>
        <v>0</v>
      </c>
      <c r="I261" s="6">
        <f t="shared" si="13"/>
        <v>0</v>
      </c>
      <c r="J261" s="1" t="b">
        <f t="shared" si="14"/>
        <v>0</v>
      </c>
      <c r="K261" s="1" t="b">
        <f>(Requirements!K278="Normative")</f>
        <v>1</v>
      </c>
      <c r="L261" s="1" t="b">
        <f>(Requirements!L278&lt;&gt;"Non-testable")</f>
        <v>1</v>
      </c>
      <c r="M261" s="1" t="b">
        <f>(VLOOKUP(Requirements!I278,Scope[[Role]:[Description]],2,FALSE)="In")</f>
        <v>0</v>
      </c>
      <c r="N261" s="1">
        <f t="shared" si="15"/>
        <v>0</v>
      </c>
    </row>
    <row r="262" spans="1:14">
      <c r="A262" s="1" t="str">
        <f>Requirements!A279</f>
        <v>MS-WSP_R257</v>
      </c>
      <c r="B262" s="1"/>
      <c r="C262" s="1"/>
      <c r="D262" s="1"/>
      <c r="E262" s="1"/>
      <c r="F262" s="1"/>
      <c r="G262" s="1"/>
      <c r="H262" s="3">
        <f t="shared" ref="H262:H325" si="16">SUM(B262:G262)</f>
        <v>0</v>
      </c>
      <c r="I262" s="6">
        <f t="shared" si="13"/>
        <v>0</v>
      </c>
      <c r="J262" s="1" t="b">
        <f t="shared" si="14"/>
        <v>0</v>
      </c>
      <c r="K262" s="1" t="b">
        <f>(Requirements!K279="Normative")</f>
        <v>1</v>
      </c>
      <c r="L262" s="1" t="b">
        <f>(Requirements!L279&lt;&gt;"Non-testable")</f>
        <v>1</v>
      </c>
      <c r="M262" s="1" t="b">
        <f>(VLOOKUP(Requirements!I279,Scope[[Role]:[Description]],2,FALSE)="In")</f>
        <v>0</v>
      </c>
      <c r="N262" s="1">
        <f t="shared" si="15"/>
        <v>0</v>
      </c>
    </row>
    <row r="263" spans="1:14">
      <c r="A263" s="1" t="str">
        <f>Requirements!A280</f>
        <v>MS-WSP_R258</v>
      </c>
      <c r="B263" s="1"/>
      <c r="C263" s="1"/>
      <c r="D263" s="1"/>
      <c r="E263" s="1"/>
      <c r="F263" s="1"/>
      <c r="G263" s="1"/>
      <c r="H263" s="3">
        <f t="shared" si="16"/>
        <v>0</v>
      </c>
      <c r="I263" s="6">
        <f t="shared" ref="I263:I326" si="17">IF(H263=0,0,1)</f>
        <v>0</v>
      </c>
      <c r="J263" s="1" t="b">
        <f t="shared" ref="J263:J326" si="18">AND(K263:M263)</f>
        <v>0</v>
      </c>
      <c r="K263" s="1" t="b">
        <f>(Requirements!K280="Normative")</f>
        <v>1</v>
      </c>
      <c r="L263" s="1" t="b">
        <f>(Requirements!L280&lt;&gt;"Non-testable")</f>
        <v>1</v>
      </c>
      <c r="M263" s="1" t="b">
        <f>(VLOOKUP(Requirements!I280,Scope[[Role]:[Description]],2,FALSE)="In")</f>
        <v>0</v>
      </c>
      <c r="N263" s="1">
        <f t="shared" ref="N263:N326" si="19">IF(J263,I263,0)</f>
        <v>0</v>
      </c>
    </row>
    <row r="264" spans="1:14">
      <c r="A264" s="1" t="str">
        <f>Requirements!A281</f>
        <v>MS-WSP_R259</v>
      </c>
      <c r="B264" s="1"/>
      <c r="C264" s="1"/>
      <c r="D264" s="1"/>
      <c r="E264" s="1"/>
      <c r="F264" s="1"/>
      <c r="G264" s="1"/>
      <c r="H264" s="3">
        <f t="shared" si="16"/>
        <v>0</v>
      </c>
      <c r="I264" s="6">
        <f t="shared" si="17"/>
        <v>0</v>
      </c>
      <c r="J264" s="1" t="b">
        <f t="shared" si="18"/>
        <v>0</v>
      </c>
      <c r="K264" s="1" t="b">
        <f>(Requirements!K281="Normative")</f>
        <v>1</v>
      </c>
      <c r="L264" s="1" t="b">
        <f>(Requirements!L281&lt;&gt;"Non-testable")</f>
        <v>1</v>
      </c>
      <c r="M264" s="1" t="b">
        <f>(VLOOKUP(Requirements!I281,Scope[[Role]:[Description]],2,FALSE)="In")</f>
        <v>0</v>
      </c>
      <c r="N264" s="1">
        <f t="shared" si="19"/>
        <v>0</v>
      </c>
    </row>
    <row r="265" spans="1:14">
      <c r="A265" s="1" t="str">
        <f>Requirements!A282</f>
        <v>MS-WSP_R260</v>
      </c>
      <c r="B265" s="1"/>
      <c r="C265" s="1"/>
      <c r="D265" s="1"/>
      <c r="E265" s="1"/>
      <c r="F265" s="1"/>
      <c r="G265" s="1"/>
      <c r="H265" s="3">
        <f t="shared" si="16"/>
        <v>0</v>
      </c>
      <c r="I265" s="6">
        <f t="shared" si="17"/>
        <v>0</v>
      </c>
      <c r="J265" s="1" t="b">
        <f t="shared" si="18"/>
        <v>0</v>
      </c>
      <c r="K265" s="1" t="b">
        <f>(Requirements!K282="Normative")</f>
        <v>1</v>
      </c>
      <c r="L265" s="1" t="b">
        <f>(Requirements!L282&lt;&gt;"Non-testable")</f>
        <v>1</v>
      </c>
      <c r="M265" s="1" t="b">
        <f>(VLOOKUP(Requirements!I282,Scope[[Role]:[Description]],2,FALSE)="In")</f>
        <v>0</v>
      </c>
      <c r="N265" s="1">
        <f t="shared" si="19"/>
        <v>0</v>
      </c>
    </row>
    <row r="266" spans="1:14">
      <c r="A266" s="1" t="str">
        <f>Requirements!A283</f>
        <v>MS-WSP_R261</v>
      </c>
      <c r="B266" s="1"/>
      <c r="C266" s="1"/>
      <c r="D266" s="1"/>
      <c r="E266" s="1"/>
      <c r="F266" s="1"/>
      <c r="G266" s="1"/>
      <c r="H266" s="3">
        <f t="shared" si="16"/>
        <v>0</v>
      </c>
      <c r="I266" s="6">
        <f t="shared" si="17"/>
        <v>0</v>
      </c>
      <c r="J266" s="1" t="b">
        <f t="shared" si="18"/>
        <v>0</v>
      </c>
      <c r="K266" s="1" t="b">
        <f>(Requirements!K283="Normative")</f>
        <v>1</v>
      </c>
      <c r="L266" s="1" t="b">
        <f>(Requirements!L283&lt;&gt;"Non-testable")</f>
        <v>1</v>
      </c>
      <c r="M266" s="1" t="b">
        <f>(VLOOKUP(Requirements!I283,Scope[[Role]:[Description]],2,FALSE)="In")</f>
        <v>0</v>
      </c>
      <c r="N266" s="1">
        <f t="shared" si="19"/>
        <v>0</v>
      </c>
    </row>
    <row r="267" spans="1:14">
      <c r="A267" s="1" t="str">
        <f>Requirements!A284</f>
        <v>MS-WSP_R262</v>
      </c>
      <c r="B267" s="1"/>
      <c r="C267" s="1"/>
      <c r="D267" s="1"/>
      <c r="E267" s="1"/>
      <c r="F267" s="1"/>
      <c r="G267" s="1"/>
      <c r="H267" s="3">
        <f t="shared" si="16"/>
        <v>0</v>
      </c>
      <c r="I267" s="6">
        <f t="shared" si="17"/>
        <v>0</v>
      </c>
      <c r="J267" s="1" t="b">
        <f t="shared" si="18"/>
        <v>0</v>
      </c>
      <c r="K267" s="1" t="b">
        <f>(Requirements!K284="Normative")</f>
        <v>1</v>
      </c>
      <c r="L267" s="1" t="b">
        <f>(Requirements!L284&lt;&gt;"Non-testable")</f>
        <v>1</v>
      </c>
      <c r="M267" s="1" t="b">
        <f>(VLOOKUP(Requirements!I284,Scope[[Role]:[Description]],2,FALSE)="In")</f>
        <v>0</v>
      </c>
      <c r="N267" s="1">
        <f t="shared" si="19"/>
        <v>0</v>
      </c>
    </row>
    <row r="268" spans="1:14">
      <c r="A268" s="1" t="str">
        <f>Requirements!A285</f>
        <v>MS-WSP_R263</v>
      </c>
      <c r="B268" s="1"/>
      <c r="C268" s="1"/>
      <c r="D268" s="1"/>
      <c r="E268" s="1"/>
      <c r="F268" s="1"/>
      <c r="G268" s="1"/>
      <c r="H268" s="3">
        <f t="shared" si="16"/>
        <v>0</v>
      </c>
      <c r="I268" s="6">
        <f t="shared" si="17"/>
        <v>0</v>
      </c>
      <c r="J268" s="1" t="b">
        <f t="shared" si="18"/>
        <v>0</v>
      </c>
      <c r="K268" s="1" t="b">
        <f>(Requirements!K285="Normative")</f>
        <v>1</v>
      </c>
      <c r="L268" s="1" t="b">
        <f>(Requirements!L285&lt;&gt;"Non-testable")</f>
        <v>0</v>
      </c>
      <c r="M268" s="1" t="b">
        <f>(VLOOKUP(Requirements!I285,Scope[[Role]:[Description]],2,FALSE)="In")</f>
        <v>1</v>
      </c>
      <c r="N268" s="1">
        <f t="shared" si="19"/>
        <v>0</v>
      </c>
    </row>
    <row r="269" spans="1:14">
      <c r="A269" s="1" t="str">
        <f>Requirements!A286</f>
        <v>MS-WSP_R264</v>
      </c>
      <c r="B269" s="1">
        <v>1</v>
      </c>
      <c r="C269" s="1">
        <v>1</v>
      </c>
      <c r="D269" s="1">
        <v>1</v>
      </c>
      <c r="E269" s="1"/>
      <c r="F269" s="1">
        <v>1</v>
      </c>
      <c r="G269" s="1">
        <v>1</v>
      </c>
      <c r="H269" s="3">
        <f t="shared" si="16"/>
        <v>5</v>
      </c>
      <c r="I269" s="6">
        <f t="shared" si="17"/>
        <v>1</v>
      </c>
      <c r="J269" s="1" t="b">
        <f t="shared" si="18"/>
        <v>1</v>
      </c>
      <c r="K269" s="1" t="b">
        <f>(Requirements!K286="Normative")</f>
        <v>1</v>
      </c>
      <c r="L269" s="1" t="b">
        <f>(Requirements!L286&lt;&gt;"Non-testable")</f>
        <v>1</v>
      </c>
      <c r="M269" s="1" t="b">
        <f>(VLOOKUP(Requirements!I286,Scope[[Role]:[Description]],2,FALSE)="In")</f>
        <v>1</v>
      </c>
      <c r="N269" s="1">
        <f t="shared" si="19"/>
        <v>1</v>
      </c>
    </row>
    <row r="270" spans="1:14">
      <c r="A270" s="1" t="str">
        <f>Requirements!A287</f>
        <v>MS-WSP_R265</v>
      </c>
      <c r="B270" s="1"/>
      <c r="C270" s="1"/>
      <c r="D270" s="1"/>
      <c r="E270" s="1"/>
      <c r="F270" s="1"/>
      <c r="G270" s="1"/>
      <c r="H270" s="3">
        <f t="shared" si="16"/>
        <v>0</v>
      </c>
      <c r="I270" s="6">
        <f t="shared" si="17"/>
        <v>0</v>
      </c>
      <c r="J270" s="1" t="b">
        <f t="shared" si="18"/>
        <v>0</v>
      </c>
      <c r="K270" s="1" t="b">
        <f>(Requirements!K287="Normative")</f>
        <v>1</v>
      </c>
      <c r="L270" s="1" t="b">
        <f>(Requirements!L287&lt;&gt;"Non-testable")</f>
        <v>1</v>
      </c>
      <c r="M270" s="1" t="b">
        <f>(VLOOKUP(Requirements!I287,Scope[[Role]:[Description]],2,FALSE)="In")</f>
        <v>0</v>
      </c>
      <c r="N270" s="1">
        <f t="shared" si="19"/>
        <v>0</v>
      </c>
    </row>
    <row r="271" spans="1:14">
      <c r="A271" s="1" t="str">
        <f>Requirements!A288</f>
        <v>MS-WSP_R266</v>
      </c>
      <c r="B271" s="1"/>
      <c r="C271" s="1"/>
      <c r="D271" s="1"/>
      <c r="E271" s="1"/>
      <c r="F271" s="1"/>
      <c r="G271" s="1"/>
      <c r="H271" s="3">
        <f t="shared" si="16"/>
        <v>0</v>
      </c>
      <c r="I271" s="6">
        <f t="shared" si="17"/>
        <v>0</v>
      </c>
      <c r="J271" s="1" t="b">
        <f t="shared" si="18"/>
        <v>0</v>
      </c>
      <c r="K271" s="1" t="b">
        <f>(Requirements!K288="Normative")</f>
        <v>1</v>
      </c>
      <c r="L271" s="1" t="b">
        <f>(Requirements!L288&lt;&gt;"Non-testable")</f>
        <v>1</v>
      </c>
      <c r="M271" s="1" t="b">
        <f>(VLOOKUP(Requirements!I288,Scope[[Role]:[Description]],2,FALSE)="In")</f>
        <v>0</v>
      </c>
      <c r="N271" s="1">
        <f t="shared" si="19"/>
        <v>0</v>
      </c>
    </row>
    <row r="272" spans="1:14">
      <c r="A272" s="1" t="str">
        <f>Requirements!A289</f>
        <v>MS-WSP_R267</v>
      </c>
      <c r="B272" s="1"/>
      <c r="C272" s="1"/>
      <c r="D272" s="1"/>
      <c r="E272" s="1"/>
      <c r="F272" s="1"/>
      <c r="G272" s="1"/>
      <c r="H272" s="3">
        <f t="shared" si="16"/>
        <v>0</v>
      </c>
      <c r="I272" s="6">
        <f t="shared" si="17"/>
        <v>0</v>
      </c>
      <c r="J272" s="1" t="b">
        <f t="shared" si="18"/>
        <v>0</v>
      </c>
      <c r="K272" s="1" t="b">
        <f>(Requirements!K289="Normative")</f>
        <v>1</v>
      </c>
      <c r="L272" s="1" t="b">
        <f>(Requirements!L289&lt;&gt;"Non-testable")</f>
        <v>1</v>
      </c>
      <c r="M272" s="1" t="b">
        <f>(VLOOKUP(Requirements!I289,Scope[[Role]:[Description]],2,FALSE)="In")</f>
        <v>0</v>
      </c>
      <c r="N272" s="1">
        <f t="shared" si="19"/>
        <v>0</v>
      </c>
    </row>
    <row r="273" spans="1:14">
      <c r="A273" s="1" t="str">
        <f>Requirements!A290</f>
        <v>MS-WSP_R268</v>
      </c>
      <c r="B273" s="1"/>
      <c r="C273" s="1"/>
      <c r="D273" s="1"/>
      <c r="E273" s="1"/>
      <c r="F273" s="1"/>
      <c r="G273" s="1"/>
      <c r="H273" s="3">
        <f t="shared" si="16"/>
        <v>0</v>
      </c>
      <c r="I273" s="6">
        <f t="shared" si="17"/>
        <v>0</v>
      </c>
      <c r="J273" s="1" t="b">
        <f t="shared" si="18"/>
        <v>0</v>
      </c>
      <c r="K273" s="1" t="b">
        <f>(Requirements!K290="Normative")</f>
        <v>1</v>
      </c>
      <c r="L273" s="1" t="b">
        <f>(Requirements!L290&lt;&gt;"Non-testable")</f>
        <v>0</v>
      </c>
      <c r="M273" s="1" t="b">
        <f>(VLOOKUP(Requirements!I290,Scope[[Role]:[Description]],2,FALSE)="In")</f>
        <v>1</v>
      </c>
      <c r="N273" s="1">
        <f t="shared" si="19"/>
        <v>0</v>
      </c>
    </row>
    <row r="274" spans="1:14">
      <c r="A274" s="1" t="str">
        <f>Requirements!A291</f>
        <v>MS-WSP_R269</v>
      </c>
      <c r="B274" s="1">
        <v>1</v>
      </c>
      <c r="C274" s="1">
        <v>1</v>
      </c>
      <c r="D274" s="1">
        <v>1</v>
      </c>
      <c r="E274" s="1"/>
      <c r="F274" s="1">
        <v>1</v>
      </c>
      <c r="G274" s="1">
        <v>1</v>
      </c>
      <c r="H274" s="3">
        <f t="shared" si="16"/>
        <v>5</v>
      </c>
      <c r="I274" s="6">
        <f t="shared" si="17"/>
        <v>1</v>
      </c>
      <c r="J274" s="1" t="b">
        <f t="shared" si="18"/>
        <v>1</v>
      </c>
      <c r="K274" s="1" t="b">
        <f>(Requirements!K291="Normative")</f>
        <v>1</v>
      </c>
      <c r="L274" s="1" t="b">
        <f>(Requirements!L291&lt;&gt;"Non-testable")</f>
        <v>1</v>
      </c>
      <c r="M274" s="1" t="b">
        <f>(VLOOKUP(Requirements!I291,Scope[[Role]:[Description]],2,FALSE)="In")</f>
        <v>1</v>
      </c>
      <c r="N274" s="1">
        <f t="shared" si="19"/>
        <v>1</v>
      </c>
    </row>
    <row r="275" spans="1:14">
      <c r="A275" s="1" t="str">
        <f>Requirements!A292</f>
        <v>MS-WSP_R270</v>
      </c>
      <c r="B275" s="1"/>
      <c r="C275" s="1"/>
      <c r="D275" s="1"/>
      <c r="E275" s="1"/>
      <c r="F275" s="1"/>
      <c r="G275" s="1"/>
      <c r="H275" s="3">
        <f t="shared" si="16"/>
        <v>0</v>
      </c>
      <c r="I275" s="6">
        <f t="shared" si="17"/>
        <v>0</v>
      </c>
      <c r="J275" s="1" t="b">
        <f t="shared" si="18"/>
        <v>0</v>
      </c>
      <c r="K275" s="1" t="b">
        <f>(Requirements!K292="Normative")</f>
        <v>1</v>
      </c>
      <c r="L275" s="1" t="b">
        <f>(Requirements!L292&lt;&gt;"Non-testable")</f>
        <v>1</v>
      </c>
      <c r="M275" s="1" t="b">
        <f>(VLOOKUP(Requirements!I292,Scope[[Role]:[Description]],2,FALSE)="In")</f>
        <v>0</v>
      </c>
      <c r="N275" s="1">
        <f t="shared" si="19"/>
        <v>0</v>
      </c>
    </row>
    <row r="276" spans="1:14">
      <c r="A276" s="1" t="str">
        <f>Requirements!A293</f>
        <v>MS-WSP_R271</v>
      </c>
      <c r="B276" s="1"/>
      <c r="C276" s="1"/>
      <c r="D276" s="1"/>
      <c r="E276" s="1"/>
      <c r="F276" s="1"/>
      <c r="G276" s="1"/>
      <c r="H276" s="3">
        <f t="shared" si="16"/>
        <v>0</v>
      </c>
      <c r="I276" s="6">
        <f t="shared" si="17"/>
        <v>0</v>
      </c>
      <c r="J276" s="1" t="b">
        <f t="shared" si="18"/>
        <v>0</v>
      </c>
      <c r="K276" s="1" t="b">
        <f>(Requirements!K293="Normative")</f>
        <v>1</v>
      </c>
      <c r="L276" s="1" t="b">
        <f>(Requirements!L293&lt;&gt;"Non-testable")</f>
        <v>1</v>
      </c>
      <c r="M276" s="1" t="b">
        <f>(VLOOKUP(Requirements!I293,Scope[[Role]:[Description]],2,FALSE)="In")</f>
        <v>0</v>
      </c>
      <c r="N276" s="1">
        <f t="shared" si="19"/>
        <v>0</v>
      </c>
    </row>
    <row r="277" spans="1:14">
      <c r="A277" s="1" t="str">
        <f>Requirements!A294</f>
        <v>MS-WSP_R272</v>
      </c>
      <c r="B277" s="1"/>
      <c r="C277" s="1"/>
      <c r="D277" s="1"/>
      <c r="E277" s="1"/>
      <c r="F277" s="1"/>
      <c r="G277" s="1"/>
      <c r="H277" s="3">
        <f t="shared" si="16"/>
        <v>0</v>
      </c>
      <c r="I277" s="6">
        <f t="shared" si="17"/>
        <v>0</v>
      </c>
      <c r="J277" s="1" t="b">
        <f t="shared" si="18"/>
        <v>0</v>
      </c>
      <c r="K277" s="1" t="b">
        <f>(Requirements!K294="Normative")</f>
        <v>1</v>
      </c>
      <c r="L277" s="1" t="b">
        <f>(Requirements!L294&lt;&gt;"Non-testable")</f>
        <v>1</v>
      </c>
      <c r="M277" s="1" t="b">
        <f>(VLOOKUP(Requirements!I294,Scope[[Role]:[Description]],2,FALSE)="In")</f>
        <v>0</v>
      </c>
      <c r="N277" s="1">
        <f t="shared" si="19"/>
        <v>0</v>
      </c>
    </row>
    <row r="278" spans="1:14">
      <c r="A278" s="1" t="str">
        <f>Requirements!A295</f>
        <v>MS-WSP_R273</v>
      </c>
      <c r="B278" s="1"/>
      <c r="C278" s="1"/>
      <c r="D278" s="1"/>
      <c r="E278" s="1"/>
      <c r="F278" s="1"/>
      <c r="G278" s="1"/>
      <c r="H278" s="3">
        <f t="shared" si="16"/>
        <v>0</v>
      </c>
      <c r="I278" s="6">
        <f t="shared" si="17"/>
        <v>0</v>
      </c>
      <c r="J278" s="1" t="b">
        <f t="shared" si="18"/>
        <v>0</v>
      </c>
      <c r="K278" s="1" t="b">
        <f>(Requirements!K295="Normative")</f>
        <v>1</v>
      </c>
      <c r="L278" s="1" t="b">
        <f>(Requirements!L295&lt;&gt;"Non-testable")</f>
        <v>0</v>
      </c>
      <c r="M278" s="1" t="b">
        <f>(VLOOKUP(Requirements!I295,Scope[[Role]:[Description]],2,FALSE)="In")</f>
        <v>1</v>
      </c>
      <c r="N278" s="1">
        <f t="shared" si="19"/>
        <v>0</v>
      </c>
    </row>
    <row r="279" spans="1:14">
      <c r="A279" s="1" t="str">
        <f>Requirements!A296</f>
        <v>MS-WSP_R274</v>
      </c>
      <c r="B279" s="1">
        <v>1</v>
      </c>
      <c r="C279" s="1">
        <v>1</v>
      </c>
      <c r="D279" s="1"/>
      <c r="E279" s="1"/>
      <c r="F279" s="1"/>
      <c r="G279" s="1">
        <v>1</v>
      </c>
      <c r="H279" s="3">
        <f t="shared" si="16"/>
        <v>3</v>
      </c>
      <c r="I279" s="6">
        <f t="shared" si="17"/>
        <v>1</v>
      </c>
      <c r="J279" s="1" t="b">
        <f t="shared" si="18"/>
        <v>1</v>
      </c>
      <c r="K279" s="1" t="b">
        <f>(Requirements!K296="Normative")</f>
        <v>1</v>
      </c>
      <c r="L279" s="1" t="b">
        <f>(Requirements!L296&lt;&gt;"Non-testable")</f>
        <v>1</v>
      </c>
      <c r="M279" s="1" t="b">
        <f>(VLOOKUP(Requirements!I296,Scope[[Role]:[Description]],2,FALSE)="In")</f>
        <v>1</v>
      </c>
      <c r="N279" s="1">
        <f t="shared" si="19"/>
        <v>1</v>
      </c>
    </row>
    <row r="280" spans="1:14">
      <c r="A280" s="1" t="str">
        <f>Requirements!A297</f>
        <v>MS-WSP_R275</v>
      </c>
      <c r="B280" s="1"/>
      <c r="C280" s="1"/>
      <c r="D280" s="1"/>
      <c r="E280" s="1"/>
      <c r="F280" s="1"/>
      <c r="G280" s="1"/>
      <c r="H280" s="3">
        <f t="shared" si="16"/>
        <v>0</v>
      </c>
      <c r="I280" s="6">
        <f t="shared" si="17"/>
        <v>0</v>
      </c>
      <c r="J280" s="1" t="b">
        <f t="shared" si="18"/>
        <v>0</v>
      </c>
      <c r="K280" s="1" t="b">
        <f>(Requirements!K297="Normative")</f>
        <v>1</v>
      </c>
      <c r="L280" s="1" t="b">
        <f>(Requirements!L297&lt;&gt;"Non-testable")</f>
        <v>1</v>
      </c>
      <c r="M280" s="1" t="b">
        <f>(VLOOKUP(Requirements!I297,Scope[[Role]:[Description]],2,FALSE)="In")</f>
        <v>0</v>
      </c>
      <c r="N280" s="1">
        <f t="shared" si="19"/>
        <v>0</v>
      </c>
    </row>
    <row r="281" spans="1:14">
      <c r="A281" s="1" t="str">
        <f>Requirements!A298</f>
        <v>MS-WSP_R276</v>
      </c>
      <c r="B281" s="1"/>
      <c r="C281" s="1"/>
      <c r="D281" s="1"/>
      <c r="E281" s="1"/>
      <c r="F281" s="1"/>
      <c r="G281" s="1"/>
      <c r="H281" s="3">
        <f t="shared" si="16"/>
        <v>0</v>
      </c>
      <c r="I281" s="6">
        <f t="shared" si="17"/>
        <v>0</v>
      </c>
      <c r="J281" s="1" t="b">
        <f t="shared" si="18"/>
        <v>0</v>
      </c>
      <c r="K281" s="1" t="b">
        <f>(Requirements!K298="Normative")</f>
        <v>1</v>
      </c>
      <c r="L281" s="1" t="b">
        <f>(Requirements!L298&lt;&gt;"Non-testable")</f>
        <v>1</v>
      </c>
      <c r="M281" s="1" t="b">
        <f>(VLOOKUP(Requirements!I298,Scope[[Role]:[Description]],2,FALSE)="In")</f>
        <v>0</v>
      </c>
      <c r="N281" s="1">
        <f t="shared" si="19"/>
        <v>0</v>
      </c>
    </row>
    <row r="282" spans="1:14">
      <c r="A282" s="1" t="str">
        <f>Requirements!A299</f>
        <v>MS-WSP_R277</v>
      </c>
      <c r="B282" s="1"/>
      <c r="C282" s="1"/>
      <c r="D282" s="1"/>
      <c r="E282" s="1"/>
      <c r="F282" s="1"/>
      <c r="G282" s="1"/>
      <c r="H282" s="3">
        <f t="shared" si="16"/>
        <v>0</v>
      </c>
      <c r="I282" s="6">
        <f t="shared" si="17"/>
        <v>0</v>
      </c>
      <c r="J282" s="1" t="b">
        <f t="shared" si="18"/>
        <v>0</v>
      </c>
      <c r="K282" s="1" t="b">
        <f>(Requirements!K299="Normative")</f>
        <v>1</v>
      </c>
      <c r="L282" s="1" t="b">
        <f>(Requirements!L299&lt;&gt;"Non-testable")</f>
        <v>0</v>
      </c>
      <c r="M282" s="1" t="b">
        <f>(VLOOKUP(Requirements!I299,Scope[[Role]:[Description]],2,FALSE)="In")</f>
        <v>1</v>
      </c>
      <c r="N282" s="1">
        <f t="shared" si="19"/>
        <v>0</v>
      </c>
    </row>
    <row r="283" spans="1:14">
      <c r="A283" s="1" t="str">
        <f>Requirements!A300</f>
        <v>MS-WSP_R278</v>
      </c>
      <c r="B283" s="1">
        <v>1</v>
      </c>
      <c r="C283" s="1">
        <v>1</v>
      </c>
      <c r="D283" s="1"/>
      <c r="E283" s="1"/>
      <c r="F283" s="1"/>
      <c r="G283" s="1">
        <v>1</v>
      </c>
      <c r="H283" s="3">
        <f t="shared" si="16"/>
        <v>3</v>
      </c>
      <c r="I283" s="6">
        <f t="shared" si="17"/>
        <v>1</v>
      </c>
      <c r="J283" s="1" t="b">
        <f t="shared" si="18"/>
        <v>1</v>
      </c>
      <c r="K283" s="1" t="b">
        <f>(Requirements!K300="Normative")</f>
        <v>1</v>
      </c>
      <c r="L283" s="1" t="b">
        <f>(Requirements!L300&lt;&gt;"Non-testable")</f>
        <v>1</v>
      </c>
      <c r="M283" s="1" t="b">
        <f>(VLOOKUP(Requirements!I300,Scope[[Role]:[Description]],2,FALSE)="In")</f>
        <v>1</v>
      </c>
      <c r="N283" s="1">
        <f t="shared" si="19"/>
        <v>1</v>
      </c>
    </row>
    <row r="284" spans="1:14">
      <c r="A284" s="1" t="str">
        <f>Requirements!A301</f>
        <v>MS-WSP_R279</v>
      </c>
      <c r="B284" s="1"/>
      <c r="C284" s="1"/>
      <c r="D284" s="1"/>
      <c r="E284" s="1"/>
      <c r="F284" s="1"/>
      <c r="G284" s="1"/>
      <c r="H284" s="3">
        <f t="shared" si="16"/>
        <v>0</v>
      </c>
      <c r="I284" s="6">
        <f t="shared" si="17"/>
        <v>0</v>
      </c>
      <c r="J284" s="1" t="b">
        <f t="shared" si="18"/>
        <v>0</v>
      </c>
      <c r="K284" s="1" t="b">
        <f>(Requirements!K301="Normative")</f>
        <v>1</v>
      </c>
      <c r="L284" s="1" t="b">
        <f>(Requirements!L301&lt;&gt;"Non-testable")</f>
        <v>1</v>
      </c>
      <c r="M284" s="1" t="b">
        <f>(VLOOKUP(Requirements!I301,Scope[[Role]:[Description]],2,FALSE)="In")</f>
        <v>0</v>
      </c>
      <c r="N284" s="1">
        <f t="shared" si="19"/>
        <v>0</v>
      </c>
    </row>
    <row r="285" spans="1:14">
      <c r="A285" s="1" t="str">
        <f>Requirements!A302</f>
        <v>MS-WSP_R280</v>
      </c>
      <c r="B285" s="1"/>
      <c r="C285" s="1"/>
      <c r="D285" s="1"/>
      <c r="E285" s="1"/>
      <c r="F285" s="1"/>
      <c r="G285" s="1"/>
      <c r="H285" s="3">
        <f t="shared" si="16"/>
        <v>0</v>
      </c>
      <c r="I285" s="6">
        <f t="shared" si="17"/>
        <v>0</v>
      </c>
      <c r="J285" s="1" t="b">
        <f t="shared" si="18"/>
        <v>0</v>
      </c>
      <c r="K285" s="1" t="b">
        <f>(Requirements!K302="Normative")</f>
        <v>1</v>
      </c>
      <c r="L285" s="1" t="b">
        <f>(Requirements!L302&lt;&gt;"Non-testable")</f>
        <v>1</v>
      </c>
      <c r="M285" s="1" t="b">
        <f>(VLOOKUP(Requirements!I302,Scope[[Role]:[Description]],2,FALSE)="In")</f>
        <v>0</v>
      </c>
      <c r="N285" s="1">
        <f t="shared" si="19"/>
        <v>0</v>
      </c>
    </row>
    <row r="286" spans="1:14">
      <c r="A286" s="1" t="str">
        <f>Requirements!A303</f>
        <v>MS-WSP_R281</v>
      </c>
      <c r="B286" s="1"/>
      <c r="C286" s="1"/>
      <c r="D286" s="1"/>
      <c r="E286" s="1"/>
      <c r="F286" s="1"/>
      <c r="G286" s="1"/>
      <c r="H286" s="3">
        <f t="shared" si="16"/>
        <v>0</v>
      </c>
      <c r="I286" s="6">
        <f t="shared" si="17"/>
        <v>0</v>
      </c>
      <c r="J286" s="1" t="b">
        <f t="shared" si="18"/>
        <v>0</v>
      </c>
      <c r="K286" s="1" t="b">
        <f>(Requirements!K303="Normative")</f>
        <v>1</v>
      </c>
      <c r="L286" s="1" t="b">
        <f>(Requirements!L303&lt;&gt;"Non-testable")</f>
        <v>1</v>
      </c>
      <c r="M286" s="1" t="b">
        <f>(VLOOKUP(Requirements!I303,Scope[[Role]:[Description]],2,FALSE)="In")</f>
        <v>0</v>
      </c>
      <c r="N286" s="1">
        <f t="shared" si="19"/>
        <v>0</v>
      </c>
    </row>
    <row r="287" spans="1:14">
      <c r="A287" s="1" t="str">
        <f>Requirements!A304</f>
        <v>MS-WSP_R282</v>
      </c>
      <c r="B287" s="1"/>
      <c r="C287" s="1"/>
      <c r="D287" s="1"/>
      <c r="E287" s="1"/>
      <c r="F287" s="1"/>
      <c r="G287" s="1"/>
      <c r="H287" s="3">
        <f t="shared" si="16"/>
        <v>0</v>
      </c>
      <c r="I287" s="6">
        <f t="shared" si="17"/>
        <v>0</v>
      </c>
      <c r="J287" s="1" t="b">
        <f t="shared" si="18"/>
        <v>0</v>
      </c>
      <c r="K287" s="1" t="b">
        <f>(Requirements!K304="Normative")</f>
        <v>1</v>
      </c>
      <c r="L287" s="1" t="b">
        <f>(Requirements!L304&lt;&gt;"Non-testable")</f>
        <v>0</v>
      </c>
      <c r="M287" s="1" t="b">
        <f>(VLOOKUP(Requirements!I304,Scope[[Role]:[Description]],2,FALSE)="In")</f>
        <v>1</v>
      </c>
      <c r="N287" s="1">
        <f t="shared" si="19"/>
        <v>0</v>
      </c>
    </row>
    <row r="288" spans="1:14">
      <c r="A288" s="1" t="str">
        <f>Requirements!A305</f>
        <v>MS-WSP_R283</v>
      </c>
      <c r="B288" s="1">
        <v>1</v>
      </c>
      <c r="C288" s="1">
        <v>1</v>
      </c>
      <c r="D288" s="1"/>
      <c r="E288" s="1"/>
      <c r="F288" s="1"/>
      <c r="G288" s="1">
        <v>1</v>
      </c>
      <c r="H288" s="3">
        <f t="shared" si="16"/>
        <v>3</v>
      </c>
      <c r="I288" s="6">
        <f t="shared" si="17"/>
        <v>1</v>
      </c>
      <c r="J288" s="1" t="b">
        <f t="shared" si="18"/>
        <v>1</v>
      </c>
      <c r="K288" s="1" t="b">
        <f>(Requirements!K305="Normative")</f>
        <v>1</v>
      </c>
      <c r="L288" s="1" t="b">
        <f>(Requirements!L305&lt;&gt;"Non-testable")</f>
        <v>1</v>
      </c>
      <c r="M288" s="1" t="b">
        <f>(VLOOKUP(Requirements!I305,Scope[[Role]:[Description]],2,FALSE)="In")</f>
        <v>1</v>
      </c>
      <c r="N288" s="1">
        <f t="shared" si="19"/>
        <v>1</v>
      </c>
    </row>
    <row r="289" spans="1:14">
      <c r="A289" s="1" t="str">
        <f>Requirements!A306</f>
        <v>MS-WSP_R284</v>
      </c>
      <c r="B289" s="1"/>
      <c r="C289" s="1"/>
      <c r="D289" s="1"/>
      <c r="E289" s="1"/>
      <c r="F289" s="1"/>
      <c r="G289" s="1"/>
      <c r="H289" s="3">
        <f t="shared" si="16"/>
        <v>0</v>
      </c>
      <c r="I289" s="6">
        <f t="shared" si="17"/>
        <v>0</v>
      </c>
      <c r="J289" s="1" t="b">
        <f t="shared" si="18"/>
        <v>0</v>
      </c>
      <c r="K289" s="1" t="b">
        <f>(Requirements!K306="Normative")</f>
        <v>1</v>
      </c>
      <c r="L289" s="1" t="b">
        <f>(Requirements!L306&lt;&gt;"Non-testable")</f>
        <v>1</v>
      </c>
      <c r="M289" s="1" t="b">
        <f>(VLOOKUP(Requirements!I306,Scope[[Role]:[Description]],2,FALSE)="In")</f>
        <v>0</v>
      </c>
      <c r="N289" s="1">
        <f t="shared" si="19"/>
        <v>0</v>
      </c>
    </row>
    <row r="290" spans="1:14">
      <c r="A290" s="1" t="str">
        <f>Requirements!A307</f>
        <v>MS-WSP_R285</v>
      </c>
      <c r="B290" s="1"/>
      <c r="C290" s="1"/>
      <c r="D290" s="1"/>
      <c r="E290" s="1"/>
      <c r="F290" s="1"/>
      <c r="G290" s="1"/>
      <c r="H290" s="3">
        <f t="shared" si="16"/>
        <v>0</v>
      </c>
      <c r="I290" s="6">
        <f t="shared" si="17"/>
        <v>0</v>
      </c>
      <c r="J290" s="1" t="b">
        <f t="shared" si="18"/>
        <v>0</v>
      </c>
      <c r="K290" s="1" t="b">
        <f>(Requirements!K307="Normative")</f>
        <v>1</v>
      </c>
      <c r="L290" s="1" t="b">
        <f>(Requirements!L307&lt;&gt;"Non-testable")</f>
        <v>1</v>
      </c>
      <c r="M290" s="1" t="b">
        <f>(VLOOKUP(Requirements!I307,Scope[[Role]:[Description]],2,FALSE)="In")</f>
        <v>0</v>
      </c>
      <c r="N290" s="1">
        <f t="shared" si="19"/>
        <v>0</v>
      </c>
    </row>
    <row r="291" spans="1:14">
      <c r="A291" s="1" t="str">
        <f>Requirements!A308</f>
        <v>MS-WSP_R286</v>
      </c>
      <c r="B291" s="1"/>
      <c r="C291" s="1"/>
      <c r="D291" s="1"/>
      <c r="E291" s="1"/>
      <c r="F291" s="1"/>
      <c r="G291" s="1"/>
      <c r="H291" s="3">
        <f t="shared" si="16"/>
        <v>0</v>
      </c>
      <c r="I291" s="6">
        <f t="shared" si="17"/>
        <v>0</v>
      </c>
      <c r="J291" s="1" t="b">
        <f t="shared" si="18"/>
        <v>0</v>
      </c>
      <c r="K291" s="1" t="b">
        <f>(Requirements!K308="Normative")</f>
        <v>1</v>
      </c>
      <c r="L291" s="1" t="b">
        <f>(Requirements!L308&lt;&gt;"Non-testable")</f>
        <v>1</v>
      </c>
      <c r="M291" s="1" t="b">
        <f>(VLOOKUP(Requirements!I308,Scope[[Role]:[Description]],2,FALSE)="In")</f>
        <v>0</v>
      </c>
      <c r="N291" s="1">
        <f t="shared" si="19"/>
        <v>0</v>
      </c>
    </row>
    <row r="292" spans="1:14">
      <c r="A292" s="1" t="str">
        <f>Requirements!A309</f>
        <v>MS-WSP_R287</v>
      </c>
      <c r="B292" s="1"/>
      <c r="C292" s="1"/>
      <c r="D292" s="1"/>
      <c r="E292" s="1"/>
      <c r="F292" s="1"/>
      <c r="G292" s="1"/>
      <c r="H292" s="3">
        <f t="shared" si="16"/>
        <v>0</v>
      </c>
      <c r="I292" s="6">
        <f t="shared" si="17"/>
        <v>0</v>
      </c>
      <c r="J292" s="1" t="b">
        <f t="shared" si="18"/>
        <v>0</v>
      </c>
      <c r="K292" s="1" t="b">
        <f>(Requirements!K309="Normative")</f>
        <v>1</v>
      </c>
      <c r="L292" s="1" t="b">
        <f>(Requirements!L309&lt;&gt;"Non-testable")</f>
        <v>1</v>
      </c>
      <c r="M292" s="1" t="b">
        <f>(VLOOKUP(Requirements!I309,Scope[[Role]:[Description]],2,FALSE)="In")</f>
        <v>0</v>
      </c>
      <c r="N292" s="1">
        <f t="shared" si="19"/>
        <v>0</v>
      </c>
    </row>
    <row r="293" spans="1:14">
      <c r="A293" s="1" t="str">
        <f>Requirements!A310</f>
        <v>MS-WSP_R288</v>
      </c>
      <c r="B293" s="1"/>
      <c r="C293" s="1"/>
      <c r="D293" s="1"/>
      <c r="E293" s="1"/>
      <c r="F293" s="1"/>
      <c r="G293" s="1"/>
      <c r="H293" s="3">
        <f t="shared" si="16"/>
        <v>0</v>
      </c>
      <c r="I293" s="6">
        <f t="shared" si="17"/>
        <v>0</v>
      </c>
      <c r="J293" s="1" t="b">
        <f t="shared" si="18"/>
        <v>0</v>
      </c>
      <c r="K293" s="1" t="b">
        <f>(Requirements!K310="Normative")</f>
        <v>0</v>
      </c>
      <c r="L293" s="1" t="b">
        <f>(Requirements!L310&lt;&gt;"Non-testable")</f>
        <v>1</v>
      </c>
      <c r="M293" s="1" t="b">
        <f>(VLOOKUP(Requirements!I310,Scope[[Role]:[Description]],2,FALSE)="In")</f>
        <v>0</v>
      </c>
      <c r="N293" s="1">
        <f t="shared" si="19"/>
        <v>0</v>
      </c>
    </row>
    <row r="294" spans="1:14">
      <c r="A294" s="1" t="str">
        <f>Requirements!A311</f>
        <v>MS-WSP_R289</v>
      </c>
      <c r="B294" s="1"/>
      <c r="C294" s="1"/>
      <c r="D294" s="1"/>
      <c r="E294" s="1"/>
      <c r="F294" s="1"/>
      <c r="G294" s="1"/>
      <c r="H294" s="3">
        <f t="shared" si="16"/>
        <v>0</v>
      </c>
      <c r="I294" s="6">
        <f t="shared" si="17"/>
        <v>0</v>
      </c>
      <c r="J294" s="1" t="b">
        <f t="shared" si="18"/>
        <v>0</v>
      </c>
      <c r="K294" s="1" t="b">
        <f>(Requirements!K311="Normative")</f>
        <v>0</v>
      </c>
      <c r="L294" s="1" t="b">
        <f>(Requirements!L311&lt;&gt;"Non-testable")</f>
        <v>1</v>
      </c>
      <c r="M294" s="1" t="b">
        <f>(VLOOKUP(Requirements!I311,Scope[[Role]:[Description]],2,FALSE)="In")</f>
        <v>1</v>
      </c>
      <c r="N294" s="1">
        <f t="shared" si="19"/>
        <v>0</v>
      </c>
    </row>
    <row r="295" spans="1:14">
      <c r="A295" s="1" t="str">
        <f>Requirements!A312</f>
        <v>MS-WSP_R290</v>
      </c>
      <c r="B295" s="1"/>
      <c r="C295" s="1"/>
      <c r="D295" s="1"/>
      <c r="E295" s="1"/>
      <c r="F295" s="1"/>
      <c r="G295" s="1"/>
      <c r="H295" s="3">
        <f t="shared" si="16"/>
        <v>0</v>
      </c>
      <c r="I295" s="6">
        <f t="shared" si="17"/>
        <v>0</v>
      </c>
      <c r="J295" s="1" t="b">
        <f t="shared" si="18"/>
        <v>0</v>
      </c>
      <c r="K295" s="1" t="b">
        <f>(Requirements!K312="Normative")</f>
        <v>0</v>
      </c>
      <c r="L295" s="1" t="b">
        <f>(Requirements!L312&lt;&gt;"Non-testable")</f>
        <v>1</v>
      </c>
      <c r="M295" s="1" t="b">
        <f>(VLOOKUP(Requirements!I312,Scope[[Role]:[Description]],2,FALSE)="In")</f>
        <v>1</v>
      </c>
      <c r="N295" s="1">
        <f t="shared" si="19"/>
        <v>0</v>
      </c>
    </row>
    <row r="296" spans="1:14">
      <c r="A296" s="1" t="str">
        <f>Requirements!A313</f>
        <v>MS-WSP_R291</v>
      </c>
      <c r="B296" s="1"/>
      <c r="C296" s="1"/>
      <c r="D296" s="1"/>
      <c r="E296" s="1"/>
      <c r="F296" s="1"/>
      <c r="G296" s="1"/>
      <c r="H296" s="3">
        <f t="shared" si="16"/>
        <v>0</v>
      </c>
      <c r="I296" s="6">
        <f t="shared" si="17"/>
        <v>0</v>
      </c>
      <c r="J296" s="1" t="b">
        <f t="shared" si="18"/>
        <v>0</v>
      </c>
      <c r="K296" s="1" t="b">
        <f>(Requirements!K313="Normative")</f>
        <v>0</v>
      </c>
      <c r="L296" s="1" t="b">
        <f>(Requirements!L313&lt;&gt;"Non-testable")</f>
        <v>1</v>
      </c>
      <c r="M296" s="1" t="b">
        <f>(VLOOKUP(Requirements!I313,Scope[[Role]:[Description]],2,FALSE)="In")</f>
        <v>1</v>
      </c>
      <c r="N296" s="1">
        <f t="shared" si="19"/>
        <v>0</v>
      </c>
    </row>
    <row r="297" spans="1:14">
      <c r="A297" s="1" t="str">
        <f>Requirements!A314</f>
        <v>MS-WSP_R292</v>
      </c>
      <c r="B297" s="1"/>
      <c r="C297" s="1"/>
      <c r="D297" s="1"/>
      <c r="E297" s="1"/>
      <c r="F297" s="1"/>
      <c r="G297" s="1"/>
      <c r="H297" s="3">
        <f t="shared" si="16"/>
        <v>0</v>
      </c>
      <c r="I297" s="6">
        <f t="shared" si="17"/>
        <v>0</v>
      </c>
      <c r="J297" s="1" t="b">
        <f t="shared" si="18"/>
        <v>0</v>
      </c>
      <c r="K297" s="1" t="b">
        <f>(Requirements!K314="Normative")</f>
        <v>1</v>
      </c>
      <c r="L297" s="1" t="b">
        <f>(Requirements!L314&lt;&gt;"Non-testable")</f>
        <v>0</v>
      </c>
      <c r="M297" s="1" t="b">
        <f>(VLOOKUP(Requirements!I314,Scope[[Role]:[Description]],2,FALSE)="In")</f>
        <v>1</v>
      </c>
      <c r="N297" s="1">
        <f t="shared" si="19"/>
        <v>0</v>
      </c>
    </row>
    <row r="298" spans="1:14">
      <c r="A298" s="1" t="str">
        <f>Requirements!A315</f>
        <v>MS-WSP_R293</v>
      </c>
      <c r="B298" s="1"/>
      <c r="C298" s="1"/>
      <c r="D298" s="1"/>
      <c r="E298" s="1"/>
      <c r="F298" s="1"/>
      <c r="G298" s="1"/>
      <c r="H298" s="3">
        <f t="shared" si="16"/>
        <v>0</v>
      </c>
      <c r="I298" s="6">
        <f t="shared" si="17"/>
        <v>0</v>
      </c>
      <c r="J298" s="1" t="b">
        <f t="shared" si="18"/>
        <v>0</v>
      </c>
      <c r="K298" s="1" t="b">
        <f>(Requirements!K315="Normative")</f>
        <v>0</v>
      </c>
      <c r="L298" s="1" t="b">
        <f>(Requirements!L315&lt;&gt;"Non-testable")</f>
        <v>1</v>
      </c>
      <c r="M298" s="1" t="b">
        <f>(VLOOKUP(Requirements!I315,Scope[[Role]:[Description]],2,FALSE)="In")</f>
        <v>1</v>
      </c>
      <c r="N298" s="1">
        <f t="shared" si="19"/>
        <v>0</v>
      </c>
    </row>
    <row r="299" spans="1:14">
      <c r="A299" s="1" t="str">
        <f>Requirements!A316</f>
        <v>MS-WSP_R294</v>
      </c>
      <c r="B299" s="1"/>
      <c r="C299" s="1"/>
      <c r="D299" s="1"/>
      <c r="E299" s="1"/>
      <c r="F299" s="1"/>
      <c r="G299" s="1"/>
      <c r="H299" s="3">
        <f t="shared" si="16"/>
        <v>0</v>
      </c>
      <c r="I299" s="6">
        <f t="shared" si="17"/>
        <v>0</v>
      </c>
      <c r="J299" s="1" t="b">
        <f t="shared" si="18"/>
        <v>0</v>
      </c>
      <c r="K299" s="1" t="b">
        <f>(Requirements!K316="Normative")</f>
        <v>0</v>
      </c>
      <c r="L299" s="1" t="b">
        <f>(Requirements!L316&lt;&gt;"Non-testable")</f>
        <v>1</v>
      </c>
      <c r="M299" s="1" t="b">
        <f>(VLOOKUP(Requirements!I316,Scope[[Role]:[Description]],2,FALSE)="In")</f>
        <v>1</v>
      </c>
      <c r="N299" s="1">
        <f t="shared" si="19"/>
        <v>0</v>
      </c>
    </row>
    <row r="300" spans="1:14">
      <c r="A300" s="1" t="str">
        <f>Requirements!A317</f>
        <v>MS-WSP_R295</v>
      </c>
      <c r="B300" s="1"/>
      <c r="C300" s="1"/>
      <c r="D300" s="1"/>
      <c r="E300" s="1"/>
      <c r="F300" s="1"/>
      <c r="G300" s="1"/>
      <c r="H300" s="3">
        <f t="shared" si="16"/>
        <v>0</v>
      </c>
      <c r="I300" s="6">
        <f t="shared" si="17"/>
        <v>0</v>
      </c>
      <c r="J300" s="1" t="b">
        <f t="shared" si="18"/>
        <v>0</v>
      </c>
      <c r="K300" s="1" t="b">
        <f>(Requirements!K317="Normative")</f>
        <v>0</v>
      </c>
      <c r="L300" s="1" t="b">
        <f>(Requirements!L317&lt;&gt;"Non-testable")</f>
        <v>1</v>
      </c>
      <c r="M300" s="1" t="b">
        <f>(VLOOKUP(Requirements!I317,Scope[[Role]:[Description]],2,FALSE)="In")</f>
        <v>1</v>
      </c>
      <c r="N300" s="1">
        <f t="shared" si="19"/>
        <v>0</v>
      </c>
    </row>
    <row r="301" spans="1:14">
      <c r="A301" s="1" t="str">
        <f>Requirements!A318</f>
        <v>MS-WSP_R296</v>
      </c>
      <c r="B301" s="1"/>
      <c r="C301" s="1"/>
      <c r="D301" s="1"/>
      <c r="E301" s="1"/>
      <c r="F301" s="1"/>
      <c r="G301" s="1"/>
      <c r="H301" s="3">
        <f t="shared" si="16"/>
        <v>0</v>
      </c>
      <c r="I301" s="6">
        <f t="shared" si="17"/>
        <v>0</v>
      </c>
      <c r="J301" s="1" t="b">
        <f t="shared" si="18"/>
        <v>0</v>
      </c>
      <c r="K301" s="1" t="b">
        <f>(Requirements!K318="Normative")</f>
        <v>0</v>
      </c>
      <c r="L301" s="1" t="b">
        <f>(Requirements!L318&lt;&gt;"Non-testable")</f>
        <v>1</v>
      </c>
      <c r="M301" s="1" t="b">
        <f>(VLOOKUP(Requirements!I318,Scope[[Role]:[Description]],2,FALSE)="In")</f>
        <v>1</v>
      </c>
      <c r="N301" s="1">
        <f t="shared" si="19"/>
        <v>0</v>
      </c>
    </row>
    <row r="302" spans="1:14">
      <c r="A302" s="1" t="str">
        <f>Requirements!A319</f>
        <v>MS-WSP_R297</v>
      </c>
      <c r="B302" s="1"/>
      <c r="C302" s="1"/>
      <c r="D302" s="1"/>
      <c r="E302" s="1"/>
      <c r="F302" s="1"/>
      <c r="G302" s="1"/>
      <c r="H302" s="3">
        <f t="shared" si="16"/>
        <v>0</v>
      </c>
      <c r="I302" s="6">
        <f t="shared" si="17"/>
        <v>0</v>
      </c>
      <c r="J302" s="1" t="b">
        <f t="shared" si="18"/>
        <v>0</v>
      </c>
      <c r="K302" s="1" t="b">
        <f>(Requirements!K319="Normative")</f>
        <v>0</v>
      </c>
      <c r="L302" s="1" t="b">
        <f>(Requirements!L319&lt;&gt;"Non-testable")</f>
        <v>1</v>
      </c>
      <c r="M302" s="1" t="b">
        <f>(VLOOKUP(Requirements!I319,Scope[[Role]:[Description]],2,FALSE)="In")</f>
        <v>1</v>
      </c>
      <c r="N302" s="1">
        <f t="shared" si="19"/>
        <v>0</v>
      </c>
    </row>
    <row r="303" spans="1:14">
      <c r="A303" s="1" t="str">
        <f>Requirements!A320</f>
        <v>MS-WSP_R298</v>
      </c>
      <c r="B303" s="1"/>
      <c r="C303" s="1"/>
      <c r="D303" s="1"/>
      <c r="E303" s="1"/>
      <c r="F303" s="1"/>
      <c r="G303" s="1"/>
      <c r="H303" s="3">
        <f t="shared" si="16"/>
        <v>0</v>
      </c>
      <c r="I303" s="6">
        <f t="shared" si="17"/>
        <v>0</v>
      </c>
      <c r="J303" s="1" t="b">
        <f t="shared" si="18"/>
        <v>0</v>
      </c>
      <c r="K303" s="1" t="b">
        <f>(Requirements!K320="Normative")</f>
        <v>1</v>
      </c>
      <c r="L303" s="1" t="b">
        <f>(Requirements!L320&lt;&gt;"Non-testable")</f>
        <v>0</v>
      </c>
      <c r="M303" s="1" t="b">
        <f>(VLOOKUP(Requirements!I320,Scope[[Role]:[Description]],2,FALSE)="In")</f>
        <v>1</v>
      </c>
      <c r="N303" s="1">
        <f t="shared" si="19"/>
        <v>0</v>
      </c>
    </row>
    <row r="304" spans="1:14">
      <c r="A304" s="1" t="str">
        <f>Requirements!A321</f>
        <v>MS-WSP_R299</v>
      </c>
      <c r="B304" s="1"/>
      <c r="C304" s="1"/>
      <c r="D304" s="1"/>
      <c r="E304" s="1"/>
      <c r="F304" s="1"/>
      <c r="G304" s="1"/>
      <c r="H304" s="3">
        <f t="shared" si="16"/>
        <v>0</v>
      </c>
      <c r="I304" s="6">
        <f t="shared" si="17"/>
        <v>0</v>
      </c>
      <c r="J304" s="1" t="b">
        <f t="shared" si="18"/>
        <v>0</v>
      </c>
      <c r="K304" s="1" t="b">
        <f>(Requirements!K321="Normative")</f>
        <v>0</v>
      </c>
      <c r="L304" s="1" t="b">
        <f>(Requirements!L321&lt;&gt;"Non-testable")</f>
        <v>1</v>
      </c>
      <c r="M304" s="1" t="b">
        <f>(VLOOKUP(Requirements!I321,Scope[[Role]:[Description]],2,FALSE)="In")</f>
        <v>1</v>
      </c>
      <c r="N304" s="1">
        <f t="shared" si="19"/>
        <v>0</v>
      </c>
    </row>
    <row r="305" spans="1:14">
      <c r="A305" s="1" t="str">
        <f>Requirements!A322</f>
        <v>MS-WSP_R300</v>
      </c>
      <c r="B305" s="1"/>
      <c r="C305" s="1"/>
      <c r="D305" s="1"/>
      <c r="E305" s="1"/>
      <c r="F305" s="1"/>
      <c r="G305" s="1"/>
      <c r="H305" s="3">
        <f t="shared" si="16"/>
        <v>0</v>
      </c>
      <c r="I305" s="6">
        <f t="shared" si="17"/>
        <v>0</v>
      </c>
      <c r="J305" s="1" t="b">
        <f t="shared" si="18"/>
        <v>0</v>
      </c>
      <c r="K305" s="1" t="b">
        <f>(Requirements!K322="Normative")</f>
        <v>0</v>
      </c>
      <c r="L305" s="1" t="b">
        <f>(Requirements!L322&lt;&gt;"Non-testable")</f>
        <v>1</v>
      </c>
      <c r="M305" s="1" t="b">
        <f>(VLOOKUP(Requirements!I322,Scope[[Role]:[Description]],2,FALSE)="In")</f>
        <v>1</v>
      </c>
      <c r="N305" s="1">
        <f t="shared" si="19"/>
        <v>0</v>
      </c>
    </row>
    <row r="306" spans="1:14">
      <c r="A306" s="1" t="str">
        <f>Requirements!A323</f>
        <v>MS-WSP_R301</v>
      </c>
      <c r="B306" s="1"/>
      <c r="C306" s="1"/>
      <c r="D306" s="1"/>
      <c r="E306" s="1"/>
      <c r="F306" s="1"/>
      <c r="G306" s="1"/>
      <c r="H306" s="3">
        <f t="shared" si="16"/>
        <v>0</v>
      </c>
      <c r="I306" s="6">
        <f t="shared" si="17"/>
        <v>0</v>
      </c>
      <c r="J306" s="1" t="b">
        <f t="shared" si="18"/>
        <v>1</v>
      </c>
      <c r="K306" s="1" t="b">
        <f>(Requirements!K323="Normative")</f>
        <v>1</v>
      </c>
      <c r="L306" s="1" t="b">
        <f>(Requirements!L323&lt;&gt;"Non-testable")</f>
        <v>1</v>
      </c>
      <c r="M306" s="1" t="b">
        <f>(VLOOKUP(Requirements!I323,Scope[[Role]:[Description]],2,FALSE)="In")</f>
        <v>1</v>
      </c>
      <c r="N306" s="1">
        <f t="shared" si="19"/>
        <v>0</v>
      </c>
    </row>
    <row r="307" spans="1:14">
      <c r="A307" s="1" t="str">
        <f>Requirements!A324</f>
        <v>MS-WSP_R302</v>
      </c>
      <c r="B307" s="1"/>
      <c r="C307" s="1"/>
      <c r="D307" s="1"/>
      <c r="E307" s="1"/>
      <c r="F307" s="1"/>
      <c r="G307" s="1"/>
      <c r="H307" s="3">
        <f t="shared" si="16"/>
        <v>0</v>
      </c>
      <c r="I307" s="6">
        <f t="shared" si="17"/>
        <v>0</v>
      </c>
      <c r="J307" s="1" t="b">
        <f t="shared" si="18"/>
        <v>1</v>
      </c>
      <c r="K307" s="1" t="b">
        <f>(Requirements!K324="Normative")</f>
        <v>1</v>
      </c>
      <c r="L307" s="1" t="b">
        <f>(Requirements!L324&lt;&gt;"Non-testable")</f>
        <v>1</v>
      </c>
      <c r="M307" s="1" t="b">
        <f>(VLOOKUP(Requirements!I324,Scope[[Role]:[Description]],2,FALSE)="In")</f>
        <v>1</v>
      </c>
      <c r="N307" s="1">
        <f t="shared" si="19"/>
        <v>0</v>
      </c>
    </row>
    <row r="308" spans="1:14">
      <c r="A308" s="1" t="str">
        <f>Requirements!A325</f>
        <v>MS-WSP_R303</v>
      </c>
      <c r="B308" s="1"/>
      <c r="C308" s="1"/>
      <c r="D308" s="1"/>
      <c r="E308" s="1"/>
      <c r="F308" s="1"/>
      <c r="G308" s="1"/>
      <c r="H308" s="3">
        <f t="shared" si="16"/>
        <v>0</v>
      </c>
      <c r="I308" s="6">
        <f t="shared" si="17"/>
        <v>0</v>
      </c>
      <c r="J308" s="1" t="b">
        <f t="shared" si="18"/>
        <v>0</v>
      </c>
      <c r="K308" s="1" t="b">
        <f>(Requirements!K325="Normative")</f>
        <v>0</v>
      </c>
      <c r="L308" s="1" t="b">
        <f>(Requirements!L325&lt;&gt;"Non-testable")</f>
        <v>1</v>
      </c>
      <c r="M308" s="1" t="b">
        <f>(VLOOKUP(Requirements!I325,Scope[[Role]:[Description]],2,FALSE)="In")</f>
        <v>1</v>
      </c>
      <c r="N308" s="1">
        <f t="shared" si="19"/>
        <v>0</v>
      </c>
    </row>
    <row r="309" spans="1:14">
      <c r="A309" s="1" t="str">
        <f>Requirements!A326</f>
        <v>MS-WSP_R304</v>
      </c>
      <c r="B309" s="1"/>
      <c r="C309" s="1"/>
      <c r="D309" s="1"/>
      <c r="E309" s="1"/>
      <c r="F309" s="1"/>
      <c r="G309" s="1"/>
      <c r="H309" s="3">
        <f t="shared" si="16"/>
        <v>0</v>
      </c>
      <c r="I309" s="6">
        <f t="shared" si="17"/>
        <v>0</v>
      </c>
      <c r="J309" s="1" t="b">
        <f t="shared" si="18"/>
        <v>0</v>
      </c>
      <c r="K309" s="1" t="b">
        <f>(Requirements!K326="Normative")</f>
        <v>1</v>
      </c>
      <c r="L309" s="1" t="b">
        <f>(Requirements!L326&lt;&gt;"Non-testable")</f>
        <v>1</v>
      </c>
      <c r="M309" s="1" t="b">
        <f>(VLOOKUP(Requirements!I326,Scope[[Role]:[Description]],2,FALSE)="In")</f>
        <v>0</v>
      </c>
      <c r="N309" s="1">
        <f t="shared" si="19"/>
        <v>0</v>
      </c>
    </row>
    <row r="310" spans="1:14">
      <c r="A310" s="1" t="str">
        <f>Requirements!A327</f>
        <v>MS-WSP_R305</v>
      </c>
      <c r="B310" s="1"/>
      <c r="C310" s="1"/>
      <c r="D310" s="1"/>
      <c r="E310" s="1"/>
      <c r="F310" s="1"/>
      <c r="G310" s="1"/>
      <c r="H310" s="3">
        <f t="shared" si="16"/>
        <v>0</v>
      </c>
      <c r="I310" s="6">
        <f t="shared" si="17"/>
        <v>0</v>
      </c>
      <c r="J310" s="1" t="b">
        <f t="shared" si="18"/>
        <v>0</v>
      </c>
      <c r="K310" s="1" t="b">
        <f>(Requirements!K327="Normative")</f>
        <v>1</v>
      </c>
      <c r="L310" s="1" t="b">
        <f>(Requirements!L327&lt;&gt;"Non-testable")</f>
        <v>1</v>
      </c>
      <c r="M310" s="1" t="b">
        <f>(VLOOKUP(Requirements!I327,Scope[[Role]:[Description]],2,FALSE)="In")</f>
        <v>0</v>
      </c>
      <c r="N310" s="1">
        <f t="shared" si="19"/>
        <v>0</v>
      </c>
    </row>
    <row r="311" spans="1:14">
      <c r="A311" s="1" t="str">
        <f>Requirements!A328</f>
        <v>MS-WSP_R306</v>
      </c>
      <c r="B311" s="1"/>
      <c r="C311" s="1"/>
      <c r="D311" s="1"/>
      <c r="E311" s="1"/>
      <c r="F311" s="1"/>
      <c r="G311" s="1"/>
      <c r="H311" s="3">
        <f t="shared" si="16"/>
        <v>0</v>
      </c>
      <c r="I311" s="6">
        <f t="shared" si="17"/>
        <v>0</v>
      </c>
      <c r="J311" s="1" t="b">
        <f t="shared" si="18"/>
        <v>0</v>
      </c>
      <c r="K311" s="1" t="b">
        <f>(Requirements!K328="Normative")</f>
        <v>1</v>
      </c>
      <c r="L311" s="1" t="b">
        <f>(Requirements!L328&lt;&gt;"Non-testable")</f>
        <v>0</v>
      </c>
      <c r="M311" s="1" t="b">
        <f>(VLOOKUP(Requirements!I328,Scope[[Role]:[Description]],2,FALSE)="In")</f>
        <v>1</v>
      </c>
      <c r="N311" s="1">
        <f t="shared" si="19"/>
        <v>0</v>
      </c>
    </row>
    <row r="312" spans="1:14">
      <c r="A312" s="1" t="str">
        <f>Requirements!A329</f>
        <v>MS-WSP_R307</v>
      </c>
      <c r="B312" s="1"/>
      <c r="C312" s="1"/>
      <c r="D312" s="1"/>
      <c r="E312" s="1"/>
      <c r="F312" s="1"/>
      <c r="G312" s="1"/>
      <c r="H312" s="3">
        <f t="shared" si="16"/>
        <v>0</v>
      </c>
      <c r="I312" s="6">
        <f t="shared" si="17"/>
        <v>0</v>
      </c>
      <c r="J312" s="1" t="b">
        <f t="shared" si="18"/>
        <v>1</v>
      </c>
      <c r="K312" s="1" t="b">
        <f>(Requirements!K329="Normative")</f>
        <v>1</v>
      </c>
      <c r="L312" s="1" t="b">
        <f>(Requirements!L329&lt;&gt;"Non-testable")</f>
        <v>1</v>
      </c>
      <c r="M312" s="1" t="b">
        <f>(VLOOKUP(Requirements!I329,Scope[[Role]:[Description]],2,FALSE)="In")</f>
        <v>1</v>
      </c>
      <c r="N312" s="1">
        <f t="shared" si="19"/>
        <v>0</v>
      </c>
    </row>
    <row r="313" spans="1:14">
      <c r="A313" s="1" t="str">
        <f>Requirements!A330</f>
        <v>MS-WSP_R308</v>
      </c>
      <c r="B313" s="1"/>
      <c r="C313" s="1"/>
      <c r="D313" s="1"/>
      <c r="E313" s="1"/>
      <c r="F313" s="1"/>
      <c r="G313" s="1"/>
      <c r="H313" s="3">
        <f t="shared" si="16"/>
        <v>0</v>
      </c>
      <c r="I313" s="6">
        <f t="shared" si="17"/>
        <v>0</v>
      </c>
      <c r="J313" s="1" t="b">
        <f t="shared" si="18"/>
        <v>0</v>
      </c>
      <c r="K313" s="1" t="b">
        <f>(Requirements!K330="Normative")</f>
        <v>0</v>
      </c>
      <c r="L313" s="1" t="b">
        <f>(Requirements!L330&lt;&gt;"Non-testable")</f>
        <v>1</v>
      </c>
      <c r="M313" s="1" t="b">
        <f>(VLOOKUP(Requirements!I330,Scope[[Role]:[Description]],2,FALSE)="In")</f>
        <v>1</v>
      </c>
      <c r="N313" s="1">
        <f t="shared" si="19"/>
        <v>0</v>
      </c>
    </row>
    <row r="314" spans="1:14">
      <c r="A314" s="1" t="str">
        <f>Requirements!A331</f>
        <v>MS-WSP_R309</v>
      </c>
      <c r="B314" s="1"/>
      <c r="C314" s="1"/>
      <c r="D314" s="1"/>
      <c r="E314" s="1"/>
      <c r="F314" s="1"/>
      <c r="G314" s="1"/>
      <c r="H314" s="3">
        <f t="shared" si="16"/>
        <v>0</v>
      </c>
      <c r="I314" s="6">
        <f t="shared" si="17"/>
        <v>0</v>
      </c>
      <c r="J314" s="1" t="b">
        <f t="shared" si="18"/>
        <v>0</v>
      </c>
      <c r="K314" s="1" t="b">
        <f>(Requirements!K331="Normative")</f>
        <v>0</v>
      </c>
      <c r="L314" s="1" t="b">
        <f>(Requirements!L331&lt;&gt;"Non-testable")</f>
        <v>1</v>
      </c>
      <c r="M314" s="1" t="b">
        <f>(VLOOKUP(Requirements!I331,Scope[[Role]:[Description]],2,FALSE)="In")</f>
        <v>1</v>
      </c>
      <c r="N314" s="1">
        <f t="shared" si="19"/>
        <v>0</v>
      </c>
    </row>
    <row r="315" spans="1:14">
      <c r="A315" s="1" t="str">
        <f>Requirements!A332</f>
        <v>MS-WSP_R310</v>
      </c>
      <c r="B315" s="1"/>
      <c r="C315" s="1"/>
      <c r="D315" s="1"/>
      <c r="E315" s="1"/>
      <c r="F315" s="1"/>
      <c r="G315" s="1"/>
      <c r="H315" s="3">
        <f t="shared" si="16"/>
        <v>0</v>
      </c>
      <c r="I315" s="6">
        <f t="shared" si="17"/>
        <v>0</v>
      </c>
      <c r="J315" s="1" t="b">
        <f t="shared" si="18"/>
        <v>0</v>
      </c>
      <c r="K315" s="1" t="b">
        <f>(Requirements!K332="Normative")</f>
        <v>1</v>
      </c>
      <c r="L315" s="1" t="b">
        <f>(Requirements!L332&lt;&gt;"Non-testable")</f>
        <v>1</v>
      </c>
      <c r="M315" s="1" t="b">
        <f>(VLOOKUP(Requirements!I332,Scope[[Role]:[Description]],2,FALSE)="In")</f>
        <v>0</v>
      </c>
      <c r="N315" s="1">
        <f t="shared" si="19"/>
        <v>0</v>
      </c>
    </row>
    <row r="316" spans="1:14">
      <c r="A316" s="1" t="str">
        <f>Requirements!A333</f>
        <v>MS-WSP_R311</v>
      </c>
      <c r="B316" s="1"/>
      <c r="C316" s="1"/>
      <c r="D316" s="1"/>
      <c r="E316" s="1"/>
      <c r="F316" s="1"/>
      <c r="G316" s="1"/>
      <c r="H316" s="3">
        <f t="shared" si="16"/>
        <v>0</v>
      </c>
      <c r="I316" s="6">
        <f t="shared" si="17"/>
        <v>0</v>
      </c>
      <c r="J316" s="1" t="b">
        <f t="shared" si="18"/>
        <v>0</v>
      </c>
      <c r="K316" s="1" t="b">
        <f>(Requirements!K333="Normative")</f>
        <v>1</v>
      </c>
      <c r="L316" s="1" t="b">
        <f>(Requirements!L333&lt;&gt;"Non-testable")</f>
        <v>1</v>
      </c>
      <c r="M316" s="1" t="b">
        <f>(VLOOKUP(Requirements!I333,Scope[[Role]:[Description]],2,FALSE)="In")</f>
        <v>0</v>
      </c>
      <c r="N316" s="1">
        <f t="shared" si="19"/>
        <v>0</v>
      </c>
    </row>
    <row r="317" spans="1:14">
      <c r="A317" s="1" t="str">
        <f>Requirements!A334</f>
        <v>MS-WSP_R312</v>
      </c>
      <c r="B317" s="1"/>
      <c r="C317" s="1"/>
      <c r="D317" s="1"/>
      <c r="E317" s="1"/>
      <c r="F317" s="1"/>
      <c r="G317" s="1"/>
      <c r="H317" s="3">
        <f t="shared" si="16"/>
        <v>0</v>
      </c>
      <c r="I317" s="6">
        <f t="shared" si="17"/>
        <v>0</v>
      </c>
      <c r="J317" s="1" t="b">
        <f t="shared" si="18"/>
        <v>0</v>
      </c>
      <c r="K317" s="1" t="b">
        <f>(Requirements!K334="Normative")</f>
        <v>1</v>
      </c>
      <c r="L317" s="1" t="b">
        <f>(Requirements!L334&lt;&gt;"Non-testable")</f>
        <v>1</v>
      </c>
      <c r="M317" s="1" t="b">
        <f>(VLOOKUP(Requirements!I334,Scope[[Role]:[Description]],2,FALSE)="In")</f>
        <v>0</v>
      </c>
      <c r="N317" s="1">
        <f t="shared" si="19"/>
        <v>0</v>
      </c>
    </row>
    <row r="318" spans="1:14">
      <c r="A318" s="1" t="str">
        <f>Requirements!A335</f>
        <v>MS-WSP_R313</v>
      </c>
      <c r="B318" s="1"/>
      <c r="C318" s="1"/>
      <c r="D318" s="1"/>
      <c r="E318" s="1"/>
      <c r="F318" s="1"/>
      <c r="G318" s="1"/>
      <c r="H318" s="3">
        <f t="shared" si="16"/>
        <v>0</v>
      </c>
      <c r="I318" s="6">
        <f t="shared" si="17"/>
        <v>0</v>
      </c>
      <c r="J318" s="1" t="b">
        <f t="shared" si="18"/>
        <v>0</v>
      </c>
      <c r="K318" s="1" t="b">
        <f>(Requirements!K335="Normative")</f>
        <v>1</v>
      </c>
      <c r="L318" s="1" t="b">
        <f>(Requirements!L335&lt;&gt;"Non-testable")</f>
        <v>1</v>
      </c>
      <c r="M318" s="1" t="b">
        <f>(VLOOKUP(Requirements!I335,Scope[[Role]:[Description]],2,FALSE)="In")</f>
        <v>0</v>
      </c>
      <c r="N318" s="1">
        <f t="shared" si="19"/>
        <v>0</v>
      </c>
    </row>
    <row r="319" spans="1:14">
      <c r="A319" s="1" t="str">
        <f>Requirements!A336</f>
        <v>MS-WSP_R314</v>
      </c>
      <c r="B319" s="1"/>
      <c r="C319" s="1"/>
      <c r="D319" s="1"/>
      <c r="E319" s="1"/>
      <c r="F319" s="1"/>
      <c r="G319" s="1"/>
      <c r="H319" s="3">
        <f t="shared" si="16"/>
        <v>0</v>
      </c>
      <c r="I319" s="6">
        <f t="shared" si="17"/>
        <v>0</v>
      </c>
      <c r="J319" s="1" t="b">
        <f t="shared" si="18"/>
        <v>0</v>
      </c>
      <c r="K319" s="1" t="b">
        <f>(Requirements!K336="Normative")</f>
        <v>1</v>
      </c>
      <c r="L319" s="1" t="b">
        <f>(Requirements!L336&lt;&gt;"Non-testable")</f>
        <v>1</v>
      </c>
      <c r="M319" s="1" t="b">
        <f>(VLOOKUP(Requirements!I336,Scope[[Role]:[Description]],2,FALSE)="In")</f>
        <v>0</v>
      </c>
      <c r="N319" s="1">
        <f t="shared" si="19"/>
        <v>0</v>
      </c>
    </row>
    <row r="320" spans="1:14">
      <c r="A320" s="1" t="str">
        <f>Requirements!A337</f>
        <v>MS-WSP_R315</v>
      </c>
      <c r="B320" s="1"/>
      <c r="C320" s="1"/>
      <c r="D320" s="1"/>
      <c r="E320" s="1"/>
      <c r="F320" s="1"/>
      <c r="G320" s="1"/>
      <c r="H320" s="3">
        <f t="shared" si="16"/>
        <v>0</v>
      </c>
      <c r="I320" s="6">
        <f t="shared" si="17"/>
        <v>0</v>
      </c>
      <c r="J320" s="1" t="b">
        <f t="shared" si="18"/>
        <v>0</v>
      </c>
      <c r="K320" s="1" t="b">
        <f>(Requirements!K337="Normative")</f>
        <v>1</v>
      </c>
      <c r="L320" s="1" t="b">
        <f>(Requirements!L337&lt;&gt;"Non-testable")</f>
        <v>1</v>
      </c>
      <c r="M320" s="1" t="b">
        <f>(VLOOKUP(Requirements!I337,Scope[[Role]:[Description]],2,FALSE)="In")</f>
        <v>0</v>
      </c>
      <c r="N320" s="1">
        <f t="shared" si="19"/>
        <v>0</v>
      </c>
    </row>
    <row r="321" spans="1:14">
      <c r="A321" s="1" t="str">
        <f>Requirements!A338</f>
        <v>MS-WSP_R316</v>
      </c>
      <c r="B321" s="1"/>
      <c r="C321" s="1"/>
      <c r="D321" s="1"/>
      <c r="E321" s="1"/>
      <c r="F321" s="1"/>
      <c r="G321" s="1"/>
      <c r="H321" s="3">
        <f t="shared" si="16"/>
        <v>0</v>
      </c>
      <c r="I321" s="6">
        <f t="shared" si="17"/>
        <v>0</v>
      </c>
      <c r="J321" s="1" t="b">
        <f t="shared" si="18"/>
        <v>0</v>
      </c>
      <c r="K321" s="1" t="b">
        <f>(Requirements!K338="Normative")</f>
        <v>1</v>
      </c>
      <c r="L321" s="1" t="b">
        <f>(Requirements!L338&lt;&gt;"Non-testable")</f>
        <v>1</v>
      </c>
      <c r="M321" s="1" t="b">
        <f>(VLOOKUP(Requirements!I338,Scope[[Role]:[Description]],2,FALSE)="In")</f>
        <v>0</v>
      </c>
      <c r="N321" s="1">
        <f t="shared" si="19"/>
        <v>0</v>
      </c>
    </row>
    <row r="322" spans="1:14">
      <c r="A322" s="1" t="str">
        <f>Requirements!A339</f>
        <v>MS-WSP_R317</v>
      </c>
      <c r="B322" s="1"/>
      <c r="C322" s="1"/>
      <c r="D322" s="1"/>
      <c r="E322" s="1"/>
      <c r="F322" s="1"/>
      <c r="G322" s="1"/>
      <c r="H322" s="3">
        <f t="shared" si="16"/>
        <v>0</v>
      </c>
      <c r="I322" s="6">
        <f t="shared" si="17"/>
        <v>0</v>
      </c>
      <c r="J322" s="1" t="b">
        <f t="shared" si="18"/>
        <v>0</v>
      </c>
      <c r="K322" s="1" t="b">
        <f>(Requirements!K339="Normative")</f>
        <v>0</v>
      </c>
      <c r="L322" s="1" t="b">
        <f>(Requirements!L339&lt;&gt;"Non-testable")</f>
        <v>1</v>
      </c>
      <c r="M322" s="1" t="b">
        <f>(VLOOKUP(Requirements!I339,Scope[[Role]:[Description]],2,FALSE)="In")</f>
        <v>0</v>
      </c>
      <c r="N322" s="1">
        <f t="shared" si="19"/>
        <v>0</v>
      </c>
    </row>
    <row r="323" spans="1:14">
      <c r="A323" s="1" t="str">
        <f>Requirements!A340</f>
        <v>MS-WSP_R318</v>
      </c>
      <c r="B323" s="1"/>
      <c r="C323" s="1"/>
      <c r="D323" s="1"/>
      <c r="E323" s="1"/>
      <c r="F323" s="1"/>
      <c r="G323" s="1"/>
      <c r="H323" s="3">
        <f t="shared" si="16"/>
        <v>0</v>
      </c>
      <c r="I323" s="6">
        <f t="shared" si="17"/>
        <v>0</v>
      </c>
      <c r="J323" s="1" t="b">
        <f t="shared" si="18"/>
        <v>0</v>
      </c>
      <c r="K323" s="1" t="b">
        <f>(Requirements!K340="Normative")</f>
        <v>0</v>
      </c>
      <c r="L323" s="1" t="b">
        <f>(Requirements!L340&lt;&gt;"Non-testable")</f>
        <v>1</v>
      </c>
      <c r="M323" s="1" t="b">
        <f>(VLOOKUP(Requirements!I340,Scope[[Role]:[Description]],2,FALSE)="In")</f>
        <v>0</v>
      </c>
      <c r="N323" s="1">
        <f t="shared" si="19"/>
        <v>0</v>
      </c>
    </row>
    <row r="324" spans="1:14">
      <c r="A324" s="1" t="str">
        <f>Requirements!A341</f>
        <v>MS-WSP_R319</v>
      </c>
      <c r="B324" s="1">
        <v>1</v>
      </c>
      <c r="C324" s="1"/>
      <c r="D324" s="1"/>
      <c r="E324" s="1"/>
      <c r="F324" s="1"/>
      <c r="G324" s="1"/>
      <c r="H324" s="3">
        <f t="shared" si="16"/>
        <v>1</v>
      </c>
      <c r="I324" s="6">
        <f t="shared" si="17"/>
        <v>1</v>
      </c>
      <c r="J324" s="1" t="b">
        <f t="shared" si="18"/>
        <v>1</v>
      </c>
      <c r="K324" s="1" t="b">
        <f>(Requirements!K341="Normative")</f>
        <v>1</v>
      </c>
      <c r="L324" s="1" t="b">
        <f>(Requirements!L341&lt;&gt;"Non-testable")</f>
        <v>1</v>
      </c>
      <c r="M324" s="1" t="b">
        <f>(VLOOKUP(Requirements!I341,Scope[[Role]:[Description]],2,FALSE)="In")</f>
        <v>1</v>
      </c>
      <c r="N324" s="1">
        <f t="shared" si="19"/>
        <v>1</v>
      </c>
    </row>
    <row r="325" spans="1:14">
      <c r="A325" s="1" t="str">
        <f>Requirements!A342</f>
        <v>MS-WSP_R320</v>
      </c>
      <c r="B325" s="1"/>
      <c r="C325" s="1"/>
      <c r="D325" s="1"/>
      <c r="E325" s="1"/>
      <c r="F325" s="1"/>
      <c r="G325" s="1"/>
      <c r="H325" s="3">
        <f t="shared" si="16"/>
        <v>0</v>
      </c>
      <c r="I325" s="6">
        <f t="shared" si="17"/>
        <v>0</v>
      </c>
      <c r="J325" s="1" t="b">
        <f t="shared" si="18"/>
        <v>0</v>
      </c>
      <c r="K325" s="1" t="b">
        <f>(Requirements!K342="Normative")</f>
        <v>1</v>
      </c>
      <c r="L325" s="1" t="b">
        <f>(Requirements!L342&lt;&gt;"Non-testable")</f>
        <v>1</v>
      </c>
      <c r="M325" s="1" t="b">
        <f>(VLOOKUP(Requirements!I342,Scope[[Role]:[Description]],2,FALSE)="In")</f>
        <v>0</v>
      </c>
      <c r="N325" s="1">
        <f t="shared" si="19"/>
        <v>0</v>
      </c>
    </row>
    <row r="326" spans="1:14">
      <c r="A326" s="1" t="str">
        <f>Requirements!A343</f>
        <v>MS-WSP_R321</v>
      </c>
      <c r="B326" s="1"/>
      <c r="C326" s="1"/>
      <c r="D326" s="1"/>
      <c r="E326" s="1"/>
      <c r="F326" s="1"/>
      <c r="G326" s="1"/>
      <c r="H326" s="3">
        <f t="shared" ref="H326:H389" si="20">SUM(B326:G326)</f>
        <v>0</v>
      </c>
      <c r="I326" s="6">
        <f t="shared" si="17"/>
        <v>0</v>
      </c>
      <c r="J326" s="1" t="b">
        <f t="shared" si="18"/>
        <v>0</v>
      </c>
      <c r="K326" s="1" t="b">
        <f>(Requirements!K343="Normative")</f>
        <v>1</v>
      </c>
      <c r="L326" s="1" t="b">
        <f>(Requirements!L343&lt;&gt;"Non-testable")</f>
        <v>0</v>
      </c>
      <c r="M326" s="1" t="b">
        <f>(VLOOKUP(Requirements!I343,Scope[[Role]:[Description]],2,FALSE)="In")</f>
        <v>1</v>
      </c>
      <c r="N326" s="1">
        <f t="shared" si="19"/>
        <v>0</v>
      </c>
    </row>
    <row r="327" spans="1:14">
      <c r="A327" s="1" t="str">
        <f>Requirements!A344</f>
        <v>MS-WSP_R322</v>
      </c>
      <c r="B327" s="1">
        <v>1</v>
      </c>
      <c r="C327" s="1"/>
      <c r="D327" s="1"/>
      <c r="E327" s="1"/>
      <c r="F327" s="1"/>
      <c r="G327" s="1"/>
      <c r="H327" s="3">
        <f t="shared" si="20"/>
        <v>1</v>
      </c>
      <c r="I327" s="6">
        <f t="shared" ref="I327:I390" si="21">IF(H327=0,0,1)</f>
        <v>1</v>
      </c>
      <c r="J327" s="1" t="b">
        <f t="shared" ref="J327:J390" si="22">AND(K327:M327)</f>
        <v>1</v>
      </c>
      <c r="K327" s="1" t="b">
        <f>(Requirements!K344="Normative")</f>
        <v>1</v>
      </c>
      <c r="L327" s="1" t="b">
        <f>(Requirements!L344&lt;&gt;"Non-testable")</f>
        <v>1</v>
      </c>
      <c r="M327" s="1" t="b">
        <f>(VLOOKUP(Requirements!I344,Scope[[Role]:[Description]],2,FALSE)="In")</f>
        <v>1</v>
      </c>
      <c r="N327" s="1">
        <f t="shared" ref="N327:N390" si="23">IF(J327,I327,0)</f>
        <v>1</v>
      </c>
    </row>
    <row r="328" spans="1:14">
      <c r="A328" s="1" t="str">
        <f>Requirements!A345</f>
        <v>MS-WSP_R323</v>
      </c>
      <c r="B328" s="1"/>
      <c r="C328" s="1"/>
      <c r="D328" s="1"/>
      <c r="E328" s="1"/>
      <c r="F328" s="1"/>
      <c r="G328" s="1"/>
      <c r="H328" s="3">
        <f t="shared" si="20"/>
        <v>0</v>
      </c>
      <c r="I328" s="6">
        <f t="shared" si="21"/>
        <v>0</v>
      </c>
      <c r="J328" s="1" t="b">
        <f t="shared" si="22"/>
        <v>0</v>
      </c>
      <c r="K328" s="1" t="b">
        <f>(Requirements!K345="Normative")</f>
        <v>1</v>
      </c>
      <c r="L328" s="1" t="b">
        <f>(Requirements!L345&lt;&gt;"Non-testable")</f>
        <v>1</v>
      </c>
      <c r="M328" s="1" t="b">
        <f>(VLOOKUP(Requirements!I345,Scope[[Role]:[Description]],2,FALSE)="In")</f>
        <v>0</v>
      </c>
      <c r="N328" s="1">
        <f t="shared" si="23"/>
        <v>0</v>
      </c>
    </row>
    <row r="329" spans="1:14">
      <c r="A329" s="1" t="str">
        <f>Requirements!A346</f>
        <v>MS-WSP_R324</v>
      </c>
      <c r="B329" s="1"/>
      <c r="C329" s="1"/>
      <c r="D329" s="1"/>
      <c r="E329" s="1"/>
      <c r="F329" s="1"/>
      <c r="G329" s="1"/>
      <c r="H329" s="3">
        <f t="shared" si="20"/>
        <v>0</v>
      </c>
      <c r="I329" s="6">
        <f t="shared" si="21"/>
        <v>0</v>
      </c>
      <c r="J329" s="1" t="b">
        <f t="shared" si="22"/>
        <v>0</v>
      </c>
      <c r="K329" s="1" t="b">
        <f>(Requirements!K346="Normative")</f>
        <v>1</v>
      </c>
      <c r="L329" s="1" t="b">
        <f>(Requirements!L346&lt;&gt;"Non-testable")</f>
        <v>0</v>
      </c>
      <c r="M329" s="1" t="b">
        <f>(VLOOKUP(Requirements!I346,Scope[[Role]:[Description]],2,FALSE)="In")</f>
        <v>1</v>
      </c>
      <c r="N329" s="1">
        <f t="shared" si="23"/>
        <v>0</v>
      </c>
    </row>
    <row r="330" spans="1:14">
      <c r="A330" s="1" t="str">
        <f>Requirements!A347</f>
        <v>MS-WSP_R325</v>
      </c>
      <c r="B330" s="1">
        <v>1</v>
      </c>
      <c r="C330" s="1"/>
      <c r="D330" s="1"/>
      <c r="E330" s="1"/>
      <c r="F330" s="1"/>
      <c r="G330" s="1"/>
      <c r="H330" s="3">
        <f t="shared" si="20"/>
        <v>1</v>
      </c>
      <c r="I330" s="6">
        <f t="shared" si="21"/>
        <v>1</v>
      </c>
      <c r="J330" s="1" t="b">
        <f t="shared" si="22"/>
        <v>1</v>
      </c>
      <c r="K330" s="1" t="b">
        <f>(Requirements!K347="Normative")</f>
        <v>1</v>
      </c>
      <c r="L330" s="1" t="b">
        <f>(Requirements!L347&lt;&gt;"Non-testable")</f>
        <v>1</v>
      </c>
      <c r="M330" s="1" t="b">
        <f>(VLOOKUP(Requirements!I347,Scope[[Role]:[Description]],2,FALSE)="In")</f>
        <v>1</v>
      </c>
      <c r="N330" s="1">
        <f t="shared" si="23"/>
        <v>1</v>
      </c>
    </row>
    <row r="331" spans="1:14">
      <c r="A331" s="1" t="str">
        <f>Requirements!A348</f>
        <v>MS-WSP_R326</v>
      </c>
      <c r="B331" s="1">
        <v>1</v>
      </c>
      <c r="C331" s="1"/>
      <c r="D331" s="1"/>
      <c r="E331" s="1"/>
      <c r="F331" s="1"/>
      <c r="G331" s="1"/>
      <c r="H331" s="3">
        <f t="shared" si="20"/>
        <v>1</v>
      </c>
      <c r="I331" s="6">
        <f t="shared" si="21"/>
        <v>1</v>
      </c>
      <c r="J331" s="1" t="b">
        <f t="shared" si="22"/>
        <v>1</v>
      </c>
      <c r="K331" s="1" t="b">
        <f>(Requirements!K348="Normative")</f>
        <v>1</v>
      </c>
      <c r="L331" s="1" t="b">
        <f>(Requirements!L348&lt;&gt;"Non-testable")</f>
        <v>1</v>
      </c>
      <c r="M331" s="1" t="b">
        <f>(VLOOKUP(Requirements!I348,Scope[[Role]:[Description]],2,FALSE)="In")</f>
        <v>1</v>
      </c>
      <c r="N331" s="1">
        <f t="shared" si="23"/>
        <v>1</v>
      </c>
    </row>
    <row r="332" spans="1:14">
      <c r="A332" s="1" t="str">
        <f>Requirements!A349</f>
        <v>MS-WSP_R327</v>
      </c>
      <c r="B332" s="1"/>
      <c r="C332" s="1"/>
      <c r="D332" s="1"/>
      <c r="E332" s="1"/>
      <c r="F332" s="1"/>
      <c r="G332" s="1"/>
      <c r="H332" s="3">
        <f t="shared" si="20"/>
        <v>0</v>
      </c>
      <c r="I332" s="6">
        <f t="shared" si="21"/>
        <v>0</v>
      </c>
      <c r="J332" s="1" t="b">
        <f t="shared" si="22"/>
        <v>1</v>
      </c>
      <c r="K332" s="1" t="b">
        <f>(Requirements!K349="Normative")</f>
        <v>1</v>
      </c>
      <c r="L332" s="1" t="b">
        <f>(Requirements!L349&lt;&gt;"Non-testable")</f>
        <v>1</v>
      </c>
      <c r="M332" s="1" t="b">
        <f>(VLOOKUP(Requirements!I349,Scope[[Role]:[Description]],2,FALSE)="In")</f>
        <v>1</v>
      </c>
      <c r="N332" s="1">
        <f t="shared" si="23"/>
        <v>0</v>
      </c>
    </row>
    <row r="333" spans="1:14">
      <c r="A333" s="1" t="str">
        <f>Requirements!A350</f>
        <v>MS-WSP_R328</v>
      </c>
      <c r="B333" s="1"/>
      <c r="C333" s="1"/>
      <c r="D333" s="1"/>
      <c r="E333" s="1"/>
      <c r="F333" s="1"/>
      <c r="G333" s="1"/>
      <c r="H333" s="3">
        <f t="shared" si="20"/>
        <v>0</v>
      </c>
      <c r="I333" s="6">
        <f t="shared" si="21"/>
        <v>0</v>
      </c>
      <c r="J333" s="1" t="b">
        <f t="shared" si="22"/>
        <v>0</v>
      </c>
      <c r="K333" s="1" t="b">
        <f>(Requirements!K350="Normative")</f>
        <v>1</v>
      </c>
      <c r="L333" s="1" t="b">
        <f>(Requirements!L350&lt;&gt;"Non-testable")</f>
        <v>1</v>
      </c>
      <c r="M333" s="1" t="b">
        <f>(VLOOKUP(Requirements!I350,Scope[[Role]:[Description]],2,FALSE)="In")</f>
        <v>0</v>
      </c>
      <c r="N333" s="1">
        <f t="shared" si="23"/>
        <v>0</v>
      </c>
    </row>
    <row r="334" spans="1:14">
      <c r="A334" s="1" t="str">
        <f>Requirements!A351</f>
        <v>MS-WSP_R329</v>
      </c>
      <c r="B334" s="1"/>
      <c r="C334" s="1"/>
      <c r="D334" s="1"/>
      <c r="E334" s="1"/>
      <c r="F334" s="1"/>
      <c r="G334" s="1"/>
      <c r="H334" s="3">
        <f t="shared" si="20"/>
        <v>0</v>
      </c>
      <c r="I334" s="6">
        <f t="shared" si="21"/>
        <v>0</v>
      </c>
      <c r="J334" s="1" t="b">
        <f t="shared" si="22"/>
        <v>0</v>
      </c>
      <c r="K334" s="1" t="b">
        <f>(Requirements!K351="Normative")</f>
        <v>1</v>
      </c>
      <c r="L334" s="1" t="b">
        <f>(Requirements!L351&lt;&gt;"Non-testable")</f>
        <v>1</v>
      </c>
      <c r="M334" s="1" t="b">
        <f>(VLOOKUP(Requirements!I351,Scope[[Role]:[Description]],2,FALSE)="In")</f>
        <v>0</v>
      </c>
      <c r="N334" s="1">
        <f t="shared" si="23"/>
        <v>0</v>
      </c>
    </row>
    <row r="335" spans="1:14">
      <c r="A335" s="1" t="str">
        <f>Requirements!A352</f>
        <v>MS-WSP_R330</v>
      </c>
      <c r="B335" s="1"/>
      <c r="C335" s="1"/>
      <c r="D335" s="1"/>
      <c r="E335" s="1"/>
      <c r="F335" s="1"/>
      <c r="G335" s="1"/>
      <c r="H335" s="3">
        <f t="shared" si="20"/>
        <v>0</v>
      </c>
      <c r="I335" s="6">
        <f t="shared" si="21"/>
        <v>0</v>
      </c>
      <c r="J335" s="1" t="b">
        <f t="shared" si="22"/>
        <v>0</v>
      </c>
      <c r="K335" s="1" t="b">
        <f>(Requirements!K352="Normative")</f>
        <v>1</v>
      </c>
      <c r="L335" s="1" t="b">
        <f>(Requirements!L352&lt;&gt;"Non-testable")</f>
        <v>1</v>
      </c>
      <c r="M335" s="1" t="b">
        <f>(VLOOKUP(Requirements!I352,Scope[[Role]:[Description]],2,FALSE)="In")</f>
        <v>0</v>
      </c>
      <c r="N335" s="1">
        <f t="shared" si="23"/>
        <v>0</v>
      </c>
    </row>
    <row r="336" spans="1:14">
      <c r="A336" s="1" t="str">
        <f>Requirements!A353</f>
        <v>MS-WSP_R331</v>
      </c>
      <c r="B336" s="1"/>
      <c r="C336" s="1"/>
      <c r="D336" s="1"/>
      <c r="E336" s="1"/>
      <c r="F336" s="1"/>
      <c r="G336" s="1"/>
      <c r="H336" s="3">
        <f t="shared" si="20"/>
        <v>0</v>
      </c>
      <c r="I336" s="6">
        <f t="shared" si="21"/>
        <v>0</v>
      </c>
      <c r="J336" s="1" t="b">
        <f t="shared" si="22"/>
        <v>0</v>
      </c>
      <c r="K336" s="1" t="b">
        <f>(Requirements!K353="Normative")</f>
        <v>1</v>
      </c>
      <c r="L336" s="1" t="b">
        <f>(Requirements!L353&lt;&gt;"Non-testable")</f>
        <v>0</v>
      </c>
      <c r="M336" s="1" t="b">
        <f>(VLOOKUP(Requirements!I353,Scope[[Role]:[Description]],2,FALSE)="In")</f>
        <v>1</v>
      </c>
      <c r="N336" s="1">
        <f t="shared" si="23"/>
        <v>0</v>
      </c>
    </row>
    <row r="337" spans="1:14">
      <c r="A337" s="1" t="str">
        <f>Requirements!A354</f>
        <v>MS-WSP_R332</v>
      </c>
      <c r="B337" s="1">
        <v>1</v>
      </c>
      <c r="C337" s="1">
        <v>1</v>
      </c>
      <c r="D337" s="1"/>
      <c r="E337" s="1"/>
      <c r="F337" s="1"/>
      <c r="G337" s="1">
        <v>1</v>
      </c>
      <c r="H337" s="3">
        <f t="shared" si="20"/>
        <v>3</v>
      </c>
      <c r="I337" s="6">
        <f t="shared" si="21"/>
        <v>1</v>
      </c>
      <c r="J337" s="1" t="b">
        <f t="shared" si="22"/>
        <v>1</v>
      </c>
      <c r="K337" s="1" t="b">
        <f>(Requirements!K354="Normative")</f>
        <v>1</v>
      </c>
      <c r="L337" s="1" t="b">
        <f>(Requirements!L354&lt;&gt;"Non-testable")</f>
        <v>1</v>
      </c>
      <c r="M337" s="1" t="b">
        <f>(VLOOKUP(Requirements!I354,Scope[[Role]:[Description]],2,FALSE)="In")</f>
        <v>1</v>
      </c>
      <c r="N337" s="1">
        <f t="shared" si="23"/>
        <v>1</v>
      </c>
    </row>
    <row r="338" spans="1:14">
      <c r="A338" s="1" t="str">
        <f>Requirements!A355</f>
        <v>MS-WSP_R333</v>
      </c>
      <c r="B338" s="1"/>
      <c r="C338" s="1"/>
      <c r="D338" s="1"/>
      <c r="E338" s="1"/>
      <c r="F338" s="1"/>
      <c r="G338" s="1"/>
      <c r="H338" s="3">
        <f t="shared" si="20"/>
        <v>0</v>
      </c>
      <c r="I338" s="6">
        <f t="shared" si="21"/>
        <v>0</v>
      </c>
      <c r="J338" s="1" t="b">
        <f t="shared" si="22"/>
        <v>0</v>
      </c>
      <c r="K338" s="1" t="b">
        <f>(Requirements!K355="Normative")</f>
        <v>1</v>
      </c>
      <c r="L338" s="1" t="b">
        <f>(Requirements!L355&lt;&gt;"Non-testable")</f>
        <v>1</v>
      </c>
      <c r="M338" s="1" t="b">
        <f>(VLOOKUP(Requirements!I355,Scope[[Role]:[Description]],2,FALSE)="In")</f>
        <v>0</v>
      </c>
      <c r="N338" s="1">
        <f t="shared" si="23"/>
        <v>0</v>
      </c>
    </row>
    <row r="339" spans="1:14">
      <c r="A339" s="1" t="str">
        <f>Requirements!A356</f>
        <v>MS-WSP_R334</v>
      </c>
      <c r="B339" s="1"/>
      <c r="C339" s="1"/>
      <c r="D339" s="1"/>
      <c r="E339" s="1"/>
      <c r="F339" s="1"/>
      <c r="G339" s="1"/>
      <c r="H339" s="3">
        <f t="shared" si="20"/>
        <v>0</v>
      </c>
      <c r="I339" s="6">
        <f t="shared" si="21"/>
        <v>0</v>
      </c>
      <c r="J339" s="1" t="b">
        <f t="shared" si="22"/>
        <v>0</v>
      </c>
      <c r="K339" s="1" t="b">
        <f>(Requirements!K356="Normative")</f>
        <v>1</v>
      </c>
      <c r="L339" s="1" t="b">
        <f>(Requirements!L356&lt;&gt;"Non-testable")</f>
        <v>1</v>
      </c>
      <c r="M339" s="1" t="b">
        <f>(VLOOKUP(Requirements!I356,Scope[[Role]:[Description]],2,FALSE)="In")</f>
        <v>0</v>
      </c>
      <c r="N339" s="1">
        <f t="shared" si="23"/>
        <v>0</v>
      </c>
    </row>
    <row r="340" spans="1:14">
      <c r="A340" s="1" t="str">
        <f>Requirements!A357</f>
        <v>MS-WSP_R335</v>
      </c>
      <c r="B340" s="1"/>
      <c r="C340" s="1"/>
      <c r="D340" s="1"/>
      <c r="E340" s="1"/>
      <c r="F340" s="1"/>
      <c r="G340" s="1"/>
      <c r="H340" s="3">
        <f t="shared" si="20"/>
        <v>0</v>
      </c>
      <c r="I340" s="6">
        <f t="shared" si="21"/>
        <v>0</v>
      </c>
      <c r="J340" s="1" t="b">
        <f t="shared" si="22"/>
        <v>0</v>
      </c>
      <c r="K340" s="1" t="b">
        <f>(Requirements!K357="Normative")</f>
        <v>1</v>
      </c>
      <c r="L340" s="1" t="b">
        <f>(Requirements!L357&lt;&gt;"Non-testable")</f>
        <v>1</v>
      </c>
      <c r="M340" s="1" t="b">
        <f>(VLOOKUP(Requirements!I357,Scope[[Role]:[Description]],2,FALSE)="In")</f>
        <v>0</v>
      </c>
      <c r="N340" s="1">
        <f t="shared" si="23"/>
        <v>0</v>
      </c>
    </row>
    <row r="341" spans="1:14">
      <c r="A341" s="1" t="str">
        <f>Requirements!A358</f>
        <v>MS-WSP_R336</v>
      </c>
      <c r="B341" s="1"/>
      <c r="C341" s="1"/>
      <c r="D341" s="1"/>
      <c r="E341" s="1"/>
      <c r="F341" s="1"/>
      <c r="G341" s="1"/>
      <c r="H341" s="3">
        <f t="shared" si="20"/>
        <v>0</v>
      </c>
      <c r="I341" s="6">
        <f t="shared" si="21"/>
        <v>0</v>
      </c>
      <c r="J341" s="1" t="b">
        <f t="shared" si="22"/>
        <v>0</v>
      </c>
      <c r="K341" s="1" t="b">
        <f>(Requirements!K358="Normative")</f>
        <v>1</v>
      </c>
      <c r="L341" s="1" t="b">
        <f>(Requirements!L358&lt;&gt;"Non-testable")</f>
        <v>1</v>
      </c>
      <c r="M341" s="1" t="b">
        <f>(VLOOKUP(Requirements!I358,Scope[[Role]:[Description]],2,FALSE)="In")</f>
        <v>0</v>
      </c>
      <c r="N341" s="1">
        <f t="shared" si="23"/>
        <v>0</v>
      </c>
    </row>
    <row r="342" spans="1:14">
      <c r="A342" s="1" t="str">
        <f>Requirements!A359</f>
        <v>MS-WSP_R337</v>
      </c>
      <c r="B342" s="1"/>
      <c r="C342" s="1"/>
      <c r="D342" s="1"/>
      <c r="E342" s="1"/>
      <c r="F342" s="1"/>
      <c r="G342" s="1"/>
      <c r="H342" s="3">
        <f t="shared" si="20"/>
        <v>0</v>
      </c>
      <c r="I342" s="6">
        <f t="shared" si="21"/>
        <v>0</v>
      </c>
      <c r="J342" s="1" t="b">
        <f t="shared" si="22"/>
        <v>0</v>
      </c>
      <c r="K342" s="1" t="b">
        <f>(Requirements!K359="Normative")</f>
        <v>1</v>
      </c>
      <c r="L342" s="1" t="b">
        <f>(Requirements!L359&lt;&gt;"Non-testable")</f>
        <v>1</v>
      </c>
      <c r="M342" s="1" t="b">
        <f>(VLOOKUP(Requirements!I359,Scope[[Role]:[Description]],2,FALSE)="In")</f>
        <v>0</v>
      </c>
      <c r="N342" s="1">
        <f t="shared" si="23"/>
        <v>0</v>
      </c>
    </row>
    <row r="343" spans="1:14">
      <c r="A343" s="1" t="str">
        <f>Requirements!A360</f>
        <v>MS-WSP_R338</v>
      </c>
      <c r="B343" s="1"/>
      <c r="C343" s="1"/>
      <c r="D343" s="1"/>
      <c r="E343" s="1"/>
      <c r="F343" s="1"/>
      <c r="G343" s="1"/>
      <c r="H343" s="3">
        <f t="shared" si="20"/>
        <v>0</v>
      </c>
      <c r="I343" s="6">
        <f t="shared" si="21"/>
        <v>0</v>
      </c>
      <c r="J343" s="1" t="b">
        <f t="shared" si="22"/>
        <v>0</v>
      </c>
      <c r="K343" s="1" t="b">
        <f>(Requirements!K360="Normative")</f>
        <v>1</v>
      </c>
      <c r="L343" s="1" t="b">
        <f>(Requirements!L360&lt;&gt;"Non-testable")</f>
        <v>1</v>
      </c>
      <c r="M343" s="1" t="b">
        <f>(VLOOKUP(Requirements!I360,Scope[[Role]:[Description]],2,FALSE)="In")</f>
        <v>0</v>
      </c>
      <c r="N343" s="1">
        <f t="shared" si="23"/>
        <v>0</v>
      </c>
    </row>
    <row r="344" spans="1:14">
      <c r="A344" s="1" t="str">
        <f>Requirements!A361</f>
        <v>MS-WSP_R339</v>
      </c>
      <c r="B344" s="1"/>
      <c r="C344" s="1"/>
      <c r="D344" s="1"/>
      <c r="E344" s="1"/>
      <c r="F344" s="1"/>
      <c r="G344" s="1"/>
      <c r="H344" s="3">
        <f t="shared" si="20"/>
        <v>0</v>
      </c>
      <c r="I344" s="6">
        <f t="shared" si="21"/>
        <v>0</v>
      </c>
      <c r="J344" s="1" t="b">
        <f t="shared" si="22"/>
        <v>0</v>
      </c>
      <c r="K344" s="1" t="b">
        <f>(Requirements!K361="Normative")</f>
        <v>1</v>
      </c>
      <c r="L344" s="1" t="b">
        <f>(Requirements!L361&lt;&gt;"Non-testable")</f>
        <v>1</v>
      </c>
      <c r="M344" s="1" t="b">
        <f>(VLOOKUP(Requirements!I361,Scope[[Role]:[Description]],2,FALSE)="In")</f>
        <v>0</v>
      </c>
      <c r="N344" s="1">
        <f t="shared" si="23"/>
        <v>0</v>
      </c>
    </row>
    <row r="345" spans="1:14">
      <c r="A345" s="1" t="str">
        <f>Requirements!A362</f>
        <v>MS-WSP_R340</v>
      </c>
      <c r="B345" s="1"/>
      <c r="C345" s="1"/>
      <c r="D345" s="1"/>
      <c r="E345" s="1"/>
      <c r="F345" s="1"/>
      <c r="G345" s="1"/>
      <c r="H345" s="3">
        <f t="shared" si="20"/>
        <v>0</v>
      </c>
      <c r="I345" s="6">
        <f t="shared" si="21"/>
        <v>0</v>
      </c>
      <c r="J345" s="1" t="b">
        <f t="shared" si="22"/>
        <v>0</v>
      </c>
      <c r="K345" s="1" t="b">
        <f>(Requirements!K362="Normative")</f>
        <v>1</v>
      </c>
      <c r="L345" s="1" t="b">
        <f>(Requirements!L362&lt;&gt;"Non-testable")</f>
        <v>1</v>
      </c>
      <c r="M345" s="1" t="b">
        <f>(VLOOKUP(Requirements!I362,Scope[[Role]:[Description]],2,FALSE)="In")</f>
        <v>0</v>
      </c>
      <c r="N345" s="1">
        <f t="shared" si="23"/>
        <v>0</v>
      </c>
    </row>
    <row r="346" spans="1:14">
      <c r="A346" s="1" t="str">
        <f>Requirements!A363</f>
        <v>MS-WSP_R341</v>
      </c>
      <c r="B346" s="1"/>
      <c r="C346" s="1"/>
      <c r="D346" s="1"/>
      <c r="E346" s="1"/>
      <c r="F346" s="1"/>
      <c r="G346" s="1"/>
      <c r="H346" s="3">
        <f t="shared" si="20"/>
        <v>0</v>
      </c>
      <c r="I346" s="6">
        <f t="shared" si="21"/>
        <v>0</v>
      </c>
      <c r="J346" s="1" t="b">
        <f t="shared" si="22"/>
        <v>0</v>
      </c>
      <c r="K346" s="1" t="b">
        <f>(Requirements!K363="Normative")</f>
        <v>1</v>
      </c>
      <c r="L346" s="1" t="b">
        <f>(Requirements!L363&lt;&gt;"Non-testable")</f>
        <v>1</v>
      </c>
      <c r="M346" s="1" t="b">
        <f>(VLOOKUP(Requirements!I363,Scope[[Role]:[Description]],2,FALSE)="In")</f>
        <v>0</v>
      </c>
      <c r="N346" s="1">
        <f t="shared" si="23"/>
        <v>0</v>
      </c>
    </row>
    <row r="347" spans="1:14">
      <c r="A347" s="1" t="str">
        <f>Requirements!A364</f>
        <v>MS-WSP_R342</v>
      </c>
      <c r="B347" s="1"/>
      <c r="C347" s="1"/>
      <c r="D347" s="1"/>
      <c r="E347" s="1"/>
      <c r="F347" s="1"/>
      <c r="G347" s="1"/>
      <c r="H347" s="3">
        <f t="shared" si="20"/>
        <v>0</v>
      </c>
      <c r="I347" s="6">
        <f t="shared" si="21"/>
        <v>0</v>
      </c>
      <c r="J347" s="1" t="b">
        <f t="shared" si="22"/>
        <v>0</v>
      </c>
      <c r="K347" s="1" t="b">
        <f>(Requirements!K364="Normative")</f>
        <v>1</v>
      </c>
      <c r="L347" s="1" t="b">
        <f>(Requirements!L364&lt;&gt;"Non-testable")</f>
        <v>1</v>
      </c>
      <c r="M347" s="1" t="b">
        <f>(VLOOKUP(Requirements!I364,Scope[[Role]:[Description]],2,FALSE)="In")</f>
        <v>0</v>
      </c>
      <c r="N347" s="1">
        <f t="shared" si="23"/>
        <v>0</v>
      </c>
    </row>
    <row r="348" spans="1:14">
      <c r="A348" s="1" t="str">
        <f>Requirements!A365</f>
        <v>MS-WSP_R343</v>
      </c>
      <c r="B348" s="1"/>
      <c r="C348" s="1"/>
      <c r="D348" s="1"/>
      <c r="E348" s="1"/>
      <c r="F348" s="1"/>
      <c r="G348" s="1"/>
      <c r="H348" s="3">
        <f t="shared" si="20"/>
        <v>0</v>
      </c>
      <c r="I348" s="6">
        <f t="shared" si="21"/>
        <v>0</v>
      </c>
      <c r="J348" s="1" t="b">
        <f t="shared" si="22"/>
        <v>0</v>
      </c>
      <c r="K348" s="1" t="b">
        <f>(Requirements!K365="Normative")</f>
        <v>1</v>
      </c>
      <c r="L348" s="1" t="b">
        <f>(Requirements!L365&lt;&gt;"Non-testable")</f>
        <v>0</v>
      </c>
      <c r="M348" s="1" t="b">
        <f>(VLOOKUP(Requirements!I365,Scope[[Role]:[Description]],2,FALSE)="In")</f>
        <v>1</v>
      </c>
      <c r="N348" s="1">
        <f t="shared" si="23"/>
        <v>0</v>
      </c>
    </row>
    <row r="349" spans="1:14">
      <c r="A349" s="1" t="str">
        <f>Requirements!A366</f>
        <v>MS-WSP_R344</v>
      </c>
      <c r="B349" s="1">
        <v>1</v>
      </c>
      <c r="C349" s="1"/>
      <c r="D349" s="1"/>
      <c r="E349" s="1"/>
      <c r="F349" s="1"/>
      <c r="G349" s="1"/>
      <c r="H349" s="3">
        <f t="shared" si="20"/>
        <v>1</v>
      </c>
      <c r="I349" s="6">
        <f t="shared" si="21"/>
        <v>1</v>
      </c>
      <c r="J349" s="1" t="b">
        <f t="shared" si="22"/>
        <v>1</v>
      </c>
      <c r="K349" s="1" t="b">
        <f>(Requirements!K366="Normative")</f>
        <v>1</v>
      </c>
      <c r="L349" s="1" t="b">
        <f>(Requirements!L366&lt;&gt;"Non-testable")</f>
        <v>1</v>
      </c>
      <c r="M349" s="1" t="b">
        <f>(VLOOKUP(Requirements!I366,Scope[[Role]:[Description]],2,FALSE)="In")</f>
        <v>1</v>
      </c>
      <c r="N349" s="1">
        <f t="shared" si="23"/>
        <v>1</v>
      </c>
    </row>
    <row r="350" spans="1:14">
      <c r="A350" s="1" t="str">
        <f>Requirements!A367</f>
        <v>MS-WSP_R345</v>
      </c>
      <c r="B350" s="1"/>
      <c r="C350" s="1"/>
      <c r="D350" s="1"/>
      <c r="E350" s="1"/>
      <c r="F350" s="1"/>
      <c r="G350" s="1"/>
      <c r="H350" s="3">
        <f t="shared" si="20"/>
        <v>0</v>
      </c>
      <c r="I350" s="6">
        <f t="shared" si="21"/>
        <v>0</v>
      </c>
      <c r="J350" s="1" t="b">
        <f t="shared" si="22"/>
        <v>0</v>
      </c>
      <c r="K350" s="1" t="b">
        <f>(Requirements!K367="Normative")</f>
        <v>1</v>
      </c>
      <c r="L350" s="1" t="b">
        <f>(Requirements!L367&lt;&gt;"Non-testable")</f>
        <v>1</v>
      </c>
      <c r="M350" s="1" t="b">
        <f>(VLOOKUP(Requirements!I367,Scope[[Role]:[Description]],2,FALSE)="In")</f>
        <v>0</v>
      </c>
      <c r="N350" s="1">
        <f t="shared" si="23"/>
        <v>0</v>
      </c>
    </row>
    <row r="351" spans="1:14">
      <c r="A351" s="1" t="str">
        <f>Requirements!A368</f>
        <v>MS-WSP_R346</v>
      </c>
      <c r="B351" s="1"/>
      <c r="C351" s="1"/>
      <c r="D351" s="1"/>
      <c r="E351" s="1"/>
      <c r="F351" s="1"/>
      <c r="G351" s="1"/>
      <c r="H351" s="3">
        <f t="shared" si="20"/>
        <v>0</v>
      </c>
      <c r="I351" s="6">
        <f t="shared" si="21"/>
        <v>0</v>
      </c>
      <c r="J351" s="1" t="b">
        <f t="shared" si="22"/>
        <v>0</v>
      </c>
      <c r="K351" s="1" t="b">
        <f>(Requirements!K368="Normative")</f>
        <v>1</v>
      </c>
      <c r="L351" s="1" t="b">
        <f>(Requirements!L368&lt;&gt;"Non-testable")</f>
        <v>1</v>
      </c>
      <c r="M351" s="1" t="b">
        <f>(VLOOKUP(Requirements!I368,Scope[[Role]:[Description]],2,FALSE)="In")</f>
        <v>0</v>
      </c>
      <c r="N351" s="1">
        <f t="shared" si="23"/>
        <v>0</v>
      </c>
    </row>
    <row r="352" spans="1:14">
      <c r="A352" s="1" t="str">
        <f>Requirements!A369</f>
        <v>MS-WSP_R347</v>
      </c>
      <c r="B352" s="1"/>
      <c r="C352" s="1"/>
      <c r="D352" s="1"/>
      <c r="E352" s="1"/>
      <c r="F352" s="1"/>
      <c r="G352" s="1"/>
      <c r="H352" s="3">
        <f t="shared" si="20"/>
        <v>0</v>
      </c>
      <c r="I352" s="6">
        <f t="shared" si="21"/>
        <v>0</v>
      </c>
      <c r="J352" s="1" t="b">
        <f t="shared" si="22"/>
        <v>0</v>
      </c>
      <c r="K352" s="1" t="b">
        <f>(Requirements!K369="Normative")</f>
        <v>1</v>
      </c>
      <c r="L352" s="1" t="b">
        <f>(Requirements!L369&lt;&gt;"Non-testable")</f>
        <v>1</v>
      </c>
      <c r="M352" s="1" t="b">
        <f>(VLOOKUP(Requirements!I369,Scope[[Role]:[Description]],2,FALSE)="In")</f>
        <v>0</v>
      </c>
      <c r="N352" s="1">
        <f t="shared" si="23"/>
        <v>0</v>
      </c>
    </row>
    <row r="353" spans="1:14">
      <c r="A353" s="1" t="str">
        <f>Requirements!A370</f>
        <v>MS-WSP_R348</v>
      </c>
      <c r="B353" s="1"/>
      <c r="C353" s="1"/>
      <c r="D353" s="1"/>
      <c r="E353" s="1"/>
      <c r="F353" s="1"/>
      <c r="G353" s="1"/>
      <c r="H353" s="3">
        <f t="shared" si="20"/>
        <v>0</v>
      </c>
      <c r="I353" s="6">
        <f t="shared" si="21"/>
        <v>0</v>
      </c>
      <c r="J353" s="1" t="b">
        <f t="shared" si="22"/>
        <v>0</v>
      </c>
      <c r="K353" s="1" t="b">
        <f>(Requirements!K370="Normative")</f>
        <v>1</v>
      </c>
      <c r="L353" s="1" t="b">
        <f>(Requirements!L370&lt;&gt;"Non-testable")</f>
        <v>1</v>
      </c>
      <c r="M353" s="1" t="b">
        <f>(VLOOKUP(Requirements!I370,Scope[[Role]:[Description]],2,FALSE)="In")</f>
        <v>0</v>
      </c>
      <c r="N353" s="1">
        <f t="shared" si="23"/>
        <v>0</v>
      </c>
    </row>
    <row r="354" spans="1:14">
      <c r="A354" s="1" t="str">
        <f>Requirements!A371</f>
        <v>MS-WSP_R349</v>
      </c>
      <c r="B354" s="1"/>
      <c r="C354" s="1"/>
      <c r="D354" s="1"/>
      <c r="E354" s="1"/>
      <c r="F354" s="1"/>
      <c r="G354" s="1"/>
      <c r="H354" s="3">
        <f t="shared" si="20"/>
        <v>0</v>
      </c>
      <c r="I354" s="6">
        <f t="shared" si="21"/>
        <v>0</v>
      </c>
      <c r="J354" s="1" t="b">
        <f t="shared" si="22"/>
        <v>0</v>
      </c>
      <c r="K354" s="1" t="b">
        <f>(Requirements!K371="Normative")</f>
        <v>1</v>
      </c>
      <c r="L354" s="1" t="b">
        <f>(Requirements!L371&lt;&gt;"Non-testable")</f>
        <v>1</v>
      </c>
      <c r="M354" s="1" t="b">
        <f>(VLOOKUP(Requirements!I371,Scope[[Role]:[Description]],2,FALSE)="In")</f>
        <v>0</v>
      </c>
      <c r="N354" s="1">
        <f t="shared" si="23"/>
        <v>0</v>
      </c>
    </row>
    <row r="355" spans="1:14">
      <c r="A355" s="1" t="str">
        <f>Requirements!A372</f>
        <v>MS-WSP_R350</v>
      </c>
      <c r="B355" s="1"/>
      <c r="C355" s="1"/>
      <c r="D355" s="1"/>
      <c r="E355" s="1"/>
      <c r="F355" s="1"/>
      <c r="G355" s="1"/>
      <c r="H355" s="3">
        <f t="shared" si="20"/>
        <v>0</v>
      </c>
      <c r="I355" s="6">
        <f t="shared" si="21"/>
        <v>0</v>
      </c>
      <c r="J355" s="1" t="b">
        <f t="shared" si="22"/>
        <v>0</v>
      </c>
      <c r="K355" s="1" t="b">
        <f>(Requirements!K372="Normative")</f>
        <v>1</v>
      </c>
      <c r="L355" s="1" t="b">
        <f>(Requirements!L372&lt;&gt;"Non-testable")</f>
        <v>1</v>
      </c>
      <c r="M355" s="1" t="b">
        <f>(VLOOKUP(Requirements!I372,Scope[[Role]:[Description]],2,FALSE)="In")</f>
        <v>0</v>
      </c>
      <c r="N355" s="1">
        <f t="shared" si="23"/>
        <v>0</v>
      </c>
    </row>
    <row r="356" spans="1:14">
      <c r="A356" s="1" t="str">
        <f>Requirements!A373</f>
        <v>MS-WSP_R351</v>
      </c>
      <c r="B356" s="1"/>
      <c r="C356" s="1"/>
      <c r="D356" s="1"/>
      <c r="E356" s="1"/>
      <c r="F356" s="1"/>
      <c r="G356" s="1"/>
      <c r="H356" s="3">
        <f t="shared" si="20"/>
        <v>0</v>
      </c>
      <c r="I356" s="6">
        <f t="shared" si="21"/>
        <v>0</v>
      </c>
      <c r="J356" s="1" t="b">
        <f t="shared" si="22"/>
        <v>0</v>
      </c>
      <c r="K356" s="1" t="b">
        <f>(Requirements!K373="Normative")</f>
        <v>1</v>
      </c>
      <c r="L356" s="1" t="b">
        <f>(Requirements!L373&lt;&gt;"Non-testable")</f>
        <v>1</v>
      </c>
      <c r="M356" s="1" t="b">
        <f>(VLOOKUP(Requirements!I373,Scope[[Role]:[Description]],2,FALSE)="In")</f>
        <v>0</v>
      </c>
      <c r="N356" s="1">
        <f t="shared" si="23"/>
        <v>0</v>
      </c>
    </row>
    <row r="357" spans="1:14">
      <c r="A357" s="1" t="str">
        <f>Requirements!A374</f>
        <v>MS-WSP_R352</v>
      </c>
      <c r="B357" s="1"/>
      <c r="C357" s="1"/>
      <c r="D357" s="1"/>
      <c r="E357" s="1"/>
      <c r="F357" s="1"/>
      <c r="G357" s="1"/>
      <c r="H357" s="3">
        <f t="shared" si="20"/>
        <v>0</v>
      </c>
      <c r="I357" s="6">
        <f t="shared" si="21"/>
        <v>0</v>
      </c>
      <c r="J357" s="1" t="b">
        <f t="shared" si="22"/>
        <v>0</v>
      </c>
      <c r="K357" s="1" t="b">
        <f>(Requirements!K374="Normative")</f>
        <v>1</v>
      </c>
      <c r="L357" s="1" t="b">
        <f>(Requirements!L374&lt;&gt;"Non-testable")</f>
        <v>0</v>
      </c>
      <c r="M357" s="1" t="b">
        <f>(VLOOKUP(Requirements!I374,Scope[[Role]:[Description]],2,FALSE)="In")</f>
        <v>1</v>
      </c>
      <c r="N357" s="1">
        <f t="shared" si="23"/>
        <v>0</v>
      </c>
    </row>
    <row r="358" spans="1:14">
      <c r="A358" s="1" t="str">
        <f>Requirements!A375</f>
        <v>MS-WSP_R353</v>
      </c>
      <c r="B358" s="1">
        <v>1</v>
      </c>
      <c r="C358" s="1"/>
      <c r="D358" s="1"/>
      <c r="E358" s="1"/>
      <c r="F358" s="1"/>
      <c r="G358" s="1"/>
      <c r="H358" s="3">
        <f t="shared" si="20"/>
        <v>1</v>
      </c>
      <c r="I358" s="6">
        <f t="shared" si="21"/>
        <v>1</v>
      </c>
      <c r="J358" s="1" t="b">
        <f t="shared" si="22"/>
        <v>1</v>
      </c>
      <c r="K358" s="1" t="b">
        <f>(Requirements!K375="Normative")</f>
        <v>1</v>
      </c>
      <c r="L358" s="1" t="b">
        <f>(Requirements!L375&lt;&gt;"Non-testable")</f>
        <v>1</v>
      </c>
      <c r="M358" s="1" t="b">
        <f>(VLOOKUP(Requirements!I375,Scope[[Role]:[Description]],2,FALSE)="In")</f>
        <v>1</v>
      </c>
      <c r="N358" s="1">
        <f t="shared" si="23"/>
        <v>1</v>
      </c>
    </row>
    <row r="359" spans="1:14">
      <c r="A359" s="1" t="str">
        <f>Requirements!A376</f>
        <v>MS-WSP_R354</v>
      </c>
      <c r="B359" s="1"/>
      <c r="C359" s="1"/>
      <c r="D359" s="1"/>
      <c r="E359" s="1"/>
      <c r="F359" s="1"/>
      <c r="G359" s="1"/>
      <c r="H359" s="3">
        <f t="shared" si="20"/>
        <v>0</v>
      </c>
      <c r="I359" s="6">
        <f t="shared" si="21"/>
        <v>0</v>
      </c>
      <c r="J359" s="1" t="b">
        <f t="shared" si="22"/>
        <v>0</v>
      </c>
      <c r="K359" s="1" t="b">
        <f>(Requirements!K376="Normative")</f>
        <v>1</v>
      </c>
      <c r="L359" s="1" t="b">
        <f>(Requirements!L376&lt;&gt;"Non-testable")</f>
        <v>1</v>
      </c>
      <c r="M359" s="1" t="b">
        <f>(VLOOKUP(Requirements!I376,Scope[[Role]:[Description]],2,FALSE)="In")</f>
        <v>0</v>
      </c>
      <c r="N359" s="1">
        <f t="shared" si="23"/>
        <v>0</v>
      </c>
    </row>
    <row r="360" spans="1:14">
      <c r="A360" s="1" t="str">
        <f>Requirements!A377</f>
        <v>MS-WSP_R355</v>
      </c>
      <c r="B360" s="1"/>
      <c r="C360" s="1"/>
      <c r="D360" s="1"/>
      <c r="E360" s="1"/>
      <c r="F360" s="1"/>
      <c r="G360" s="1"/>
      <c r="H360" s="3">
        <f t="shared" si="20"/>
        <v>0</v>
      </c>
      <c r="I360" s="6">
        <f t="shared" si="21"/>
        <v>0</v>
      </c>
      <c r="J360" s="1" t="b">
        <f t="shared" si="22"/>
        <v>0</v>
      </c>
      <c r="K360" s="1" t="b">
        <f>(Requirements!K377="Normative")</f>
        <v>1</v>
      </c>
      <c r="L360" s="1" t="b">
        <f>(Requirements!L377&lt;&gt;"Non-testable")</f>
        <v>1</v>
      </c>
      <c r="M360" s="1" t="b">
        <f>(VLOOKUP(Requirements!I377,Scope[[Role]:[Description]],2,FALSE)="In")</f>
        <v>0</v>
      </c>
      <c r="N360" s="1">
        <f t="shared" si="23"/>
        <v>0</v>
      </c>
    </row>
    <row r="361" spans="1:14">
      <c r="A361" s="1" t="str">
        <f>Requirements!A378</f>
        <v>MS-WSP_R356</v>
      </c>
      <c r="B361" s="1"/>
      <c r="C361" s="1"/>
      <c r="D361" s="1"/>
      <c r="E361" s="1"/>
      <c r="F361" s="1"/>
      <c r="G361" s="1"/>
      <c r="H361" s="3">
        <f t="shared" si="20"/>
        <v>0</v>
      </c>
      <c r="I361" s="6">
        <f t="shared" si="21"/>
        <v>0</v>
      </c>
      <c r="J361" s="1" t="b">
        <f t="shared" si="22"/>
        <v>0</v>
      </c>
      <c r="K361" s="1" t="b">
        <f>(Requirements!K378="Normative")</f>
        <v>1</v>
      </c>
      <c r="L361" s="1" t="b">
        <f>(Requirements!L378&lt;&gt;"Non-testable")</f>
        <v>1</v>
      </c>
      <c r="M361" s="1" t="b">
        <f>(VLOOKUP(Requirements!I378,Scope[[Role]:[Description]],2,FALSE)="In")</f>
        <v>0</v>
      </c>
      <c r="N361" s="1">
        <f t="shared" si="23"/>
        <v>0</v>
      </c>
    </row>
    <row r="362" spans="1:14">
      <c r="A362" s="1" t="str">
        <f>Requirements!A379</f>
        <v>MS-WSP_R357</v>
      </c>
      <c r="B362" s="1"/>
      <c r="C362" s="1"/>
      <c r="D362" s="1"/>
      <c r="E362" s="1"/>
      <c r="F362" s="1"/>
      <c r="G362" s="1"/>
      <c r="H362" s="3">
        <f t="shared" si="20"/>
        <v>0</v>
      </c>
      <c r="I362" s="6">
        <f t="shared" si="21"/>
        <v>0</v>
      </c>
      <c r="J362" s="1" t="b">
        <f t="shared" si="22"/>
        <v>0</v>
      </c>
      <c r="K362" s="1" t="b">
        <f>(Requirements!K379="Normative")</f>
        <v>1</v>
      </c>
      <c r="L362" s="1" t="b">
        <f>(Requirements!L379&lt;&gt;"Non-testable")</f>
        <v>1</v>
      </c>
      <c r="M362" s="1" t="b">
        <f>(VLOOKUP(Requirements!I379,Scope[[Role]:[Description]],2,FALSE)="In")</f>
        <v>0</v>
      </c>
      <c r="N362" s="1">
        <f t="shared" si="23"/>
        <v>0</v>
      </c>
    </row>
    <row r="363" spans="1:14">
      <c r="A363" s="1" t="str">
        <f>Requirements!A380</f>
        <v>MS-WSP_R358</v>
      </c>
      <c r="B363" s="1"/>
      <c r="C363" s="1"/>
      <c r="D363" s="1"/>
      <c r="E363" s="1"/>
      <c r="F363" s="1"/>
      <c r="G363" s="1"/>
      <c r="H363" s="3">
        <f t="shared" si="20"/>
        <v>0</v>
      </c>
      <c r="I363" s="6">
        <f t="shared" si="21"/>
        <v>0</v>
      </c>
      <c r="J363" s="1" t="b">
        <f t="shared" si="22"/>
        <v>0</v>
      </c>
      <c r="K363" s="1" t="b">
        <f>(Requirements!K380="Normative")</f>
        <v>1</v>
      </c>
      <c r="L363" s="1" t="b">
        <f>(Requirements!L380&lt;&gt;"Non-testable")</f>
        <v>1</v>
      </c>
      <c r="M363" s="1" t="b">
        <f>(VLOOKUP(Requirements!I380,Scope[[Role]:[Description]],2,FALSE)="In")</f>
        <v>0</v>
      </c>
      <c r="N363" s="1">
        <f t="shared" si="23"/>
        <v>0</v>
      </c>
    </row>
    <row r="364" spans="1:14">
      <c r="A364" s="1" t="str">
        <f>Requirements!A381</f>
        <v>MS-WSP_R359</v>
      </c>
      <c r="B364" s="1"/>
      <c r="C364" s="1"/>
      <c r="D364" s="1"/>
      <c r="E364" s="1"/>
      <c r="F364" s="1"/>
      <c r="G364" s="1"/>
      <c r="H364" s="3">
        <f t="shared" si="20"/>
        <v>0</v>
      </c>
      <c r="I364" s="6">
        <f t="shared" si="21"/>
        <v>0</v>
      </c>
      <c r="J364" s="1" t="b">
        <f t="shared" si="22"/>
        <v>0</v>
      </c>
      <c r="K364" s="1" t="b">
        <f>(Requirements!K381="Normative")</f>
        <v>1</v>
      </c>
      <c r="L364" s="1" t="b">
        <f>(Requirements!L381&lt;&gt;"Non-testable")</f>
        <v>0</v>
      </c>
      <c r="M364" s="1" t="b">
        <f>(VLOOKUP(Requirements!I381,Scope[[Role]:[Description]],2,FALSE)="In")</f>
        <v>1</v>
      </c>
      <c r="N364" s="1">
        <f t="shared" si="23"/>
        <v>0</v>
      </c>
    </row>
    <row r="365" spans="1:14">
      <c r="A365" s="1" t="str">
        <f>Requirements!A382</f>
        <v>MS-WSP_R360</v>
      </c>
      <c r="B365" s="1"/>
      <c r="C365" s="1"/>
      <c r="D365" s="1"/>
      <c r="E365" s="1"/>
      <c r="F365" s="1"/>
      <c r="G365" s="1"/>
      <c r="H365" s="3">
        <f t="shared" si="20"/>
        <v>0</v>
      </c>
      <c r="I365" s="6">
        <f t="shared" si="21"/>
        <v>0</v>
      </c>
      <c r="J365" s="1" t="b">
        <f t="shared" si="22"/>
        <v>1</v>
      </c>
      <c r="K365" s="1" t="b">
        <f>(Requirements!K382="Normative")</f>
        <v>1</v>
      </c>
      <c r="L365" s="1" t="b">
        <f>(Requirements!L382&lt;&gt;"Non-testable")</f>
        <v>1</v>
      </c>
      <c r="M365" s="1" t="b">
        <f>(VLOOKUP(Requirements!I382,Scope[[Role]:[Description]],2,FALSE)="In")</f>
        <v>1</v>
      </c>
      <c r="N365" s="1">
        <f t="shared" si="23"/>
        <v>0</v>
      </c>
    </row>
    <row r="366" spans="1:14">
      <c r="A366" s="1" t="str">
        <f>Requirements!A383</f>
        <v>MS-WSP_R361</v>
      </c>
      <c r="B366" s="1"/>
      <c r="C366" s="1"/>
      <c r="D366" s="1"/>
      <c r="E366" s="1"/>
      <c r="F366" s="1"/>
      <c r="G366" s="1"/>
      <c r="H366" s="3">
        <f t="shared" si="20"/>
        <v>0</v>
      </c>
      <c r="I366" s="6">
        <f t="shared" si="21"/>
        <v>0</v>
      </c>
      <c r="J366" s="1" t="b">
        <f t="shared" si="22"/>
        <v>0</v>
      </c>
      <c r="K366" s="1" t="b">
        <f>(Requirements!K383="Normative")</f>
        <v>1</v>
      </c>
      <c r="L366" s="1" t="b">
        <f>(Requirements!L383&lt;&gt;"Non-testable")</f>
        <v>1</v>
      </c>
      <c r="M366" s="1" t="b">
        <f>(VLOOKUP(Requirements!I383,Scope[[Role]:[Description]],2,FALSE)="In")</f>
        <v>0</v>
      </c>
      <c r="N366" s="1">
        <f t="shared" si="23"/>
        <v>0</v>
      </c>
    </row>
    <row r="367" spans="1:14">
      <c r="A367" s="1" t="str">
        <f>Requirements!A384</f>
        <v>MS-WSP_R362</v>
      </c>
      <c r="B367" s="1"/>
      <c r="C367" s="1"/>
      <c r="D367" s="1"/>
      <c r="E367" s="1"/>
      <c r="F367" s="1"/>
      <c r="G367" s="1"/>
      <c r="H367" s="3">
        <f t="shared" si="20"/>
        <v>0</v>
      </c>
      <c r="I367" s="6">
        <f t="shared" si="21"/>
        <v>0</v>
      </c>
      <c r="J367" s="1" t="b">
        <f t="shared" si="22"/>
        <v>0</v>
      </c>
      <c r="K367" s="1" t="b">
        <f>(Requirements!K384="Normative")</f>
        <v>1</v>
      </c>
      <c r="L367" s="1" t="b">
        <f>(Requirements!L384&lt;&gt;"Non-testable")</f>
        <v>1</v>
      </c>
      <c r="M367" s="1" t="b">
        <f>(VLOOKUP(Requirements!I384,Scope[[Role]:[Description]],2,FALSE)="In")</f>
        <v>0</v>
      </c>
      <c r="N367" s="1">
        <f t="shared" si="23"/>
        <v>0</v>
      </c>
    </row>
    <row r="368" spans="1:14">
      <c r="A368" s="1" t="str">
        <f>Requirements!A385</f>
        <v>MS-WSP_R363</v>
      </c>
      <c r="B368" s="1">
        <v>1</v>
      </c>
      <c r="C368" s="1">
        <v>1</v>
      </c>
      <c r="D368" s="1">
        <v>1</v>
      </c>
      <c r="E368" s="1">
        <v>1</v>
      </c>
      <c r="F368" s="1">
        <v>1</v>
      </c>
      <c r="G368" s="1">
        <v>1</v>
      </c>
      <c r="H368" s="3">
        <f t="shared" si="20"/>
        <v>6</v>
      </c>
      <c r="I368" s="6">
        <f t="shared" si="21"/>
        <v>1</v>
      </c>
      <c r="J368" s="1" t="b">
        <f t="shared" si="22"/>
        <v>1</v>
      </c>
      <c r="K368" s="1" t="b">
        <f>(Requirements!K385="Normative")</f>
        <v>1</v>
      </c>
      <c r="L368" s="1" t="b">
        <f>(Requirements!L385&lt;&gt;"Non-testable")</f>
        <v>1</v>
      </c>
      <c r="M368" s="1" t="b">
        <f>(VLOOKUP(Requirements!I385,Scope[[Role]:[Description]],2,FALSE)="In")</f>
        <v>1</v>
      </c>
      <c r="N368" s="1">
        <f t="shared" si="23"/>
        <v>1</v>
      </c>
    </row>
    <row r="369" spans="1:14">
      <c r="A369" s="1" t="str">
        <f>Requirements!A386</f>
        <v>MS-WSP_R364</v>
      </c>
      <c r="B369" s="1"/>
      <c r="C369" s="1"/>
      <c r="D369" s="1"/>
      <c r="E369" s="1"/>
      <c r="F369" s="1"/>
      <c r="G369" s="1"/>
      <c r="H369" s="3">
        <f t="shared" si="20"/>
        <v>0</v>
      </c>
      <c r="I369" s="6">
        <f t="shared" si="21"/>
        <v>0</v>
      </c>
      <c r="J369" s="1" t="b">
        <f t="shared" si="22"/>
        <v>1</v>
      </c>
      <c r="K369" s="1" t="b">
        <f>(Requirements!K386="Normative")</f>
        <v>1</v>
      </c>
      <c r="L369" s="1" t="b">
        <f>(Requirements!L386&lt;&gt;"Non-testable")</f>
        <v>1</v>
      </c>
      <c r="M369" s="1" t="b">
        <f>(VLOOKUP(Requirements!I386,Scope[[Role]:[Description]],2,FALSE)="In")</f>
        <v>1</v>
      </c>
      <c r="N369" s="1">
        <f t="shared" si="23"/>
        <v>0</v>
      </c>
    </row>
    <row r="370" spans="1:14">
      <c r="A370" s="1" t="str">
        <f>Requirements!A387</f>
        <v>MS-WSP_R365</v>
      </c>
      <c r="B370" s="1"/>
      <c r="C370" s="1"/>
      <c r="D370" s="1"/>
      <c r="E370" s="1"/>
      <c r="F370" s="1"/>
      <c r="G370" s="1"/>
      <c r="H370" s="3">
        <f t="shared" si="20"/>
        <v>0</v>
      </c>
      <c r="I370" s="6">
        <f t="shared" si="21"/>
        <v>0</v>
      </c>
      <c r="J370" s="1" t="b">
        <f t="shared" si="22"/>
        <v>0</v>
      </c>
      <c r="K370" s="1" t="b">
        <f>(Requirements!K387="Normative")</f>
        <v>1</v>
      </c>
      <c r="L370" s="1" t="b">
        <f>(Requirements!L387&lt;&gt;"Non-testable")</f>
        <v>1</v>
      </c>
      <c r="M370" s="1" t="b">
        <f>(VLOOKUP(Requirements!I387,Scope[[Role]:[Description]],2,FALSE)="In")</f>
        <v>0</v>
      </c>
      <c r="N370" s="1">
        <f t="shared" si="23"/>
        <v>0</v>
      </c>
    </row>
    <row r="371" spans="1:14">
      <c r="A371" s="1" t="str">
        <f>Requirements!A388</f>
        <v>MS-WSP_R366</v>
      </c>
      <c r="B371" s="1"/>
      <c r="C371" s="1"/>
      <c r="D371" s="1"/>
      <c r="E371" s="1"/>
      <c r="F371" s="1"/>
      <c r="G371" s="1"/>
      <c r="H371" s="3">
        <f t="shared" si="20"/>
        <v>0</v>
      </c>
      <c r="I371" s="6">
        <f t="shared" si="21"/>
        <v>0</v>
      </c>
      <c r="J371" s="1" t="b">
        <f t="shared" si="22"/>
        <v>0</v>
      </c>
      <c r="K371" s="1" t="b">
        <f>(Requirements!K388="Normative")</f>
        <v>1</v>
      </c>
      <c r="L371" s="1" t="b">
        <f>(Requirements!L388&lt;&gt;"Non-testable")</f>
        <v>1</v>
      </c>
      <c r="M371" s="1" t="b">
        <f>(VLOOKUP(Requirements!I388,Scope[[Role]:[Description]],2,FALSE)="In")</f>
        <v>0</v>
      </c>
      <c r="N371" s="1">
        <f t="shared" si="23"/>
        <v>0</v>
      </c>
    </row>
    <row r="372" spans="1:14">
      <c r="A372" s="1" t="str">
        <f>Requirements!A389</f>
        <v>MS-WSP_R367</v>
      </c>
      <c r="B372" s="1">
        <v>1</v>
      </c>
      <c r="C372" s="1">
        <v>1</v>
      </c>
      <c r="D372" s="1">
        <v>1</v>
      </c>
      <c r="E372" s="1"/>
      <c r="F372" s="1"/>
      <c r="G372" s="1"/>
      <c r="H372" s="3">
        <f t="shared" si="20"/>
        <v>3</v>
      </c>
      <c r="I372" s="6">
        <f t="shared" si="21"/>
        <v>1</v>
      </c>
      <c r="J372" s="1" t="b">
        <f t="shared" si="22"/>
        <v>1</v>
      </c>
      <c r="K372" s="1" t="b">
        <f>(Requirements!K389="Normative")</f>
        <v>1</v>
      </c>
      <c r="L372" s="1" t="b">
        <f>(Requirements!L389&lt;&gt;"Non-testable")</f>
        <v>1</v>
      </c>
      <c r="M372" s="1" t="b">
        <f>(VLOOKUP(Requirements!I389,Scope[[Role]:[Description]],2,FALSE)="In")</f>
        <v>1</v>
      </c>
      <c r="N372" s="1">
        <f t="shared" si="23"/>
        <v>1</v>
      </c>
    </row>
    <row r="373" spans="1:14">
      <c r="A373" s="1" t="str">
        <f>Requirements!A390</f>
        <v>MS-WSP_R368</v>
      </c>
      <c r="B373" s="1"/>
      <c r="C373" s="1"/>
      <c r="D373" s="1"/>
      <c r="E373" s="1"/>
      <c r="F373" s="1"/>
      <c r="G373" s="1"/>
      <c r="H373" s="3">
        <f t="shared" si="20"/>
        <v>0</v>
      </c>
      <c r="I373" s="6">
        <f t="shared" si="21"/>
        <v>0</v>
      </c>
      <c r="J373" s="1" t="b">
        <f t="shared" si="22"/>
        <v>0</v>
      </c>
      <c r="K373" s="1" t="b">
        <f>(Requirements!K390="Normative")</f>
        <v>1</v>
      </c>
      <c r="L373" s="1" t="b">
        <f>(Requirements!L390&lt;&gt;"Non-testable")</f>
        <v>1</v>
      </c>
      <c r="M373" s="1" t="b">
        <f>(VLOOKUP(Requirements!I390,Scope[[Role]:[Description]],2,FALSE)="In")</f>
        <v>0</v>
      </c>
      <c r="N373" s="1">
        <f t="shared" si="23"/>
        <v>0</v>
      </c>
    </row>
    <row r="374" spans="1:14">
      <c r="A374" s="1" t="str">
        <f>Requirements!A391</f>
        <v>MS-WSP_R369</v>
      </c>
      <c r="B374" s="1"/>
      <c r="C374" s="1"/>
      <c r="D374" s="1"/>
      <c r="E374" s="1"/>
      <c r="F374" s="1"/>
      <c r="G374" s="1"/>
      <c r="H374" s="3">
        <f t="shared" si="20"/>
        <v>0</v>
      </c>
      <c r="I374" s="6">
        <f t="shared" si="21"/>
        <v>0</v>
      </c>
      <c r="J374" s="1" t="b">
        <f t="shared" si="22"/>
        <v>0</v>
      </c>
      <c r="K374" s="1" t="b">
        <f>(Requirements!K391="Normative")</f>
        <v>1</v>
      </c>
      <c r="L374" s="1" t="b">
        <f>(Requirements!L391&lt;&gt;"Non-testable")</f>
        <v>0</v>
      </c>
      <c r="M374" s="1" t="b">
        <f>(VLOOKUP(Requirements!I391,Scope[[Role]:[Description]],2,FALSE)="In")</f>
        <v>1</v>
      </c>
      <c r="N374" s="1">
        <f t="shared" si="23"/>
        <v>0</v>
      </c>
    </row>
    <row r="375" spans="1:14">
      <c r="A375" s="1" t="str">
        <f>Requirements!A392</f>
        <v>MS-WSP_R370</v>
      </c>
      <c r="B375" s="1">
        <v>1</v>
      </c>
      <c r="C375" s="1">
        <v>1</v>
      </c>
      <c r="D375" s="1">
        <v>1</v>
      </c>
      <c r="E375" s="1">
        <v>1</v>
      </c>
      <c r="F375" s="1">
        <v>1</v>
      </c>
      <c r="G375" s="1">
        <v>1</v>
      </c>
      <c r="H375" s="3">
        <f t="shared" si="20"/>
        <v>6</v>
      </c>
      <c r="I375" s="6">
        <f t="shared" si="21"/>
        <v>1</v>
      </c>
      <c r="J375" s="1" t="b">
        <f t="shared" si="22"/>
        <v>1</v>
      </c>
      <c r="K375" s="1" t="b">
        <f>(Requirements!K392="Normative")</f>
        <v>1</v>
      </c>
      <c r="L375" s="1" t="b">
        <f>(Requirements!L392&lt;&gt;"Non-testable")</f>
        <v>1</v>
      </c>
      <c r="M375" s="1" t="b">
        <f>(VLOOKUP(Requirements!I392,Scope[[Role]:[Description]],2,FALSE)="In")</f>
        <v>1</v>
      </c>
      <c r="N375" s="1">
        <f t="shared" si="23"/>
        <v>1</v>
      </c>
    </row>
    <row r="376" spans="1:14">
      <c r="A376" s="1" t="str">
        <f>Requirements!A393</f>
        <v>MS-WSP_R371</v>
      </c>
      <c r="B376" s="1"/>
      <c r="C376" s="1"/>
      <c r="D376" s="1"/>
      <c r="E376" s="1"/>
      <c r="F376" s="1"/>
      <c r="G376" s="1"/>
      <c r="H376" s="3">
        <f t="shared" si="20"/>
        <v>0</v>
      </c>
      <c r="I376" s="6">
        <f t="shared" si="21"/>
        <v>0</v>
      </c>
      <c r="J376" s="1" t="b">
        <f t="shared" si="22"/>
        <v>1</v>
      </c>
      <c r="K376" s="1" t="b">
        <f>(Requirements!K393="Normative")</f>
        <v>1</v>
      </c>
      <c r="L376" s="1" t="b">
        <f>(Requirements!L393&lt;&gt;"Non-testable")</f>
        <v>1</v>
      </c>
      <c r="M376" s="1" t="b">
        <f>(VLOOKUP(Requirements!I393,Scope[[Role]:[Description]],2,FALSE)="In")</f>
        <v>1</v>
      </c>
      <c r="N376" s="1">
        <f t="shared" si="23"/>
        <v>0</v>
      </c>
    </row>
    <row r="377" spans="1:14">
      <c r="A377" s="1" t="str">
        <f>Requirements!A394</f>
        <v>MS-WSP_R372</v>
      </c>
      <c r="B377" s="1"/>
      <c r="C377" s="1"/>
      <c r="D377" s="1">
        <v>1</v>
      </c>
      <c r="E377" s="1"/>
      <c r="F377" s="1"/>
      <c r="G377" s="1"/>
      <c r="H377" s="3">
        <f t="shared" si="20"/>
        <v>1</v>
      </c>
      <c r="I377" s="6">
        <f t="shared" si="21"/>
        <v>1</v>
      </c>
      <c r="J377" s="1" t="b">
        <f t="shared" si="22"/>
        <v>1</v>
      </c>
      <c r="K377" s="1" t="b">
        <f>(Requirements!K394="Normative")</f>
        <v>1</v>
      </c>
      <c r="L377" s="1" t="b">
        <f>(Requirements!L394&lt;&gt;"Non-testable")</f>
        <v>1</v>
      </c>
      <c r="M377" s="1" t="b">
        <f>(VLOOKUP(Requirements!I394,Scope[[Role]:[Description]],2,FALSE)="In")</f>
        <v>1</v>
      </c>
      <c r="N377" s="1">
        <f t="shared" si="23"/>
        <v>1</v>
      </c>
    </row>
    <row r="378" spans="1:14">
      <c r="A378" s="1" t="str">
        <f>Requirements!A395</f>
        <v>MS-WSP_R373</v>
      </c>
      <c r="B378" s="1"/>
      <c r="C378" s="1"/>
      <c r="D378" s="1">
        <v>1</v>
      </c>
      <c r="E378" s="1"/>
      <c r="F378" s="1"/>
      <c r="G378" s="1"/>
      <c r="H378" s="3">
        <f t="shared" si="20"/>
        <v>1</v>
      </c>
      <c r="I378" s="6">
        <f t="shared" si="21"/>
        <v>1</v>
      </c>
      <c r="J378" s="1" t="b">
        <f t="shared" si="22"/>
        <v>1</v>
      </c>
      <c r="K378" s="1" t="b">
        <f>(Requirements!K395="Normative")</f>
        <v>1</v>
      </c>
      <c r="L378" s="1" t="b">
        <f>(Requirements!L395&lt;&gt;"Non-testable")</f>
        <v>1</v>
      </c>
      <c r="M378" s="1" t="b">
        <f>(VLOOKUP(Requirements!I395,Scope[[Role]:[Description]],2,FALSE)="In")</f>
        <v>1</v>
      </c>
      <c r="N378" s="1">
        <f t="shared" si="23"/>
        <v>1</v>
      </c>
    </row>
    <row r="379" spans="1:14">
      <c r="A379" s="1" t="str">
        <f>Requirements!A396</f>
        <v>MS-WSP_R374</v>
      </c>
      <c r="B379" s="1"/>
      <c r="C379" s="1"/>
      <c r="D379" s="1">
        <v>1</v>
      </c>
      <c r="E379" s="1"/>
      <c r="F379" s="1"/>
      <c r="G379" s="1"/>
      <c r="H379" s="3">
        <f t="shared" si="20"/>
        <v>1</v>
      </c>
      <c r="I379" s="6">
        <f t="shared" si="21"/>
        <v>1</v>
      </c>
      <c r="J379" s="1" t="b">
        <f t="shared" si="22"/>
        <v>1</v>
      </c>
      <c r="K379" s="1" t="b">
        <f>(Requirements!K396="Normative")</f>
        <v>1</v>
      </c>
      <c r="L379" s="1" t="b">
        <f>(Requirements!L396&lt;&gt;"Non-testable")</f>
        <v>1</v>
      </c>
      <c r="M379" s="1" t="b">
        <f>(VLOOKUP(Requirements!I396,Scope[[Role]:[Description]],2,FALSE)="In")</f>
        <v>1</v>
      </c>
      <c r="N379" s="1">
        <f t="shared" si="23"/>
        <v>1</v>
      </c>
    </row>
    <row r="380" spans="1:14">
      <c r="A380" s="1" t="str">
        <f>Requirements!A397</f>
        <v>MS-WSP_R375</v>
      </c>
      <c r="B380" s="1"/>
      <c r="C380" s="1"/>
      <c r="D380" s="1">
        <v>1</v>
      </c>
      <c r="E380" s="1"/>
      <c r="F380" s="1"/>
      <c r="G380" s="1"/>
      <c r="H380" s="3">
        <f t="shared" si="20"/>
        <v>1</v>
      </c>
      <c r="I380" s="6">
        <f t="shared" si="21"/>
        <v>1</v>
      </c>
      <c r="J380" s="1" t="b">
        <f t="shared" si="22"/>
        <v>1</v>
      </c>
      <c r="K380" s="1" t="b">
        <f>(Requirements!K397="Normative")</f>
        <v>1</v>
      </c>
      <c r="L380" s="1" t="b">
        <f>(Requirements!L397&lt;&gt;"Non-testable")</f>
        <v>1</v>
      </c>
      <c r="M380" s="1" t="b">
        <f>(VLOOKUP(Requirements!I397,Scope[[Role]:[Description]],2,FALSE)="In")</f>
        <v>1</v>
      </c>
      <c r="N380" s="1">
        <f t="shared" si="23"/>
        <v>1</v>
      </c>
    </row>
    <row r="381" spans="1:14">
      <c r="A381" s="1" t="str">
        <f>Requirements!A398</f>
        <v>MS-WSP_R376</v>
      </c>
      <c r="B381" s="1"/>
      <c r="C381" s="1"/>
      <c r="D381" s="1">
        <v>1</v>
      </c>
      <c r="E381" s="1"/>
      <c r="F381" s="1"/>
      <c r="G381" s="1"/>
      <c r="H381" s="3">
        <f t="shared" si="20"/>
        <v>1</v>
      </c>
      <c r="I381" s="6">
        <f t="shared" si="21"/>
        <v>1</v>
      </c>
      <c r="J381" s="1" t="b">
        <f t="shared" si="22"/>
        <v>1</v>
      </c>
      <c r="K381" s="1" t="b">
        <f>(Requirements!K398="Normative")</f>
        <v>1</v>
      </c>
      <c r="L381" s="1" t="b">
        <f>(Requirements!L398&lt;&gt;"Non-testable")</f>
        <v>1</v>
      </c>
      <c r="M381" s="1" t="b">
        <f>(VLOOKUP(Requirements!I398,Scope[[Role]:[Description]],2,FALSE)="In")</f>
        <v>1</v>
      </c>
      <c r="N381" s="1">
        <f t="shared" si="23"/>
        <v>1</v>
      </c>
    </row>
    <row r="382" spans="1:14">
      <c r="A382" s="1" t="str">
        <f>Requirements!A399</f>
        <v>MS-WSP_R377</v>
      </c>
      <c r="B382" s="1"/>
      <c r="C382" s="1"/>
      <c r="D382" s="1">
        <v>1</v>
      </c>
      <c r="E382" s="1"/>
      <c r="F382" s="1"/>
      <c r="G382" s="1"/>
      <c r="H382" s="3">
        <f t="shared" si="20"/>
        <v>1</v>
      </c>
      <c r="I382" s="6">
        <f t="shared" si="21"/>
        <v>1</v>
      </c>
      <c r="J382" s="1" t="b">
        <f t="shared" si="22"/>
        <v>1</v>
      </c>
      <c r="K382" s="1" t="b">
        <f>(Requirements!K399="Normative")</f>
        <v>1</v>
      </c>
      <c r="L382" s="1" t="b">
        <f>(Requirements!L399&lt;&gt;"Non-testable")</f>
        <v>1</v>
      </c>
      <c r="M382" s="1" t="b">
        <f>(VLOOKUP(Requirements!I399,Scope[[Role]:[Description]],2,FALSE)="In")</f>
        <v>1</v>
      </c>
      <c r="N382" s="1">
        <f t="shared" si="23"/>
        <v>1</v>
      </c>
    </row>
    <row r="383" spans="1:14">
      <c r="A383" s="1" t="str">
        <f>Requirements!A400</f>
        <v>MS-WSP_R378</v>
      </c>
      <c r="B383" s="1"/>
      <c r="C383" s="1"/>
      <c r="D383" s="1">
        <v>1</v>
      </c>
      <c r="E383" s="1"/>
      <c r="F383" s="1"/>
      <c r="G383" s="1"/>
      <c r="H383" s="3">
        <f t="shared" si="20"/>
        <v>1</v>
      </c>
      <c r="I383" s="6">
        <f t="shared" si="21"/>
        <v>1</v>
      </c>
      <c r="J383" s="1" t="b">
        <f t="shared" si="22"/>
        <v>1</v>
      </c>
      <c r="K383" s="1" t="b">
        <f>(Requirements!K400="Normative")</f>
        <v>1</v>
      </c>
      <c r="L383" s="1" t="b">
        <f>(Requirements!L400&lt;&gt;"Non-testable")</f>
        <v>1</v>
      </c>
      <c r="M383" s="1" t="b">
        <f>(VLOOKUP(Requirements!I400,Scope[[Role]:[Description]],2,FALSE)="In")</f>
        <v>1</v>
      </c>
      <c r="N383" s="1">
        <f t="shared" si="23"/>
        <v>1</v>
      </c>
    </row>
    <row r="384" spans="1:14">
      <c r="A384" s="1" t="str">
        <f>Requirements!A401</f>
        <v>MS-WSP_R379</v>
      </c>
      <c r="B384" s="1"/>
      <c r="C384" s="1"/>
      <c r="D384" s="1">
        <v>1</v>
      </c>
      <c r="E384" s="1"/>
      <c r="F384" s="1"/>
      <c r="G384" s="1"/>
      <c r="H384" s="3">
        <f t="shared" si="20"/>
        <v>1</v>
      </c>
      <c r="I384" s="6">
        <f t="shared" si="21"/>
        <v>1</v>
      </c>
      <c r="J384" s="1" t="b">
        <f t="shared" si="22"/>
        <v>1</v>
      </c>
      <c r="K384" s="1" t="b">
        <f>(Requirements!K401="Normative")</f>
        <v>1</v>
      </c>
      <c r="L384" s="1" t="b">
        <f>(Requirements!L401&lt;&gt;"Non-testable")</f>
        <v>1</v>
      </c>
      <c r="M384" s="1" t="b">
        <f>(VLOOKUP(Requirements!I401,Scope[[Role]:[Description]],2,FALSE)="In")</f>
        <v>1</v>
      </c>
      <c r="N384" s="1">
        <f t="shared" si="23"/>
        <v>1</v>
      </c>
    </row>
    <row r="385" spans="1:14">
      <c r="A385" s="1" t="str">
        <f>Requirements!A402</f>
        <v>MS-WSP_R380</v>
      </c>
      <c r="B385" s="1"/>
      <c r="C385" s="1"/>
      <c r="D385" s="1"/>
      <c r="E385" s="1"/>
      <c r="F385" s="1"/>
      <c r="G385" s="1"/>
      <c r="H385" s="3">
        <f t="shared" si="20"/>
        <v>0</v>
      </c>
      <c r="I385" s="6">
        <f t="shared" si="21"/>
        <v>0</v>
      </c>
      <c r="J385" s="1" t="b">
        <f t="shared" si="22"/>
        <v>1</v>
      </c>
      <c r="K385" s="1" t="b">
        <f>(Requirements!K402="Normative")</f>
        <v>1</v>
      </c>
      <c r="L385" s="1" t="b">
        <f>(Requirements!L402&lt;&gt;"Non-testable")</f>
        <v>1</v>
      </c>
      <c r="M385" s="1" t="b">
        <f>(VLOOKUP(Requirements!I402,Scope[[Role]:[Description]],2,FALSE)="In")</f>
        <v>1</v>
      </c>
      <c r="N385" s="1">
        <f t="shared" si="23"/>
        <v>0</v>
      </c>
    </row>
    <row r="386" spans="1:14">
      <c r="A386" s="1" t="str">
        <f>Requirements!A403</f>
        <v>MS-WSP_R381</v>
      </c>
      <c r="B386" s="1"/>
      <c r="C386" s="1"/>
      <c r="D386" s="1">
        <v>1</v>
      </c>
      <c r="E386" s="1"/>
      <c r="F386" s="1"/>
      <c r="G386" s="1"/>
      <c r="H386" s="3">
        <f t="shared" si="20"/>
        <v>1</v>
      </c>
      <c r="I386" s="6">
        <f t="shared" si="21"/>
        <v>1</v>
      </c>
      <c r="J386" s="1" t="b">
        <f t="shared" si="22"/>
        <v>1</v>
      </c>
      <c r="K386" s="1" t="b">
        <f>(Requirements!K403="Normative")</f>
        <v>1</v>
      </c>
      <c r="L386" s="1" t="b">
        <f>(Requirements!L403&lt;&gt;"Non-testable")</f>
        <v>1</v>
      </c>
      <c r="M386" s="1" t="b">
        <f>(VLOOKUP(Requirements!I403,Scope[[Role]:[Description]],2,FALSE)="In")</f>
        <v>1</v>
      </c>
      <c r="N386" s="1">
        <f t="shared" si="23"/>
        <v>1</v>
      </c>
    </row>
    <row r="387" spans="1:14">
      <c r="A387" s="1" t="str">
        <f>Requirements!A404</f>
        <v>MS-WSP_R382</v>
      </c>
      <c r="B387" s="1"/>
      <c r="C387" s="1"/>
      <c r="D387" s="1">
        <v>1</v>
      </c>
      <c r="E387" s="1"/>
      <c r="F387" s="1"/>
      <c r="G387" s="1"/>
      <c r="H387" s="3">
        <f t="shared" si="20"/>
        <v>1</v>
      </c>
      <c r="I387" s="6">
        <f t="shared" si="21"/>
        <v>1</v>
      </c>
      <c r="J387" s="1" t="b">
        <f t="shared" si="22"/>
        <v>1</v>
      </c>
      <c r="K387" s="1" t="b">
        <f>(Requirements!K404="Normative")</f>
        <v>1</v>
      </c>
      <c r="L387" s="1" t="b">
        <f>(Requirements!L404&lt;&gt;"Non-testable")</f>
        <v>1</v>
      </c>
      <c r="M387" s="1" t="b">
        <f>(VLOOKUP(Requirements!I404,Scope[[Role]:[Description]],2,FALSE)="In")</f>
        <v>1</v>
      </c>
      <c r="N387" s="1">
        <f t="shared" si="23"/>
        <v>1</v>
      </c>
    </row>
    <row r="388" spans="1:14">
      <c r="A388" s="1" t="str">
        <f>Requirements!A405</f>
        <v>MS-WSP_R383</v>
      </c>
      <c r="B388" s="1"/>
      <c r="C388" s="1"/>
      <c r="D388" s="1">
        <v>1</v>
      </c>
      <c r="E388" s="1"/>
      <c r="F388" s="1"/>
      <c r="G388" s="1"/>
      <c r="H388" s="3">
        <f t="shared" si="20"/>
        <v>1</v>
      </c>
      <c r="I388" s="6">
        <f t="shared" si="21"/>
        <v>1</v>
      </c>
      <c r="J388" s="1" t="b">
        <f t="shared" si="22"/>
        <v>1</v>
      </c>
      <c r="K388" s="1" t="b">
        <f>(Requirements!K405="Normative")</f>
        <v>1</v>
      </c>
      <c r="L388" s="1" t="b">
        <f>(Requirements!L405&lt;&gt;"Non-testable")</f>
        <v>1</v>
      </c>
      <c r="M388" s="1" t="b">
        <f>(VLOOKUP(Requirements!I405,Scope[[Role]:[Description]],2,FALSE)="In")</f>
        <v>1</v>
      </c>
      <c r="N388" s="1">
        <f t="shared" si="23"/>
        <v>1</v>
      </c>
    </row>
    <row r="389" spans="1:14">
      <c r="A389" s="1" t="str">
        <f>Requirements!A406</f>
        <v>MS-WSP_R384</v>
      </c>
      <c r="B389" s="1"/>
      <c r="C389" s="1"/>
      <c r="D389" s="1"/>
      <c r="E389" s="1"/>
      <c r="F389" s="1"/>
      <c r="G389" s="1"/>
      <c r="H389" s="3">
        <f t="shared" si="20"/>
        <v>0</v>
      </c>
      <c r="I389" s="6">
        <f t="shared" si="21"/>
        <v>0</v>
      </c>
      <c r="J389" s="1" t="b">
        <f t="shared" si="22"/>
        <v>0</v>
      </c>
      <c r="K389" s="1" t="b">
        <f>(Requirements!K406="Normative")</f>
        <v>0</v>
      </c>
      <c r="L389" s="1" t="b">
        <f>(Requirements!L406&lt;&gt;"Non-testable")</f>
        <v>1</v>
      </c>
      <c r="M389" s="1" t="b">
        <f>(VLOOKUP(Requirements!I406,Scope[[Role]:[Description]],2,FALSE)="In")</f>
        <v>1</v>
      </c>
      <c r="N389" s="1">
        <f t="shared" si="23"/>
        <v>0</v>
      </c>
    </row>
    <row r="390" spans="1:14">
      <c r="A390" s="1" t="str">
        <f>Requirements!A407</f>
        <v>MS-WSP_R385</v>
      </c>
      <c r="B390" s="1"/>
      <c r="C390" s="1"/>
      <c r="D390" s="1">
        <v>1</v>
      </c>
      <c r="E390" s="1"/>
      <c r="F390" s="1"/>
      <c r="G390" s="1"/>
      <c r="H390" s="3">
        <f t="shared" ref="H390:H453" si="24">SUM(B390:G390)</f>
        <v>1</v>
      </c>
      <c r="I390" s="6">
        <f t="shared" si="21"/>
        <v>1</v>
      </c>
      <c r="J390" s="1" t="b">
        <f t="shared" si="22"/>
        <v>1</v>
      </c>
      <c r="K390" s="1" t="b">
        <f>(Requirements!K407="Normative")</f>
        <v>1</v>
      </c>
      <c r="L390" s="1" t="b">
        <f>(Requirements!L407&lt;&gt;"Non-testable")</f>
        <v>1</v>
      </c>
      <c r="M390" s="1" t="b">
        <f>(VLOOKUP(Requirements!I407,Scope[[Role]:[Description]],2,FALSE)="In")</f>
        <v>1</v>
      </c>
      <c r="N390" s="1">
        <f t="shared" si="23"/>
        <v>1</v>
      </c>
    </row>
    <row r="391" spans="1:14">
      <c r="A391" s="1" t="str">
        <f>Requirements!A408</f>
        <v>MS-WSP_R386</v>
      </c>
      <c r="B391" s="1"/>
      <c r="C391" s="1"/>
      <c r="D391" s="1">
        <v>1</v>
      </c>
      <c r="E391" s="1"/>
      <c r="F391" s="1"/>
      <c r="G391" s="1"/>
      <c r="H391" s="3">
        <f t="shared" si="24"/>
        <v>1</v>
      </c>
      <c r="I391" s="6">
        <f t="shared" ref="I391:I454" si="25">IF(H391=0,0,1)</f>
        <v>1</v>
      </c>
      <c r="J391" s="1" t="b">
        <f t="shared" ref="J391:J454" si="26">AND(K391:M391)</f>
        <v>1</v>
      </c>
      <c r="K391" s="1" t="b">
        <f>(Requirements!K408="Normative")</f>
        <v>1</v>
      </c>
      <c r="L391" s="1" t="b">
        <f>(Requirements!L408&lt;&gt;"Non-testable")</f>
        <v>1</v>
      </c>
      <c r="M391" s="1" t="b">
        <f>(VLOOKUP(Requirements!I408,Scope[[Role]:[Description]],2,FALSE)="In")</f>
        <v>1</v>
      </c>
      <c r="N391" s="1">
        <f t="shared" ref="N391:N454" si="27">IF(J391,I391,0)</f>
        <v>1</v>
      </c>
    </row>
    <row r="392" spans="1:14">
      <c r="A392" s="1" t="str">
        <f>Requirements!A409</f>
        <v>MS-WSP_R387</v>
      </c>
      <c r="B392" s="1"/>
      <c r="C392" s="1"/>
      <c r="D392" s="1">
        <v>1</v>
      </c>
      <c r="E392" s="1"/>
      <c r="F392" s="1"/>
      <c r="G392" s="1"/>
      <c r="H392" s="3">
        <f t="shared" si="24"/>
        <v>1</v>
      </c>
      <c r="I392" s="6">
        <f t="shared" si="25"/>
        <v>1</v>
      </c>
      <c r="J392" s="1" t="b">
        <f t="shared" si="26"/>
        <v>1</v>
      </c>
      <c r="K392" s="1" t="b">
        <f>(Requirements!K409="Normative")</f>
        <v>1</v>
      </c>
      <c r="L392" s="1" t="b">
        <f>(Requirements!L409&lt;&gt;"Non-testable")</f>
        <v>1</v>
      </c>
      <c r="M392" s="1" t="b">
        <f>(VLOOKUP(Requirements!I409,Scope[[Role]:[Description]],2,FALSE)="In")</f>
        <v>1</v>
      </c>
      <c r="N392" s="1">
        <f t="shared" si="27"/>
        <v>1</v>
      </c>
    </row>
    <row r="393" spans="1:14">
      <c r="A393" s="1" t="str">
        <f>Requirements!A410</f>
        <v>MS-WSP_R388</v>
      </c>
      <c r="B393" s="1"/>
      <c r="C393" s="1"/>
      <c r="D393" s="1">
        <v>1</v>
      </c>
      <c r="E393" s="1"/>
      <c r="F393" s="1"/>
      <c r="G393" s="1"/>
      <c r="H393" s="3">
        <f t="shared" si="24"/>
        <v>1</v>
      </c>
      <c r="I393" s="6">
        <f t="shared" si="25"/>
        <v>1</v>
      </c>
      <c r="J393" s="1" t="b">
        <f t="shared" si="26"/>
        <v>1</v>
      </c>
      <c r="K393" s="1" t="b">
        <f>(Requirements!K410="Normative")</f>
        <v>1</v>
      </c>
      <c r="L393" s="1" t="b">
        <f>(Requirements!L410&lt;&gt;"Non-testable")</f>
        <v>1</v>
      </c>
      <c r="M393" s="1" t="b">
        <f>(VLOOKUP(Requirements!I410,Scope[[Role]:[Description]],2,FALSE)="In")</f>
        <v>1</v>
      </c>
      <c r="N393" s="1">
        <f t="shared" si="27"/>
        <v>1</v>
      </c>
    </row>
    <row r="394" spans="1:14">
      <c r="A394" s="1" t="str">
        <f>Requirements!A411</f>
        <v>MS-WSP_R389</v>
      </c>
      <c r="B394" s="1"/>
      <c r="C394" s="1"/>
      <c r="D394" s="1"/>
      <c r="E394" s="1"/>
      <c r="F394" s="1"/>
      <c r="G394" s="1"/>
      <c r="H394" s="3">
        <f t="shared" si="24"/>
        <v>0</v>
      </c>
      <c r="I394" s="6">
        <f t="shared" si="25"/>
        <v>0</v>
      </c>
      <c r="J394" s="1" t="b">
        <f t="shared" si="26"/>
        <v>0</v>
      </c>
      <c r="K394" s="1" t="b">
        <f>(Requirements!K411="Normative")</f>
        <v>1</v>
      </c>
      <c r="L394" s="1" t="b">
        <f>(Requirements!L411&lt;&gt;"Non-testable")</f>
        <v>1</v>
      </c>
      <c r="M394" s="1" t="b">
        <f>(VLOOKUP(Requirements!I411,Scope[[Role]:[Description]],2,FALSE)="In")</f>
        <v>0</v>
      </c>
      <c r="N394" s="1">
        <f t="shared" si="27"/>
        <v>0</v>
      </c>
    </row>
    <row r="395" spans="1:14">
      <c r="A395" s="1" t="str">
        <f>Requirements!A412</f>
        <v>MS-WSP_R390</v>
      </c>
      <c r="B395" s="1"/>
      <c r="C395" s="1"/>
      <c r="D395" s="1"/>
      <c r="E395" s="1"/>
      <c r="F395" s="1"/>
      <c r="G395" s="1"/>
      <c r="H395" s="3">
        <f t="shared" si="24"/>
        <v>0</v>
      </c>
      <c r="I395" s="6">
        <f t="shared" si="25"/>
        <v>0</v>
      </c>
      <c r="J395" s="1" t="b">
        <f t="shared" si="26"/>
        <v>0</v>
      </c>
      <c r="K395" s="1" t="b">
        <f>(Requirements!K412="Normative")</f>
        <v>1</v>
      </c>
      <c r="L395" s="1" t="b">
        <f>(Requirements!L412&lt;&gt;"Non-testable")</f>
        <v>0</v>
      </c>
      <c r="M395" s="1" t="b">
        <f>(VLOOKUP(Requirements!I412,Scope[[Role]:[Description]],2,FALSE)="In")</f>
        <v>1</v>
      </c>
      <c r="N395" s="1">
        <f t="shared" si="27"/>
        <v>0</v>
      </c>
    </row>
    <row r="396" spans="1:14">
      <c r="A396" s="1" t="str">
        <f>Requirements!A413</f>
        <v>MS-WSP_R391</v>
      </c>
      <c r="B396" s="1"/>
      <c r="C396" s="1"/>
      <c r="D396" s="1"/>
      <c r="E396" s="1"/>
      <c r="F396" s="1"/>
      <c r="G396" s="1"/>
      <c r="H396" s="3">
        <f t="shared" si="24"/>
        <v>0</v>
      </c>
      <c r="I396" s="6">
        <f t="shared" si="25"/>
        <v>0</v>
      </c>
      <c r="J396" s="1" t="b">
        <f t="shared" si="26"/>
        <v>0</v>
      </c>
      <c r="K396" s="1" t="b">
        <f>(Requirements!K413="Normative")</f>
        <v>1</v>
      </c>
      <c r="L396" s="1" t="b">
        <f>(Requirements!L413&lt;&gt;"Non-testable")</f>
        <v>1</v>
      </c>
      <c r="M396" s="1" t="b">
        <f>(VLOOKUP(Requirements!I413,Scope[[Role]:[Description]],2,FALSE)="In")</f>
        <v>0</v>
      </c>
      <c r="N396" s="1">
        <f t="shared" si="27"/>
        <v>0</v>
      </c>
    </row>
    <row r="397" spans="1:14">
      <c r="A397" s="1" t="str">
        <f>Requirements!A414</f>
        <v>MS-WSP_R392</v>
      </c>
      <c r="B397" s="1"/>
      <c r="C397" s="1"/>
      <c r="D397" s="1"/>
      <c r="E397" s="1"/>
      <c r="F397" s="1"/>
      <c r="G397" s="1"/>
      <c r="H397" s="3">
        <f t="shared" si="24"/>
        <v>0</v>
      </c>
      <c r="I397" s="6">
        <f t="shared" si="25"/>
        <v>0</v>
      </c>
      <c r="J397" s="1" t="b">
        <f t="shared" si="26"/>
        <v>0</v>
      </c>
      <c r="K397" s="1" t="b">
        <f>(Requirements!K414="Normative")</f>
        <v>0</v>
      </c>
      <c r="L397" s="1" t="b">
        <f>(Requirements!L414&lt;&gt;"Non-testable")</f>
        <v>1</v>
      </c>
      <c r="M397" s="1" t="b">
        <f>(VLOOKUP(Requirements!I414,Scope[[Role]:[Description]],2,FALSE)="In")</f>
        <v>0</v>
      </c>
      <c r="N397" s="1">
        <f t="shared" si="27"/>
        <v>0</v>
      </c>
    </row>
    <row r="398" spans="1:14">
      <c r="A398" s="1" t="str">
        <f>Requirements!A415</f>
        <v>MS-WSP_R393</v>
      </c>
      <c r="B398" s="1"/>
      <c r="C398" s="1"/>
      <c r="D398" s="1"/>
      <c r="E398" s="1"/>
      <c r="F398" s="1"/>
      <c r="G398" s="1"/>
      <c r="H398" s="3">
        <f t="shared" si="24"/>
        <v>0</v>
      </c>
      <c r="I398" s="6">
        <f t="shared" si="25"/>
        <v>0</v>
      </c>
      <c r="J398" s="1" t="b">
        <f t="shared" si="26"/>
        <v>0</v>
      </c>
      <c r="K398" s="1" t="b">
        <f>(Requirements!K415="Normative")</f>
        <v>1</v>
      </c>
      <c r="L398" s="1" t="b">
        <f>(Requirements!L415&lt;&gt;"Non-testable")</f>
        <v>1</v>
      </c>
      <c r="M398" s="1" t="b">
        <f>(VLOOKUP(Requirements!I415,Scope[[Role]:[Description]],2,FALSE)="In")</f>
        <v>0</v>
      </c>
      <c r="N398" s="1">
        <f t="shared" si="27"/>
        <v>0</v>
      </c>
    </row>
    <row r="399" spans="1:14">
      <c r="A399" s="1" t="str">
        <f>Requirements!A416</f>
        <v>MS-WSP_R394</v>
      </c>
      <c r="B399" s="1"/>
      <c r="C399" s="1"/>
      <c r="D399" s="1"/>
      <c r="E399" s="1"/>
      <c r="F399" s="1"/>
      <c r="G399" s="1"/>
      <c r="H399" s="3">
        <f t="shared" si="24"/>
        <v>0</v>
      </c>
      <c r="I399" s="6">
        <f t="shared" si="25"/>
        <v>0</v>
      </c>
      <c r="J399" s="1" t="b">
        <f t="shared" si="26"/>
        <v>0</v>
      </c>
      <c r="K399" s="1" t="b">
        <f>(Requirements!K416="Normative")</f>
        <v>1</v>
      </c>
      <c r="L399" s="1" t="b">
        <f>(Requirements!L416&lt;&gt;"Non-testable")</f>
        <v>0</v>
      </c>
      <c r="M399" s="1" t="b">
        <f>(VLOOKUP(Requirements!I416,Scope[[Role]:[Description]],2,FALSE)="In")</f>
        <v>1</v>
      </c>
      <c r="N399" s="1">
        <f t="shared" si="27"/>
        <v>0</v>
      </c>
    </row>
    <row r="400" spans="1:14">
      <c r="A400" s="1" t="str">
        <f>Requirements!A417</f>
        <v>MS-WSP_R395</v>
      </c>
      <c r="B400" s="1"/>
      <c r="C400" s="1"/>
      <c r="D400" s="1"/>
      <c r="E400" s="1"/>
      <c r="F400" s="1"/>
      <c r="G400" s="1"/>
      <c r="H400" s="3">
        <f t="shared" si="24"/>
        <v>0</v>
      </c>
      <c r="I400" s="6">
        <f t="shared" si="25"/>
        <v>0</v>
      </c>
      <c r="J400" s="1" t="b">
        <f t="shared" si="26"/>
        <v>0</v>
      </c>
      <c r="K400" s="1" t="b">
        <f>(Requirements!K417="Normative")</f>
        <v>1</v>
      </c>
      <c r="L400" s="1" t="b">
        <f>(Requirements!L417&lt;&gt;"Non-testable")</f>
        <v>1</v>
      </c>
      <c r="M400" s="1" t="b">
        <f>(VLOOKUP(Requirements!I417,Scope[[Role]:[Description]],2,FALSE)="In")</f>
        <v>0</v>
      </c>
      <c r="N400" s="1">
        <f t="shared" si="27"/>
        <v>0</v>
      </c>
    </row>
    <row r="401" spans="1:14">
      <c r="A401" s="1" t="str">
        <f>Requirements!A418</f>
        <v>MS-WSP_R396</v>
      </c>
      <c r="B401" s="1"/>
      <c r="C401" s="1"/>
      <c r="D401" s="1"/>
      <c r="E401" s="1"/>
      <c r="F401" s="1"/>
      <c r="G401" s="1"/>
      <c r="H401" s="3">
        <f t="shared" si="24"/>
        <v>0</v>
      </c>
      <c r="I401" s="6">
        <f t="shared" si="25"/>
        <v>0</v>
      </c>
      <c r="J401" s="1" t="b">
        <f t="shared" si="26"/>
        <v>0</v>
      </c>
      <c r="K401" s="1" t="b">
        <f>(Requirements!K418="Normative")</f>
        <v>1</v>
      </c>
      <c r="L401" s="1" t="b">
        <f>(Requirements!L418&lt;&gt;"Non-testable")</f>
        <v>1</v>
      </c>
      <c r="M401" s="1" t="b">
        <f>(VLOOKUP(Requirements!I418,Scope[[Role]:[Description]],2,FALSE)="In")</f>
        <v>0</v>
      </c>
      <c r="N401" s="1">
        <f t="shared" si="27"/>
        <v>0</v>
      </c>
    </row>
    <row r="402" spans="1:14">
      <c r="A402" s="1" t="str">
        <f>Requirements!A419</f>
        <v>MS-WSP_R397</v>
      </c>
      <c r="B402" s="1"/>
      <c r="C402" s="1"/>
      <c r="D402" s="1"/>
      <c r="E402" s="1"/>
      <c r="F402" s="1"/>
      <c r="G402" s="1"/>
      <c r="H402" s="3">
        <f t="shared" si="24"/>
        <v>0</v>
      </c>
      <c r="I402" s="6">
        <f t="shared" si="25"/>
        <v>0</v>
      </c>
      <c r="J402" s="1" t="b">
        <f t="shared" si="26"/>
        <v>0</v>
      </c>
      <c r="K402" s="1" t="b">
        <f>(Requirements!K419="Normative")</f>
        <v>1</v>
      </c>
      <c r="L402" s="1" t="b">
        <f>(Requirements!L419&lt;&gt;"Non-testable")</f>
        <v>1</v>
      </c>
      <c r="M402" s="1" t="b">
        <f>(VLOOKUP(Requirements!I419,Scope[[Role]:[Description]],2,FALSE)="In")</f>
        <v>0</v>
      </c>
      <c r="N402" s="1">
        <f t="shared" si="27"/>
        <v>0</v>
      </c>
    </row>
    <row r="403" spans="1:14">
      <c r="A403" s="1" t="str">
        <f>Requirements!A420</f>
        <v>MS-WSP_R398</v>
      </c>
      <c r="B403" s="1"/>
      <c r="C403" s="1"/>
      <c r="D403" s="1"/>
      <c r="E403" s="1"/>
      <c r="F403" s="1"/>
      <c r="G403" s="1"/>
      <c r="H403" s="3">
        <f t="shared" si="24"/>
        <v>0</v>
      </c>
      <c r="I403" s="6">
        <f t="shared" si="25"/>
        <v>0</v>
      </c>
      <c r="J403" s="1" t="b">
        <f t="shared" si="26"/>
        <v>0</v>
      </c>
      <c r="K403" s="1" t="b">
        <f>(Requirements!K420="Normative")</f>
        <v>1</v>
      </c>
      <c r="L403" s="1" t="b">
        <f>(Requirements!L420&lt;&gt;"Non-testable")</f>
        <v>1</v>
      </c>
      <c r="M403" s="1" t="b">
        <f>(VLOOKUP(Requirements!I420,Scope[[Role]:[Description]],2,FALSE)="In")</f>
        <v>0</v>
      </c>
      <c r="N403" s="1">
        <f t="shared" si="27"/>
        <v>0</v>
      </c>
    </row>
    <row r="404" spans="1:14">
      <c r="A404" s="1" t="str">
        <f>Requirements!A421</f>
        <v>MS-WSP_R399</v>
      </c>
      <c r="B404" s="1"/>
      <c r="C404" s="1"/>
      <c r="D404" s="1"/>
      <c r="E404" s="1"/>
      <c r="F404" s="1"/>
      <c r="G404" s="1"/>
      <c r="H404" s="3">
        <f t="shared" si="24"/>
        <v>0</v>
      </c>
      <c r="I404" s="6">
        <f t="shared" si="25"/>
        <v>0</v>
      </c>
      <c r="J404" s="1" t="b">
        <f t="shared" si="26"/>
        <v>0</v>
      </c>
      <c r="K404" s="1" t="b">
        <f>(Requirements!K421="Normative")</f>
        <v>1</v>
      </c>
      <c r="L404" s="1" t="b">
        <f>(Requirements!L421&lt;&gt;"Non-testable")</f>
        <v>0</v>
      </c>
      <c r="M404" s="1" t="b">
        <f>(VLOOKUP(Requirements!I421,Scope[[Role]:[Description]],2,FALSE)="In")</f>
        <v>1</v>
      </c>
      <c r="N404" s="1">
        <f t="shared" si="27"/>
        <v>0</v>
      </c>
    </row>
    <row r="405" spans="1:14">
      <c r="A405" s="1" t="str">
        <f>Requirements!A422</f>
        <v>MS-WSP_R400</v>
      </c>
      <c r="B405" s="1"/>
      <c r="C405" s="1"/>
      <c r="D405" s="1"/>
      <c r="E405" s="1"/>
      <c r="F405" s="1"/>
      <c r="G405" s="1"/>
      <c r="H405" s="3">
        <f t="shared" si="24"/>
        <v>0</v>
      </c>
      <c r="I405" s="6">
        <f t="shared" si="25"/>
        <v>0</v>
      </c>
      <c r="J405" s="1" t="b">
        <f t="shared" si="26"/>
        <v>0</v>
      </c>
      <c r="K405" s="1" t="b">
        <f>(Requirements!K422="Normative")</f>
        <v>1</v>
      </c>
      <c r="L405" s="1" t="b">
        <f>(Requirements!L422&lt;&gt;"Non-testable")</f>
        <v>1</v>
      </c>
      <c r="M405" s="1" t="b">
        <f>(VLOOKUP(Requirements!I422,Scope[[Role]:[Description]],2,FALSE)="In")</f>
        <v>0</v>
      </c>
      <c r="N405" s="1">
        <f t="shared" si="27"/>
        <v>0</v>
      </c>
    </row>
    <row r="406" spans="1:14">
      <c r="A406" s="1" t="str">
        <f>Requirements!A423</f>
        <v>MS-WSP_R401</v>
      </c>
      <c r="B406" s="1"/>
      <c r="C406" s="1"/>
      <c r="D406" s="1"/>
      <c r="E406" s="1"/>
      <c r="F406" s="1"/>
      <c r="G406" s="1"/>
      <c r="H406" s="3">
        <f t="shared" si="24"/>
        <v>0</v>
      </c>
      <c r="I406" s="6">
        <f t="shared" si="25"/>
        <v>0</v>
      </c>
      <c r="J406" s="1" t="b">
        <f t="shared" si="26"/>
        <v>0</v>
      </c>
      <c r="K406" s="1" t="b">
        <f>(Requirements!K423="Normative")</f>
        <v>1</v>
      </c>
      <c r="L406" s="1" t="b">
        <f>(Requirements!L423&lt;&gt;"Non-testable")</f>
        <v>1</v>
      </c>
      <c r="M406" s="1" t="b">
        <f>(VLOOKUP(Requirements!I423,Scope[[Role]:[Description]],2,FALSE)="In")</f>
        <v>0</v>
      </c>
      <c r="N406" s="1">
        <f t="shared" si="27"/>
        <v>0</v>
      </c>
    </row>
    <row r="407" spans="1:14">
      <c r="A407" s="1" t="str">
        <f>Requirements!A424</f>
        <v>MS-WSP_R402</v>
      </c>
      <c r="B407" s="1"/>
      <c r="C407" s="1"/>
      <c r="D407" s="1"/>
      <c r="E407" s="1"/>
      <c r="F407" s="1"/>
      <c r="G407" s="1"/>
      <c r="H407" s="3">
        <f t="shared" si="24"/>
        <v>0</v>
      </c>
      <c r="I407" s="6">
        <f t="shared" si="25"/>
        <v>0</v>
      </c>
      <c r="J407" s="1" t="b">
        <f t="shared" si="26"/>
        <v>0</v>
      </c>
      <c r="K407" s="1" t="b">
        <f>(Requirements!K424="Normative")</f>
        <v>1</v>
      </c>
      <c r="L407" s="1" t="b">
        <f>(Requirements!L424&lt;&gt;"Non-testable")</f>
        <v>1</v>
      </c>
      <c r="M407" s="1" t="b">
        <f>(VLOOKUP(Requirements!I424,Scope[[Role]:[Description]],2,FALSE)="In")</f>
        <v>0</v>
      </c>
      <c r="N407" s="1">
        <f t="shared" si="27"/>
        <v>0</v>
      </c>
    </row>
    <row r="408" spans="1:14">
      <c r="A408" s="1" t="str">
        <f>Requirements!A425</f>
        <v>MS-WSP_R403</v>
      </c>
      <c r="B408" s="1"/>
      <c r="C408" s="1"/>
      <c r="D408" s="1">
        <v>1</v>
      </c>
      <c r="E408" s="1"/>
      <c r="F408" s="1"/>
      <c r="G408" s="1"/>
      <c r="H408" s="3">
        <f t="shared" si="24"/>
        <v>1</v>
      </c>
      <c r="I408" s="6">
        <f t="shared" si="25"/>
        <v>1</v>
      </c>
      <c r="J408" s="1" t="b">
        <f t="shared" si="26"/>
        <v>1</v>
      </c>
      <c r="K408" s="1" t="b">
        <f>(Requirements!K425="Normative")</f>
        <v>1</v>
      </c>
      <c r="L408" s="1" t="b">
        <f>(Requirements!L425&lt;&gt;"Non-testable")</f>
        <v>1</v>
      </c>
      <c r="M408" s="1" t="b">
        <f>(VLOOKUP(Requirements!I425,Scope[[Role]:[Description]],2,FALSE)="In")</f>
        <v>1</v>
      </c>
      <c r="N408" s="1">
        <f t="shared" si="27"/>
        <v>1</v>
      </c>
    </row>
    <row r="409" spans="1:14">
      <c r="A409" s="1" t="str">
        <f>Requirements!A426</f>
        <v>MS-WSP_R404</v>
      </c>
      <c r="B409" s="1"/>
      <c r="C409" s="1"/>
      <c r="D409" s="1"/>
      <c r="E409" s="1"/>
      <c r="F409" s="1"/>
      <c r="G409" s="1"/>
      <c r="H409" s="3">
        <f t="shared" si="24"/>
        <v>0</v>
      </c>
      <c r="I409" s="6">
        <f t="shared" si="25"/>
        <v>0</v>
      </c>
      <c r="J409" s="1" t="b">
        <f t="shared" si="26"/>
        <v>0</v>
      </c>
      <c r="K409" s="1" t="b">
        <f>(Requirements!K426="Normative")</f>
        <v>1</v>
      </c>
      <c r="L409" s="1" t="b">
        <f>(Requirements!L426&lt;&gt;"Non-testable")</f>
        <v>1</v>
      </c>
      <c r="M409" s="1" t="b">
        <f>(VLOOKUP(Requirements!I426,Scope[[Role]:[Description]],2,FALSE)="In")</f>
        <v>0</v>
      </c>
      <c r="N409" s="1">
        <f t="shared" si="27"/>
        <v>0</v>
      </c>
    </row>
    <row r="410" spans="1:14">
      <c r="A410" s="1" t="str">
        <f>Requirements!A427</f>
        <v>MS-WSP_R405</v>
      </c>
      <c r="B410" s="1">
        <v>1</v>
      </c>
      <c r="C410" s="1">
        <v>1</v>
      </c>
      <c r="D410" s="1">
        <v>1</v>
      </c>
      <c r="E410" s="1"/>
      <c r="F410" s="1"/>
      <c r="G410" s="1"/>
      <c r="H410" s="3">
        <f t="shared" si="24"/>
        <v>3</v>
      </c>
      <c r="I410" s="6">
        <f t="shared" si="25"/>
        <v>1</v>
      </c>
      <c r="J410" s="1" t="b">
        <f t="shared" si="26"/>
        <v>1</v>
      </c>
      <c r="K410" s="1" t="b">
        <f>(Requirements!K427="Normative")</f>
        <v>1</v>
      </c>
      <c r="L410" s="1" t="b">
        <f>(Requirements!L427&lt;&gt;"Non-testable")</f>
        <v>1</v>
      </c>
      <c r="M410" s="1" t="b">
        <f>(VLOOKUP(Requirements!I427,Scope[[Role]:[Description]],2,FALSE)="In")</f>
        <v>1</v>
      </c>
      <c r="N410" s="1">
        <f t="shared" si="27"/>
        <v>1</v>
      </c>
    </row>
    <row r="411" spans="1:14">
      <c r="A411" s="1" t="str">
        <f>Requirements!A428</f>
        <v>MS-WSP_R406</v>
      </c>
      <c r="B411" s="1"/>
      <c r="C411" s="1"/>
      <c r="D411" s="1"/>
      <c r="E411" s="1"/>
      <c r="F411" s="1"/>
      <c r="G411" s="1"/>
      <c r="H411" s="3">
        <f t="shared" si="24"/>
        <v>0</v>
      </c>
      <c r="I411" s="6">
        <f t="shared" si="25"/>
        <v>0</v>
      </c>
      <c r="J411" s="1" t="b">
        <f t="shared" si="26"/>
        <v>0</v>
      </c>
      <c r="K411" s="1" t="b">
        <f>(Requirements!K428="Normative")</f>
        <v>1</v>
      </c>
      <c r="L411" s="1" t="b">
        <f>(Requirements!L428&lt;&gt;"Non-testable")</f>
        <v>1</v>
      </c>
      <c r="M411" s="1" t="b">
        <f>(VLOOKUP(Requirements!I428,Scope[[Role]:[Description]],2,FALSE)="In")</f>
        <v>0</v>
      </c>
      <c r="N411" s="1">
        <f t="shared" si="27"/>
        <v>0</v>
      </c>
    </row>
    <row r="412" spans="1:14">
      <c r="A412" s="1" t="str">
        <f>Requirements!A429</f>
        <v>MS-WSP_R407</v>
      </c>
      <c r="B412" s="1"/>
      <c r="C412" s="1"/>
      <c r="D412" s="1"/>
      <c r="E412" s="1"/>
      <c r="F412" s="1"/>
      <c r="G412" s="1"/>
      <c r="H412" s="3">
        <f t="shared" si="24"/>
        <v>0</v>
      </c>
      <c r="I412" s="6">
        <f t="shared" si="25"/>
        <v>0</v>
      </c>
      <c r="J412" s="1" t="b">
        <f t="shared" si="26"/>
        <v>0</v>
      </c>
      <c r="K412" s="1" t="b">
        <f>(Requirements!K429="Normative")</f>
        <v>1</v>
      </c>
      <c r="L412" s="1" t="b">
        <f>(Requirements!L429&lt;&gt;"Non-testable")</f>
        <v>1</v>
      </c>
      <c r="M412" s="1" t="b">
        <f>(VLOOKUP(Requirements!I429,Scope[[Role]:[Description]],2,FALSE)="In")</f>
        <v>0</v>
      </c>
      <c r="N412" s="1">
        <f t="shared" si="27"/>
        <v>0</v>
      </c>
    </row>
    <row r="413" spans="1:14">
      <c r="A413" s="1" t="str">
        <f>Requirements!A430</f>
        <v>MS-WSP_R408</v>
      </c>
      <c r="B413" s="1"/>
      <c r="C413" s="1"/>
      <c r="D413" s="1"/>
      <c r="E413" s="1"/>
      <c r="F413" s="1"/>
      <c r="G413" s="1"/>
      <c r="H413" s="3">
        <f t="shared" si="24"/>
        <v>0</v>
      </c>
      <c r="I413" s="6">
        <f t="shared" si="25"/>
        <v>0</v>
      </c>
      <c r="J413" s="1" t="b">
        <f t="shared" si="26"/>
        <v>0</v>
      </c>
      <c r="K413" s="1" t="b">
        <f>(Requirements!K430="Normative")</f>
        <v>1</v>
      </c>
      <c r="L413" s="1" t="b">
        <f>(Requirements!L430&lt;&gt;"Non-testable")</f>
        <v>1</v>
      </c>
      <c r="M413" s="1" t="b">
        <f>(VLOOKUP(Requirements!I430,Scope[[Role]:[Description]],2,FALSE)="In")</f>
        <v>0</v>
      </c>
      <c r="N413" s="1">
        <f t="shared" si="27"/>
        <v>0</v>
      </c>
    </row>
    <row r="414" spans="1:14">
      <c r="A414" s="1" t="str">
        <f>Requirements!A431</f>
        <v>MS-WSP_R409</v>
      </c>
      <c r="B414" s="1"/>
      <c r="C414" s="1"/>
      <c r="D414" s="1"/>
      <c r="E414" s="1"/>
      <c r="F414" s="1"/>
      <c r="G414" s="1"/>
      <c r="H414" s="3">
        <f t="shared" si="24"/>
        <v>0</v>
      </c>
      <c r="I414" s="6">
        <f t="shared" si="25"/>
        <v>0</v>
      </c>
      <c r="J414" s="1" t="b">
        <f t="shared" si="26"/>
        <v>0</v>
      </c>
      <c r="K414" s="1" t="b">
        <f>(Requirements!K431="Normative")</f>
        <v>1</v>
      </c>
      <c r="L414" s="1" t="b">
        <f>(Requirements!L431&lt;&gt;"Non-testable")</f>
        <v>1</v>
      </c>
      <c r="M414" s="1" t="b">
        <f>(VLOOKUP(Requirements!I431,Scope[[Role]:[Description]],2,FALSE)="In")</f>
        <v>0</v>
      </c>
      <c r="N414" s="1">
        <f t="shared" si="27"/>
        <v>0</v>
      </c>
    </row>
    <row r="415" spans="1:14">
      <c r="A415" s="1" t="str">
        <f>Requirements!A432</f>
        <v>MS-WSP_R410</v>
      </c>
      <c r="B415" s="1"/>
      <c r="C415" s="1"/>
      <c r="D415" s="1"/>
      <c r="E415" s="1"/>
      <c r="F415" s="1"/>
      <c r="G415" s="1"/>
      <c r="H415" s="3">
        <f t="shared" si="24"/>
        <v>0</v>
      </c>
      <c r="I415" s="6">
        <f t="shared" si="25"/>
        <v>0</v>
      </c>
      <c r="J415" s="1" t="b">
        <f t="shared" si="26"/>
        <v>0</v>
      </c>
      <c r="K415" s="1" t="b">
        <f>(Requirements!K432="Normative")</f>
        <v>1</v>
      </c>
      <c r="L415" s="1" t="b">
        <f>(Requirements!L432&lt;&gt;"Non-testable")</f>
        <v>1</v>
      </c>
      <c r="M415" s="1" t="b">
        <f>(VLOOKUP(Requirements!I432,Scope[[Role]:[Description]],2,FALSE)="In")</f>
        <v>0</v>
      </c>
      <c r="N415" s="1">
        <f t="shared" si="27"/>
        <v>0</v>
      </c>
    </row>
    <row r="416" spans="1:14">
      <c r="A416" s="1" t="str">
        <f>Requirements!A433</f>
        <v>MS-WSP_R411</v>
      </c>
      <c r="B416" s="1"/>
      <c r="C416" s="1"/>
      <c r="D416" s="1"/>
      <c r="E416" s="1"/>
      <c r="F416" s="1"/>
      <c r="G416" s="1"/>
      <c r="H416" s="3">
        <f t="shared" si="24"/>
        <v>0</v>
      </c>
      <c r="I416" s="6">
        <f t="shared" si="25"/>
        <v>0</v>
      </c>
      <c r="J416" s="1" t="b">
        <f t="shared" si="26"/>
        <v>0</v>
      </c>
      <c r="K416" s="1" t="b">
        <f>(Requirements!K433="Normative")</f>
        <v>1</v>
      </c>
      <c r="L416" s="1" t="b">
        <f>(Requirements!L433&lt;&gt;"Non-testable")</f>
        <v>1</v>
      </c>
      <c r="M416" s="1" t="b">
        <f>(VLOOKUP(Requirements!I433,Scope[[Role]:[Description]],2,FALSE)="In")</f>
        <v>0</v>
      </c>
      <c r="N416" s="1">
        <f t="shared" si="27"/>
        <v>0</v>
      </c>
    </row>
    <row r="417" spans="1:14">
      <c r="A417" s="1" t="str">
        <f>Requirements!A434</f>
        <v>MS-WSP_R412</v>
      </c>
      <c r="B417" s="1"/>
      <c r="C417" s="1"/>
      <c r="D417" s="1"/>
      <c r="E417" s="1"/>
      <c r="F417" s="1"/>
      <c r="G417" s="1"/>
      <c r="H417" s="3">
        <f t="shared" si="24"/>
        <v>0</v>
      </c>
      <c r="I417" s="6">
        <f t="shared" si="25"/>
        <v>0</v>
      </c>
      <c r="J417" s="1" t="b">
        <f t="shared" si="26"/>
        <v>0</v>
      </c>
      <c r="K417" s="1" t="b">
        <f>(Requirements!K434="Normative")</f>
        <v>1</v>
      </c>
      <c r="L417" s="1" t="b">
        <f>(Requirements!L434&lt;&gt;"Non-testable")</f>
        <v>0</v>
      </c>
      <c r="M417" s="1" t="b">
        <f>(VLOOKUP(Requirements!I434,Scope[[Role]:[Description]],2,FALSE)="In")</f>
        <v>1</v>
      </c>
      <c r="N417" s="1">
        <f t="shared" si="27"/>
        <v>0</v>
      </c>
    </row>
    <row r="418" spans="1:14">
      <c r="A418" s="1" t="str">
        <f>Requirements!A435</f>
        <v>MS-WSP_R413</v>
      </c>
      <c r="B418" s="1">
        <v>1</v>
      </c>
      <c r="C418" s="1">
        <v>1</v>
      </c>
      <c r="D418" s="1">
        <v>1</v>
      </c>
      <c r="E418" s="1"/>
      <c r="F418" s="1"/>
      <c r="G418" s="1"/>
      <c r="H418" s="3">
        <f t="shared" si="24"/>
        <v>3</v>
      </c>
      <c r="I418" s="6">
        <f t="shared" si="25"/>
        <v>1</v>
      </c>
      <c r="J418" s="1" t="b">
        <f t="shared" si="26"/>
        <v>1</v>
      </c>
      <c r="K418" s="1" t="b">
        <f>(Requirements!K435="Normative")</f>
        <v>1</v>
      </c>
      <c r="L418" s="1" t="b">
        <f>(Requirements!L435&lt;&gt;"Non-testable")</f>
        <v>1</v>
      </c>
      <c r="M418" s="1" t="b">
        <f>(VLOOKUP(Requirements!I435,Scope[[Role]:[Description]],2,FALSE)="In")</f>
        <v>1</v>
      </c>
      <c r="N418" s="1">
        <f t="shared" si="27"/>
        <v>1</v>
      </c>
    </row>
    <row r="419" spans="1:14">
      <c r="A419" s="1" t="str">
        <f>Requirements!A436</f>
        <v>MS-WSP_R414</v>
      </c>
      <c r="B419" s="1"/>
      <c r="C419" s="1"/>
      <c r="D419" s="1"/>
      <c r="E419" s="1"/>
      <c r="F419" s="1"/>
      <c r="G419" s="1"/>
      <c r="H419" s="3">
        <f t="shared" si="24"/>
        <v>0</v>
      </c>
      <c r="I419" s="6">
        <f t="shared" si="25"/>
        <v>0</v>
      </c>
      <c r="J419" s="1" t="b">
        <f t="shared" si="26"/>
        <v>0</v>
      </c>
      <c r="K419" s="1" t="b">
        <f>(Requirements!K436="Normative")</f>
        <v>1</v>
      </c>
      <c r="L419" s="1" t="b">
        <f>(Requirements!L436&lt;&gt;"Non-testable")</f>
        <v>1</v>
      </c>
      <c r="M419" s="1" t="b">
        <f>(VLOOKUP(Requirements!I436,Scope[[Role]:[Description]],2,FALSE)="In")</f>
        <v>0</v>
      </c>
      <c r="N419" s="1">
        <f t="shared" si="27"/>
        <v>0</v>
      </c>
    </row>
    <row r="420" spans="1:14">
      <c r="A420" s="1" t="str">
        <f>Requirements!A437</f>
        <v>MS-WSP_R415</v>
      </c>
      <c r="B420" s="1"/>
      <c r="C420" s="1"/>
      <c r="D420" s="1"/>
      <c r="E420" s="1"/>
      <c r="F420" s="1"/>
      <c r="G420" s="1"/>
      <c r="H420" s="3">
        <f t="shared" si="24"/>
        <v>0</v>
      </c>
      <c r="I420" s="6">
        <f t="shared" si="25"/>
        <v>0</v>
      </c>
      <c r="J420" s="1" t="b">
        <f t="shared" si="26"/>
        <v>0</v>
      </c>
      <c r="K420" s="1" t="b">
        <f>(Requirements!K437="Normative")</f>
        <v>1</v>
      </c>
      <c r="L420" s="1" t="b">
        <f>(Requirements!L437&lt;&gt;"Non-testable")</f>
        <v>0</v>
      </c>
      <c r="M420" s="1" t="b">
        <f>(VLOOKUP(Requirements!I437,Scope[[Role]:[Description]],2,FALSE)="In")</f>
        <v>1</v>
      </c>
      <c r="N420" s="1">
        <f t="shared" si="27"/>
        <v>0</v>
      </c>
    </row>
    <row r="421" spans="1:14">
      <c r="A421" s="1" t="str">
        <f>Requirements!A438</f>
        <v>MS-WSP_R416</v>
      </c>
      <c r="B421" s="1">
        <v>1</v>
      </c>
      <c r="C421" s="1">
        <v>1</v>
      </c>
      <c r="D421" s="1">
        <v>1</v>
      </c>
      <c r="E421" s="1"/>
      <c r="F421" s="1"/>
      <c r="G421" s="1"/>
      <c r="H421" s="3">
        <f t="shared" si="24"/>
        <v>3</v>
      </c>
      <c r="I421" s="6">
        <f t="shared" si="25"/>
        <v>1</v>
      </c>
      <c r="J421" s="1" t="b">
        <f t="shared" si="26"/>
        <v>1</v>
      </c>
      <c r="K421" s="1" t="b">
        <f>(Requirements!K438="Normative")</f>
        <v>1</v>
      </c>
      <c r="L421" s="1" t="b">
        <f>(Requirements!L438&lt;&gt;"Non-testable")</f>
        <v>1</v>
      </c>
      <c r="M421" s="1" t="b">
        <f>(VLOOKUP(Requirements!I438,Scope[[Role]:[Description]],2,FALSE)="In")</f>
        <v>1</v>
      </c>
      <c r="N421" s="1">
        <f t="shared" si="27"/>
        <v>1</v>
      </c>
    </row>
    <row r="422" spans="1:14">
      <c r="A422" s="1" t="str">
        <f>Requirements!A439</f>
        <v>MS-WSP_R417</v>
      </c>
      <c r="B422" s="1"/>
      <c r="C422" s="1"/>
      <c r="D422" s="1"/>
      <c r="E422" s="1"/>
      <c r="F422" s="1"/>
      <c r="G422" s="1"/>
      <c r="H422" s="3">
        <f t="shared" si="24"/>
        <v>0</v>
      </c>
      <c r="I422" s="6">
        <f t="shared" si="25"/>
        <v>0</v>
      </c>
      <c r="J422" s="1" t="b">
        <f t="shared" si="26"/>
        <v>0</v>
      </c>
      <c r="K422" s="1" t="b">
        <f>(Requirements!K439="Normative")</f>
        <v>1</v>
      </c>
      <c r="L422" s="1" t="b">
        <f>(Requirements!L439&lt;&gt;"Non-testable")</f>
        <v>1</v>
      </c>
      <c r="M422" s="1" t="b">
        <f>(VLOOKUP(Requirements!I439,Scope[[Role]:[Description]],2,FALSE)="In")</f>
        <v>0</v>
      </c>
      <c r="N422" s="1">
        <f t="shared" si="27"/>
        <v>0</v>
      </c>
    </row>
    <row r="423" spans="1:14">
      <c r="A423" s="1" t="str">
        <f>Requirements!A440</f>
        <v>MS-WSP_R418</v>
      </c>
      <c r="B423" s="1"/>
      <c r="C423" s="1"/>
      <c r="D423" s="1"/>
      <c r="E423" s="1"/>
      <c r="F423" s="1"/>
      <c r="G423" s="1"/>
      <c r="H423" s="3">
        <f t="shared" si="24"/>
        <v>0</v>
      </c>
      <c r="I423" s="6">
        <f t="shared" si="25"/>
        <v>0</v>
      </c>
      <c r="J423" s="1" t="b">
        <f t="shared" si="26"/>
        <v>0</v>
      </c>
      <c r="K423" s="1" t="b">
        <f>(Requirements!K440="Normative")</f>
        <v>1</v>
      </c>
      <c r="L423" s="1" t="b">
        <f>(Requirements!L440&lt;&gt;"Non-testable")</f>
        <v>1</v>
      </c>
      <c r="M423" s="1" t="b">
        <f>(VLOOKUP(Requirements!I440,Scope[[Role]:[Description]],2,FALSE)="In")</f>
        <v>0</v>
      </c>
      <c r="N423" s="1">
        <f t="shared" si="27"/>
        <v>0</v>
      </c>
    </row>
    <row r="424" spans="1:14">
      <c r="A424" s="1" t="str">
        <f>Requirements!A441</f>
        <v>MS-WSP_R419</v>
      </c>
      <c r="B424" s="1"/>
      <c r="C424" s="1"/>
      <c r="D424" s="1"/>
      <c r="E424" s="1"/>
      <c r="F424" s="1"/>
      <c r="G424" s="1"/>
      <c r="H424" s="3">
        <f t="shared" si="24"/>
        <v>0</v>
      </c>
      <c r="I424" s="6">
        <f t="shared" si="25"/>
        <v>0</v>
      </c>
      <c r="J424" s="1" t="b">
        <f t="shared" si="26"/>
        <v>0</v>
      </c>
      <c r="K424" s="1" t="b">
        <f>(Requirements!K441="Normative")</f>
        <v>1</v>
      </c>
      <c r="L424" s="1" t="b">
        <f>(Requirements!L441&lt;&gt;"Non-testable")</f>
        <v>1</v>
      </c>
      <c r="M424" s="1" t="b">
        <f>(VLOOKUP(Requirements!I441,Scope[[Role]:[Description]],2,FALSE)="In")</f>
        <v>0</v>
      </c>
      <c r="N424" s="1">
        <f t="shared" si="27"/>
        <v>0</v>
      </c>
    </row>
    <row r="425" spans="1:14">
      <c r="A425" s="1" t="str">
        <f>Requirements!A442</f>
        <v>MS-WSP_R420</v>
      </c>
      <c r="B425" s="1"/>
      <c r="C425" s="1"/>
      <c r="D425" s="1"/>
      <c r="E425" s="1"/>
      <c r="F425" s="1"/>
      <c r="G425" s="1"/>
      <c r="H425" s="3">
        <f t="shared" si="24"/>
        <v>0</v>
      </c>
      <c r="I425" s="6">
        <f t="shared" si="25"/>
        <v>0</v>
      </c>
      <c r="J425" s="1" t="b">
        <f t="shared" si="26"/>
        <v>0</v>
      </c>
      <c r="K425" s="1" t="b">
        <f>(Requirements!K442="Normative")</f>
        <v>1</v>
      </c>
      <c r="L425" s="1" t="b">
        <f>(Requirements!L442&lt;&gt;"Non-testable")</f>
        <v>1</v>
      </c>
      <c r="M425" s="1" t="b">
        <f>(VLOOKUP(Requirements!I442,Scope[[Role]:[Description]],2,FALSE)="In")</f>
        <v>0</v>
      </c>
      <c r="N425" s="1">
        <f t="shared" si="27"/>
        <v>0</v>
      </c>
    </row>
    <row r="426" spans="1:14">
      <c r="A426" s="1" t="str">
        <f>Requirements!A443</f>
        <v>MS-WSP_R421</v>
      </c>
      <c r="B426" s="1"/>
      <c r="C426" s="1"/>
      <c r="D426" s="1"/>
      <c r="E426" s="1"/>
      <c r="F426" s="1"/>
      <c r="G426" s="1"/>
      <c r="H426" s="3">
        <f t="shared" si="24"/>
        <v>0</v>
      </c>
      <c r="I426" s="6">
        <f t="shared" si="25"/>
        <v>0</v>
      </c>
      <c r="J426" s="1" t="b">
        <f t="shared" si="26"/>
        <v>0</v>
      </c>
      <c r="K426" s="1" t="b">
        <f>(Requirements!K443="Normative")</f>
        <v>1</v>
      </c>
      <c r="L426" s="1" t="b">
        <f>(Requirements!L443&lt;&gt;"Non-testable")</f>
        <v>0</v>
      </c>
      <c r="M426" s="1" t="b">
        <f>(VLOOKUP(Requirements!I443,Scope[[Role]:[Description]],2,FALSE)="In")</f>
        <v>1</v>
      </c>
      <c r="N426" s="1">
        <f t="shared" si="27"/>
        <v>0</v>
      </c>
    </row>
    <row r="427" spans="1:14">
      <c r="A427" s="1" t="str">
        <f>Requirements!A444</f>
        <v>MS-WSP_R422</v>
      </c>
      <c r="B427" s="1">
        <v>1</v>
      </c>
      <c r="C427" s="1">
        <v>1</v>
      </c>
      <c r="D427" s="1">
        <v>1</v>
      </c>
      <c r="E427" s="1"/>
      <c r="F427" s="1"/>
      <c r="G427" s="1"/>
      <c r="H427" s="3">
        <f t="shared" si="24"/>
        <v>3</v>
      </c>
      <c r="I427" s="6">
        <f t="shared" si="25"/>
        <v>1</v>
      </c>
      <c r="J427" s="1" t="b">
        <f t="shared" si="26"/>
        <v>1</v>
      </c>
      <c r="K427" s="1" t="b">
        <f>(Requirements!K444="Normative")</f>
        <v>1</v>
      </c>
      <c r="L427" s="1" t="b">
        <f>(Requirements!L444&lt;&gt;"Non-testable")</f>
        <v>1</v>
      </c>
      <c r="M427" s="1" t="b">
        <f>(VLOOKUP(Requirements!I444,Scope[[Role]:[Description]],2,FALSE)="In")</f>
        <v>1</v>
      </c>
      <c r="N427" s="1">
        <f t="shared" si="27"/>
        <v>1</v>
      </c>
    </row>
    <row r="428" spans="1:14">
      <c r="A428" s="1" t="str">
        <f>Requirements!A445</f>
        <v>MS-WSP_R423</v>
      </c>
      <c r="B428" s="1"/>
      <c r="C428" s="1"/>
      <c r="D428" s="1"/>
      <c r="E428" s="1"/>
      <c r="F428" s="1"/>
      <c r="G428" s="1"/>
      <c r="H428" s="3">
        <f t="shared" si="24"/>
        <v>0</v>
      </c>
      <c r="I428" s="6">
        <f t="shared" si="25"/>
        <v>0</v>
      </c>
      <c r="J428" s="1" t="b">
        <f t="shared" si="26"/>
        <v>0</v>
      </c>
      <c r="K428" s="1" t="b">
        <f>(Requirements!K445="Normative")</f>
        <v>1</v>
      </c>
      <c r="L428" s="1" t="b">
        <f>(Requirements!L445&lt;&gt;"Non-testable")</f>
        <v>1</v>
      </c>
      <c r="M428" s="1" t="b">
        <f>(VLOOKUP(Requirements!I445,Scope[[Role]:[Description]],2,FALSE)="In")</f>
        <v>0</v>
      </c>
      <c r="N428" s="1">
        <f t="shared" si="27"/>
        <v>0</v>
      </c>
    </row>
    <row r="429" spans="1:14">
      <c r="A429" s="1" t="str">
        <f>Requirements!A446</f>
        <v>MS-WSP_R424</v>
      </c>
      <c r="B429" s="1"/>
      <c r="C429" s="1"/>
      <c r="D429" s="1"/>
      <c r="E429" s="1"/>
      <c r="F429" s="1"/>
      <c r="G429" s="1"/>
      <c r="H429" s="3">
        <f t="shared" si="24"/>
        <v>0</v>
      </c>
      <c r="I429" s="6">
        <f t="shared" si="25"/>
        <v>0</v>
      </c>
      <c r="J429" s="1" t="b">
        <f t="shared" si="26"/>
        <v>0</v>
      </c>
      <c r="K429" s="1" t="b">
        <f>(Requirements!K446="Normative")</f>
        <v>1</v>
      </c>
      <c r="L429" s="1" t="b">
        <f>(Requirements!L446&lt;&gt;"Non-testable")</f>
        <v>1</v>
      </c>
      <c r="M429" s="1" t="b">
        <f>(VLOOKUP(Requirements!I446,Scope[[Role]:[Description]],2,FALSE)="In")</f>
        <v>0</v>
      </c>
      <c r="N429" s="1">
        <f t="shared" si="27"/>
        <v>0</v>
      </c>
    </row>
    <row r="430" spans="1:14">
      <c r="A430" s="1" t="str">
        <f>Requirements!A447</f>
        <v>MS-WSP_R425</v>
      </c>
      <c r="B430" s="1"/>
      <c r="C430" s="1"/>
      <c r="D430" s="1"/>
      <c r="E430" s="1"/>
      <c r="F430" s="1"/>
      <c r="G430" s="1"/>
      <c r="H430" s="3">
        <f t="shared" si="24"/>
        <v>0</v>
      </c>
      <c r="I430" s="6">
        <f t="shared" si="25"/>
        <v>0</v>
      </c>
      <c r="J430" s="1" t="b">
        <f t="shared" si="26"/>
        <v>0</v>
      </c>
      <c r="K430" s="1" t="b">
        <f>(Requirements!K447="Normative")</f>
        <v>1</v>
      </c>
      <c r="L430" s="1" t="b">
        <f>(Requirements!L447&lt;&gt;"Non-testable")</f>
        <v>1</v>
      </c>
      <c r="M430" s="1" t="b">
        <f>(VLOOKUP(Requirements!I447,Scope[[Role]:[Description]],2,FALSE)="In")</f>
        <v>0</v>
      </c>
      <c r="N430" s="1">
        <f t="shared" si="27"/>
        <v>0</v>
      </c>
    </row>
    <row r="431" spans="1:14">
      <c r="A431" s="1" t="str">
        <f>Requirements!A448</f>
        <v>MS-WSP_R426</v>
      </c>
      <c r="B431" s="1"/>
      <c r="C431" s="1"/>
      <c r="D431" s="1"/>
      <c r="E431" s="1"/>
      <c r="F431" s="1"/>
      <c r="G431" s="1"/>
      <c r="H431" s="3">
        <f t="shared" si="24"/>
        <v>0</v>
      </c>
      <c r="I431" s="6">
        <f t="shared" si="25"/>
        <v>0</v>
      </c>
      <c r="J431" s="1" t="b">
        <f t="shared" si="26"/>
        <v>0</v>
      </c>
      <c r="K431" s="1" t="b">
        <f>(Requirements!K448="Normative")</f>
        <v>1</v>
      </c>
      <c r="L431" s="1" t="b">
        <f>(Requirements!L448&lt;&gt;"Non-testable")</f>
        <v>1</v>
      </c>
      <c r="M431" s="1" t="b">
        <f>(VLOOKUP(Requirements!I448,Scope[[Role]:[Description]],2,FALSE)="In")</f>
        <v>0</v>
      </c>
      <c r="N431" s="1">
        <f t="shared" si="27"/>
        <v>0</v>
      </c>
    </row>
    <row r="432" spans="1:14">
      <c r="A432" s="1" t="str">
        <f>Requirements!A449</f>
        <v>MS-WSP_R427</v>
      </c>
      <c r="B432" s="1"/>
      <c r="C432" s="1"/>
      <c r="D432" s="1"/>
      <c r="E432" s="1"/>
      <c r="F432" s="1"/>
      <c r="G432" s="1"/>
      <c r="H432" s="3">
        <f t="shared" si="24"/>
        <v>0</v>
      </c>
      <c r="I432" s="6">
        <f t="shared" si="25"/>
        <v>0</v>
      </c>
      <c r="J432" s="1" t="b">
        <f t="shared" si="26"/>
        <v>0</v>
      </c>
      <c r="K432" s="1" t="b">
        <f>(Requirements!K449="Normative")</f>
        <v>1</v>
      </c>
      <c r="L432" s="1" t="b">
        <f>(Requirements!L449&lt;&gt;"Non-testable")</f>
        <v>1</v>
      </c>
      <c r="M432" s="1" t="b">
        <f>(VLOOKUP(Requirements!I449,Scope[[Role]:[Description]],2,FALSE)="In")</f>
        <v>0</v>
      </c>
      <c r="N432" s="1">
        <f t="shared" si="27"/>
        <v>0</v>
      </c>
    </row>
    <row r="433" spans="1:14">
      <c r="A433" s="1" t="str">
        <f>Requirements!A450</f>
        <v>MS-WSP_R428</v>
      </c>
      <c r="B433" s="1"/>
      <c r="C433" s="1"/>
      <c r="D433" s="1"/>
      <c r="E433" s="1"/>
      <c r="F433" s="1"/>
      <c r="G433" s="1"/>
      <c r="H433" s="3">
        <f t="shared" si="24"/>
        <v>0</v>
      </c>
      <c r="I433" s="6">
        <f t="shared" si="25"/>
        <v>0</v>
      </c>
      <c r="J433" s="1" t="b">
        <f t="shared" si="26"/>
        <v>0</v>
      </c>
      <c r="K433" s="1" t="b">
        <f>(Requirements!K450="Normative")</f>
        <v>1</v>
      </c>
      <c r="L433" s="1" t="b">
        <f>(Requirements!L450&lt;&gt;"Non-testable")</f>
        <v>1</v>
      </c>
      <c r="M433" s="1" t="b">
        <f>(VLOOKUP(Requirements!I450,Scope[[Role]:[Description]],2,FALSE)="In")</f>
        <v>0</v>
      </c>
      <c r="N433" s="1">
        <f t="shared" si="27"/>
        <v>0</v>
      </c>
    </row>
    <row r="434" spans="1:14">
      <c r="A434" s="1" t="str">
        <f>Requirements!A451</f>
        <v>MS-WSP_R429</v>
      </c>
      <c r="B434" s="1"/>
      <c r="C434" s="1"/>
      <c r="D434" s="1"/>
      <c r="E434" s="1"/>
      <c r="F434" s="1"/>
      <c r="G434" s="1"/>
      <c r="H434" s="3">
        <f t="shared" si="24"/>
        <v>0</v>
      </c>
      <c r="I434" s="6">
        <f t="shared" si="25"/>
        <v>0</v>
      </c>
      <c r="J434" s="1" t="b">
        <f t="shared" si="26"/>
        <v>0</v>
      </c>
      <c r="K434" s="1" t="b">
        <f>(Requirements!K451="Normative")</f>
        <v>1</v>
      </c>
      <c r="L434" s="1" t="b">
        <f>(Requirements!L451&lt;&gt;"Non-testable")</f>
        <v>0</v>
      </c>
      <c r="M434" s="1" t="b">
        <f>(VLOOKUP(Requirements!I451,Scope[[Role]:[Description]],2,FALSE)="In")</f>
        <v>1</v>
      </c>
      <c r="N434" s="1">
        <f t="shared" si="27"/>
        <v>0</v>
      </c>
    </row>
    <row r="435" spans="1:14">
      <c r="A435" s="1" t="str">
        <f>Requirements!A452</f>
        <v>MS-WSP_R430</v>
      </c>
      <c r="B435" s="1">
        <v>1</v>
      </c>
      <c r="C435" s="1">
        <v>1</v>
      </c>
      <c r="D435" s="1">
        <v>1</v>
      </c>
      <c r="E435" s="1"/>
      <c r="F435" s="1"/>
      <c r="G435" s="1"/>
      <c r="H435" s="3">
        <f t="shared" si="24"/>
        <v>3</v>
      </c>
      <c r="I435" s="6">
        <f t="shared" si="25"/>
        <v>1</v>
      </c>
      <c r="J435" s="1" t="b">
        <f t="shared" si="26"/>
        <v>1</v>
      </c>
      <c r="K435" s="1" t="b">
        <f>(Requirements!K452="Normative")</f>
        <v>1</v>
      </c>
      <c r="L435" s="1" t="b">
        <f>(Requirements!L452&lt;&gt;"Non-testable")</f>
        <v>1</v>
      </c>
      <c r="M435" s="1" t="b">
        <f>(VLOOKUP(Requirements!I452,Scope[[Role]:[Description]],2,FALSE)="In")</f>
        <v>1</v>
      </c>
      <c r="N435" s="1">
        <f t="shared" si="27"/>
        <v>1</v>
      </c>
    </row>
    <row r="436" spans="1:14">
      <c r="A436" s="1" t="str">
        <f>Requirements!A453</f>
        <v>MS-WSP_R431</v>
      </c>
      <c r="B436" s="1"/>
      <c r="C436" s="1"/>
      <c r="D436" s="1"/>
      <c r="E436" s="1"/>
      <c r="F436" s="1"/>
      <c r="G436" s="1"/>
      <c r="H436" s="3">
        <f t="shared" si="24"/>
        <v>0</v>
      </c>
      <c r="I436" s="6">
        <f t="shared" si="25"/>
        <v>0</v>
      </c>
      <c r="J436" s="1" t="b">
        <f t="shared" si="26"/>
        <v>0</v>
      </c>
      <c r="K436" s="1" t="b">
        <f>(Requirements!K453="Normative")</f>
        <v>1</v>
      </c>
      <c r="L436" s="1" t="b">
        <f>(Requirements!L453&lt;&gt;"Non-testable")</f>
        <v>1</v>
      </c>
      <c r="M436" s="1" t="b">
        <f>(VLOOKUP(Requirements!I453,Scope[[Role]:[Description]],2,FALSE)="In")</f>
        <v>0</v>
      </c>
      <c r="N436" s="1">
        <f t="shared" si="27"/>
        <v>0</v>
      </c>
    </row>
    <row r="437" spans="1:14">
      <c r="A437" s="1" t="str">
        <f>Requirements!A454</f>
        <v>MS-WSP_R432</v>
      </c>
      <c r="B437" s="1"/>
      <c r="C437" s="1"/>
      <c r="D437" s="1"/>
      <c r="E437" s="1"/>
      <c r="F437" s="1"/>
      <c r="G437" s="1"/>
      <c r="H437" s="3">
        <f t="shared" si="24"/>
        <v>0</v>
      </c>
      <c r="I437" s="6">
        <f t="shared" si="25"/>
        <v>0</v>
      </c>
      <c r="J437" s="1" t="b">
        <f t="shared" si="26"/>
        <v>0</v>
      </c>
      <c r="K437" s="1" t="b">
        <f>(Requirements!K454="Normative")</f>
        <v>1</v>
      </c>
      <c r="L437" s="1" t="b">
        <f>(Requirements!L454&lt;&gt;"Non-testable")</f>
        <v>1</v>
      </c>
      <c r="M437" s="1" t="b">
        <f>(VLOOKUP(Requirements!I454,Scope[[Role]:[Description]],2,FALSE)="In")</f>
        <v>0</v>
      </c>
      <c r="N437" s="1">
        <f t="shared" si="27"/>
        <v>0</v>
      </c>
    </row>
    <row r="438" spans="1:14">
      <c r="A438" s="1" t="str">
        <f>Requirements!A455</f>
        <v>MS-WSP_R433</v>
      </c>
      <c r="B438" s="1"/>
      <c r="C438" s="1"/>
      <c r="D438" s="1"/>
      <c r="E438" s="1"/>
      <c r="F438" s="1"/>
      <c r="G438" s="1"/>
      <c r="H438" s="3">
        <f t="shared" si="24"/>
        <v>0</v>
      </c>
      <c r="I438" s="6">
        <f t="shared" si="25"/>
        <v>0</v>
      </c>
      <c r="J438" s="1" t="b">
        <f t="shared" si="26"/>
        <v>0</v>
      </c>
      <c r="K438" s="1" t="b">
        <f>(Requirements!K455="Normative")</f>
        <v>1</v>
      </c>
      <c r="L438" s="1" t="b">
        <f>(Requirements!L455&lt;&gt;"Non-testable")</f>
        <v>1</v>
      </c>
      <c r="M438" s="1" t="b">
        <f>(VLOOKUP(Requirements!I455,Scope[[Role]:[Description]],2,FALSE)="In")</f>
        <v>0</v>
      </c>
      <c r="N438" s="1">
        <f t="shared" si="27"/>
        <v>0</v>
      </c>
    </row>
    <row r="439" spans="1:14">
      <c r="A439" s="1" t="str">
        <f>Requirements!A456</f>
        <v>MS-WSP_R434</v>
      </c>
      <c r="B439" s="1">
        <v>1</v>
      </c>
      <c r="C439" s="1">
        <v>1</v>
      </c>
      <c r="D439" s="1">
        <v>1</v>
      </c>
      <c r="E439" s="1"/>
      <c r="F439" s="1"/>
      <c r="G439" s="1"/>
      <c r="H439" s="3">
        <f t="shared" si="24"/>
        <v>3</v>
      </c>
      <c r="I439" s="6">
        <f t="shared" si="25"/>
        <v>1</v>
      </c>
      <c r="J439" s="1" t="b">
        <f t="shared" si="26"/>
        <v>1</v>
      </c>
      <c r="K439" s="1" t="b">
        <f>(Requirements!K456="Normative")</f>
        <v>1</v>
      </c>
      <c r="L439" s="1" t="b">
        <f>(Requirements!L456&lt;&gt;"Non-testable")</f>
        <v>1</v>
      </c>
      <c r="M439" s="1" t="b">
        <f>(VLOOKUP(Requirements!I456,Scope[[Role]:[Description]],2,FALSE)="In")</f>
        <v>1</v>
      </c>
      <c r="N439" s="1">
        <f t="shared" si="27"/>
        <v>1</v>
      </c>
    </row>
    <row r="440" spans="1:14">
      <c r="A440" s="1" t="str">
        <f>Requirements!A457</f>
        <v>MS-WSP_R435</v>
      </c>
      <c r="B440" s="1">
        <v>1</v>
      </c>
      <c r="C440" s="1">
        <v>1</v>
      </c>
      <c r="D440" s="1">
        <v>1</v>
      </c>
      <c r="E440" s="1"/>
      <c r="F440" s="1"/>
      <c r="G440" s="1"/>
      <c r="H440" s="3">
        <f t="shared" si="24"/>
        <v>3</v>
      </c>
      <c r="I440" s="6">
        <f t="shared" si="25"/>
        <v>1</v>
      </c>
      <c r="J440" s="1" t="b">
        <f t="shared" si="26"/>
        <v>1</v>
      </c>
      <c r="K440" s="1" t="b">
        <f>(Requirements!K457="Normative")</f>
        <v>1</v>
      </c>
      <c r="L440" s="1" t="b">
        <f>(Requirements!L457&lt;&gt;"Non-testable")</f>
        <v>1</v>
      </c>
      <c r="M440" s="1" t="b">
        <f>(VLOOKUP(Requirements!I457,Scope[[Role]:[Description]],2,FALSE)="In")</f>
        <v>1</v>
      </c>
      <c r="N440" s="1">
        <f t="shared" si="27"/>
        <v>1</v>
      </c>
    </row>
    <row r="441" spans="1:14">
      <c r="A441" s="1" t="str">
        <f>Requirements!A458</f>
        <v>MS-WSP_R436</v>
      </c>
      <c r="B441" s="1"/>
      <c r="C441" s="1"/>
      <c r="D441" s="1"/>
      <c r="E441" s="1"/>
      <c r="F441" s="1"/>
      <c r="G441" s="1"/>
      <c r="H441" s="3">
        <f t="shared" si="24"/>
        <v>0</v>
      </c>
      <c r="I441" s="6">
        <f t="shared" si="25"/>
        <v>0</v>
      </c>
      <c r="J441" s="1" t="b">
        <f t="shared" si="26"/>
        <v>0</v>
      </c>
      <c r="K441" s="1" t="b">
        <f>(Requirements!K458="Normative")</f>
        <v>0</v>
      </c>
      <c r="L441" s="1" t="b">
        <f>(Requirements!L458&lt;&gt;"Non-testable")</f>
        <v>1</v>
      </c>
      <c r="M441" s="1" t="b">
        <f>(VLOOKUP(Requirements!I458,Scope[[Role]:[Description]],2,FALSE)="In")</f>
        <v>1</v>
      </c>
      <c r="N441" s="1">
        <f t="shared" si="27"/>
        <v>0</v>
      </c>
    </row>
    <row r="442" spans="1:14">
      <c r="A442" s="1" t="str">
        <f>Requirements!A459</f>
        <v>MS-WSP_R437</v>
      </c>
      <c r="B442" s="1"/>
      <c r="C442" s="1"/>
      <c r="D442" s="1"/>
      <c r="E442" s="1"/>
      <c r="F442" s="1"/>
      <c r="G442" s="1"/>
      <c r="H442" s="3">
        <f t="shared" si="24"/>
        <v>0</v>
      </c>
      <c r="I442" s="6">
        <f t="shared" si="25"/>
        <v>0</v>
      </c>
      <c r="J442" s="1" t="b">
        <f t="shared" si="26"/>
        <v>0</v>
      </c>
      <c r="K442" s="1" t="b">
        <f>(Requirements!K459="Normative")</f>
        <v>0</v>
      </c>
      <c r="L442" s="1" t="b">
        <f>(Requirements!L459&lt;&gt;"Non-testable")</f>
        <v>1</v>
      </c>
      <c r="M442" s="1" t="b">
        <f>(VLOOKUP(Requirements!I459,Scope[[Role]:[Description]],2,FALSE)="In")</f>
        <v>1</v>
      </c>
      <c r="N442" s="1">
        <f t="shared" si="27"/>
        <v>0</v>
      </c>
    </row>
    <row r="443" spans="1:14">
      <c r="A443" s="1" t="str">
        <f>Requirements!A460</f>
        <v>MS-WSP_R438</v>
      </c>
      <c r="B443" s="1"/>
      <c r="C443" s="1"/>
      <c r="D443" s="1"/>
      <c r="E443" s="1"/>
      <c r="F443" s="1"/>
      <c r="G443" s="1"/>
      <c r="H443" s="3">
        <f t="shared" si="24"/>
        <v>0</v>
      </c>
      <c r="I443" s="6">
        <f t="shared" si="25"/>
        <v>0</v>
      </c>
      <c r="J443" s="1" t="b">
        <f t="shared" si="26"/>
        <v>0</v>
      </c>
      <c r="K443" s="1" t="b">
        <f>(Requirements!K460="Normative")</f>
        <v>1</v>
      </c>
      <c r="L443" s="1" t="b">
        <f>(Requirements!L460&lt;&gt;"Non-testable")</f>
        <v>1</v>
      </c>
      <c r="M443" s="1" t="b">
        <f>(VLOOKUP(Requirements!I460,Scope[[Role]:[Description]],2,FALSE)="In")</f>
        <v>0</v>
      </c>
      <c r="N443" s="1">
        <f t="shared" si="27"/>
        <v>0</v>
      </c>
    </row>
    <row r="444" spans="1:14">
      <c r="A444" s="1" t="str">
        <f>Requirements!A461</f>
        <v>MS-WSP_R439</v>
      </c>
      <c r="B444" s="1"/>
      <c r="C444" s="1"/>
      <c r="D444" s="1"/>
      <c r="E444" s="1"/>
      <c r="F444" s="1"/>
      <c r="G444" s="1"/>
      <c r="H444" s="3">
        <f t="shared" si="24"/>
        <v>0</v>
      </c>
      <c r="I444" s="6">
        <f t="shared" si="25"/>
        <v>0</v>
      </c>
      <c r="J444" s="1" t="b">
        <f t="shared" si="26"/>
        <v>0</v>
      </c>
      <c r="K444" s="1" t="b">
        <f>(Requirements!K461="Normative")</f>
        <v>1</v>
      </c>
      <c r="L444" s="1" t="b">
        <f>(Requirements!L461&lt;&gt;"Non-testable")</f>
        <v>1</v>
      </c>
      <c r="M444" s="1" t="b">
        <f>(VLOOKUP(Requirements!I461,Scope[[Role]:[Description]],2,FALSE)="In")</f>
        <v>0</v>
      </c>
      <c r="N444" s="1">
        <f t="shared" si="27"/>
        <v>0</v>
      </c>
    </row>
    <row r="445" spans="1:14">
      <c r="A445" s="1" t="str">
        <f>Requirements!A462</f>
        <v>MS-WSP_R440</v>
      </c>
      <c r="B445" s="1"/>
      <c r="C445" s="1"/>
      <c r="D445" s="1"/>
      <c r="E445" s="1"/>
      <c r="F445" s="1"/>
      <c r="G445" s="1"/>
      <c r="H445" s="3">
        <f t="shared" si="24"/>
        <v>0</v>
      </c>
      <c r="I445" s="6">
        <f t="shared" si="25"/>
        <v>0</v>
      </c>
      <c r="J445" s="1" t="b">
        <f t="shared" si="26"/>
        <v>0</v>
      </c>
      <c r="K445" s="1" t="b">
        <f>(Requirements!K462="Normative")</f>
        <v>1</v>
      </c>
      <c r="L445" s="1" t="b">
        <f>(Requirements!L462&lt;&gt;"Non-testable")</f>
        <v>1</v>
      </c>
      <c r="M445" s="1" t="b">
        <f>(VLOOKUP(Requirements!I462,Scope[[Role]:[Description]],2,FALSE)="In")</f>
        <v>0</v>
      </c>
      <c r="N445" s="1">
        <f t="shared" si="27"/>
        <v>0</v>
      </c>
    </row>
    <row r="446" spans="1:14">
      <c r="A446" s="1" t="str">
        <f>Requirements!A463</f>
        <v>MS-WSP_R441</v>
      </c>
      <c r="B446" s="1"/>
      <c r="C446" s="1"/>
      <c r="D446" s="1"/>
      <c r="E446" s="1"/>
      <c r="F446" s="1"/>
      <c r="G446" s="1"/>
      <c r="H446" s="3">
        <f t="shared" si="24"/>
        <v>0</v>
      </c>
      <c r="I446" s="6">
        <f t="shared" si="25"/>
        <v>0</v>
      </c>
      <c r="J446" s="1" t="b">
        <f t="shared" si="26"/>
        <v>0</v>
      </c>
      <c r="K446" s="1" t="b">
        <f>(Requirements!K463="Normative")</f>
        <v>1</v>
      </c>
      <c r="L446" s="1" t="b">
        <f>(Requirements!L463&lt;&gt;"Non-testable")</f>
        <v>1</v>
      </c>
      <c r="M446" s="1" t="b">
        <f>(VLOOKUP(Requirements!I463,Scope[[Role]:[Description]],2,FALSE)="In")</f>
        <v>0</v>
      </c>
      <c r="N446" s="1">
        <f t="shared" si="27"/>
        <v>0</v>
      </c>
    </row>
    <row r="447" spans="1:14">
      <c r="A447" s="1" t="str">
        <f>Requirements!A464</f>
        <v>MS-WSP_R442</v>
      </c>
      <c r="B447" s="1"/>
      <c r="C447" s="1"/>
      <c r="D447" s="1"/>
      <c r="E447" s="1"/>
      <c r="F447" s="1"/>
      <c r="G447" s="1"/>
      <c r="H447" s="3">
        <f t="shared" si="24"/>
        <v>0</v>
      </c>
      <c r="I447" s="6">
        <f t="shared" si="25"/>
        <v>0</v>
      </c>
      <c r="J447" s="1" t="b">
        <f t="shared" si="26"/>
        <v>0</v>
      </c>
      <c r="K447" s="1" t="b">
        <f>(Requirements!K464="Normative")</f>
        <v>1</v>
      </c>
      <c r="L447" s="1" t="b">
        <f>(Requirements!L464&lt;&gt;"Non-testable")</f>
        <v>1</v>
      </c>
      <c r="M447" s="1" t="b">
        <f>(VLOOKUP(Requirements!I464,Scope[[Role]:[Description]],2,FALSE)="In")</f>
        <v>0</v>
      </c>
      <c r="N447" s="1">
        <f t="shared" si="27"/>
        <v>0</v>
      </c>
    </row>
    <row r="448" spans="1:14">
      <c r="A448" s="1" t="str">
        <f>Requirements!A465</f>
        <v>MS-WSP_R443</v>
      </c>
      <c r="B448" s="1"/>
      <c r="C448" s="1"/>
      <c r="D448" s="1"/>
      <c r="E448" s="1"/>
      <c r="F448" s="1"/>
      <c r="G448" s="1"/>
      <c r="H448" s="3">
        <f t="shared" si="24"/>
        <v>0</v>
      </c>
      <c r="I448" s="6">
        <f t="shared" si="25"/>
        <v>0</v>
      </c>
      <c r="J448" s="1" t="b">
        <f t="shared" si="26"/>
        <v>0</v>
      </c>
      <c r="K448" s="1" t="b">
        <f>(Requirements!K465="Normative")</f>
        <v>1</v>
      </c>
      <c r="L448" s="1" t="b">
        <f>(Requirements!L465&lt;&gt;"Non-testable")</f>
        <v>1</v>
      </c>
      <c r="M448" s="1" t="b">
        <f>(VLOOKUP(Requirements!I465,Scope[[Role]:[Description]],2,FALSE)="In")</f>
        <v>0</v>
      </c>
      <c r="N448" s="1">
        <f t="shared" si="27"/>
        <v>0</v>
      </c>
    </row>
    <row r="449" spans="1:14">
      <c r="A449" s="1" t="str">
        <f>Requirements!A466</f>
        <v>MS-WSP_R444</v>
      </c>
      <c r="B449" s="1"/>
      <c r="C449" s="1"/>
      <c r="D449" s="1"/>
      <c r="E449" s="1"/>
      <c r="F449" s="1"/>
      <c r="G449" s="1"/>
      <c r="H449" s="3">
        <f t="shared" si="24"/>
        <v>0</v>
      </c>
      <c r="I449" s="6">
        <f t="shared" si="25"/>
        <v>0</v>
      </c>
      <c r="J449" s="1" t="b">
        <f t="shared" si="26"/>
        <v>0</v>
      </c>
      <c r="K449" s="1" t="b">
        <f>(Requirements!K466="Normative")</f>
        <v>1</v>
      </c>
      <c r="L449" s="1" t="b">
        <f>(Requirements!L466&lt;&gt;"Non-testable")</f>
        <v>1</v>
      </c>
      <c r="M449" s="1" t="b">
        <f>(VLOOKUP(Requirements!I466,Scope[[Role]:[Description]],2,FALSE)="In")</f>
        <v>0</v>
      </c>
      <c r="N449" s="1">
        <f t="shared" si="27"/>
        <v>0</v>
      </c>
    </row>
    <row r="450" spans="1:14">
      <c r="A450" s="1" t="str">
        <f>Requirements!A467</f>
        <v>MS-WSP_R445</v>
      </c>
      <c r="B450" s="1"/>
      <c r="C450" s="1"/>
      <c r="D450" s="1"/>
      <c r="E450" s="1"/>
      <c r="F450" s="1"/>
      <c r="G450" s="1"/>
      <c r="H450" s="3">
        <f t="shared" si="24"/>
        <v>0</v>
      </c>
      <c r="I450" s="6">
        <f t="shared" si="25"/>
        <v>0</v>
      </c>
      <c r="J450" s="1" t="b">
        <f t="shared" si="26"/>
        <v>0</v>
      </c>
      <c r="K450" s="1" t="b">
        <f>(Requirements!K467="Normative")</f>
        <v>1</v>
      </c>
      <c r="L450" s="1" t="b">
        <f>(Requirements!L467&lt;&gt;"Non-testable")</f>
        <v>0</v>
      </c>
      <c r="M450" s="1" t="b">
        <f>(VLOOKUP(Requirements!I467,Scope[[Role]:[Description]],2,FALSE)="In")</f>
        <v>1</v>
      </c>
      <c r="N450" s="1">
        <f t="shared" si="27"/>
        <v>0</v>
      </c>
    </row>
    <row r="451" spans="1:14">
      <c r="A451" s="1" t="str">
        <f>Requirements!A468</f>
        <v>MS-WSP_R446</v>
      </c>
      <c r="B451" s="1">
        <v>1</v>
      </c>
      <c r="C451" s="1">
        <v>1</v>
      </c>
      <c r="D451" s="1"/>
      <c r="E451" s="1"/>
      <c r="F451" s="1"/>
      <c r="G451" s="1"/>
      <c r="H451" s="3">
        <f t="shared" si="24"/>
        <v>2</v>
      </c>
      <c r="I451" s="6">
        <f t="shared" si="25"/>
        <v>1</v>
      </c>
      <c r="J451" s="1" t="b">
        <f t="shared" si="26"/>
        <v>1</v>
      </c>
      <c r="K451" s="1" t="b">
        <f>(Requirements!K468="Normative")</f>
        <v>1</v>
      </c>
      <c r="L451" s="1" t="b">
        <f>(Requirements!L468&lt;&gt;"Non-testable")</f>
        <v>1</v>
      </c>
      <c r="M451" s="1" t="b">
        <f>(VLOOKUP(Requirements!I468,Scope[[Role]:[Description]],2,FALSE)="In")</f>
        <v>1</v>
      </c>
      <c r="N451" s="1">
        <f t="shared" si="27"/>
        <v>1</v>
      </c>
    </row>
    <row r="452" spans="1:14">
      <c r="A452" s="1" t="str">
        <f>Requirements!A469</f>
        <v>MS-WSP_R447</v>
      </c>
      <c r="B452" s="1"/>
      <c r="C452" s="1"/>
      <c r="D452" s="1"/>
      <c r="E452" s="1"/>
      <c r="F452" s="1"/>
      <c r="G452" s="1"/>
      <c r="H452" s="3">
        <f t="shared" si="24"/>
        <v>0</v>
      </c>
      <c r="I452" s="6">
        <f t="shared" si="25"/>
        <v>0</v>
      </c>
      <c r="J452" s="1" t="b">
        <f t="shared" si="26"/>
        <v>0</v>
      </c>
      <c r="K452" s="1" t="b">
        <f>(Requirements!K469="Normative")</f>
        <v>1</v>
      </c>
      <c r="L452" s="1" t="b">
        <f>(Requirements!L469&lt;&gt;"Non-testable")</f>
        <v>1</v>
      </c>
      <c r="M452" s="1" t="b">
        <f>(VLOOKUP(Requirements!I469,Scope[[Role]:[Description]],2,FALSE)="In")</f>
        <v>0</v>
      </c>
      <c r="N452" s="1">
        <f t="shared" si="27"/>
        <v>0</v>
      </c>
    </row>
    <row r="453" spans="1:14">
      <c r="A453" s="1" t="str">
        <f>Requirements!A470</f>
        <v>MS-WSP_R448</v>
      </c>
      <c r="B453" s="1"/>
      <c r="C453" s="1"/>
      <c r="D453" s="1"/>
      <c r="E453" s="1"/>
      <c r="F453" s="1"/>
      <c r="G453" s="1"/>
      <c r="H453" s="3">
        <f t="shared" si="24"/>
        <v>0</v>
      </c>
      <c r="I453" s="6">
        <f t="shared" si="25"/>
        <v>0</v>
      </c>
      <c r="J453" s="1" t="b">
        <f t="shared" si="26"/>
        <v>0</v>
      </c>
      <c r="K453" s="1" t="b">
        <f>(Requirements!K470="Normative")</f>
        <v>1</v>
      </c>
      <c r="L453" s="1" t="b">
        <f>(Requirements!L470&lt;&gt;"Non-testable")</f>
        <v>1</v>
      </c>
      <c r="M453" s="1" t="b">
        <f>(VLOOKUP(Requirements!I470,Scope[[Role]:[Description]],2,FALSE)="In")</f>
        <v>0</v>
      </c>
      <c r="N453" s="1">
        <f t="shared" si="27"/>
        <v>0</v>
      </c>
    </row>
    <row r="454" spans="1:14">
      <c r="A454" s="1" t="str">
        <f>Requirements!A471</f>
        <v>MS-WSP_R449</v>
      </c>
      <c r="B454" s="1"/>
      <c r="C454" s="1"/>
      <c r="D454" s="1"/>
      <c r="E454" s="1"/>
      <c r="F454" s="1"/>
      <c r="G454" s="1"/>
      <c r="H454" s="3">
        <f t="shared" ref="H454:H517" si="28">SUM(B454:G454)</f>
        <v>0</v>
      </c>
      <c r="I454" s="6">
        <f t="shared" si="25"/>
        <v>0</v>
      </c>
      <c r="J454" s="1" t="b">
        <f t="shared" si="26"/>
        <v>0</v>
      </c>
      <c r="K454" s="1" t="b">
        <f>(Requirements!K471="Normative")</f>
        <v>1</v>
      </c>
      <c r="L454" s="1" t="b">
        <f>(Requirements!L471&lt;&gt;"Non-testable")</f>
        <v>1</v>
      </c>
      <c r="M454" s="1" t="b">
        <f>(VLOOKUP(Requirements!I471,Scope[[Role]:[Description]],2,FALSE)="In")</f>
        <v>0</v>
      </c>
      <c r="N454" s="1">
        <f t="shared" si="27"/>
        <v>0</v>
      </c>
    </row>
    <row r="455" spans="1:14">
      <c r="A455" s="1" t="str">
        <f>Requirements!A472</f>
        <v>MS-WSP_R450</v>
      </c>
      <c r="B455" s="1"/>
      <c r="C455" s="1"/>
      <c r="D455" s="1"/>
      <c r="E455" s="1"/>
      <c r="F455" s="1"/>
      <c r="G455" s="1"/>
      <c r="H455" s="3">
        <f t="shared" si="28"/>
        <v>0</v>
      </c>
      <c r="I455" s="6">
        <f t="shared" ref="I455:I518" si="29">IF(H455=0,0,1)</f>
        <v>0</v>
      </c>
      <c r="J455" s="1" t="b">
        <f t="shared" ref="J455:J518" si="30">AND(K455:M455)</f>
        <v>0</v>
      </c>
      <c r="K455" s="1" t="b">
        <f>(Requirements!K472="Normative")</f>
        <v>1</v>
      </c>
      <c r="L455" s="1" t="b">
        <f>(Requirements!L472&lt;&gt;"Non-testable")</f>
        <v>1</v>
      </c>
      <c r="M455" s="1" t="b">
        <f>(VLOOKUP(Requirements!I472,Scope[[Role]:[Description]],2,FALSE)="In")</f>
        <v>0</v>
      </c>
      <c r="N455" s="1">
        <f t="shared" ref="N455:N518" si="31">IF(J455,I455,0)</f>
        <v>0</v>
      </c>
    </row>
    <row r="456" spans="1:14">
      <c r="A456" s="1" t="str">
        <f>Requirements!A473</f>
        <v>MS-WSP_R451</v>
      </c>
      <c r="B456" s="1"/>
      <c r="C456" s="1"/>
      <c r="D456" s="1"/>
      <c r="E456" s="1"/>
      <c r="F456" s="1"/>
      <c r="G456" s="1"/>
      <c r="H456" s="3">
        <f t="shared" si="28"/>
        <v>0</v>
      </c>
      <c r="I456" s="6">
        <f t="shared" si="29"/>
        <v>0</v>
      </c>
      <c r="J456" s="1" t="b">
        <f t="shared" si="30"/>
        <v>0</v>
      </c>
      <c r="K456" s="1" t="b">
        <f>(Requirements!K473="Normative")</f>
        <v>1</v>
      </c>
      <c r="L456" s="1" t="b">
        <f>(Requirements!L473&lt;&gt;"Non-testable")</f>
        <v>1</v>
      </c>
      <c r="M456" s="1" t="b">
        <f>(VLOOKUP(Requirements!I473,Scope[[Role]:[Description]],2,FALSE)="In")</f>
        <v>0</v>
      </c>
      <c r="N456" s="1">
        <f t="shared" si="31"/>
        <v>0</v>
      </c>
    </row>
    <row r="457" spans="1:14">
      <c r="A457" s="1" t="str">
        <f>Requirements!A474</f>
        <v>MS-WSP_R452</v>
      </c>
      <c r="B457" s="1"/>
      <c r="C457" s="1"/>
      <c r="D457" s="1"/>
      <c r="E457" s="1"/>
      <c r="F457" s="1"/>
      <c r="G457" s="1"/>
      <c r="H457" s="3">
        <f t="shared" si="28"/>
        <v>0</v>
      </c>
      <c r="I457" s="6">
        <f t="shared" si="29"/>
        <v>0</v>
      </c>
      <c r="J457" s="1" t="b">
        <f t="shared" si="30"/>
        <v>0</v>
      </c>
      <c r="K457" s="1" t="b">
        <f>(Requirements!K474="Normative")</f>
        <v>1</v>
      </c>
      <c r="L457" s="1" t="b">
        <f>(Requirements!L474&lt;&gt;"Non-testable")</f>
        <v>1</v>
      </c>
      <c r="M457" s="1" t="b">
        <f>(VLOOKUP(Requirements!I474,Scope[[Role]:[Description]],2,FALSE)="In")</f>
        <v>0</v>
      </c>
      <c r="N457" s="1">
        <f t="shared" si="31"/>
        <v>0</v>
      </c>
    </row>
    <row r="458" spans="1:14">
      <c r="A458" s="1" t="str">
        <f>Requirements!A475</f>
        <v>MS-WSP_R453</v>
      </c>
      <c r="B458" s="1"/>
      <c r="C458" s="1"/>
      <c r="D458" s="1"/>
      <c r="E458" s="1"/>
      <c r="F458" s="1"/>
      <c r="G458" s="1"/>
      <c r="H458" s="3">
        <f t="shared" si="28"/>
        <v>0</v>
      </c>
      <c r="I458" s="6">
        <f t="shared" si="29"/>
        <v>0</v>
      </c>
      <c r="J458" s="1" t="b">
        <f t="shared" si="30"/>
        <v>0</v>
      </c>
      <c r="K458" s="1" t="b">
        <f>(Requirements!K475="Normative")</f>
        <v>1</v>
      </c>
      <c r="L458" s="1" t="b">
        <f>(Requirements!L475&lt;&gt;"Non-testable")</f>
        <v>0</v>
      </c>
      <c r="M458" s="1" t="b">
        <f>(VLOOKUP(Requirements!I475,Scope[[Role]:[Description]],2,FALSE)="In")</f>
        <v>1</v>
      </c>
      <c r="N458" s="1">
        <f t="shared" si="31"/>
        <v>0</v>
      </c>
    </row>
    <row r="459" spans="1:14">
      <c r="A459" s="1" t="str">
        <f>Requirements!A476</f>
        <v>MS-WSP_R454</v>
      </c>
      <c r="B459" s="1">
        <v>1</v>
      </c>
      <c r="C459" s="1">
        <v>1</v>
      </c>
      <c r="D459" s="1"/>
      <c r="E459" s="1"/>
      <c r="F459" s="1"/>
      <c r="G459" s="1"/>
      <c r="H459" s="3">
        <f t="shared" si="28"/>
        <v>2</v>
      </c>
      <c r="I459" s="6">
        <f t="shared" si="29"/>
        <v>1</v>
      </c>
      <c r="J459" s="1" t="b">
        <f t="shared" si="30"/>
        <v>1</v>
      </c>
      <c r="K459" s="1" t="b">
        <f>(Requirements!K476="Normative")</f>
        <v>1</v>
      </c>
      <c r="L459" s="1" t="b">
        <f>(Requirements!L476&lt;&gt;"Non-testable")</f>
        <v>1</v>
      </c>
      <c r="M459" s="1" t="b">
        <f>(VLOOKUP(Requirements!I476,Scope[[Role]:[Description]],2,FALSE)="In")</f>
        <v>1</v>
      </c>
      <c r="N459" s="1">
        <f t="shared" si="31"/>
        <v>1</v>
      </c>
    </row>
    <row r="460" spans="1:14">
      <c r="A460" s="1" t="str">
        <f>Requirements!A477</f>
        <v>MS-WSP_R455</v>
      </c>
      <c r="B460" s="1"/>
      <c r="C460" s="1"/>
      <c r="D460" s="1"/>
      <c r="E460" s="1"/>
      <c r="F460" s="1"/>
      <c r="G460" s="1"/>
      <c r="H460" s="3">
        <f t="shared" si="28"/>
        <v>0</v>
      </c>
      <c r="I460" s="6">
        <f t="shared" si="29"/>
        <v>0</v>
      </c>
      <c r="J460" s="1" t="b">
        <f t="shared" si="30"/>
        <v>0</v>
      </c>
      <c r="K460" s="1" t="b">
        <f>(Requirements!K477="Normative")</f>
        <v>1</v>
      </c>
      <c r="L460" s="1" t="b">
        <f>(Requirements!L477&lt;&gt;"Non-testable")</f>
        <v>1</v>
      </c>
      <c r="M460" s="1" t="b">
        <f>(VLOOKUP(Requirements!I477,Scope[[Role]:[Description]],2,FALSE)="In")</f>
        <v>0</v>
      </c>
      <c r="N460" s="1">
        <f t="shared" si="31"/>
        <v>0</v>
      </c>
    </row>
    <row r="461" spans="1:14">
      <c r="A461" s="1" t="str">
        <f>Requirements!A478</f>
        <v>MS-WSP_R456</v>
      </c>
      <c r="B461" s="1"/>
      <c r="C461" s="1"/>
      <c r="D461" s="1"/>
      <c r="E461" s="1"/>
      <c r="F461" s="1"/>
      <c r="G461" s="1"/>
      <c r="H461" s="3">
        <f t="shared" si="28"/>
        <v>0</v>
      </c>
      <c r="I461" s="6">
        <f t="shared" si="29"/>
        <v>0</v>
      </c>
      <c r="J461" s="1" t="b">
        <f t="shared" si="30"/>
        <v>0</v>
      </c>
      <c r="K461" s="1" t="b">
        <f>(Requirements!K478="Normative")</f>
        <v>1</v>
      </c>
      <c r="L461" s="1" t="b">
        <f>(Requirements!L478&lt;&gt;"Non-testable")</f>
        <v>1</v>
      </c>
      <c r="M461" s="1" t="b">
        <f>(VLOOKUP(Requirements!I478,Scope[[Role]:[Description]],2,FALSE)="In")</f>
        <v>0</v>
      </c>
      <c r="N461" s="1">
        <f t="shared" si="31"/>
        <v>0</v>
      </c>
    </row>
    <row r="462" spans="1:14">
      <c r="A462" s="1" t="str">
        <f>Requirements!A479</f>
        <v>MS-WSP_R457</v>
      </c>
      <c r="B462" s="1"/>
      <c r="C462" s="1"/>
      <c r="D462" s="1"/>
      <c r="E462" s="1"/>
      <c r="F462" s="1"/>
      <c r="G462" s="1"/>
      <c r="H462" s="3">
        <f t="shared" si="28"/>
        <v>0</v>
      </c>
      <c r="I462" s="6">
        <f t="shared" si="29"/>
        <v>0</v>
      </c>
      <c r="J462" s="1" t="b">
        <f t="shared" si="30"/>
        <v>0</v>
      </c>
      <c r="K462" s="1" t="b">
        <f>(Requirements!K479="Normative")</f>
        <v>1</v>
      </c>
      <c r="L462" s="1" t="b">
        <f>(Requirements!L479&lt;&gt;"Non-testable")</f>
        <v>1</v>
      </c>
      <c r="M462" s="1" t="b">
        <f>(VLOOKUP(Requirements!I479,Scope[[Role]:[Description]],2,FALSE)="In")</f>
        <v>0</v>
      </c>
      <c r="N462" s="1">
        <f t="shared" si="31"/>
        <v>0</v>
      </c>
    </row>
    <row r="463" spans="1:14">
      <c r="A463" s="1" t="str">
        <f>Requirements!A480</f>
        <v>MS-WSP_R458</v>
      </c>
      <c r="B463" s="1"/>
      <c r="C463" s="1"/>
      <c r="D463" s="1"/>
      <c r="E463" s="1"/>
      <c r="F463" s="1"/>
      <c r="G463" s="1"/>
      <c r="H463" s="3">
        <f t="shared" si="28"/>
        <v>0</v>
      </c>
      <c r="I463" s="6">
        <f t="shared" si="29"/>
        <v>0</v>
      </c>
      <c r="J463" s="1" t="b">
        <f t="shared" si="30"/>
        <v>0</v>
      </c>
      <c r="K463" s="1" t="b">
        <f>(Requirements!K480="Normative")</f>
        <v>1</v>
      </c>
      <c r="L463" s="1" t="b">
        <f>(Requirements!L480&lt;&gt;"Non-testable")</f>
        <v>1</v>
      </c>
      <c r="M463" s="1" t="b">
        <f>(VLOOKUP(Requirements!I480,Scope[[Role]:[Description]],2,FALSE)="In")</f>
        <v>0</v>
      </c>
      <c r="N463" s="1">
        <f t="shared" si="31"/>
        <v>0</v>
      </c>
    </row>
    <row r="464" spans="1:14">
      <c r="A464" s="1" t="str">
        <f>Requirements!A481</f>
        <v>MS-WSP_R459</v>
      </c>
      <c r="B464" s="1"/>
      <c r="C464" s="1"/>
      <c r="D464" s="1"/>
      <c r="E464" s="1"/>
      <c r="F464" s="1"/>
      <c r="G464" s="1"/>
      <c r="H464" s="3">
        <f t="shared" si="28"/>
        <v>0</v>
      </c>
      <c r="I464" s="6">
        <f t="shared" si="29"/>
        <v>0</v>
      </c>
      <c r="J464" s="1" t="b">
        <f t="shared" si="30"/>
        <v>0</v>
      </c>
      <c r="K464" s="1" t="b">
        <f>(Requirements!K481="Normative")</f>
        <v>1</v>
      </c>
      <c r="L464" s="1" t="b">
        <f>(Requirements!L481&lt;&gt;"Non-testable")</f>
        <v>1</v>
      </c>
      <c r="M464" s="1" t="b">
        <f>(VLOOKUP(Requirements!I481,Scope[[Role]:[Description]],2,FALSE)="In")</f>
        <v>0</v>
      </c>
      <c r="N464" s="1">
        <f t="shared" si="31"/>
        <v>0</v>
      </c>
    </row>
    <row r="465" spans="1:14">
      <c r="A465" s="1" t="str">
        <f>Requirements!A482</f>
        <v>MS-WSP_R460</v>
      </c>
      <c r="B465" s="1"/>
      <c r="C465" s="1"/>
      <c r="D465" s="1"/>
      <c r="E465" s="1"/>
      <c r="F465" s="1"/>
      <c r="G465" s="1"/>
      <c r="H465" s="3">
        <f t="shared" si="28"/>
        <v>0</v>
      </c>
      <c r="I465" s="6">
        <f t="shared" si="29"/>
        <v>0</v>
      </c>
      <c r="J465" s="1" t="b">
        <f t="shared" si="30"/>
        <v>0</v>
      </c>
      <c r="K465" s="1" t="b">
        <f>(Requirements!K482="Normative")</f>
        <v>1</v>
      </c>
      <c r="L465" s="1" t="b">
        <f>(Requirements!L482&lt;&gt;"Non-testable")</f>
        <v>1</v>
      </c>
      <c r="M465" s="1" t="b">
        <f>(VLOOKUP(Requirements!I482,Scope[[Role]:[Description]],2,FALSE)="In")</f>
        <v>0</v>
      </c>
      <c r="N465" s="1">
        <f t="shared" si="31"/>
        <v>0</v>
      </c>
    </row>
    <row r="466" spans="1:14">
      <c r="A466" s="1" t="str">
        <f>Requirements!A483</f>
        <v>MS-WSP_R461</v>
      </c>
      <c r="B466" s="1"/>
      <c r="C466" s="1"/>
      <c r="D466" s="1"/>
      <c r="E466" s="1"/>
      <c r="F466" s="1"/>
      <c r="G466" s="1"/>
      <c r="H466" s="3">
        <f t="shared" si="28"/>
        <v>0</v>
      </c>
      <c r="I466" s="6">
        <f t="shared" si="29"/>
        <v>0</v>
      </c>
      <c r="J466" s="1" t="b">
        <f t="shared" si="30"/>
        <v>0</v>
      </c>
      <c r="K466" s="1" t="b">
        <f>(Requirements!K483="Normative")</f>
        <v>1</v>
      </c>
      <c r="L466" s="1" t="b">
        <f>(Requirements!L483&lt;&gt;"Non-testable")</f>
        <v>0</v>
      </c>
      <c r="M466" s="1" t="b">
        <f>(VLOOKUP(Requirements!I483,Scope[[Role]:[Description]],2,FALSE)="In")</f>
        <v>1</v>
      </c>
      <c r="N466" s="1">
        <f t="shared" si="31"/>
        <v>0</v>
      </c>
    </row>
    <row r="467" spans="1:14">
      <c r="A467" s="1" t="str">
        <f>Requirements!A484</f>
        <v>MS-WSP_R462</v>
      </c>
      <c r="B467" s="1">
        <v>1</v>
      </c>
      <c r="C467" s="1">
        <v>1</v>
      </c>
      <c r="D467" s="1"/>
      <c r="E467" s="1"/>
      <c r="F467" s="1"/>
      <c r="G467" s="1"/>
      <c r="H467" s="3">
        <f t="shared" si="28"/>
        <v>2</v>
      </c>
      <c r="I467" s="6">
        <f t="shared" si="29"/>
        <v>1</v>
      </c>
      <c r="J467" s="1" t="b">
        <f t="shared" si="30"/>
        <v>1</v>
      </c>
      <c r="K467" s="1" t="b">
        <f>(Requirements!K484="Normative")</f>
        <v>1</v>
      </c>
      <c r="L467" s="1" t="b">
        <f>(Requirements!L484&lt;&gt;"Non-testable")</f>
        <v>1</v>
      </c>
      <c r="M467" s="1" t="b">
        <f>(VLOOKUP(Requirements!I484,Scope[[Role]:[Description]],2,FALSE)="In")</f>
        <v>1</v>
      </c>
      <c r="N467" s="1">
        <f t="shared" si="31"/>
        <v>1</v>
      </c>
    </row>
    <row r="468" spans="1:14">
      <c r="A468" s="1" t="str">
        <f>Requirements!A485</f>
        <v>MS-WSP_R463</v>
      </c>
      <c r="B468" s="1"/>
      <c r="C468" s="1"/>
      <c r="D468" s="1"/>
      <c r="E468" s="1"/>
      <c r="F468" s="1"/>
      <c r="G468" s="1"/>
      <c r="H468" s="3">
        <f t="shared" si="28"/>
        <v>0</v>
      </c>
      <c r="I468" s="6">
        <f t="shared" si="29"/>
        <v>0</v>
      </c>
      <c r="J468" s="1" t="b">
        <f t="shared" si="30"/>
        <v>0</v>
      </c>
      <c r="K468" s="1" t="b">
        <f>(Requirements!K485="Normative")</f>
        <v>1</v>
      </c>
      <c r="L468" s="1" t="b">
        <f>(Requirements!L485&lt;&gt;"Non-testable")</f>
        <v>1</v>
      </c>
      <c r="M468" s="1" t="b">
        <f>(VLOOKUP(Requirements!I485,Scope[[Role]:[Description]],2,FALSE)="In")</f>
        <v>0</v>
      </c>
      <c r="N468" s="1">
        <f t="shared" si="31"/>
        <v>0</v>
      </c>
    </row>
    <row r="469" spans="1:14">
      <c r="A469" s="1" t="str">
        <f>Requirements!A486</f>
        <v>MS-WSP_R464</v>
      </c>
      <c r="B469" s="1"/>
      <c r="C469" s="1"/>
      <c r="D469" s="1"/>
      <c r="E469" s="1"/>
      <c r="F469" s="1"/>
      <c r="G469" s="1"/>
      <c r="H469" s="3">
        <f t="shared" si="28"/>
        <v>0</v>
      </c>
      <c r="I469" s="6">
        <f t="shared" si="29"/>
        <v>0</v>
      </c>
      <c r="J469" s="1" t="b">
        <f t="shared" si="30"/>
        <v>0</v>
      </c>
      <c r="K469" s="1" t="b">
        <f>(Requirements!K486="Normative")</f>
        <v>1</v>
      </c>
      <c r="L469" s="1" t="b">
        <f>(Requirements!L486&lt;&gt;"Non-testable")</f>
        <v>1</v>
      </c>
      <c r="M469" s="1" t="b">
        <f>(VLOOKUP(Requirements!I486,Scope[[Role]:[Description]],2,FALSE)="In")</f>
        <v>0</v>
      </c>
      <c r="N469" s="1">
        <f t="shared" si="31"/>
        <v>0</v>
      </c>
    </row>
    <row r="470" spans="1:14">
      <c r="A470" s="1" t="str">
        <f>Requirements!A487</f>
        <v>MS-WSP_R465</v>
      </c>
      <c r="B470" s="1"/>
      <c r="C470" s="1"/>
      <c r="D470" s="1"/>
      <c r="E470" s="1"/>
      <c r="F470" s="1"/>
      <c r="G470" s="1"/>
      <c r="H470" s="3">
        <f t="shared" si="28"/>
        <v>0</v>
      </c>
      <c r="I470" s="6">
        <f t="shared" si="29"/>
        <v>0</v>
      </c>
      <c r="J470" s="1" t="b">
        <f t="shared" si="30"/>
        <v>0</v>
      </c>
      <c r="K470" s="1" t="b">
        <f>(Requirements!K487="Normative")</f>
        <v>1</v>
      </c>
      <c r="L470" s="1" t="b">
        <f>(Requirements!L487&lt;&gt;"Non-testable")</f>
        <v>1</v>
      </c>
      <c r="M470" s="1" t="b">
        <f>(VLOOKUP(Requirements!I487,Scope[[Role]:[Description]],2,FALSE)="In")</f>
        <v>0</v>
      </c>
      <c r="N470" s="1">
        <f t="shared" si="31"/>
        <v>0</v>
      </c>
    </row>
    <row r="471" spans="1:14">
      <c r="A471" s="1" t="str">
        <f>Requirements!A488</f>
        <v>MS-WSP_R466</v>
      </c>
      <c r="B471" s="1"/>
      <c r="C471" s="1"/>
      <c r="D471" s="1"/>
      <c r="E471" s="1"/>
      <c r="F471" s="1"/>
      <c r="G471" s="1"/>
      <c r="H471" s="3">
        <f t="shared" si="28"/>
        <v>0</v>
      </c>
      <c r="I471" s="6">
        <f t="shared" si="29"/>
        <v>0</v>
      </c>
      <c r="J471" s="1" t="b">
        <f t="shared" si="30"/>
        <v>0</v>
      </c>
      <c r="K471" s="1" t="b">
        <f>(Requirements!K488="Normative")</f>
        <v>1</v>
      </c>
      <c r="L471" s="1" t="b">
        <f>(Requirements!L488&lt;&gt;"Non-testable")</f>
        <v>1</v>
      </c>
      <c r="M471" s="1" t="b">
        <f>(VLOOKUP(Requirements!I488,Scope[[Role]:[Description]],2,FALSE)="In")</f>
        <v>0</v>
      </c>
      <c r="N471" s="1">
        <f t="shared" si="31"/>
        <v>0</v>
      </c>
    </row>
    <row r="472" spans="1:14">
      <c r="A472" s="1" t="str">
        <f>Requirements!A489</f>
        <v>MS-WSP_R467</v>
      </c>
      <c r="B472" s="1"/>
      <c r="C472" s="1"/>
      <c r="D472" s="1"/>
      <c r="E472" s="1"/>
      <c r="F472" s="1"/>
      <c r="G472" s="1"/>
      <c r="H472" s="3">
        <f t="shared" si="28"/>
        <v>0</v>
      </c>
      <c r="I472" s="6">
        <f t="shared" si="29"/>
        <v>0</v>
      </c>
      <c r="J472" s="1" t="b">
        <f t="shared" si="30"/>
        <v>0</v>
      </c>
      <c r="K472" s="1" t="b">
        <f>(Requirements!K489="Normative")</f>
        <v>1</v>
      </c>
      <c r="L472" s="1" t="b">
        <f>(Requirements!L489&lt;&gt;"Non-testable")</f>
        <v>1</v>
      </c>
      <c r="M472" s="1" t="b">
        <f>(VLOOKUP(Requirements!I489,Scope[[Role]:[Description]],2,FALSE)="In")</f>
        <v>0</v>
      </c>
      <c r="N472" s="1">
        <f t="shared" si="31"/>
        <v>0</v>
      </c>
    </row>
    <row r="473" spans="1:14">
      <c r="A473" s="1" t="str">
        <f>Requirements!A490</f>
        <v>MS-WSP_R468</v>
      </c>
      <c r="B473" s="1"/>
      <c r="C473" s="1"/>
      <c r="D473" s="1"/>
      <c r="E473" s="1"/>
      <c r="F473" s="1"/>
      <c r="G473" s="1"/>
      <c r="H473" s="3">
        <f t="shared" si="28"/>
        <v>0</v>
      </c>
      <c r="I473" s="6">
        <f t="shared" si="29"/>
        <v>0</v>
      </c>
      <c r="J473" s="1" t="b">
        <f t="shared" si="30"/>
        <v>0</v>
      </c>
      <c r="K473" s="1" t="b">
        <f>(Requirements!K490="Normative")</f>
        <v>1</v>
      </c>
      <c r="L473" s="1" t="b">
        <f>(Requirements!L490&lt;&gt;"Non-testable")</f>
        <v>1</v>
      </c>
      <c r="M473" s="1" t="b">
        <f>(VLOOKUP(Requirements!I490,Scope[[Role]:[Description]],2,FALSE)="In")</f>
        <v>0</v>
      </c>
      <c r="N473" s="1">
        <f t="shared" si="31"/>
        <v>0</v>
      </c>
    </row>
    <row r="474" spans="1:14">
      <c r="A474" s="1" t="str">
        <f>Requirements!A491</f>
        <v>MS-WSP_R469</v>
      </c>
      <c r="B474" s="1"/>
      <c r="C474" s="1"/>
      <c r="D474" s="1"/>
      <c r="E474" s="1"/>
      <c r="F474" s="1"/>
      <c r="G474" s="1"/>
      <c r="H474" s="3">
        <f t="shared" si="28"/>
        <v>0</v>
      </c>
      <c r="I474" s="6">
        <f t="shared" si="29"/>
        <v>0</v>
      </c>
      <c r="J474" s="1" t="b">
        <f t="shared" si="30"/>
        <v>0</v>
      </c>
      <c r="K474" s="1" t="b">
        <f>(Requirements!K491="Normative")</f>
        <v>1</v>
      </c>
      <c r="L474" s="1" t="b">
        <f>(Requirements!L491&lt;&gt;"Non-testable")</f>
        <v>0</v>
      </c>
      <c r="M474" s="1" t="b">
        <f>(VLOOKUP(Requirements!I491,Scope[[Role]:[Description]],2,FALSE)="In")</f>
        <v>1</v>
      </c>
      <c r="N474" s="1">
        <f t="shared" si="31"/>
        <v>0</v>
      </c>
    </row>
    <row r="475" spans="1:14">
      <c r="A475" s="1" t="str">
        <f>Requirements!A492</f>
        <v>MS-WSP_R470</v>
      </c>
      <c r="B475" s="1">
        <v>1</v>
      </c>
      <c r="C475" s="1">
        <v>1</v>
      </c>
      <c r="D475" s="1"/>
      <c r="E475" s="1"/>
      <c r="F475" s="1"/>
      <c r="G475" s="1"/>
      <c r="H475" s="3">
        <f t="shared" si="28"/>
        <v>2</v>
      </c>
      <c r="I475" s="6">
        <f t="shared" si="29"/>
        <v>1</v>
      </c>
      <c r="J475" s="1" t="b">
        <f t="shared" si="30"/>
        <v>1</v>
      </c>
      <c r="K475" s="1" t="b">
        <f>(Requirements!K492="Normative")</f>
        <v>1</v>
      </c>
      <c r="L475" s="1" t="b">
        <f>(Requirements!L492&lt;&gt;"Non-testable")</f>
        <v>1</v>
      </c>
      <c r="M475" s="1" t="b">
        <f>(VLOOKUP(Requirements!I492,Scope[[Role]:[Description]],2,FALSE)="In")</f>
        <v>1</v>
      </c>
      <c r="N475" s="1">
        <f t="shared" si="31"/>
        <v>1</v>
      </c>
    </row>
    <row r="476" spans="1:14">
      <c r="A476" s="1" t="str">
        <f>Requirements!A493</f>
        <v>MS-WSP_R471</v>
      </c>
      <c r="B476" s="1"/>
      <c r="C476" s="1"/>
      <c r="D476" s="1"/>
      <c r="E476" s="1"/>
      <c r="F476" s="1"/>
      <c r="G476" s="1"/>
      <c r="H476" s="3">
        <f t="shared" si="28"/>
        <v>0</v>
      </c>
      <c r="I476" s="6">
        <f t="shared" si="29"/>
        <v>0</v>
      </c>
      <c r="J476" s="1" t="b">
        <f t="shared" si="30"/>
        <v>0</v>
      </c>
      <c r="K476" s="1" t="b">
        <f>(Requirements!K493="Normative")</f>
        <v>1</v>
      </c>
      <c r="L476" s="1" t="b">
        <f>(Requirements!L493&lt;&gt;"Non-testable")</f>
        <v>1</v>
      </c>
      <c r="M476" s="1" t="b">
        <f>(VLOOKUP(Requirements!I493,Scope[[Role]:[Description]],2,FALSE)="In")</f>
        <v>0</v>
      </c>
      <c r="N476" s="1">
        <f t="shared" si="31"/>
        <v>0</v>
      </c>
    </row>
    <row r="477" spans="1:14">
      <c r="A477" s="1" t="str">
        <f>Requirements!A494</f>
        <v>MS-WSP_R472</v>
      </c>
      <c r="B477" s="1"/>
      <c r="C477" s="1"/>
      <c r="D477" s="1"/>
      <c r="E477" s="1"/>
      <c r="F477" s="1"/>
      <c r="G477" s="1"/>
      <c r="H477" s="3">
        <f t="shared" si="28"/>
        <v>0</v>
      </c>
      <c r="I477" s="6">
        <f t="shared" si="29"/>
        <v>0</v>
      </c>
      <c r="J477" s="1" t="b">
        <f t="shared" si="30"/>
        <v>0</v>
      </c>
      <c r="K477" s="1" t="b">
        <f>(Requirements!K494="Normative")</f>
        <v>1</v>
      </c>
      <c r="L477" s="1" t="b">
        <f>(Requirements!L494&lt;&gt;"Non-testable")</f>
        <v>1</v>
      </c>
      <c r="M477" s="1" t="b">
        <f>(VLOOKUP(Requirements!I494,Scope[[Role]:[Description]],2,FALSE)="In")</f>
        <v>0</v>
      </c>
      <c r="N477" s="1">
        <f t="shared" si="31"/>
        <v>0</v>
      </c>
    </row>
    <row r="478" spans="1:14">
      <c r="A478" s="1" t="str">
        <f>Requirements!A495</f>
        <v>MS-WSP_R473</v>
      </c>
      <c r="B478" s="1"/>
      <c r="C478" s="1"/>
      <c r="D478" s="1"/>
      <c r="E478" s="1"/>
      <c r="F478" s="1"/>
      <c r="G478" s="1"/>
      <c r="H478" s="3">
        <f t="shared" si="28"/>
        <v>0</v>
      </c>
      <c r="I478" s="6">
        <f t="shared" si="29"/>
        <v>0</v>
      </c>
      <c r="J478" s="1" t="b">
        <f t="shared" si="30"/>
        <v>0</v>
      </c>
      <c r="K478" s="1" t="b">
        <f>(Requirements!K495="Normative")</f>
        <v>1</v>
      </c>
      <c r="L478" s="1" t="b">
        <f>(Requirements!L495&lt;&gt;"Non-testable")</f>
        <v>1</v>
      </c>
      <c r="M478" s="1" t="b">
        <f>(VLOOKUP(Requirements!I495,Scope[[Role]:[Description]],2,FALSE)="In")</f>
        <v>0</v>
      </c>
      <c r="N478" s="1">
        <f t="shared" si="31"/>
        <v>0</v>
      </c>
    </row>
    <row r="479" spans="1:14">
      <c r="A479" s="1" t="str">
        <f>Requirements!A496</f>
        <v>MS-WSP_R474</v>
      </c>
      <c r="B479" s="1"/>
      <c r="C479" s="1"/>
      <c r="D479" s="1"/>
      <c r="E479" s="1"/>
      <c r="F479" s="1"/>
      <c r="G479" s="1"/>
      <c r="H479" s="3">
        <f t="shared" si="28"/>
        <v>0</v>
      </c>
      <c r="I479" s="6">
        <f t="shared" si="29"/>
        <v>0</v>
      </c>
      <c r="J479" s="1" t="b">
        <f t="shared" si="30"/>
        <v>0</v>
      </c>
      <c r="K479" s="1" t="b">
        <f>(Requirements!K496="Normative")</f>
        <v>1</v>
      </c>
      <c r="L479" s="1" t="b">
        <f>(Requirements!L496&lt;&gt;"Non-testable")</f>
        <v>1</v>
      </c>
      <c r="M479" s="1" t="b">
        <f>(VLOOKUP(Requirements!I496,Scope[[Role]:[Description]],2,FALSE)="In")</f>
        <v>0</v>
      </c>
      <c r="N479" s="1">
        <f t="shared" si="31"/>
        <v>0</v>
      </c>
    </row>
    <row r="480" spans="1:14">
      <c r="A480" s="1" t="str">
        <f>Requirements!A497</f>
        <v>MS-WSP_R475</v>
      </c>
      <c r="B480" s="1"/>
      <c r="C480" s="1"/>
      <c r="D480" s="1"/>
      <c r="E480" s="1"/>
      <c r="F480" s="1"/>
      <c r="G480" s="1"/>
      <c r="H480" s="3">
        <f t="shared" si="28"/>
        <v>0</v>
      </c>
      <c r="I480" s="6">
        <f t="shared" si="29"/>
        <v>0</v>
      </c>
      <c r="J480" s="1" t="b">
        <f t="shared" si="30"/>
        <v>0</v>
      </c>
      <c r="K480" s="1" t="b">
        <f>(Requirements!K497="Normative")</f>
        <v>1</v>
      </c>
      <c r="L480" s="1" t="b">
        <f>(Requirements!L497&lt;&gt;"Non-testable")</f>
        <v>1</v>
      </c>
      <c r="M480" s="1" t="b">
        <f>(VLOOKUP(Requirements!I497,Scope[[Role]:[Description]],2,FALSE)="In")</f>
        <v>0</v>
      </c>
      <c r="N480" s="1">
        <f t="shared" si="31"/>
        <v>0</v>
      </c>
    </row>
    <row r="481" spans="1:14">
      <c r="A481" s="1" t="str">
        <f>Requirements!A498</f>
        <v>MS-WSP_R476</v>
      </c>
      <c r="B481" s="1">
        <v>1</v>
      </c>
      <c r="C481" s="1">
        <v>1</v>
      </c>
      <c r="D481" s="1"/>
      <c r="E481" s="1"/>
      <c r="F481" s="1"/>
      <c r="G481" s="1"/>
      <c r="H481" s="3">
        <f t="shared" si="28"/>
        <v>2</v>
      </c>
      <c r="I481" s="6">
        <f t="shared" si="29"/>
        <v>1</v>
      </c>
      <c r="J481" s="1" t="b">
        <f t="shared" si="30"/>
        <v>1</v>
      </c>
      <c r="K481" s="1" t="b">
        <f>(Requirements!K498="Normative")</f>
        <v>1</v>
      </c>
      <c r="L481" s="1" t="b">
        <f>(Requirements!L498&lt;&gt;"Non-testable")</f>
        <v>1</v>
      </c>
      <c r="M481" s="1" t="b">
        <f>(VLOOKUP(Requirements!I498,Scope[[Role]:[Description]],2,FALSE)="In")</f>
        <v>1</v>
      </c>
      <c r="N481" s="1">
        <f t="shared" si="31"/>
        <v>1</v>
      </c>
    </row>
    <row r="482" spans="1:14">
      <c r="A482" s="1" t="str">
        <f>Requirements!A499</f>
        <v>MS-WSP_R477</v>
      </c>
      <c r="B482" s="1">
        <v>1</v>
      </c>
      <c r="C482" s="1">
        <v>1</v>
      </c>
      <c r="D482" s="1"/>
      <c r="E482" s="1"/>
      <c r="F482" s="1"/>
      <c r="G482" s="1"/>
      <c r="H482" s="3">
        <f t="shared" si="28"/>
        <v>2</v>
      </c>
      <c r="I482" s="6">
        <f t="shared" si="29"/>
        <v>1</v>
      </c>
      <c r="J482" s="1" t="b">
        <f t="shared" si="30"/>
        <v>1</v>
      </c>
      <c r="K482" s="1" t="b">
        <f>(Requirements!K499="Normative")</f>
        <v>1</v>
      </c>
      <c r="L482" s="1" t="b">
        <f>(Requirements!L499&lt;&gt;"Non-testable")</f>
        <v>1</v>
      </c>
      <c r="M482" s="1" t="b">
        <f>(VLOOKUP(Requirements!I499,Scope[[Role]:[Description]],2,FALSE)="In")</f>
        <v>1</v>
      </c>
      <c r="N482" s="1">
        <f t="shared" si="31"/>
        <v>1</v>
      </c>
    </row>
    <row r="483" spans="1:14">
      <c r="A483" s="1" t="str">
        <f>Requirements!A500</f>
        <v>MS-WSP_R478</v>
      </c>
      <c r="B483" s="1">
        <v>1</v>
      </c>
      <c r="C483" s="1">
        <v>1</v>
      </c>
      <c r="D483" s="1"/>
      <c r="E483" s="1"/>
      <c r="F483" s="1"/>
      <c r="G483" s="1"/>
      <c r="H483" s="3">
        <f t="shared" si="28"/>
        <v>2</v>
      </c>
      <c r="I483" s="6">
        <f t="shared" si="29"/>
        <v>1</v>
      </c>
      <c r="J483" s="1" t="b">
        <f t="shared" si="30"/>
        <v>1</v>
      </c>
      <c r="K483" s="1" t="b">
        <f>(Requirements!K500="Normative")</f>
        <v>1</v>
      </c>
      <c r="L483" s="1" t="b">
        <f>(Requirements!L500&lt;&gt;"Non-testable")</f>
        <v>1</v>
      </c>
      <c r="M483" s="1" t="b">
        <f>(VLOOKUP(Requirements!I500,Scope[[Role]:[Description]],2,FALSE)="In")</f>
        <v>1</v>
      </c>
      <c r="N483" s="1">
        <f t="shared" si="31"/>
        <v>1</v>
      </c>
    </row>
    <row r="484" spans="1:14">
      <c r="A484" s="1" t="str">
        <f>Requirements!A501</f>
        <v>MS-WSP_R479</v>
      </c>
      <c r="B484" s="1"/>
      <c r="C484" s="1"/>
      <c r="D484" s="1"/>
      <c r="E484" s="1"/>
      <c r="F484" s="1"/>
      <c r="G484" s="1"/>
      <c r="H484" s="3">
        <f t="shared" si="28"/>
        <v>0</v>
      </c>
      <c r="I484" s="6">
        <f t="shared" si="29"/>
        <v>0</v>
      </c>
      <c r="J484" s="1" t="b">
        <f t="shared" si="30"/>
        <v>0</v>
      </c>
      <c r="K484" s="1" t="b">
        <f>(Requirements!K501="Normative")</f>
        <v>0</v>
      </c>
      <c r="L484" s="1" t="b">
        <f>(Requirements!L501&lt;&gt;"Non-testable")</f>
        <v>1</v>
      </c>
      <c r="M484" s="1" t="b">
        <f>(VLOOKUP(Requirements!I501,Scope[[Role]:[Description]],2,FALSE)="In")</f>
        <v>0</v>
      </c>
      <c r="N484" s="1">
        <f t="shared" si="31"/>
        <v>0</v>
      </c>
    </row>
    <row r="485" spans="1:14">
      <c r="A485" s="1" t="str">
        <f>Requirements!A502</f>
        <v>MS-WSP_R480</v>
      </c>
      <c r="B485" s="1"/>
      <c r="C485" s="1">
        <v>1</v>
      </c>
      <c r="D485" s="1"/>
      <c r="E485" s="1"/>
      <c r="F485" s="1"/>
      <c r="G485" s="1"/>
      <c r="H485" s="3">
        <f t="shared" si="28"/>
        <v>1</v>
      </c>
      <c r="I485" s="6">
        <f t="shared" si="29"/>
        <v>1</v>
      </c>
      <c r="J485" s="1" t="b">
        <f t="shared" si="30"/>
        <v>1</v>
      </c>
      <c r="K485" s="1" t="b">
        <f>(Requirements!K502="Normative")</f>
        <v>1</v>
      </c>
      <c r="L485" s="1" t="b">
        <f>(Requirements!L502&lt;&gt;"Non-testable")</f>
        <v>1</v>
      </c>
      <c r="M485" s="1" t="b">
        <f>(VLOOKUP(Requirements!I502,Scope[[Role]:[Description]],2,FALSE)="In")</f>
        <v>1</v>
      </c>
      <c r="N485" s="1">
        <f t="shared" si="31"/>
        <v>1</v>
      </c>
    </row>
    <row r="486" spans="1:14">
      <c r="A486" s="1" t="str">
        <f>Requirements!A503</f>
        <v>MS-WSP_R481</v>
      </c>
      <c r="B486" s="1"/>
      <c r="C486" s="1"/>
      <c r="D486" s="1"/>
      <c r="E486" s="1"/>
      <c r="F486" s="1"/>
      <c r="G486" s="1"/>
      <c r="H486" s="3">
        <f t="shared" si="28"/>
        <v>0</v>
      </c>
      <c r="I486" s="6">
        <f t="shared" si="29"/>
        <v>0</v>
      </c>
      <c r="J486" s="1" t="b">
        <f t="shared" si="30"/>
        <v>1</v>
      </c>
      <c r="K486" s="1" t="b">
        <f>(Requirements!K503="Normative")</f>
        <v>1</v>
      </c>
      <c r="L486" s="1" t="b">
        <f>(Requirements!L503&lt;&gt;"Non-testable")</f>
        <v>1</v>
      </c>
      <c r="M486" s="1" t="b">
        <f>(VLOOKUP(Requirements!I503,Scope[[Role]:[Description]],2,FALSE)="In")</f>
        <v>1</v>
      </c>
      <c r="N486" s="1">
        <f t="shared" si="31"/>
        <v>0</v>
      </c>
    </row>
    <row r="487" spans="1:14">
      <c r="A487" s="1" t="str">
        <f>Requirements!A504</f>
        <v>MS-WSP_R482</v>
      </c>
      <c r="B487" s="1"/>
      <c r="C487" s="1"/>
      <c r="D487" s="1"/>
      <c r="E487" s="1"/>
      <c r="F487" s="1"/>
      <c r="G487" s="1"/>
      <c r="H487" s="3">
        <f t="shared" si="28"/>
        <v>0</v>
      </c>
      <c r="I487" s="6">
        <f t="shared" si="29"/>
        <v>0</v>
      </c>
      <c r="J487" s="1" t="b">
        <f t="shared" si="30"/>
        <v>0</v>
      </c>
      <c r="K487" s="1" t="b">
        <f>(Requirements!K504="Normative")</f>
        <v>0</v>
      </c>
      <c r="L487" s="1" t="b">
        <f>(Requirements!L504&lt;&gt;"Non-testable")</f>
        <v>1</v>
      </c>
      <c r="M487" s="1" t="b">
        <f>(VLOOKUP(Requirements!I504,Scope[[Role]:[Description]],2,FALSE)="In")</f>
        <v>0</v>
      </c>
      <c r="N487" s="1">
        <f t="shared" si="31"/>
        <v>0</v>
      </c>
    </row>
    <row r="488" spans="1:14">
      <c r="A488" s="1" t="str">
        <f>Requirements!A505</f>
        <v>MS-WSP_R483</v>
      </c>
      <c r="B488" s="1"/>
      <c r="C488" s="1"/>
      <c r="D488" s="1"/>
      <c r="E488" s="1"/>
      <c r="F488" s="1"/>
      <c r="G488" s="1"/>
      <c r="H488" s="3">
        <f t="shared" si="28"/>
        <v>0</v>
      </c>
      <c r="I488" s="6">
        <f t="shared" si="29"/>
        <v>0</v>
      </c>
      <c r="J488" s="1" t="b">
        <f t="shared" si="30"/>
        <v>0</v>
      </c>
      <c r="K488" s="1" t="b">
        <f>(Requirements!K505="Normative")</f>
        <v>0</v>
      </c>
      <c r="L488" s="1" t="b">
        <f>(Requirements!L505&lt;&gt;"Non-testable")</f>
        <v>1</v>
      </c>
      <c r="M488" s="1" t="b">
        <f>(VLOOKUP(Requirements!I505,Scope[[Role]:[Description]],2,FALSE)="In")</f>
        <v>0</v>
      </c>
      <c r="N488" s="1">
        <f t="shared" si="31"/>
        <v>0</v>
      </c>
    </row>
    <row r="489" spans="1:14">
      <c r="A489" s="1" t="str">
        <f>Requirements!A506</f>
        <v>MS-WSP_R484</v>
      </c>
      <c r="B489" s="1"/>
      <c r="C489" s="1">
        <v>1</v>
      </c>
      <c r="D489" s="1"/>
      <c r="E489" s="1"/>
      <c r="F489" s="1"/>
      <c r="G489" s="1"/>
      <c r="H489" s="3">
        <f t="shared" si="28"/>
        <v>1</v>
      </c>
      <c r="I489" s="6">
        <f t="shared" si="29"/>
        <v>1</v>
      </c>
      <c r="J489" s="1" t="b">
        <f t="shared" si="30"/>
        <v>1</v>
      </c>
      <c r="K489" s="1" t="b">
        <f>(Requirements!K506="Normative")</f>
        <v>1</v>
      </c>
      <c r="L489" s="1" t="b">
        <f>(Requirements!L506&lt;&gt;"Non-testable")</f>
        <v>1</v>
      </c>
      <c r="M489" s="1" t="b">
        <f>(VLOOKUP(Requirements!I506,Scope[[Role]:[Description]],2,FALSE)="In")</f>
        <v>1</v>
      </c>
      <c r="N489" s="1">
        <f t="shared" si="31"/>
        <v>1</v>
      </c>
    </row>
    <row r="490" spans="1:14">
      <c r="A490" s="1" t="str">
        <f>Requirements!A507</f>
        <v>MS-WSP_R485</v>
      </c>
      <c r="B490" s="1"/>
      <c r="C490" s="1"/>
      <c r="D490" s="1"/>
      <c r="E490" s="1"/>
      <c r="F490" s="1"/>
      <c r="G490" s="1"/>
      <c r="H490" s="3">
        <f t="shared" si="28"/>
        <v>0</v>
      </c>
      <c r="I490" s="6">
        <f t="shared" si="29"/>
        <v>0</v>
      </c>
      <c r="J490" s="1" t="b">
        <f t="shared" si="30"/>
        <v>0</v>
      </c>
      <c r="K490" s="1" t="b">
        <f>(Requirements!K507="Normative")</f>
        <v>0</v>
      </c>
      <c r="L490" s="1" t="b">
        <f>(Requirements!L507&lt;&gt;"Non-testable")</f>
        <v>1</v>
      </c>
      <c r="M490" s="1" t="b">
        <f>(VLOOKUP(Requirements!I507,Scope[[Role]:[Description]],2,FALSE)="In")</f>
        <v>1</v>
      </c>
      <c r="N490" s="1">
        <f t="shared" si="31"/>
        <v>0</v>
      </c>
    </row>
    <row r="491" spans="1:14">
      <c r="A491" s="1" t="str">
        <f>Requirements!A508</f>
        <v>MS-WSP_R486</v>
      </c>
      <c r="B491" s="1"/>
      <c r="C491" s="1">
        <v>1</v>
      </c>
      <c r="D491" s="1"/>
      <c r="E491" s="1"/>
      <c r="F491" s="1"/>
      <c r="G491" s="1"/>
      <c r="H491" s="3">
        <f t="shared" si="28"/>
        <v>1</v>
      </c>
      <c r="I491" s="6">
        <f t="shared" si="29"/>
        <v>1</v>
      </c>
      <c r="J491" s="1" t="b">
        <f t="shared" si="30"/>
        <v>1</v>
      </c>
      <c r="K491" s="1" t="b">
        <f>(Requirements!K508="Normative")</f>
        <v>1</v>
      </c>
      <c r="L491" s="1" t="b">
        <f>(Requirements!L508&lt;&gt;"Non-testable")</f>
        <v>1</v>
      </c>
      <c r="M491" s="1" t="b">
        <f>(VLOOKUP(Requirements!I508,Scope[[Role]:[Description]],2,FALSE)="In")</f>
        <v>1</v>
      </c>
      <c r="N491" s="1">
        <f t="shared" si="31"/>
        <v>1</v>
      </c>
    </row>
    <row r="492" spans="1:14">
      <c r="A492" s="1" t="str">
        <f>Requirements!A509</f>
        <v>MS-WSP_R487</v>
      </c>
      <c r="B492" s="1"/>
      <c r="C492" s="1">
        <v>1</v>
      </c>
      <c r="D492" s="1"/>
      <c r="E492" s="1"/>
      <c r="F492" s="1"/>
      <c r="G492" s="1"/>
      <c r="H492" s="3">
        <f t="shared" si="28"/>
        <v>1</v>
      </c>
      <c r="I492" s="6">
        <f t="shared" si="29"/>
        <v>1</v>
      </c>
      <c r="J492" s="1" t="b">
        <f t="shared" si="30"/>
        <v>1</v>
      </c>
      <c r="K492" s="1" t="b">
        <f>(Requirements!K509="Normative")</f>
        <v>1</v>
      </c>
      <c r="L492" s="1" t="b">
        <f>(Requirements!L509&lt;&gt;"Non-testable")</f>
        <v>1</v>
      </c>
      <c r="M492" s="1" t="b">
        <f>(VLOOKUP(Requirements!I509,Scope[[Role]:[Description]],2,FALSE)="In")</f>
        <v>1</v>
      </c>
      <c r="N492" s="1">
        <f t="shared" si="31"/>
        <v>1</v>
      </c>
    </row>
    <row r="493" spans="1:14">
      <c r="A493" s="1" t="str">
        <f>Requirements!A510</f>
        <v>MS-WSP_R488</v>
      </c>
      <c r="B493" s="1"/>
      <c r="C493" s="1">
        <v>1</v>
      </c>
      <c r="D493" s="1"/>
      <c r="E493" s="1"/>
      <c r="F493" s="1"/>
      <c r="G493" s="1"/>
      <c r="H493" s="3">
        <f t="shared" si="28"/>
        <v>1</v>
      </c>
      <c r="I493" s="6">
        <f t="shared" si="29"/>
        <v>1</v>
      </c>
      <c r="J493" s="1" t="b">
        <f t="shared" si="30"/>
        <v>1</v>
      </c>
      <c r="K493" s="1" t="b">
        <f>(Requirements!K510="Normative")</f>
        <v>1</v>
      </c>
      <c r="L493" s="1" t="b">
        <f>(Requirements!L510&lt;&gt;"Non-testable")</f>
        <v>1</v>
      </c>
      <c r="M493" s="1" t="b">
        <f>(VLOOKUP(Requirements!I510,Scope[[Role]:[Description]],2,FALSE)="In")</f>
        <v>1</v>
      </c>
      <c r="N493" s="1">
        <f t="shared" si="31"/>
        <v>1</v>
      </c>
    </row>
    <row r="494" spans="1:14">
      <c r="A494" s="1" t="str">
        <f>Requirements!A511</f>
        <v>MS-WSP_R489</v>
      </c>
      <c r="B494" s="1"/>
      <c r="C494" s="1">
        <v>1</v>
      </c>
      <c r="D494" s="1"/>
      <c r="E494" s="1"/>
      <c r="F494" s="1"/>
      <c r="G494" s="1"/>
      <c r="H494" s="3">
        <f t="shared" si="28"/>
        <v>1</v>
      </c>
      <c r="I494" s="6">
        <f t="shared" si="29"/>
        <v>1</v>
      </c>
      <c r="J494" s="1" t="b">
        <f t="shared" si="30"/>
        <v>1</v>
      </c>
      <c r="K494" s="1" t="b">
        <f>(Requirements!K511="Normative")</f>
        <v>1</v>
      </c>
      <c r="L494" s="1" t="b">
        <f>(Requirements!L511&lt;&gt;"Non-testable")</f>
        <v>1</v>
      </c>
      <c r="M494" s="1" t="b">
        <f>(VLOOKUP(Requirements!I511,Scope[[Role]:[Description]],2,FALSE)="In")</f>
        <v>1</v>
      </c>
      <c r="N494" s="1">
        <f t="shared" si="31"/>
        <v>1</v>
      </c>
    </row>
    <row r="495" spans="1:14">
      <c r="A495" s="1" t="str">
        <f>Requirements!A512</f>
        <v>MS-WSP_R490</v>
      </c>
      <c r="B495" s="1"/>
      <c r="C495" s="1">
        <v>1</v>
      </c>
      <c r="D495" s="1"/>
      <c r="E495" s="1"/>
      <c r="F495" s="1"/>
      <c r="G495" s="1"/>
      <c r="H495" s="3">
        <f t="shared" si="28"/>
        <v>1</v>
      </c>
      <c r="I495" s="6">
        <f t="shared" si="29"/>
        <v>1</v>
      </c>
      <c r="J495" s="1" t="b">
        <f t="shared" si="30"/>
        <v>1</v>
      </c>
      <c r="K495" s="1" t="b">
        <f>(Requirements!K512="Normative")</f>
        <v>1</v>
      </c>
      <c r="L495" s="1" t="b">
        <f>(Requirements!L512&lt;&gt;"Non-testable")</f>
        <v>1</v>
      </c>
      <c r="M495" s="1" t="b">
        <f>(VLOOKUP(Requirements!I512,Scope[[Role]:[Description]],2,FALSE)="In")</f>
        <v>1</v>
      </c>
      <c r="N495" s="1">
        <f t="shared" si="31"/>
        <v>1</v>
      </c>
    </row>
    <row r="496" spans="1:14">
      <c r="A496" s="1" t="str">
        <f>Requirements!A513</f>
        <v>MS-WSP_R491</v>
      </c>
      <c r="B496" s="1"/>
      <c r="C496" s="1">
        <v>1</v>
      </c>
      <c r="D496" s="1"/>
      <c r="E496" s="1"/>
      <c r="F496" s="1"/>
      <c r="G496" s="1"/>
      <c r="H496" s="3">
        <f t="shared" si="28"/>
        <v>1</v>
      </c>
      <c r="I496" s="6">
        <f t="shared" si="29"/>
        <v>1</v>
      </c>
      <c r="J496" s="1" t="b">
        <f t="shared" si="30"/>
        <v>1</v>
      </c>
      <c r="K496" s="1" t="b">
        <f>(Requirements!K513="Normative")</f>
        <v>1</v>
      </c>
      <c r="L496" s="1" t="b">
        <f>(Requirements!L513&lt;&gt;"Non-testable")</f>
        <v>1</v>
      </c>
      <c r="M496" s="1" t="b">
        <f>(VLOOKUP(Requirements!I513,Scope[[Role]:[Description]],2,FALSE)="In")</f>
        <v>1</v>
      </c>
      <c r="N496" s="1">
        <f t="shared" si="31"/>
        <v>1</v>
      </c>
    </row>
    <row r="497" spans="1:14">
      <c r="A497" s="1" t="str">
        <f>Requirements!A514</f>
        <v>MS-WSP_R492</v>
      </c>
      <c r="B497" s="1"/>
      <c r="C497" s="1">
        <v>1</v>
      </c>
      <c r="D497" s="1"/>
      <c r="E497" s="1"/>
      <c r="F497" s="1"/>
      <c r="G497" s="1"/>
      <c r="H497" s="3">
        <f t="shared" si="28"/>
        <v>1</v>
      </c>
      <c r="I497" s="6">
        <f t="shared" si="29"/>
        <v>1</v>
      </c>
      <c r="J497" s="1" t="b">
        <f t="shared" si="30"/>
        <v>1</v>
      </c>
      <c r="K497" s="1" t="b">
        <f>(Requirements!K514="Normative")</f>
        <v>1</v>
      </c>
      <c r="L497" s="1" t="b">
        <f>(Requirements!L514&lt;&gt;"Non-testable")</f>
        <v>1</v>
      </c>
      <c r="M497" s="1" t="b">
        <f>(VLOOKUP(Requirements!I514,Scope[[Role]:[Description]],2,FALSE)="In")</f>
        <v>1</v>
      </c>
      <c r="N497" s="1">
        <f t="shared" si="31"/>
        <v>1</v>
      </c>
    </row>
    <row r="498" spans="1:14">
      <c r="A498" s="1" t="str">
        <f>Requirements!A515</f>
        <v>MS-WSP_R493</v>
      </c>
      <c r="B498" s="1"/>
      <c r="C498" s="1">
        <v>1</v>
      </c>
      <c r="D498" s="1"/>
      <c r="E498" s="1"/>
      <c r="F498" s="1"/>
      <c r="G498" s="1"/>
      <c r="H498" s="3">
        <f t="shared" si="28"/>
        <v>1</v>
      </c>
      <c r="I498" s="6">
        <f t="shared" si="29"/>
        <v>1</v>
      </c>
      <c r="J498" s="1" t="b">
        <f t="shared" si="30"/>
        <v>1</v>
      </c>
      <c r="K498" s="1" t="b">
        <f>(Requirements!K515="Normative")</f>
        <v>1</v>
      </c>
      <c r="L498" s="1" t="b">
        <f>(Requirements!L515&lt;&gt;"Non-testable")</f>
        <v>1</v>
      </c>
      <c r="M498" s="1" t="b">
        <f>(VLOOKUP(Requirements!I515,Scope[[Role]:[Description]],2,FALSE)="In")</f>
        <v>1</v>
      </c>
      <c r="N498" s="1">
        <f t="shared" si="31"/>
        <v>1</v>
      </c>
    </row>
    <row r="499" spans="1:14">
      <c r="A499" s="1" t="str">
        <f>Requirements!A516</f>
        <v>MS-WSP_R494</v>
      </c>
      <c r="B499" s="1"/>
      <c r="C499" s="1"/>
      <c r="D499" s="1"/>
      <c r="E499" s="1"/>
      <c r="F499" s="1"/>
      <c r="G499" s="1"/>
      <c r="H499" s="3">
        <f t="shared" si="28"/>
        <v>0</v>
      </c>
      <c r="I499" s="6">
        <f t="shared" si="29"/>
        <v>0</v>
      </c>
      <c r="J499" s="1" t="b">
        <f t="shared" si="30"/>
        <v>0</v>
      </c>
      <c r="K499" s="1" t="b">
        <f>(Requirements!K516="Normative")</f>
        <v>0</v>
      </c>
      <c r="L499" s="1" t="b">
        <f>(Requirements!L516&lt;&gt;"Non-testable")</f>
        <v>1</v>
      </c>
      <c r="M499" s="1" t="b">
        <f>(VLOOKUP(Requirements!I516,Scope[[Role]:[Description]],2,FALSE)="In")</f>
        <v>1</v>
      </c>
      <c r="N499" s="1">
        <f t="shared" si="31"/>
        <v>0</v>
      </c>
    </row>
    <row r="500" spans="1:14">
      <c r="A500" s="1" t="str">
        <f>Requirements!A517</f>
        <v>MS-WSP_R495</v>
      </c>
      <c r="B500" s="1"/>
      <c r="C500" s="1"/>
      <c r="D500" s="1"/>
      <c r="E500" s="1"/>
      <c r="F500" s="1"/>
      <c r="G500" s="1"/>
      <c r="H500" s="3">
        <f t="shared" si="28"/>
        <v>0</v>
      </c>
      <c r="I500" s="6">
        <f t="shared" si="29"/>
        <v>0</v>
      </c>
      <c r="J500" s="1" t="b">
        <f t="shared" si="30"/>
        <v>0</v>
      </c>
      <c r="K500" s="1" t="b">
        <f>(Requirements!K517="Normative")</f>
        <v>1</v>
      </c>
      <c r="L500" s="1" t="b">
        <f>(Requirements!L517&lt;&gt;"Non-testable")</f>
        <v>1</v>
      </c>
      <c r="M500" s="1" t="b">
        <f>(VLOOKUP(Requirements!I517,Scope[[Role]:[Description]],2,FALSE)="In")</f>
        <v>0</v>
      </c>
      <c r="N500" s="1">
        <f t="shared" si="31"/>
        <v>0</v>
      </c>
    </row>
    <row r="501" spans="1:14">
      <c r="A501" s="1" t="str">
        <f>Requirements!A518</f>
        <v>MS-WSP_R496</v>
      </c>
      <c r="B501" s="1">
        <v>1</v>
      </c>
      <c r="C501" s="1"/>
      <c r="D501" s="1"/>
      <c r="E501" s="1"/>
      <c r="F501" s="1"/>
      <c r="G501" s="1"/>
      <c r="H501" s="3">
        <f t="shared" si="28"/>
        <v>1</v>
      </c>
      <c r="I501" s="6">
        <f t="shared" si="29"/>
        <v>1</v>
      </c>
      <c r="J501" s="1" t="b">
        <f t="shared" si="30"/>
        <v>1</v>
      </c>
      <c r="K501" s="1" t="b">
        <f>(Requirements!K518="Normative")</f>
        <v>1</v>
      </c>
      <c r="L501" s="1" t="b">
        <f>(Requirements!L518&lt;&gt;"Non-testable")</f>
        <v>1</v>
      </c>
      <c r="M501" s="1" t="b">
        <f>(VLOOKUP(Requirements!I518,Scope[[Role]:[Description]],2,FALSE)="In")</f>
        <v>1</v>
      </c>
      <c r="N501" s="1">
        <f t="shared" si="31"/>
        <v>1</v>
      </c>
    </row>
    <row r="502" spans="1:14">
      <c r="A502" s="1" t="str">
        <f>Requirements!A519</f>
        <v>MS-WSP_R497</v>
      </c>
      <c r="B502" s="1"/>
      <c r="C502" s="1"/>
      <c r="D502" s="1"/>
      <c r="E502" s="1"/>
      <c r="F502" s="1"/>
      <c r="G502" s="1"/>
      <c r="H502" s="3">
        <f t="shared" si="28"/>
        <v>0</v>
      </c>
      <c r="I502" s="6">
        <f t="shared" si="29"/>
        <v>0</v>
      </c>
      <c r="J502" s="1" t="b">
        <f t="shared" si="30"/>
        <v>0</v>
      </c>
      <c r="K502" s="1" t="b">
        <f>(Requirements!K519="Normative")</f>
        <v>1</v>
      </c>
      <c r="L502" s="1" t="b">
        <f>(Requirements!L519&lt;&gt;"Non-testable")</f>
        <v>1</v>
      </c>
      <c r="M502" s="1" t="b">
        <f>(VLOOKUP(Requirements!I519,Scope[[Role]:[Description]],2,FALSE)="In")</f>
        <v>0</v>
      </c>
      <c r="N502" s="1">
        <f t="shared" si="31"/>
        <v>0</v>
      </c>
    </row>
    <row r="503" spans="1:14">
      <c r="A503" s="1" t="str">
        <f>Requirements!A520</f>
        <v>MS-WSP_R498</v>
      </c>
      <c r="B503" s="1">
        <v>1</v>
      </c>
      <c r="C503" s="1"/>
      <c r="D503" s="1"/>
      <c r="E503" s="1"/>
      <c r="F503" s="1"/>
      <c r="G503" s="1"/>
      <c r="H503" s="3">
        <f t="shared" si="28"/>
        <v>1</v>
      </c>
      <c r="I503" s="6">
        <f t="shared" si="29"/>
        <v>1</v>
      </c>
      <c r="J503" s="1" t="b">
        <f t="shared" si="30"/>
        <v>1</v>
      </c>
      <c r="K503" s="1" t="b">
        <f>(Requirements!K520="Normative")</f>
        <v>1</v>
      </c>
      <c r="L503" s="1" t="b">
        <f>(Requirements!L520&lt;&gt;"Non-testable")</f>
        <v>1</v>
      </c>
      <c r="M503" s="1" t="b">
        <f>(VLOOKUP(Requirements!I520,Scope[[Role]:[Description]],2,FALSE)="In")</f>
        <v>1</v>
      </c>
      <c r="N503" s="1">
        <f t="shared" si="31"/>
        <v>1</v>
      </c>
    </row>
    <row r="504" spans="1:14">
      <c r="A504" s="1" t="str">
        <f>Requirements!A521</f>
        <v>MS-WSP_R499</v>
      </c>
      <c r="B504" s="1"/>
      <c r="C504" s="1"/>
      <c r="D504" s="1"/>
      <c r="E504" s="1"/>
      <c r="F504" s="1"/>
      <c r="G504" s="1"/>
      <c r="H504" s="3">
        <f t="shared" si="28"/>
        <v>0</v>
      </c>
      <c r="I504" s="6">
        <f t="shared" si="29"/>
        <v>0</v>
      </c>
      <c r="J504" s="1" t="b">
        <f t="shared" si="30"/>
        <v>0</v>
      </c>
      <c r="K504" s="1" t="b">
        <f>(Requirements!K521="Normative")</f>
        <v>1</v>
      </c>
      <c r="L504" s="1" t="b">
        <f>(Requirements!L521&lt;&gt;"Non-testable")</f>
        <v>1</v>
      </c>
      <c r="M504" s="1" t="b">
        <f>(VLOOKUP(Requirements!I521,Scope[[Role]:[Description]],2,FALSE)="In")</f>
        <v>0</v>
      </c>
      <c r="N504" s="1">
        <f t="shared" si="31"/>
        <v>0</v>
      </c>
    </row>
    <row r="505" spans="1:14">
      <c r="A505" s="1" t="str">
        <f>Requirements!A522</f>
        <v>MS-WSP_R500</v>
      </c>
      <c r="B505" s="1"/>
      <c r="C505" s="1"/>
      <c r="D505" s="1"/>
      <c r="E505" s="1"/>
      <c r="F505" s="1"/>
      <c r="G505" s="1"/>
      <c r="H505" s="3">
        <f t="shared" si="28"/>
        <v>0</v>
      </c>
      <c r="I505" s="6">
        <f t="shared" si="29"/>
        <v>0</v>
      </c>
      <c r="J505" s="1" t="b">
        <f t="shared" si="30"/>
        <v>0</v>
      </c>
      <c r="K505" s="1" t="b">
        <f>(Requirements!K522="Normative")</f>
        <v>1</v>
      </c>
      <c r="L505" s="1" t="b">
        <f>(Requirements!L522&lt;&gt;"Non-testable")</f>
        <v>1</v>
      </c>
      <c r="M505" s="1" t="b">
        <f>(VLOOKUP(Requirements!I522,Scope[[Role]:[Description]],2,FALSE)="In")</f>
        <v>0</v>
      </c>
      <c r="N505" s="1">
        <f t="shared" si="31"/>
        <v>0</v>
      </c>
    </row>
    <row r="506" spans="1:14">
      <c r="A506" s="1" t="str">
        <f>Requirements!A523</f>
        <v>MS-WSP_R501</v>
      </c>
      <c r="B506" s="1">
        <v>1</v>
      </c>
      <c r="C506" s="1"/>
      <c r="D506" s="1"/>
      <c r="E506" s="1"/>
      <c r="F506" s="1"/>
      <c r="G506" s="1"/>
      <c r="H506" s="3">
        <f t="shared" si="28"/>
        <v>1</v>
      </c>
      <c r="I506" s="6">
        <f t="shared" si="29"/>
        <v>1</v>
      </c>
      <c r="J506" s="1" t="b">
        <f t="shared" si="30"/>
        <v>1</v>
      </c>
      <c r="K506" s="1" t="b">
        <f>(Requirements!K523="Normative")</f>
        <v>1</v>
      </c>
      <c r="L506" s="1" t="b">
        <f>(Requirements!L523&lt;&gt;"Non-testable")</f>
        <v>1</v>
      </c>
      <c r="M506" s="1" t="b">
        <f>(VLOOKUP(Requirements!I523,Scope[[Role]:[Description]],2,FALSE)="In")</f>
        <v>1</v>
      </c>
      <c r="N506" s="1">
        <f t="shared" si="31"/>
        <v>1</v>
      </c>
    </row>
    <row r="507" spans="1:14">
      <c r="A507" s="1" t="str">
        <f>Requirements!A524</f>
        <v>MS-WSP_R502</v>
      </c>
      <c r="B507" s="1"/>
      <c r="C507" s="1"/>
      <c r="D507" s="1"/>
      <c r="E507" s="1"/>
      <c r="F507" s="1"/>
      <c r="G507" s="1"/>
      <c r="H507" s="3">
        <f t="shared" si="28"/>
        <v>0</v>
      </c>
      <c r="I507" s="6">
        <f t="shared" si="29"/>
        <v>0</v>
      </c>
      <c r="J507" s="1" t="b">
        <f t="shared" si="30"/>
        <v>0</v>
      </c>
      <c r="K507" s="1" t="b">
        <f>(Requirements!K524="Normative")</f>
        <v>1</v>
      </c>
      <c r="L507" s="1" t="b">
        <f>(Requirements!L524&lt;&gt;"Non-testable")</f>
        <v>0</v>
      </c>
      <c r="M507" s="1" t="b">
        <f>(VLOOKUP(Requirements!I524,Scope[[Role]:[Description]],2,FALSE)="In")</f>
        <v>1</v>
      </c>
      <c r="N507" s="1">
        <f t="shared" si="31"/>
        <v>0</v>
      </c>
    </row>
    <row r="508" spans="1:14">
      <c r="A508" s="1" t="str">
        <f>Requirements!A525</f>
        <v>MS-WSP_R503</v>
      </c>
      <c r="B508" s="1">
        <v>1</v>
      </c>
      <c r="C508" s="1"/>
      <c r="D508" s="1"/>
      <c r="E508" s="1"/>
      <c r="F508" s="1"/>
      <c r="G508" s="1"/>
      <c r="H508" s="3">
        <f t="shared" si="28"/>
        <v>1</v>
      </c>
      <c r="I508" s="6">
        <f t="shared" si="29"/>
        <v>1</v>
      </c>
      <c r="J508" s="1" t="b">
        <f t="shared" si="30"/>
        <v>1</v>
      </c>
      <c r="K508" s="1" t="b">
        <f>(Requirements!K525="Normative")</f>
        <v>1</v>
      </c>
      <c r="L508" s="1" t="b">
        <f>(Requirements!L525&lt;&gt;"Non-testable")</f>
        <v>1</v>
      </c>
      <c r="M508" s="1" t="b">
        <f>(VLOOKUP(Requirements!I525,Scope[[Role]:[Description]],2,FALSE)="In")</f>
        <v>1</v>
      </c>
      <c r="N508" s="1">
        <f t="shared" si="31"/>
        <v>1</v>
      </c>
    </row>
    <row r="509" spans="1:14">
      <c r="A509" s="1" t="str">
        <f>Requirements!A526</f>
        <v>MS-WSP_R504</v>
      </c>
      <c r="B509" s="1"/>
      <c r="C509" s="1"/>
      <c r="D509" s="1"/>
      <c r="E509" s="1"/>
      <c r="F509" s="1"/>
      <c r="G509" s="1"/>
      <c r="H509" s="3">
        <f t="shared" si="28"/>
        <v>0</v>
      </c>
      <c r="I509" s="6">
        <f t="shared" si="29"/>
        <v>0</v>
      </c>
      <c r="J509" s="1" t="b">
        <f t="shared" si="30"/>
        <v>0</v>
      </c>
      <c r="K509" s="1" t="b">
        <f>(Requirements!K526="Normative")</f>
        <v>1</v>
      </c>
      <c r="L509" s="1" t="b">
        <f>(Requirements!L526&lt;&gt;"Non-testable")</f>
        <v>1</v>
      </c>
      <c r="M509" s="1" t="b">
        <f>(VLOOKUP(Requirements!I526,Scope[[Role]:[Description]],2,FALSE)="In")</f>
        <v>0</v>
      </c>
      <c r="N509" s="1">
        <f t="shared" si="31"/>
        <v>0</v>
      </c>
    </row>
    <row r="510" spans="1:14">
      <c r="A510" s="1" t="str">
        <f>Requirements!A527</f>
        <v>MS-WSP_R505</v>
      </c>
      <c r="B510" s="1">
        <v>1</v>
      </c>
      <c r="C510" s="1"/>
      <c r="D510" s="1"/>
      <c r="E510" s="1"/>
      <c r="F510" s="1"/>
      <c r="G510" s="1"/>
      <c r="H510" s="3">
        <f t="shared" si="28"/>
        <v>1</v>
      </c>
      <c r="I510" s="6">
        <f t="shared" si="29"/>
        <v>1</v>
      </c>
      <c r="J510" s="1" t="b">
        <f t="shared" si="30"/>
        <v>1</v>
      </c>
      <c r="K510" s="1" t="b">
        <f>(Requirements!K527="Normative")</f>
        <v>1</v>
      </c>
      <c r="L510" s="1" t="b">
        <f>(Requirements!L527&lt;&gt;"Non-testable")</f>
        <v>1</v>
      </c>
      <c r="M510" s="1" t="b">
        <f>(VLOOKUP(Requirements!I527,Scope[[Role]:[Description]],2,FALSE)="In")</f>
        <v>1</v>
      </c>
      <c r="N510" s="1">
        <f t="shared" si="31"/>
        <v>1</v>
      </c>
    </row>
    <row r="511" spans="1:14">
      <c r="A511" s="1" t="str">
        <f>Requirements!A528</f>
        <v>MS-WSP_R506</v>
      </c>
      <c r="B511" s="1"/>
      <c r="C511" s="1"/>
      <c r="D511" s="1"/>
      <c r="E511" s="1"/>
      <c r="F511" s="1"/>
      <c r="G511" s="1"/>
      <c r="H511" s="3">
        <f t="shared" si="28"/>
        <v>0</v>
      </c>
      <c r="I511" s="6">
        <f t="shared" si="29"/>
        <v>0</v>
      </c>
      <c r="J511" s="1" t="b">
        <f t="shared" si="30"/>
        <v>0</v>
      </c>
      <c r="K511" s="1" t="b">
        <f>(Requirements!K528="Normative")</f>
        <v>1</v>
      </c>
      <c r="L511" s="1" t="b">
        <f>(Requirements!L528&lt;&gt;"Non-testable")</f>
        <v>1</v>
      </c>
      <c r="M511" s="1" t="b">
        <f>(VLOOKUP(Requirements!I528,Scope[[Role]:[Description]],2,FALSE)="In")</f>
        <v>0</v>
      </c>
      <c r="N511" s="1">
        <f t="shared" si="31"/>
        <v>0</v>
      </c>
    </row>
    <row r="512" spans="1:14">
      <c r="A512" s="1" t="str">
        <f>Requirements!A529</f>
        <v>MS-WSP_R507</v>
      </c>
      <c r="B512" s="1"/>
      <c r="C512" s="1"/>
      <c r="D512" s="1"/>
      <c r="E512" s="1"/>
      <c r="F512" s="1"/>
      <c r="G512" s="1"/>
      <c r="H512" s="3">
        <f t="shared" si="28"/>
        <v>0</v>
      </c>
      <c r="I512" s="6">
        <f t="shared" si="29"/>
        <v>0</v>
      </c>
      <c r="J512" s="1" t="b">
        <f t="shared" si="30"/>
        <v>0</v>
      </c>
      <c r="K512" s="1" t="b">
        <f>(Requirements!K529="Normative")</f>
        <v>1</v>
      </c>
      <c r="L512" s="1" t="b">
        <f>(Requirements!L529&lt;&gt;"Non-testable")</f>
        <v>1</v>
      </c>
      <c r="M512" s="1" t="b">
        <f>(VLOOKUP(Requirements!I529,Scope[[Role]:[Description]],2,FALSE)="In")</f>
        <v>0</v>
      </c>
      <c r="N512" s="1">
        <f t="shared" si="31"/>
        <v>0</v>
      </c>
    </row>
    <row r="513" spans="1:14">
      <c r="A513" s="1" t="str">
        <f>Requirements!A530</f>
        <v>MS-WSP_R508</v>
      </c>
      <c r="B513" s="1">
        <v>1</v>
      </c>
      <c r="C513" s="1"/>
      <c r="D513" s="1"/>
      <c r="E513" s="1"/>
      <c r="F513" s="1"/>
      <c r="G513" s="1"/>
      <c r="H513" s="3">
        <f t="shared" si="28"/>
        <v>1</v>
      </c>
      <c r="I513" s="6">
        <f t="shared" si="29"/>
        <v>1</v>
      </c>
      <c r="J513" s="1" t="b">
        <f t="shared" si="30"/>
        <v>1</v>
      </c>
      <c r="K513" s="1" t="b">
        <f>(Requirements!K530="Normative")</f>
        <v>1</v>
      </c>
      <c r="L513" s="1" t="b">
        <f>(Requirements!L530&lt;&gt;"Non-testable")</f>
        <v>1</v>
      </c>
      <c r="M513" s="1" t="b">
        <f>(VLOOKUP(Requirements!I530,Scope[[Role]:[Description]],2,FALSE)="In")</f>
        <v>1</v>
      </c>
      <c r="N513" s="1">
        <f t="shared" si="31"/>
        <v>1</v>
      </c>
    </row>
    <row r="514" spans="1:14">
      <c r="A514" s="1" t="str">
        <f>Requirements!A531</f>
        <v>MS-WSP_R509</v>
      </c>
      <c r="B514" s="1"/>
      <c r="C514" s="1"/>
      <c r="D514" s="1"/>
      <c r="E514" s="1"/>
      <c r="F514" s="1"/>
      <c r="G514" s="1"/>
      <c r="H514" s="3">
        <f t="shared" si="28"/>
        <v>0</v>
      </c>
      <c r="I514" s="6">
        <f t="shared" si="29"/>
        <v>0</v>
      </c>
      <c r="J514" s="1" t="b">
        <f t="shared" si="30"/>
        <v>0</v>
      </c>
      <c r="K514" s="1" t="b">
        <f>(Requirements!K531="Normative")</f>
        <v>1</v>
      </c>
      <c r="L514" s="1" t="b">
        <f>(Requirements!L531&lt;&gt;"Non-testable")</f>
        <v>1</v>
      </c>
      <c r="M514" s="1" t="b">
        <f>(VLOOKUP(Requirements!I531,Scope[[Role]:[Description]],2,FALSE)="In")</f>
        <v>0</v>
      </c>
      <c r="N514" s="1">
        <f t="shared" si="31"/>
        <v>0</v>
      </c>
    </row>
    <row r="515" spans="1:14">
      <c r="A515" s="1" t="str">
        <f>Requirements!A532</f>
        <v>MS-WSP_R510</v>
      </c>
      <c r="B515" s="1"/>
      <c r="C515" s="1"/>
      <c r="D515" s="1"/>
      <c r="E515" s="1"/>
      <c r="F515" s="1"/>
      <c r="G515" s="1"/>
      <c r="H515" s="3">
        <f t="shared" si="28"/>
        <v>0</v>
      </c>
      <c r="I515" s="6">
        <f t="shared" si="29"/>
        <v>0</v>
      </c>
      <c r="J515" s="1" t="b">
        <f t="shared" si="30"/>
        <v>0</v>
      </c>
      <c r="K515" s="1" t="b">
        <f>(Requirements!K532="Normative")</f>
        <v>1</v>
      </c>
      <c r="L515" s="1" t="b">
        <f>(Requirements!L532&lt;&gt;"Non-testable")</f>
        <v>1</v>
      </c>
      <c r="M515" s="1" t="b">
        <f>(VLOOKUP(Requirements!I532,Scope[[Role]:[Description]],2,FALSE)="In")</f>
        <v>0</v>
      </c>
      <c r="N515" s="1">
        <f t="shared" si="31"/>
        <v>0</v>
      </c>
    </row>
    <row r="516" spans="1:14">
      <c r="A516" s="1" t="str">
        <f>Requirements!A533</f>
        <v>MS-WSP_R511</v>
      </c>
      <c r="B516" s="1">
        <v>1</v>
      </c>
      <c r="C516" s="1"/>
      <c r="D516" s="1"/>
      <c r="E516" s="1"/>
      <c r="F516" s="1"/>
      <c r="G516" s="1"/>
      <c r="H516" s="3">
        <f t="shared" si="28"/>
        <v>1</v>
      </c>
      <c r="I516" s="6">
        <f t="shared" si="29"/>
        <v>1</v>
      </c>
      <c r="J516" s="1" t="b">
        <f t="shared" si="30"/>
        <v>1</v>
      </c>
      <c r="K516" s="1" t="b">
        <f>(Requirements!K533="Normative")</f>
        <v>1</v>
      </c>
      <c r="L516" s="1" t="b">
        <f>(Requirements!L533&lt;&gt;"Non-testable")</f>
        <v>1</v>
      </c>
      <c r="M516" s="1" t="b">
        <f>(VLOOKUP(Requirements!I533,Scope[[Role]:[Description]],2,FALSE)="In")</f>
        <v>1</v>
      </c>
      <c r="N516" s="1">
        <f t="shared" si="31"/>
        <v>1</v>
      </c>
    </row>
    <row r="517" spans="1:14">
      <c r="A517" s="1" t="str">
        <f>Requirements!A534</f>
        <v>MS-WSP_R512</v>
      </c>
      <c r="B517" s="1"/>
      <c r="C517" s="1"/>
      <c r="D517" s="1"/>
      <c r="E517" s="1"/>
      <c r="F517" s="1"/>
      <c r="G517" s="1"/>
      <c r="H517" s="3">
        <f t="shared" si="28"/>
        <v>0</v>
      </c>
      <c r="I517" s="6">
        <f t="shared" si="29"/>
        <v>0</v>
      </c>
      <c r="J517" s="1" t="b">
        <f t="shared" si="30"/>
        <v>0</v>
      </c>
      <c r="K517" s="1" t="b">
        <f>(Requirements!K534="Normative")</f>
        <v>1</v>
      </c>
      <c r="L517" s="1" t="b">
        <f>(Requirements!L534&lt;&gt;"Non-testable")</f>
        <v>1</v>
      </c>
      <c r="M517" s="1" t="b">
        <f>(VLOOKUP(Requirements!I534,Scope[[Role]:[Description]],2,FALSE)="In")</f>
        <v>0</v>
      </c>
      <c r="N517" s="1">
        <f t="shared" si="31"/>
        <v>0</v>
      </c>
    </row>
    <row r="518" spans="1:14">
      <c r="A518" s="1" t="str">
        <f>Requirements!A535</f>
        <v>MS-WSP_R513</v>
      </c>
      <c r="B518" s="1"/>
      <c r="C518" s="1"/>
      <c r="D518" s="1"/>
      <c r="E518" s="1"/>
      <c r="F518" s="1"/>
      <c r="G518" s="1"/>
      <c r="H518" s="3">
        <f t="shared" ref="H518:H581" si="32">SUM(B518:G518)</f>
        <v>0</v>
      </c>
      <c r="I518" s="6">
        <f t="shared" si="29"/>
        <v>0</v>
      </c>
      <c r="J518" s="1" t="b">
        <f t="shared" si="30"/>
        <v>0</v>
      </c>
      <c r="K518" s="1" t="b">
        <f>(Requirements!K535="Normative")</f>
        <v>1</v>
      </c>
      <c r="L518" s="1" t="b">
        <f>(Requirements!L535&lt;&gt;"Non-testable")</f>
        <v>0</v>
      </c>
      <c r="M518" s="1" t="b">
        <f>(VLOOKUP(Requirements!I535,Scope[[Role]:[Description]],2,FALSE)="In")</f>
        <v>1</v>
      </c>
      <c r="N518" s="1">
        <f t="shared" si="31"/>
        <v>0</v>
      </c>
    </row>
    <row r="519" spans="1:14">
      <c r="A519" s="1" t="str">
        <f>Requirements!A536</f>
        <v>MS-WSP_R514</v>
      </c>
      <c r="B519" s="1">
        <v>1</v>
      </c>
      <c r="C519" s="1"/>
      <c r="D519" s="1"/>
      <c r="E519" s="1"/>
      <c r="F519" s="1"/>
      <c r="G519" s="1"/>
      <c r="H519" s="3">
        <f t="shared" si="32"/>
        <v>1</v>
      </c>
      <c r="I519" s="6">
        <f t="shared" ref="I519:I582" si="33">IF(H519=0,0,1)</f>
        <v>1</v>
      </c>
      <c r="J519" s="1" t="b">
        <f t="shared" ref="J519:J582" si="34">AND(K519:M519)</f>
        <v>1</v>
      </c>
      <c r="K519" s="1" t="b">
        <f>(Requirements!K536="Normative")</f>
        <v>1</v>
      </c>
      <c r="L519" s="1" t="b">
        <f>(Requirements!L536&lt;&gt;"Non-testable")</f>
        <v>1</v>
      </c>
      <c r="M519" s="1" t="b">
        <f>(VLOOKUP(Requirements!I536,Scope[[Role]:[Description]],2,FALSE)="In")</f>
        <v>1</v>
      </c>
      <c r="N519" s="1">
        <f t="shared" ref="N519:N582" si="35">IF(J519,I519,0)</f>
        <v>1</v>
      </c>
    </row>
    <row r="520" spans="1:14">
      <c r="A520" s="1" t="str">
        <f>Requirements!A537</f>
        <v>MS-WSP_R515</v>
      </c>
      <c r="B520" s="1"/>
      <c r="C520" s="1"/>
      <c r="D520" s="1"/>
      <c r="E520" s="1"/>
      <c r="F520" s="1"/>
      <c r="G520" s="1"/>
      <c r="H520" s="3">
        <f t="shared" si="32"/>
        <v>0</v>
      </c>
      <c r="I520" s="6">
        <f t="shared" si="33"/>
        <v>0</v>
      </c>
      <c r="J520" s="1" t="b">
        <f t="shared" si="34"/>
        <v>0</v>
      </c>
      <c r="K520" s="1" t="b">
        <f>(Requirements!K537="Normative")</f>
        <v>0</v>
      </c>
      <c r="L520" s="1" t="b">
        <f>(Requirements!L537&lt;&gt;"Non-testable")</f>
        <v>1</v>
      </c>
      <c r="M520" s="1" t="b">
        <f>(VLOOKUP(Requirements!I537,Scope[[Role]:[Description]],2,FALSE)="In")</f>
        <v>0</v>
      </c>
      <c r="N520" s="1">
        <f t="shared" si="35"/>
        <v>0</v>
      </c>
    </row>
    <row r="521" spans="1:14">
      <c r="A521" s="1" t="str">
        <f>Requirements!A538</f>
        <v>MS-WSP_R516</v>
      </c>
      <c r="B521" s="1"/>
      <c r="C521" s="1"/>
      <c r="D521" s="1"/>
      <c r="E521" s="1"/>
      <c r="F521" s="1"/>
      <c r="G521" s="1"/>
      <c r="H521" s="3">
        <f t="shared" si="32"/>
        <v>0</v>
      </c>
      <c r="I521" s="6">
        <f t="shared" si="33"/>
        <v>0</v>
      </c>
      <c r="J521" s="1" t="b">
        <f t="shared" si="34"/>
        <v>0</v>
      </c>
      <c r="K521" s="1" t="b">
        <f>(Requirements!K538="Normative")</f>
        <v>1</v>
      </c>
      <c r="L521" s="1" t="b">
        <f>(Requirements!L538&lt;&gt;"Non-testable")</f>
        <v>1</v>
      </c>
      <c r="M521" s="1" t="b">
        <f>(VLOOKUP(Requirements!I538,Scope[[Role]:[Description]],2,FALSE)="In")</f>
        <v>0</v>
      </c>
      <c r="N521" s="1">
        <f t="shared" si="35"/>
        <v>0</v>
      </c>
    </row>
    <row r="522" spans="1:14">
      <c r="A522" s="1" t="str">
        <f>Requirements!A539</f>
        <v>MS-WSP_R517</v>
      </c>
      <c r="B522" s="1"/>
      <c r="C522" s="1"/>
      <c r="D522" s="1"/>
      <c r="E522" s="1"/>
      <c r="F522" s="1"/>
      <c r="G522" s="1"/>
      <c r="H522" s="3">
        <f t="shared" si="32"/>
        <v>0</v>
      </c>
      <c r="I522" s="6">
        <f t="shared" si="33"/>
        <v>0</v>
      </c>
      <c r="J522" s="1" t="b">
        <f t="shared" si="34"/>
        <v>0</v>
      </c>
      <c r="K522" s="1" t="b">
        <f>(Requirements!K539="Normative")</f>
        <v>1</v>
      </c>
      <c r="L522" s="1" t="b">
        <f>(Requirements!L539&lt;&gt;"Non-testable")</f>
        <v>1</v>
      </c>
      <c r="M522" s="1" t="b">
        <f>(VLOOKUP(Requirements!I539,Scope[[Role]:[Description]],2,FALSE)="In")</f>
        <v>0</v>
      </c>
      <c r="N522" s="1">
        <f t="shared" si="35"/>
        <v>0</v>
      </c>
    </row>
    <row r="523" spans="1:14">
      <c r="A523" s="1" t="str">
        <f>Requirements!A540</f>
        <v>MS-WSP_R518</v>
      </c>
      <c r="B523" s="1"/>
      <c r="C523" s="1"/>
      <c r="D523" s="1"/>
      <c r="E523" s="1"/>
      <c r="F523" s="1"/>
      <c r="G523" s="1"/>
      <c r="H523" s="3">
        <f t="shared" si="32"/>
        <v>0</v>
      </c>
      <c r="I523" s="6">
        <f t="shared" si="33"/>
        <v>0</v>
      </c>
      <c r="J523" s="1" t="b">
        <f t="shared" si="34"/>
        <v>0</v>
      </c>
      <c r="K523" s="1" t="b">
        <f>(Requirements!K540="Normative")</f>
        <v>1</v>
      </c>
      <c r="L523" s="1" t="b">
        <f>(Requirements!L540&lt;&gt;"Non-testable")</f>
        <v>1</v>
      </c>
      <c r="M523" s="1" t="b">
        <f>(VLOOKUP(Requirements!I540,Scope[[Role]:[Description]],2,FALSE)="In")</f>
        <v>0</v>
      </c>
      <c r="N523" s="1">
        <f t="shared" si="35"/>
        <v>0</v>
      </c>
    </row>
    <row r="524" spans="1:14">
      <c r="A524" s="1" t="str">
        <f>Requirements!A541</f>
        <v>MS-WSP_R519</v>
      </c>
      <c r="B524" s="1"/>
      <c r="C524" s="1"/>
      <c r="D524" s="1"/>
      <c r="E524" s="1"/>
      <c r="F524" s="1"/>
      <c r="G524" s="1"/>
      <c r="H524" s="3">
        <f t="shared" si="32"/>
        <v>0</v>
      </c>
      <c r="I524" s="6">
        <f t="shared" si="33"/>
        <v>0</v>
      </c>
      <c r="J524" s="1" t="b">
        <f t="shared" si="34"/>
        <v>0</v>
      </c>
      <c r="K524" s="1" t="b">
        <f>(Requirements!K541="Normative")</f>
        <v>1</v>
      </c>
      <c r="L524" s="1" t="b">
        <f>(Requirements!L541&lt;&gt;"Non-testable")</f>
        <v>1</v>
      </c>
      <c r="M524" s="1" t="b">
        <f>(VLOOKUP(Requirements!I541,Scope[[Role]:[Description]],2,FALSE)="In")</f>
        <v>0</v>
      </c>
      <c r="N524" s="1">
        <f t="shared" si="35"/>
        <v>0</v>
      </c>
    </row>
    <row r="525" spans="1:14">
      <c r="A525" s="1" t="str">
        <f>Requirements!A542</f>
        <v>MS-WSP_R520</v>
      </c>
      <c r="B525" s="1"/>
      <c r="C525" s="1"/>
      <c r="D525" s="1"/>
      <c r="E525" s="1"/>
      <c r="F525" s="1"/>
      <c r="G525" s="1"/>
      <c r="H525" s="3">
        <f t="shared" si="32"/>
        <v>0</v>
      </c>
      <c r="I525" s="6">
        <f t="shared" si="33"/>
        <v>0</v>
      </c>
      <c r="J525" s="1" t="b">
        <f t="shared" si="34"/>
        <v>0</v>
      </c>
      <c r="K525" s="1" t="b">
        <f>(Requirements!K542="Normative")</f>
        <v>1</v>
      </c>
      <c r="L525" s="1" t="b">
        <f>(Requirements!L542&lt;&gt;"Non-testable")</f>
        <v>1</v>
      </c>
      <c r="M525" s="1" t="b">
        <f>(VLOOKUP(Requirements!I542,Scope[[Role]:[Description]],2,FALSE)="In")</f>
        <v>0</v>
      </c>
      <c r="N525" s="1">
        <f t="shared" si="35"/>
        <v>0</v>
      </c>
    </row>
    <row r="526" spans="1:14">
      <c r="A526" s="1" t="str">
        <f>Requirements!A543</f>
        <v>MS-WSP_R521</v>
      </c>
      <c r="B526" s="1"/>
      <c r="C526" s="1"/>
      <c r="D526" s="1"/>
      <c r="E526" s="1"/>
      <c r="F526" s="1"/>
      <c r="G526" s="1"/>
      <c r="H526" s="3">
        <f t="shared" si="32"/>
        <v>0</v>
      </c>
      <c r="I526" s="6">
        <f t="shared" si="33"/>
        <v>0</v>
      </c>
      <c r="J526" s="1" t="b">
        <f t="shared" si="34"/>
        <v>0</v>
      </c>
      <c r="K526" s="1" t="b">
        <f>(Requirements!K543="Normative")</f>
        <v>1</v>
      </c>
      <c r="L526" s="1" t="b">
        <f>(Requirements!L543&lt;&gt;"Non-testable")</f>
        <v>1</v>
      </c>
      <c r="M526" s="1" t="b">
        <f>(VLOOKUP(Requirements!I543,Scope[[Role]:[Description]],2,FALSE)="In")</f>
        <v>0</v>
      </c>
      <c r="N526" s="1">
        <f t="shared" si="35"/>
        <v>0</v>
      </c>
    </row>
    <row r="527" spans="1:14">
      <c r="A527" s="1" t="str">
        <f>Requirements!A544</f>
        <v>MS-WSP_R522</v>
      </c>
      <c r="B527" s="1"/>
      <c r="C527" s="1"/>
      <c r="D527" s="1"/>
      <c r="E527" s="1"/>
      <c r="F527" s="1"/>
      <c r="G527" s="1"/>
      <c r="H527" s="3">
        <f t="shared" si="32"/>
        <v>0</v>
      </c>
      <c r="I527" s="6">
        <f t="shared" si="33"/>
        <v>0</v>
      </c>
      <c r="J527" s="1" t="b">
        <f t="shared" si="34"/>
        <v>0</v>
      </c>
      <c r="K527" s="1" t="b">
        <f>(Requirements!K544="Normative")</f>
        <v>0</v>
      </c>
      <c r="L527" s="1" t="b">
        <f>(Requirements!L544&lt;&gt;"Non-testable")</f>
        <v>1</v>
      </c>
      <c r="M527" s="1" t="b">
        <f>(VLOOKUP(Requirements!I544,Scope[[Role]:[Description]],2,FALSE)="In")</f>
        <v>0</v>
      </c>
      <c r="N527" s="1">
        <f t="shared" si="35"/>
        <v>0</v>
      </c>
    </row>
    <row r="528" spans="1:14">
      <c r="A528" s="1" t="str">
        <f>Requirements!A545</f>
        <v>MS-WSP_R523</v>
      </c>
      <c r="B528" s="1"/>
      <c r="C528" s="1"/>
      <c r="D528" s="1"/>
      <c r="E528" s="1"/>
      <c r="F528" s="1"/>
      <c r="G528" s="1"/>
      <c r="H528" s="3">
        <f t="shared" si="32"/>
        <v>0</v>
      </c>
      <c r="I528" s="6">
        <f t="shared" si="33"/>
        <v>0</v>
      </c>
      <c r="J528" s="1" t="b">
        <f t="shared" si="34"/>
        <v>0</v>
      </c>
      <c r="K528" s="1" t="b">
        <f>(Requirements!K545="Normative")</f>
        <v>1</v>
      </c>
      <c r="L528" s="1" t="b">
        <f>(Requirements!L545&lt;&gt;"Non-testable")</f>
        <v>1</v>
      </c>
      <c r="M528" s="1" t="b">
        <f>(VLOOKUP(Requirements!I545,Scope[[Role]:[Description]],2,FALSE)="In")</f>
        <v>0</v>
      </c>
      <c r="N528" s="1">
        <f t="shared" si="35"/>
        <v>0</v>
      </c>
    </row>
    <row r="529" spans="1:14">
      <c r="A529" s="1" t="str">
        <f>Requirements!A546</f>
        <v>MS-WSP_R524</v>
      </c>
      <c r="B529" s="1"/>
      <c r="C529" s="1"/>
      <c r="D529" s="1"/>
      <c r="E529" s="1"/>
      <c r="F529" s="1"/>
      <c r="G529" s="1"/>
      <c r="H529" s="3">
        <f t="shared" si="32"/>
        <v>0</v>
      </c>
      <c r="I529" s="6">
        <f t="shared" si="33"/>
        <v>0</v>
      </c>
      <c r="J529" s="1" t="b">
        <f t="shared" si="34"/>
        <v>0</v>
      </c>
      <c r="K529" s="1" t="b">
        <f>(Requirements!K546="Normative")</f>
        <v>1</v>
      </c>
      <c r="L529" s="1" t="b">
        <f>(Requirements!L546&lt;&gt;"Non-testable")</f>
        <v>1</v>
      </c>
      <c r="M529" s="1" t="b">
        <f>(VLOOKUP(Requirements!I546,Scope[[Role]:[Description]],2,FALSE)="In")</f>
        <v>0</v>
      </c>
      <c r="N529" s="1">
        <f t="shared" si="35"/>
        <v>0</v>
      </c>
    </row>
    <row r="530" spans="1:14">
      <c r="A530" s="1" t="str">
        <f>Requirements!A547</f>
        <v>MS-WSP_R525</v>
      </c>
      <c r="B530" s="1"/>
      <c r="C530" s="1"/>
      <c r="D530" s="1"/>
      <c r="E530" s="1"/>
      <c r="F530" s="1"/>
      <c r="G530" s="1"/>
      <c r="H530" s="3">
        <f t="shared" si="32"/>
        <v>0</v>
      </c>
      <c r="I530" s="6">
        <f t="shared" si="33"/>
        <v>0</v>
      </c>
      <c r="J530" s="1" t="b">
        <f t="shared" si="34"/>
        <v>0</v>
      </c>
      <c r="K530" s="1" t="b">
        <f>(Requirements!K547="Normative")</f>
        <v>0</v>
      </c>
      <c r="L530" s="1" t="b">
        <f>(Requirements!L547&lt;&gt;"Non-testable")</f>
        <v>1</v>
      </c>
      <c r="M530" s="1" t="b">
        <f>(VLOOKUP(Requirements!I547,Scope[[Role]:[Description]],2,FALSE)="In")</f>
        <v>0</v>
      </c>
      <c r="N530" s="1">
        <f t="shared" si="35"/>
        <v>0</v>
      </c>
    </row>
    <row r="531" spans="1:14">
      <c r="A531" s="1" t="str">
        <f>Requirements!A548</f>
        <v>MS-WSP_R526</v>
      </c>
      <c r="B531" s="1"/>
      <c r="C531" s="1"/>
      <c r="D531" s="1"/>
      <c r="E531" s="1"/>
      <c r="F531" s="1"/>
      <c r="G531" s="1"/>
      <c r="H531" s="3">
        <f t="shared" si="32"/>
        <v>0</v>
      </c>
      <c r="I531" s="6">
        <f t="shared" si="33"/>
        <v>0</v>
      </c>
      <c r="J531" s="1" t="b">
        <f t="shared" si="34"/>
        <v>0</v>
      </c>
      <c r="K531" s="1" t="b">
        <f>(Requirements!K548="Normative")</f>
        <v>1</v>
      </c>
      <c r="L531" s="1" t="b">
        <f>(Requirements!L548&lt;&gt;"Non-testable")</f>
        <v>1</v>
      </c>
      <c r="M531" s="1" t="b">
        <f>(VLOOKUP(Requirements!I548,Scope[[Role]:[Description]],2,FALSE)="In")</f>
        <v>0</v>
      </c>
      <c r="N531" s="1">
        <f t="shared" si="35"/>
        <v>0</v>
      </c>
    </row>
    <row r="532" spans="1:14">
      <c r="A532" s="1" t="str">
        <f>Requirements!A549</f>
        <v>MS-WSP_R527</v>
      </c>
      <c r="B532" s="1">
        <v>1</v>
      </c>
      <c r="C532" s="1"/>
      <c r="D532" s="1"/>
      <c r="E532" s="1"/>
      <c r="F532" s="1"/>
      <c r="G532" s="1"/>
      <c r="H532" s="3">
        <f t="shared" si="32"/>
        <v>1</v>
      </c>
      <c r="I532" s="6">
        <f t="shared" si="33"/>
        <v>1</v>
      </c>
      <c r="J532" s="1" t="b">
        <f t="shared" si="34"/>
        <v>1</v>
      </c>
      <c r="K532" s="1" t="b">
        <f>(Requirements!K549="Normative")</f>
        <v>1</v>
      </c>
      <c r="L532" s="1" t="b">
        <f>(Requirements!L549&lt;&gt;"Non-testable")</f>
        <v>1</v>
      </c>
      <c r="M532" s="1" t="b">
        <f>(VLOOKUP(Requirements!I549,Scope[[Role]:[Description]],2,FALSE)="In")</f>
        <v>1</v>
      </c>
      <c r="N532" s="1">
        <f t="shared" si="35"/>
        <v>1</v>
      </c>
    </row>
    <row r="533" spans="1:14">
      <c r="A533" s="1" t="str">
        <f>Requirements!A550</f>
        <v>MS-WSP_R528</v>
      </c>
      <c r="B533" s="1">
        <v>1</v>
      </c>
      <c r="C533" s="1"/>
      <c r="D533" s="1"/>
      <c r="E533" s="1"/>
      <c r="F533" s="1"/>
      <c r="G533" s="1"/>
      <c r="H533" s="3">
        <f t="shared" si="32"/>
        <v>1</v>
      </c>
      <c r="I533" s="6">
        <f t="shared" si="33"/>
        <v>1</v>
      </c>
      <c r="J533" s="1" t="b">
        <f t="shared" si="34"/>
        <v>1</v>
      </c>
      <c r="K533" s="1" t="b">
        <f>(Requirements!K550="Normative")</f>
        <v>1</v>
      </c>
      <c r="L533" s="1" t="b">
        <f>(Requirements!L550&lt;&gt;"Non-testable")</f>
        <v>1</v>
      </c>
      <c r="M533" s="1" t="b">
        <f>(VLOOKUP(Requirements!I550,Scope[[Role]:[Description]],2,FALSE)="In")</f>
        <v>1</v>
      </c>
      <c r="N533" s="1">
        <f t="shared" si="35"/>
        <v>1</v>
      </c>
    </row>
    <row r="534" spans="1:14">
      <c r="A534" s="1" t="str">
        <f>Requirements!A551</f>
        <v>MS-WSP_R529</v>
      </c>
      <c r="B534" s="1"/>
      <c r="C534" s="1"/>
      <c r="D534" s="1"/>
      <c r="E534" s="1"/>
      <c r="F534" s="1"/>
      <c r="G534" s="1"/>
      <c r="H534" s="3">
        <f t="shared" si="32"/>
        <v>0</v>
      </c>
      <c r="I534" s="6">
        <f t="shared" si="33"/>
        <v>0</v>
      </c>
      <c r="J534" s="1" t="b">
        <f t="shared" si="34"/>
        <v>1</v>
      </c>
      <c r="K534" s="1" t="b">
        <f>(Requirements!K551="Normative")</f>
        <v>1</v>
      </c>
      <c r="L534" s="1" t="b">
        <f>(Requirements!L551&lt;&gt;"Non-testable")</f>
        <v>1</v>
      </c>
      <c r="M534" s="1" t="b">
        <f>(VLOOKUP(Requirements!I551,Scope[[Role]:[Description]],2,FALSE)="In")</f>
        <v>1</v>
      </c>
      <c r="N534" s="1">
        <f t="shared" si="35"/>
        <v>0</v>
      </c>
    </row>
    <row r="535" spans="1:14">
      <c r="A535" s="1" t="str">
        <f>Requirements!A552</f>
        <v>MS-WSP_R530</v>
      </c>
      <c r="B535" s="1">
        <v>1</v>
      </c>
      <c r="C535" s="1"/>
      <c r="D535" s="1"/>
      <c r="E535" s="1"/>
      <c r="F535" s="1"/>
      <c r="G535" s="1"/>
      <c r="H535" s="3">
        <f t="shared" si="32"/>
        <v>1</v>
      </c>
      <c r="I535" s="6">
        <f t="shared" si="33"/>
        <v>1</v>
      </c>
      <c r="J535" s="1" t="b">
        <f t="shared" si="34"/>
        <v>1</v>
      </c>
      <c r="K535" s="1" t="b">
        <f>(Requirements!K552="Normative")</f>
        <v>1</v>
      </c>
      <c r="L535" s="1" t="b">
        <f>(Requirements!L552&lt;&gt;"Non-testable")</f>
        <v>1</v>
      </c>
      <c r="M535" s="1" t="b">
        <f>(VLOOKUP(Requirements!I552,Scope[[Role]:[Description]],2,FALSE)="In")</f>
        <v>1</v>
      </c>
      <c r="N535" s="1">
        <f t="shared" si="35"/>
        <v>1</v>
      </c>
    </row>
    <row r="536" spans="1:14">
      <c r="A536" s="1" t="str">
        <f>Requirements!A553</f>
        <v>MS-WSP_R531</v>
      </c>
      <c r="B536" s="1">
        <v>1</v>
      </c>
      <c r="C536" s="1"/>
      <c r="D536" s="1"/>
      <c r="E536" s="1"/>
      <c r="F536" s="1"/>
      <c r="G536" s="1"/>
      <c r="H536" s="3">
        <f t="shared" si="32"/>
        <v>1</v>
      </c>
      <c r="I536" s="6">
        <f t="shared" si="33"/>
        <v>1</v>
      </c>
      <c r="J536" s="1" t="b">
        <f t="shared" si="34"/>
        <v>1</v>
      </c>
      <c r="K536" s="1" t="b">
        <f>(Requirements!K553="Normative")</f>
        <v>1</v>
      </c>
      <c r="L536" s="1" t="b">
        <f>(Requirements!L553&lt;&gt;"Non-testable")</f>
        <v>1</v>
      </c>
      <c r="M536" s="1" t="b">
        <f>(VLOOKUP(Requirements!I553,Scope[[Role]:[Description]],2,FALSE)="In")</f>
        <v>1</v>
      </c>
      <c r="N536" s="1">
        <f t="shared" si="35"/>
        <v>1</v>
      </c>
    </row>
    <row r="537" spans="1:14">
      <c r="A537" s="1" t="str">
        <f>Requirements!A554</f>
        <v>MS-WSP_R532</v>
      </c>
      <c r="B537" s="1"/>
      <c r="C537" s="1"/>
      <c r="D537" s="1"/>
      <c r="E537" s="1"/>
      <c r="F537" s="1"/>
      <c r="G537" s="1"/>
      <c r="H537" s="3">
        <f t="shared" si="32"/>
        <v>0</v>
      </c>
      <c r="I537" s="6">
        <f t="shared" si="33"/>
        <v>0</v>
      </c>
      <c r="J537" s="1" t="b">
        <f t="shared" si="34"/>
        <v>0</v>
      </c>
      <c r="K537" s="1" t="b">
        <f>(Requirements!K554="Normative")</f>
        <v>0</v>
      </c>
      <c r="L537" s="1" t="b">
        <f>(Requirements!L554&lt;&gt;"Non-testable")</f>
        <v>1</v>
      </c>
      <c r="M537" s="1" t="b">
        <f>(VLOOKUP(Requirements!I554,Scope[[Role]:[Description]],2,FALSE)="In")</f>
        <v>1</v>
      </c>
      <c r="N537" s="1">
        <f t="shared" si="35"/>
        <v>0</v>
      </c>
    </row>
    <row r="538" spans="1:14">
      <c r="A538" s="1" t="str">
        <f>Requirements!A555</f>
        <v>MS-WSP_R533</v>
      </c>
      <c r="B538" s="1"/>
      <c r="C538" s="1"/>
      <c r="D538" s="1"/>
      <c r="E538" s="1"/>
      <c r="F538" s="1"/>
      <c r="G538" s="1"/>
      <c r="H538" s="3">
        <f t="shared" si="32"/>
        <v>0</v>
      </c>
      <c r="I538" s="6">
        <f t="shared" si="33"/>
        <v>0</v>
      </c>
      <c r="J538" s="1" t="b">
        <f t="shared" si="34"/>
        <v>1</v>
      </c>
      <c r="K538" s="1" t="b">
        <f>(Requirements!K555="Normative")</f>
        <v>1</v>
      </c>
      <c r="L538" s="1" t="b">
        <f>(Requirements!L555&lt;&gt;"Non-testable")</f>
        <v>1</v>
      </c>
      <c r="M538" s="1" t="b">
        <f>(VLOOKUP(Requirements!I555,Scope[[Role]:[Description]],2,FALSE)="In")</f>
        <v>1</v>
      </c>
      <c r="N538" s="1">
        <f t="shared" si="35"/>
        <v>0</v>
      </c>
    </row>
    <row r="539" spans="1:14">
      <c r="A539" s="1" t="str">
        <f>Requirements!A556</f>
        <v>MS-WSP_R534</v>
      </c>
      <c r="B539" s="1">
        <v>1</v>
      </c>
      <c r="C539" s="1"/>
      <c r="D539" s="1"/>
      <c r="E539" s="1"/>
      <c r="F539" s="1"/>
      <c r="G539" s="1"/>
      <c r="H539" s="3">
        <f t="shared" si="32"/>
        <v>1</v>
      </c>
      <c r="I539" s="6">
        <f t="shared" si="33"/>
        <v>1</v>
      </c>
      <c r="J539" s="1" t="b">
        <f t="shared" si="34"/>
        <v>1</v>
      </c>
      <c r="K539" s="1" t="b">
        <f>(Requirements!K556="Normative")</f>
        <v>1</v>
      </c>
      <c r="L539" s="1" t="b">
        <f>(Requirements!L556&lt;&gt;"Non-testable")</f>
        <v>1</v>
      </c>
      <c r="M539" s="1" t="b">
        <f>(VLOOKUP(Requirements!I556,Scope[[Role]:[Description]],2,FALSE)="In")</f>
        <v>1</v>
      </c>
      <c r="N539" s="1">
        <f t="shared" si="35"/>
        <v>1</v>
      </c>
    </row>
    <row r="540" spans="1:14">
      <c r="A540" s="1" t="str">
        <f>Requirements!A557</f>
        <v>MS-WSP_R535</v>
      </c>
      <c r="B540" s="1"/>
      <c r="C540" s="1"/>
      <c r="D540" s="1"/>
      <c r="E540" s="1"/>
      <c r="F540" s="1"/>
      <c r="G540" s="1"/>
      <c r="H540" s="3">
        <f t="shared" si="32"/>
        <v>0</v>
      </c>
      <c r="I540" s="6">
        <f t="shared" si="33"/>
        <v>0</v>
      </c>
      <c r="J540" s="1" t="b">
        <f t="shared" si="34"/>
        <v>0</v>
      </c>
      <c r="K540" s="1" t="b">
        <f>(Requirements!K557="Normative")</f>
        <v>1</v>
      </c>
      <c r="L540" s="1" t="b">
        <f>(Requirements!L557&lt;&gt;"Non-testable")</f>
        <v>1</v>
      </c>
      <c r="M540" s="1" t="b">
        <f>(VLOOKUP(Requirements!I557,Scope[[Role]:[Description]],2,FALSE)="In")</f>
        <v>0</v>
      </c>
      <c r="N540" s="1">
        <f t="shared" si="35"/>
        <v>0</v>
      </c>
    </row>
    <row r="541" spans="1:14">
      <c r="A541" s="1" t="str">
        <f>Requirements!A558</f>
        <v>MS-WSP_R536</v>
      </c>
      <c r="B541" s="1">
        <v>1</v>
      </c>
      <c r="C541" s="1"/>
      <c r="D541" s="1"/>
      <c r="E541" s="1"/>
      <c r="F541" s="1"/>
      <c r="G541" s="1"/>
      <c r="H541" s="3">
        <f t="shared" si="32"/>
        <v>1</v>
      </c>
      <c r="I541" s="6">
        <f t="shared" si="33"/>
        <v>1</v>
      </c>
      <c r="J541" s="1" t="b">
        <f t="shared" si="34"/>
        <v>1</v>
      </c>
      <c r="K541" s="1" t="b">
        <f>(Requirements!K558="Normative")</f>
        <v>1</v>
      </c>
      <c r="L541" s="1" t="b">
        <f>(Requirements!L558&lt;&gt;"Non-testable")</f>
        <v>1</v>
      </c>
      <c r="M541" s="1" t="b">
        <f>(VLOOKUP(Requirements!I558,Scope[[Role]:[Description]],2,FALSE)="In")</f>
        <v>1</v>
      </c>
      <c r="N541" s="1">
        <f t="shared" si="35"/>
        <v>1</v>
      </c>
    </row>
    <row r="542" spans="1:14">
      <c r="A542" s="1" t="str">
        <f>Requirements!A559</f>
        <v>MS-WSP_R537</v>
      </c>
      <c r="B542" s="1">
        <v>1</v>
      </c>
      <c r="C542" s="1"/>
      <c r="D542" s="1"/>
      <c r="E542" s="1"/>
      <c r="F542" s="1"/>
      <c r="G542" s="1"/>
      <c r="H542" s="3">
        <f t="shared" si="32"/>
        <v>1</v>
      </c>
      <c r="I542" s="6">
        <f t="shared" si="33"/>
        <v>1</v>
      </c>
      <c r="J542" s="1" t="b">
        <f t="shared" si="34"/>
        <v>1</v>
      </c>
      <c r="K542" s="1" t="b">
        <f>(Requirements!K559="Normative")</f>
        <v>1</v>
      </c>
      <c r="L542" s="1" t="b">
        <f>(Requirements!L559&lt;&gt;"Non-testable")</f>
        <v>1</v>
      </c>
      <c r="M542" s="1" t="b">
        <f>(VLOOKUP(Requirements!I559,Scope[[Role]:[Description]],2,FALSE)="In")</f>
        <v>1</v>
      </c>
      <c r="N542" s="1">
        <f t="shared" si="35"/>
        <v>1</v>
      </c>
    </row>
    <row r="543" spans="1:14">
      <c r="A543" s="1" t="str">
        <f>Requirements!A560</f>
        <v>MS-WSP_R538</v>
      </c>
      <c r="B543" s="1">
        <v>1</v>
      </c>
      <c r="C543" s="1"/>
      <c r="D543" s="1"/>
      <c r="E543" s="1"/>
      <c r="F543" s="1"/>
      <c r="G543" s="1"/>
      <c r="H543" s="3">
        <f t="shared" si="32"/>
        <v>1</v>
      </c>
      <c r="I543" s="6">
        <f t="shared" si="33"/>
        <v>1</v>
      </c>
      <c r="J543" s="1" t="b">
        <f t="shared" si="34"/>
        <v>1</v>
      </c>
      <c r="K543" s="1" t="b">
        <f>(Requirements!K560="Normative")</f>
        <v>1</v>
      </c>
      <c r="L543" s="1" t="b">
        <f>(Requirements!L560&lt;&gt;"Non-testable")</f>
        <v>1</v>
      </c>
      <c r="M543" s="1" t="b">
        <f>(VLOOKUP(Requirements!I560,Scope[[Role]:[Description]],2,FALSE)="In")</f>
        <v>1</v>
      </c>
      <c r="N543" s="1">
        <f t="shared" si="35"/>
        <v>1</v>
      </c>
    </row>
    <row r="544" spans="1:14">
      <c r="A544" s="1" t="str">
        <f>Requirements!A561</f>
        <v>MS-WSP_R539</v>
      </c>
      <c r="B544" s="1">
        <v>1</v>
      </c>
      <c r="C544" s="1"/>
      <c r="D544" s="1"/>
      <c r="E544" s="1"/>
      <c r="F544" s="1"/>
      <c r="G544" s="1"/>
      <c r="H544" s="3">
        <f t="shared" si="32"/>
        <v>1</v>
      </c>
      <c r="I544" s="6">
        <f t="shared" si="33"/>
        <v>1</v>
      </c>
      <c r="J544" s="1" t="b">
        <f t="shared" si="34"/>
        <v>1</v>
      </c>
      <c r="K544" s="1" t="b">
        <f>(Requirements!K561="Normative")</f>
        <v>1</v>
      </c>
      <c r="L544" s="1" t="b">
        <f>(Requirements!L561&lt;&gt;"Non-testable")</f>
        <v>1</v>
      </c>
      <c r="M544" s="1" t="b">
        <f>(VLOOKUP(Requirements!I561,Scope[[Role]:[Description]],2,FALSE)="In")</f>
        <v>1</v>
      </c>
      <c r="N544" s="1">
        <f t="shared" si="35"/>
        <v>1</v>
      </c>
    </row>
    <row r="545" spans="1:14">
      <c r="A545" s="1" t="str">
        <f>Requirements!A562</f>
        <v>MS-WSP_R540</v>
      </c>
      <c r="B545" s="1">
        <v>1</v>
      </c>
      <c r="C545" s="1"/>
      <c r="D545" s="1"/>
      <c r="E545" s="1"/>
      <c r="F545" s="1"/>
      <c r="G545" s="1"/>
      <c r="H545" s="3">
        <f t="shared" si="32"/>
        <v>1</v>
      </c>
      <c r="I545" s="6">
        <f t="shared" si="33"/>
        <v>1</v>
      </c>
      <c r="J545" s="1" t="b">
        <f t="shared" si="34"/>
        <v>1</v>
      </c>
      <c r="K545" s="1" t="b">
        <f>(Requirements!K562="Normative")</f>
        <v>1</v>
      </c>
      <c r="L545" s="1" t="b">
        <f>(Requirements!L562&lt;&gt;"Non-testable")</f>
        <v>1</v>
      </c>
      <c r="M545" s="1" t="b">
        <f>(VLOOKUP(Requirements!I562,Scope[[Role]:[Description]],2,FALSE)="In")</f>
        <v>1</v>
      </c>
      <c r="N545" s="1">
        <f t="shared" si="35"/>
        <v>1</v>
      </c>
    </row>
    <row r="546" spans="1:14">
      <c r="A546" s="1" t="str">
        <f>Requirements!A563</f>
        <v>MS-WSP_R541</v>
      </c>
      <c r="B546" s="1">
        <v>1</v>
      </c>
      <c r="C546" s="1"/>
      <c r="D546" s="1"/>
      <c r="E546" s="1"/>
      <c r="F546" s="1"/>
      <c r="G546" s="1"/>
      <c r="H546" s="3">
        <f t="shared" si="32"/>
        <v>1</v>
      </c>
      <c r="I546" s="6">
        <f t="shared" si="33"/>
        <v>1</v>
      </c>
      <c r="J546" s="1" t="b">
        <f t="shared" si="34"/>
        <v>1</v>
      </c>
      <c r="K546" s="1" t="b">
        <f>(Requirements!K563="Normative")</f>
        <v>1</v>
      </c>
      <c r="L546" s="1" t="b">
        <f>(Requirements!L563&lt;&gt;"Non-testable")</f>
        <v>1</v>
      </c>
      <c r="M546" s="1" t="b">
        <f>(VLOOKUP(Requirements!I563,Scope[[Role]:[Description]],2,FALSE)="In")</f>
        <v>1</v>
      </c>
      <c r="N546" s="1">
        <f t="shared" si="35"/>
        <v>1</v>
      </c>
    </row>
    <row r="547" spans="1:14">
      <c r="A547" s="1" t="str">
        <f>Requirements!A564</f>
        <v>MS-WSP_R542</v>
      </c>
      <c r="B547" s="1"/>
      <c r="C547" s="1"/>
      <c r="D547" s="1"/>
      <c r="E547" s="1"/>
      <c r="F547" s="1"/>
      <c r="G547" s="1"/>
      <c r="H547" s="3">
        <f t="shared" si="32"/>
        <v>0</v>
      </c>
      <c r="I547" s="6">
        <f t="shared" si="33"/>
        <v>0</v>
      </c>
      <c r="J547" s="1" t="b">
        <f t="shared" si="34"/>
        <v>1</v>
      </c>
      <c r="K547" s="1" t="b">
        <f>(Requirements!K564="Normative")</f>
        <v>1</v>
      </c>
      <c r="L547" s="1" t="b">
        <f>(Requirements!L564&lt;&gt;"Non-testable")</f>
        <v>1</v>
      </c>
      <c r="M547" s="1" t="b">
        <f>(VLOOKUP(Requirements!I564,Scope[[Role]:[Description]],2,FALSE)="In")</f>
        <v>1</v>
      </c>
      <c r="N547" s="1">
        <f t="shared" si="35"/>
        <v>0</v>
      </c>
    </row>
    <row r="548" spans="1:14">
      <c r="A548" s="1" t="str">
        <f>Requirements!A565</f>
        <v>MS-WSP_R543</v>
      </c>
      <c r="B548" s="1"/>
      <c r="C548" s="1"/>
      <c r="D548" s="1"/>
      <c r="E548" s="1"/>
      <c r="F548" s="1"/>
      <c r="G548" s="1"/>
      <c r="H548" s="3">
        <f t="shared" si="32"/>
        <v>0</v>
      </c>
      <c r="I548" s="6">
        <f t="shared" si="33"/>
        <v>0</v>
      </c>
      <c r="J548" s="1" t="b">
        <f t="shared" si="34"/>
        <v>0</v>
      </c>
      <c r="K548" s="1" t="b">
        <f>(Requirements!K565="Normative")</f>
        <v>0</v>
      </c>
      <c r="L548" s="1" t="b">
        <f>(Requirements!L565&lt;&gt;"Non-testable")</f>
        <v>1</v>
      </c>
      <c r="M548" s="1" t="b">
        <f>(VLOOKUP(Requirements!I565,Scope[[Role]:[Description]],2,FALSE)="In")</f>
        <v>0</v>
      </c>
      <c r="N548" s="1">
        <f t="shared" si="35"/>
        <v>0</v>
      </c>
    </row>
    <row r="549" spans="1:14">
      <c r="A549" s="1" t="str">
        <f>Requirements!A566</f>
        <v>MS-WSP_R544</v>
      </c>
      <c r="B549" s="1"/>
      <c r="C549" s="1"/>
      <c r="D549" s="1"/>
      <c r="E549" s="1"/>
      <c r="F549" s="1"/>
      <c r="G549" s="1"/>
      <c r="H549" s="3">
        <f t="shared" si="32"/>
        <v>0</v>
      </c>
      <c r="I549" s="6">
        <f t="shared" si="33"/>
        <v>0</v>
      </c>
      <c r="J549" s="1" t="b">
        <f t="shared" si="34"/>
        <v>0</v>
      </c>
      <c r="K549" s="1" t="b">
        <f>(Requirements!K566="Normative")</f>
        <v>1</v>
      </c>
      <c r="L549" s="1" t="b">
        <f>(Requirements!L566&lt;&gt;"Non-testable")</f>
        <v>0</v>
      </c>
      <c r="M549" s="1" t="b">
        <f>(VLOOKUP(Requirements!I566,Scope[[Role]:[Description]],2,FALSE)="In")</f>
        <v>1</v>
      </c>
      <c r="N549" s="1">
        <f t="shared" si="35"/>
        <v>0</v>
      </c>
    </row>
    <row r="550" spans="1:14">
      <c r="A550" s="1" t="str">
        <f>Requirements!A567</f>
        <v>MS-WSP_R545</v>
      </c>
      <c r="B550" s="1"/>
      <c r="C550" s="1">
        <v>1</v>
      </c>
      <c r="D550" s="1"/>
      <c r="E550" s="1"/>
      <c r="F550" s="1"/>
      <c r="G550" s="1"/>
      <c r="H550" s="3">
        <f t="shared" si="32"/>
        <v>1</v>
      </c>
      <c r="I550" s="6">
        <f t="shared" si="33"/>
        <v>1</v>
      </c>
      <c r="J550" s="1" t="b">
        <f t="shared" si="34"/>
        <v>1</v>
      </c>
      <c r="K550" s="1" t="b">
        <f>(Requirements!K567="Normative")</f>
        <v>1</v>
      </c>
      <c r="L550" s="1" t="b">
        <f>(Requirements!L567&lt;&gt;"Non-testable")</f>
        <v>1</v>
      </c>
      <c r="M550" s="1" t="b">
        <f>(VLOOKUP(Requirements!I567,Scope[[Role]:[Description]],2,FALSE)="In")</f>
        <v>1</v>
      </c>
      <c r="N550" s="1">
        <f t="shared" si="35"/>
        <v>1</v>
      </c>
    </row>
    <row r="551" spans="1:14">
      <c r="A551" s="1" t="str">
        <f>Requirements!A568</f>
        <v>MS-WSP_R546</v>
      </c>
      <c r="B551" s="1"/>
      <c r="C551" s="1"/>
      <c r="D551" s="1"/>
      <c r="E551" s="1"/>
      <c r="F551" s="1"/>
      <c r="G551" s="1"/>
      <c r="H551" s="3">
        <f t="shared" si="32"/>
        <v>0</v>
      </c>
      <c r="I551" s="6">
        <f t="shared" si="33"/>
        <v>0</v>
      </c>
      <c r="J551" s="1" t="b">
        <f t="shared" si="34"/>
        <v>0</v>
      </c>
      <c r="K551" s="1" t="b">
        <f>(Requirements!K568="Normative")</f>
        <v>1</v>
      </c>
      <c r="L551" s="1" t="b">
        <f>(Requirements!L568&lt;&gt;"Non-testable")</f>
        <v>1</v>
      </c>
      <c r="M551" s="1" t="b">
        <f>(VLOOKUP(Requirements!I568,Scope[[Role]:[Description]],2,FALSE)="In")</f>
        <v>0</v>
      </c>
      <c r="N551" s="1">
        <f t="shared" si="35"/>
        <v>0</v>
      </c>
    </row>
    <row r="552" spans="1:14">
      <c r="A552" s="1" t="str">
        <f>Requirements!A569</f>
        <v>MS-WSP_R547</v>
      </c>
      <c r="B552" s="1"/>
      <c r="C552" s="1">
        <v>1</v>
      </c>
      <c r="D552" s="1"/>
      <c r="E552" s="1"/>
      <c r="F552" s="1"/>
      <c r="G552" s="1"/>
      <c r="H552" s="3">
        <f t="shared" si="32"/>
        <v>1</v>
      </c>
      <c r="I552" s="6">
        <f t="shared" si="33"/>
        <v>1</v>
      </c>
      <c r="J552" s="1" t="b">
        <f t="shared" si="34"/>
        <v>1</v>
      </c>
      <c r="K552" s="1" t="b">
        <f>(Requirements!K569="Normative")</f>
        <v>1</v>
      </c>
      <c r="L552" s="1" t="b">
        <f>(Requirements!L569&lt;&gt;"Non-testable")</f>
        <v>1</v>
      </c>
      <c r="M552" s="1" t="b">
        <f>(VLOOKUP(Requirements!I569,Scope[[Role]:[Description]],2,FALSE)="In")</f>
        <v>1</v>
      </c>
      <c r="N552" s="1">
        <f t="shared" si="35"/>
        <v>1</v>
      </c>
    </row>
    <row r="553" spans="1:14">
      <c r="A553" s="1" t="str">
        <f>Requirements!A570</f>
        <v>MS-WSP_R548</v>
      </c>
      <c r="B553" s="1"/>
      <c r="C553" s="1">
        <v>1</v>
      </c>
      <c r="D553" s="1"/>
      <c r="E553" s="1"/>
      <c r="F553" s="1"/>
      <c r="G553" s="1"/>
      <c r="H553" s="3">
        <f t="shared" si="32"/>
        <v>1</v>
      </c>
      <c r="I553" s="6">
        <f t="shared" si="33"/>
        <v>1</v>
      </c>
      <c r="J553" s="1" t="b">
        <f t="shared" si="34"/>
        <v>1</v>
      </c>
      <c r="K553" s="1" t="b">
        <f>(Requirements!K570="Normative")</f>
        <v>1</v>
      </c>
      <c r="L553" s="1" t="b">
        <f>(Requirements!L570&lt;&gt;"Non-testable")</f>
        <v>1</v>
      </c>
      <c r="M553" s="1" t="b">
        <f>(VLOOKUP(Requirements!I570,Scope[[Role]:[Description]],2,FALSE)="In")</f>
        <v>1</v>
      </c>
      <c r="N553" s="1">
        <f t="shared" si="35"/>
        <v>1</v>
      </c>
    </row>
    <row r="554" spans="1:14">
      <c r="A554" s="1" t="str">
        <f>Requirements!A571</f>
        <v>MS-WSP_R549</v>
      </c>
      <c r="B554" s="1"/>
      <c r="C554" s="1">
        <v>1</v>
      </c>
      <c r="D554" s="1"/>
      <c r="E554" s="1"/>
      <c r="F554" s="1"/>
      <c r="G554" s="1"/>
      <c r="H554" s="3">
        <f t="shared" si="32"/>
        <v>1</v>
      </c>
      <c r="I554" s="6">
        <f t="shared" si="33"/>
        <v>1</v>
      </c>
      <c r="J554" s="1" t="b">
        <f t="shared" si="34"/>
        <v>1</v>
      </c>
      <c r="K554" s="1" t="b">
        <f>(Requirements!K571="Normative")</f>
        <v>1</v>
      </c>
      <c r="L554" s="1" t="b">
        <f>(Requirements!L571&lt;&gt;"Non-testable")</f>
        <v>1</v>
      </c>
      <c r="M554" s="1" t="b">
        <f>(VLOOKUP(Requirements!I571,Scope[[Role]:[Description]],2,FALSE)="In")</f>
        <v>1</v>
      </c>
      <c r="N554" s="1">
        <f t="shared" si="35"/>
        <v>1</v>
      </c>
    </row>
    <row r="555" spans="1:14">
      <c r="A555" s="1" t="str">
        <f>Requirements!A572</f>
        <v>MS-WSP_R550</v>
      </c>
      <c r="B555" s="1"/>
      <c r="C555" s="1">
        <v>1</v>
      </c>
      <c r="D555" s="1"/>
      <c r="E555" s="1"/>
      <c r="F555" s="1"/>
      <c r="G555" s="1"/>
      <c r="H555" s="3">
        <f t="shared" si="32"/>
        <v>1</v>
      </c>
      <c r="I555" s="6">
        <f t="shared" si="33"/>
        <v>1</v>
      </c>
      <c r="J555" s="1" t="b">
        <f t="shared" si="34"/>
        <v>1</v>
      </c>
      <c r="K555" s="1" t="b">
        <f>(Requirements!K572="Normative")</f>
        <v>1</v>
      </c>
      <c r="L555" s="1" t="b">
        <f>(Requirements!L572&lt;&gt;"Non-testable")</f>
        <v>1</v>
      </c>
      <c r="M555" s="1" t="b">
        <f>(VLOOKUP(Requirements!I572,Scope[[Role]:[Description]],2,FALSE)="In")</f>
        <v>1</v>
      </c>
      <c r="N555" s="1">
        <f t="shared" si="35"/>
        <v>1</v>
      </c>
    </row>
    <row r="556" spans="1:14">
      <c r="A556" s="1" t="str">
        <f>Requirements!A573</f>
        <v>MS-WSP_R551</v>
      </c>
      <c r="B556" s="1"/>
      <c r="C556" s="1">
        <v>1</v>
      </c>
      <c r="D556" s="1"/>
      <c r="E556" s="1"/>
      <c r="F556" s="1"/>
      <c r="G556" s="1"/>
      <c r="H556" s="3">
        <f t="shared" si="32"/>
        <v>1</v>
      </c>
      <c r="I556" s="6">
        <f t="shared" si="33"/>
        <v>1</v>
      </c>
      <c r="J556" s="1" t="b">
        <f t="shared" si="34"/>
        <v>1</v>
      </c>
      <c r="K556" s="1" t="b">
        <f>(Requirements!K573="Normative")</f>
        <v>1</v>
      </c>
      <c r="L556" s="1" t="b">
        <f>(Requirements!L573&lt;&gt;"Non-testable")</f>
        <v>1</v>
      </c>
      <c r="M556" s="1" t="b">
        <f>(VLOOKUP(Requirements!I573,Scope[[Role]:[Description]],2,FALSE)="In")</f>
        <v>1</v>
      </c>
      <c r="N556" s="1">
        <f t="shared" si="35"/>
        <v>1</v>
      </c>
    </row>
    <row r="557" spans="1:14">
      <c r="A557" s="1" t="str">
        <f>Requirements!A574</f>
        <v>MS-WSP_R552</v>
      </c>
      <c r="B557" s="1"/>
      <c r="C557" s="1">
        <v>1</v>
      </c>
      <c r="D557" s="1"/>
      <c r="E557" s="1"/>
      <c r="F557" s="1"/>
      <c r="G557" s="1"/>
      <c r="H557" s="3">
        <f t="shared" si="32"/>
        <v>1</v>
      </c>
      <c r="I557" s="6">
        <f t="shared" si="33"/>
        <v>1</v>
      </c>
      <c r="J557" s="1" t="b">
        <f t="shared" si="34"/>
        <v>1</v>
      </c>
      <c r="K557" s="1" t="b">
        <f>(Requirements!K574="Normative")</f>
        <v>1</v>
      </c>
      <c r="L557" s="1" t="b">
        <f>(Requirements!L574&lt;&gt;"Non-testable")</f>
        <v>1</v>
      </c>
      <c r="M557" s="1" t="b">
        <f>(VLOOKUP(Requirements!I574,Scope[[Role]:[Description]],2,FALSE)="In")</f>
        <v>1</v>
      </c>
      <c r="N557" s="1">
        <f t="shared" si="35"/>
        <v>1</v>
      </c>
    </row>
    <row r="558" spans="1:14">
      <c r="A558" s="1" t="str">
        <f>Requirements!A575</f>
        <v>MS-WSP_R553</v>
      </c>
      <c r="B558" s="1"/>
      <c r="C558" s="1"/>
      <c r="D558" s="1"/>
      <c r="E558" s="1"/>
      <c r="F558" s="1"/>
      <c r="G558" s="1"/>
      <c r="H558" s="3">
        <f t="shared" si="32"/>
        <v>0</v>
      </c>
      <c r="I558" s="6">
        <f t="shared" si="33"/>
        <v>0</v>
      </c>
      <c r="J558" s="1" t="b">
        <f t="shared" si="34"/>
        <v>0</v>
      </c>
      <c r="K558" s="1" t="b">
        <f>(Requirements!K575="Normative")</f>
        <v>0</v>
      </c>
      <c r="L558" s="1" t="b">
        <f>(Requirements!L575&lt;&gt;"Non-testable")</f>
        <v>1</v>
      </c>
      <c r="M558" s="1" t="b">
        <f>(VLOOKUP(Requirements!I575,Scope[[Role]:[Description]],2,FALSE)="In")</f>
        <v>0</v>
      </c>
      <c r="N558" s="1">
        <f t="shared" si="35"/>
        <v>0</v>
      </c>
    </row>
    <row r="559" spans="1:14">
      <c r="A559" s="1" t="str">
        <f>Requirements!A576</f>
        <v>MS-WSP_R554</v>
      </c>
      <c r="B559" s="1"/>
      <c r="C559" s="1"/>
      <c r="D559" s="1"/>
      <c r="E559" s="1"/>
      <c r="F559" s="1"/>
      <c r="G559" s="1"/>
      <c r="H559" s="3">
        <f t="shared" si="32"/>
        <v>0</v>
      </c>
      <c r="I559" s="6">
        <f t="shared" si="33"/>
        <v>0</v>
      </c>
      <c r="J559" s="1" t="b">
        <f t="shared" si="34"/>
        <v>0</v>
      </c>
      <c r="K559" s="1" t="b">
        <f>(Requirements!K576="Normative")</f>
        <v>1</v>
      </c>
      <c r="L559" s="1" t="b">
        <f>(Requirements!L576&lt;&gt;"Non-testable")</f>
        <v>1</v>
      </c>
      <c r="M559" s="1" t="b">
        <f>(VLOOKUP(Requirements!I576,Scope[[Role]:[Description]],2,FALSE)="In")</f>
        <v>0</v>
      </c>
      <c r="N559" s="1">
        <f t="shared" si="35"/>
        <v>0</v>
      </c>
    </row>
    <row r="560" spans="1:14">
      <c r="A560" s="1" t="str">
        <f>Requirements!A577</f>
        <v>MS-WSP_R555</v>
      </c>
      <c r="B560" s="1"/>
      <c r="C560" s="1"/>
      <c r="D560" s="1"/>
      <c r="E560" s="1"/>
      <c r="F560" s="1"/>
      <c r="G560" s="1"/>
      <c r="H560" s="3">
        <f t="shared" si="32"/>
        <v>0</v>
      </c>
      <c r="I560" s="6">
        <f t="shared" si="33"/>
        <v>0</v>
      </c>
      <c r="J560" s="1" t="b">
        <f t="shared" si="34"/>
        <v>0</v>
      </c>
      <c r="K560" s="1" t="b">
        <f>(Requirements!K577="Normative")</f>
        <v>1</v>
      </c>
      <c r="L560" s="1" t="b">
        <f>(Requirements!L577&lt;&gt;"Non-testable")</f>
        <v>1</v>
      </c>
      <c r="M560" s="1" t="b">
        <f>(VLOOKUP(Requirements!I577,Scope[[Role]:[Description]],2,FALSE)="In")</f>
        <v>0</v>
      </c>
      <c r="N560" s="1">
        <f t="shared" si="35"/>
        <v>0</v>
      </c>
    </row>
    <row r="561" spans="1:14">
      <c r="A561" s="1" t="str">
        <f>Requirements!A578</f>
        <v>MS-WSP_R556</v>
      </c>
      <c r="B561" s="1"/>
      <c r="C561" s="1"/>
      <c r="D561" s="1"/>
      <c r="E561" s="1"/>
      <c r="F561" s="1"/>
      <c r="G561" s="1"/>
      <c r="H561" s="3">
        <f t="shared" si="32"/>
        <v>0</v>
      </c>
      <c r="I561" s="6">
        <f t="shared" si="33"/>
        <v>0</v>
      </c>
      <c r="J561" s="1" t="b">
        <f t="shared" si="34"/>
        <v>0</v>
      </c>
      <c r="K561" s="1" t="b">
        <f>(Requirements!K578="Normative")</f>
        <v>1</v>
      </c>
      <c r="L561" s="1" t="b">
        <f>(Requirements!L578&lt;&gt;"Non-testable")</f>
        <v>1</v>
      </c>
      <c r="M561" s="1" t="b">
        <f>(VLOOKUP(Requirements!I578,Scope[[Role]:[Description]],2,FALSE)="In")</f>
        <v>0</v>
      </c>
      <c r="N561" s="1">
        <f t="shared" si="35"/>
        <v>0</v>
      </c>
    </row>
    <row r="562" spans="1:14">
      <c r="A562" s="1" t="str">
        <f>Requirements!A579</f>
        <v>MS-WSP_R557</v>
      </c>
      <c r="B562" s="1"/>
      <c r="C562" s="1"/>
      <c r="D562" s="1"/>
      <c r="E562" s="1"/>
      <c r="F562" s="1"/>
      <c r="G562" s="1"/>
      <c r="H562" s="3">
        <f t="shared" si="32"/>
        <v>0</v>
      </c>
      <c r="I562" s="6">
        <f t="shared" si="33"/>
        <v>0</v>
      </c>
      <c r="J562" s="1" t="b">
        <f t="shared" si="34"/>
        <v>0</v>
      </c>
      <c r="K562" s="1" t="b">
        <f>(Requirements!K579="Normative")</f>
        <v>1</v>
      </c>
      <c r="L562" s="1" t="b">
        <f>(Requirements!L579&lt;&gt;"Non-testable")</f>
        <v>1</v>
      </c>
      <c r="M562" s="1" t="b">
        <f>(VLOOKUP(Requirements!I579,Scope[[Role]:[Description]],2,FALSE)="In")</f>
        <v>0</v>
      </c>
      <c r="N562" s="1">
        <f t="shared" si="35"/>
        <v>0</v>
      </c>
    </row>
    <row r="563" spans="1:14">
      <c r="A563" s="1" t="str">
        <f>Requirements!A580</f>
        <v>MS-WSP_R558</v>
      </c>
      <c r="B563" s="1">
        <v>1</v>
      </c>
      <c r="C563" s="1"/>
      <c r="D563" s="1"/>
      <c r="E563" s="1"/>
      <c r="F563" s="1"/>
      <c r="G563" s="1"/>
      <c r="H563" s="3">
        <f t="shared" si="32"/>
        <v>1</v>
      </c>
      <c r="I563" s="6">
        <f t="shared" si="33"/>
        <v>1</v>
      </c>
      <c r="J563" s="1" t="b">
        <f t="shared" si="34"/>
        <v>0</v>
      </c>
      <c r="K563" s="1" t="b">
        <f>(Requirements!K580="Normative")</f>
        <v>0</v>
      </c>
      <c r="L563" s="1" t="b">
        <f>(Requirements!L580&lt;&gt;"Non-testable")</f>
        <v>1</v>
      </c>
      <c r="M563" s="1" t="b">
        <f>(VLOOKUP(Requirements!I580,Scope[[Role]:[Description]],2,FALSE)="In")</f>
        <v>1</v>
      </c>
      <c r="N563" s="1">
        <f t="shared" si="35"/>
        <v>0</v>
      </c>
    </row>
    <row r="564" spans="1:14">
      <c r="A564" s="1" t="str">
        <f>Requirements!A581</f>
        <v>MS-WSP_R559</v>
      </c>
      <c r="B564" s="1"/>
      <c r="C564" s="1"/>
      <c r="D564" s="1"/>
      <c r="E564" s="1"/>
      <c r="F564" s="1"/>
      <c r="G564" s="1"/>
      <c r="H564" s="3">
        <f t="shared" si="32"/>
        <v>0</v>
      </c>
      <c r="I564" s="6">
        <f t="shared" si="33"/>
        <v>0</v>
      </c>
      <c r="J564" s="1" t="b">
        <f t="shared" si="34"/>
        <v>0</v>
      </c>
      <c r="K564" s="1" t="b">
        <f>(Requirements!K581="Normative")</f>
        <v>1</v>
      </c>
      <c r="L564" s="1" t="b">
        <f>(Requirements!L581&lt;&gt;"Non-testable")</f>
        <v>1</v>
      </c>
      <c r="M564" s="1" t="b">
        <f>(VLOOKUP(Requirements!I581,Scope[[Role]:[Description]],2,FALSE)="In")</f>
        <v>0</v>
      </c>
      <c r="N564" s="1">
        <f t="shared" si="35"/>
        <v>0</v>
      </c>
    </row>
    <row r="565" spans="1:14">
      <c r="A565" s="1" t="str">
        <f>Requirements!A582</f>
        <v>MS-WSP_R560</v>
      </c>
      <c r="B565" s="1"/>
      <c r="C565" s="1"/>
      <c r="D565" s="1"/>
      <c r="E565" s="1"/>
      <c r="F565" s="1"/>
      <c r="G565" s="1"/>
      <c r="H565" s="3">
        <f t="shared" si="32"/>
        <v>0</v>
      </c>
      <c r="I565" s="6">
        <f t="shared" si="33"/>
        <v>0</v>
      </c>
      <c r="J565" s="1" t="b">
        <f t="shared" si="34"/>
        <v>0</v>
      </c>
      <c r="K565" s="1" t="b">
        <f>(Requirements!K582="Normative")</f>
        <v>1</v>
      </c>
      <c r="L565" s="1" t="b">
        <f>(Requirements!L582&lt;&gt;"Non-testable")</f>
        <v>1</v>
      </c>
      <c r="M565" s="1" t="b">
        <f>(VLOOKUP(Requirements!I582,Scope[[Role]:[Description]],2,FALSE)="In")</f>
        <v>0</v>
      </c>
      <c r="N565" s="1">
        <f t="shared" si="35"/>
        <v>0</v>
      </c>
    </row>
    <row r="566" spans="1:14">
      <c r="A566" s="1" t="str">
        <f>Requirements!A583</f>
        <v>MS-WSP_R561</v>
      </c>
      <c r="B566" s="1"/>
      <c r="C566" s="1"/>
      <c r="D566" s="1"/>
      <c r="E566" s="1"/>
      <c r="F566" s="1"/>
      <c r="G566" s="1"/>
      <c r="H566" s="3">
        <f t="shared" si="32"/>
        <v>0</v>
      </c>
      <c r="I566" s="6">
        <f t="shared" si="33"/>
        <v>0</v>
      </c>
      <c r="J566" s="1" t="b">
        <f t="shared" si="34"/>
        <v>0</v>
      </c>
      <c r="K566" s="1" t="b">
        <f>(Requirements!K583="Normative")</f>
        <v>1</v>
      </c>
      <c r="L566" s="1" t="b">
        <f>(Requirements!L583&lt;&gt;"Non-testable")</f>
        <v>0</v>
      </c>
      <c r="M566" s="1" t="b">
        <f>(VLOOKUP(Requirements!I583,Scope[[Role]:[Description]],2,FALSE)="In")</f>
        <v>1</v>
      </c>
      <c r="N566" s="1">
        <f t="shared" si="35"/>
        <v>0</v>
      </c>
    </row>
    <row r="567" spans="1:14">
      <c r="A567" s="1" t="str">
        <f>Requirements!A584</f>
        <v>MS-WSP_R562</v>
      </c>
      <c r="B567" s="1">
        <v>1</v>
      </c>
      <c r="C567" s="1"/>
      <c r="D567" s="1"/>
      <c r="E567" s="1"/>
      <c r="F567" s="1"/>
      <c r="G567" s="1"/>
      <c r="H567" s="3">
        <f t="shared" si="32"/>
        <v>1</v>
      </c>
      <c r="I567" s="6">
        <f t="shared" si="33"/>
        <v>1</v>
      </c>
      <c r="J567" s="1" t="b">
        <f t="shared" si="34"/>
        <v>1</v>
      </c>
      <c r="K567" s="1" t="b">
        <f>(Requirements!K584="Normative")</f>
        <v>1</v>
      </c>
      <c r="L567" s="1" t="b">
        <f>(Requirements!L584&lt;&gt;"Non-testable")</f>
        <v>1</v>
      </c>
      <c r="M567" s="1" t="b">
        <f>(VLOOKUP(Requirements!I584,Scope[[Role]:[Description]],2,FALSE)="In")</f>
        <v>1</v>
      </c>
      <c r="N567" s="1">
        <f t="shared" si="35"/>
        <v>1</v>
      </c>
    </row>
    <row r="568" spans="1:14">
      <c r="A568" s="1" t="str">
        <f>Requirements!A585</f>
        <v>MS-WSP_R563</v>
      </c>
      <c r="B568" s="1">
        <v>1</v>
      </c>
      <c r="C568" s="1"/>
      <c r="D568" s="1"/>
      <c r="E568" s="1"/>
      <c r="F568" s="1"/>
      <c r="G568" s="1"/>
      <c r="H568" s="3">
        <f t="shared" si="32"/>
        <v>1</v>
      </c>
      <c r="I568" s="6">
        <f t="shared" si="33"/>
        <v>1</v>
      </c>
      <c r="J568" s="1" t="b">
        <f t="shared" si="34"/>
        <v>1</v>
      </c>
      <c r="K568" s="1" t="b">
        <f>(Requirements!K585="Normative")</f>
        <v>1</v>
      </c>
      <c r="L568" s="1" t="b">
        <f>(Requirements!L585&lt;&gt;"Non-testable")</f>
        <v>1</v>
      </c>
      <c r="M568" s="1" t="b">
        <f>(VLOOKUP(Requirements!I585,Scope[[Role]:[Description]],2,FALSE)="In")</f>
        <v>1</v>
      </c>
      <c r="N568" s="1">
        <f t="shared" si="35"/>
        <v>1</v>
      </c>
    </row>
    <row r="569" spans="1:14">
      <c r="A569" s="1" t="str">
        <f>Requirements!A586</f>
        <v>MS-WSP_R564</v>
      </c>
      <c r="B569" s="1">
        <v>1</v>
      </c>
      <c r="C569" s="1"/>
      <c r="D569" s="1"/>
      <c r="E569" s="1"/>
      <c r="F569" s="1"/>
      <c r="G569" s="1"/>
      <c r="H569" s="3">
        <f t="shared" si="32"/>
        <v>1</v>
      </c>
      <c r="I569" s="6">
        <f t="shared" si="33"/>
        <v>1</v>
      </c>
      <c r="J569" s="1" t="b">
        <f t="shared" si="34"/>
        <v>1</v>
      </c>
      <c r="K569" s="1" t="b">
        <f>(Requirements!K586="Normative")</f>
        <v>1</v>
      </c>
      <c r="L569" s="1" t="b">
        <f>(Requirements!L586&lt;&gt;"Non-testable")</f>
        <v>1</v>
      </c>
      <c r="M569" s="1" t="b">
        <f>(VLOOKUP(Requirements!I586,Scope[[Role]:[Description]],2,FALSE)="In")</f>
        <v>1</v>
      </c>
      <c r="N569" s="1">
        <f t="shared" si="35"/>
        <v>1</v>
      </c>
    </row>
    <row r="570" spans="1:14">
      <c r="A570" s="1" t="str">
        <f>Requirements!A587</f>
        <v>MS-WSP_R565</v>
      </c>
      <c r="B570" s="1">
        <v>1</v>
      </c>
      <c r="C570" s="1"/>
      <c r="D570" s="1"/>
      <c r="E570" s="1"/>
      <c r="F570" s="1"/>
      <c r="G570" s="1"/>
      <c r="H570" s="3">
        <f t="shared" si="32"/>
        <v>1</v>
      </c>
      <c r="I570" s="6">
        <f t="shared" si="33"/>
        <v>1</v>
      </c>
      <c r="J570" s="1" t="b">
        <f t="shared" si="34"/>
        <v>1</v>
      </c>
      <c r="K570" s="1" t="b">
        <f>(Requirements!K587="Normative")</f>
        <v>1</v>
      </c>
      <c r="L570" s="1" t="b">
        <f>(Requirements!L587&lt;&gt;"Non-testable")</f>
        <v>1</v>
      </c>
      <c r="M570" s="1" t="b">
        <f>(VLOOKUP(Requirements!I587,Scope[[Role]:[Description]],2,FALSE)="In")</f>
        <v>1</v>
      </c>
      <c r="N570" s="1">
        <f t="shared" si="35"/>
        <v>1</v>
      </c>
    </row>
    <row r="571" spans="1:14">
      <c r="A571" s="1" t="str">
        <f>Requirements!A588</f>
        <v>MS-WSP_R566</v>
      </c>
      <c r="B571" s="1">
        <v>1</v>
      </c>
      <c r="C571" s="1"/>
      <c r="D571" s="1"/>
      <c r="E571" s="1"/>
      <c r="F571" s="1"/>
      <c r="G571" s="1"/>
      <c r="H571" s="3">
        <f t="shared" si="32"/>
        <v>1</v>
      </c>
      <c r="I571" s="6">
        <f t="shared" si="33"/>
        <v>1</v>
      </c>
      <c r="J571" s="1" t="b">
        <f t="shared" si="34"/>
        <v>1</v>
      </c>
      <c r="K571" s="1" t="b">
        <f>(Requirements!K588="Normative")</f>
        <v>1</v>
      </c>
      <c r="L571" s="1" t="b">
        <f>(Requirements!L588&lt;&gt;"Non-testable")</f>
        <v>1</v>
      </c>
      <c r="M571" s="1" t="b">
        <f>(VLOOKUP(Requirements!I588,Scope[[Role]:[Description]],2,FALSE)="In")</f>
        <v>1</v>
      </c>
      <c r="N571" s="1">
        <f t="shared" si="35"/>
        <v>1</v>
      </c>
    </row>
    <row r="572" spans="1:14">
      <c r="A572" s="1" t="str">
        <f>Requirements!A589</f>
        <v>MS-WSP_R567</v>
      </c>
      <c r="B572" s="1">
        <v>1</v>
      </c>
      <c r="C572" s="1"/>
      <c r="D572" s="1"/>
      <c r="E572" s="1"/>
      <c r="F572" s="1"/>
      <c r="G572" s="1"/>
      <c r="H572" s="3">
        <f t="shared" si="32"/>
        <v>1</v>
      </c>
      <c r="I572" s="6">
        <f t="shared" si="33"/>
        <v>1</v>
      </c>
      <c r="J572" s="1" t="b">
        <f t="shared" si="34"/>
        <v>1</v>
      </c>
      <c r="K572" s="1" t="b">
        <f>(Requirements!K589="Normative")</f>
        <v>1</v>
      </c>
      <c r="L572" s="1" t="b">
        <f>(Requirements!L589&lt;&gt;"Non-testable")</f>
        <v>1</v>
      </c>
      <c r="M572" s="1" t="b">
        <f>(VLOOKUP(Requirements!I589,Scope[[Role]:[Description]],2,FALSE)="In")</f>
        <v>1</v>
      </c>
      <c r="N572" s="1">
        <f t="shared" si="35"/>
        <v>1</v>
      </c>
    </row>
    <row r="573" spans="1:14">
      <c r="A573" s="1" t="str">
        <f>Requirements!A590</f>
        <v>MS-WSP_R568</v>
      </c>
      <c r="B573" s="1">
        <v>1</v>
      </c>
      <c r="C573" s="1"/>
      <c r="D573" s="1"/>
      <c r="E573" s="1"/>
      <c r="F573" s="1"/>
      <c r="G573" s="1"/>
      <c r="H573" s="3">
        <f t="shared" si="32"/>
        <v>1</v>
      </c>
      <c r="I573" s="6">
        <f t="shared" si="33"/>
        <v>1</v>
      </c>
      <c r="J573" s="1" t="b">
        <f t="shared" si="34"/>
        <v>1</v>
      </c>
      <c r="K573" s="1" t="b">
        <f>(Requirements!K590="Normative")</f>
        <v>1</v>
      </c>
      <c r="L573" s="1" t="b">
        <f>(Requirements!L590&lt;&gt;"Non-testable")</f>
        <v>1</v>
      </c>
      <c r="M573" s="1" t="b">
        <f>(VLOOKUP(Requirements!I590,Scope[[Role]:[Description]],2,FALSE)="In")</f>
        <v>1</v>
      </c>
      <c r="N573" s="1">
        <f t="shared" si="35"/>
        <v>1</v>
      </c>
    </row>
    <row r="574" spans="1:14">
      <c r="A574" s="1" t="str">
        <f>Requirements!A591</f>
        <v>MS-WSP_R569</v>
      </c>
      <c r="B574" s="1"/>
      <c r="C574" s="1"/>
      <c r="D574" s="1"/>
      <c r="E574" s="1"/>
      <c r="F574" s="1"/>
      <c r="G574" s="1"/>
      <c r="H574" s="3">
        <f t="shared" si="32"/>
        <v>0</v>
      </c>
      <c r="I574" s="6">
        <f t="shared" si="33"/>
        <v>0</v>
      </c>
      <c r="J574" s="1" t="b">
        <f t="shared" si="34"/>
        <v>0</v>
      </c>
      <c r="K574" s="1" t="b">
        <f>(Requirements!K591="Normative")</f>
        <v>1</v>
      </c>
      <c r="L574" s="1" t="b">
        <f>(Requirements!L591&lt;&gt;"Non-testable")</f>
        <v>1</v>
      </c>
      <c r="M574" s="1" t="b">
        <f>(VLOOKUP(Requirements!I591,Scope[[Role]:[Description]],2,FALSE)="In")</f>
        <v>0</v>
      </c>
      <c r="N574" s="1">
        <f t="shared" si="35"/>
        <v>0</v>
      </c>
    </row>
    <row r="575" spans="1:14">
      <c r="A575" s="1" t="str">
        <f>Requirements!A592</f>
        <v>MS-WSP_R570</v>
      </c>
      <c r="B575" s="1"/>
      <c r="C575" s="1"/>
      <c r="D575" s="1"/>
      <c r="E575" s="1"/>
      <c r="F575" s="1"/>
      <c r="G575" s="1"/>
      <c r="H575" s="3">
        <f t="shared" si="32"/>
        <v>0</v>
      </c>
      <c r="I575" s="6">
        <f t="shared" si="33"/>
        <v>0</v>
      </c>
      <c r="J575" s="1" t="b">
        <f t="shared" si="34"/>
        <v>1</v>
      </c>
      <c r="K575" s="1" t="b">
        <f>(Requirements!K592="Normative")</f>
        <v>1</v>
      </c>
      <c r="L575" s="1" t="b">
        <f>(Requirements!L592&lt;&gt;"Non-testable")</f>
        <v>1</v>
      </c>
      <c r="M575" s="1" t="b">
        <f>(VLOOKUP(Requirements!I592,Scope[[Role]:[Description]],2,FALSE)="In")</f>
        <v>1</v>
      </c>
      <c r="N575" s="1">
        <f t="shared" si="35"/>
        <v>0</v>
      </c>
    </row>
    <row r="576" spans="1:14">
      <c r="A576" s="1" t="str">
        <f>Requirements!A593</f>
        <v>MS-WSP_R571</v>
      </c>
      <c r="B576" s="1"/>
      <c r="C576" s="1"/>
      <c r="D576" s="1"/>
      <c r="E576" s="1"/>
      <c r="F576" s="1"/>
      <c r="G576" s="1"/>
      <c r="H576" s="3">
        <f t="shared" si="32"/>
        <v>0</v>
      </c>
      <c r="I576" s="6">
        <f t="shared" si="33"/>
        <v>0</v>
      </c>
      <c r="J576" s="1" t="b">
        <f t="shared" si="34"/>
        <v>0</v>
      </c>
      <c r="K576" s="1" t="b">
        <f>(Requirements!K593="Normative")</f>
        <v>0</v>
      </c>
      <c r="L576" s="1" t="b">
        <f>(Requirements!L593&lt;&gt;"Non-testable")</f>
        <v>1</v>
      </c>
      <c r="M576" s="1" t="b">
        <f>(VLOOKUP(Requirements!I593,Scope[[Role]:[Description]],2,FALSE)="In")</f>
        <v>0</v>
      </c>
      <c r="N576" s="1">
        <f t="shared" si="35"/>
        <v>0</v>
      </c>
    </row>
    <row r="577" spans="1:14">
      <c r="A577" s="1" t="str">
        <f>Requirements!A594</f>
        <v>MS-WSP_R572</v>
      </c>
      <c r="B577" s="1"/>
      <c r="C577" s="1"/>
      <c r="D577" s="1"/>
      <c r="E577" s="1"/>
      <c r="F577" s="1"/>
      <c r="G577" s="1"/>
      <c r="H577" s="3">
        <f t="shared" si="32"/>
        <v>0</v>
      </c>
      <c r="I577" s="6">
        <f t="shared" si="33"/>
        <v>0</v>
      </c>
      <c r="J577" s="1" t="b">
        <f t="shared" si="34"/>
        <v>0</v>
      </c>
      <c r="K577" s="1" t="b">
        <f>(Requirements!K594="Normative")</f>
        <v>0</v>
      </c>
      <c r="L577" s="1" t="b">
        <f>(Requirements!L594&lt;&gt;"Non-testable")</f>
        <v>1</v>
      </c>
      <c r="M577" s="1" t="b">
        <f>(VLOOKUP(Requirements!I594,Scope[[Role]:[Description]],2,FALSE)="In")</f>
        <v>0</v>
      </c>
      <c r="N577" s="1">
        <f t="shared" si="35"/>
        <v>0</v>
      </c>
    </row>
    <row r="578" spans="1:14">
      <c r="A578" s="1" t="str">
        <f>Requirements!A595</f>
        <v>MS-WSP_R573</v>
      </c>
      <c r="B578" s="1"/>
      <c r="C578" s="1"/>
      <c r="D578" s="1"/>
      <c r="E578" s="1"/>
      <c r="F578" s="1"/>
      <c r="G578" s="1"/>
      <c r="H578" s="3">
        <f t="shared" si="32"/>
        <v>0</v>
      </c>
      <c r="I578" s="6">
        <f t="shared" si="33"/>
        <v>0</v>
      </c>
      <c r="J578" s="1" t="b">
        <f t="shared" si="34"/>
        <v>0</v>
      </c>
      <c r="K578" s="1" t="b">
        <f>(Requirements!K595="Normative")</f>
        <v>0</v>
      </c>
      <c r="L578" s="1" t="b">
        <f>(Requirements!L595&lt;&gt;"Non-testable")</f>
        <v>1</v>
      </c>
      <c r="M578" s="1" t="b">
        <f>(VLOOKUP(Requirements!I595,Scope[[Role]:[Description]],2,FALSE)="In")</f>
        <v>0</v>
      </c>
      <c r="N578" s="1">
        <f t="shared" si="35"/>
        <v>0</v>
      </c>
    </row>
    <row r="579" spans="1:14">
      <c r="A579" s="1" t="str">
        <f>Requirements!A596</f>
        <v>MS-WSP_R574</v>
      </c>
      <c r="B579" s="1"/>
      <c r="C579" s="1"/>
      <c r="D579" s="1"/>
      <c r="E579" s="1"/>
      <c r="F579" s="1"/>
      <c r="G579" s="1"/>
      <c r="H579" s="3">
        <f t="shared" si="32"/>
        <v>0</v>
      </c>
      <c r="I579" s="6">
        <f t="shared" si="33"/>
        <v>0</v>
      </c>
      <c r="J579" s="1" t="b">
        <f t="shared" si="34"/>
        <v>0</v>
      </c>
      <c r="K579" s="1" t="b">
        <f>(Requirements!K596="Normative")</f>
        <v>1</v>
      </c>
      <c r="L579" s="1" t="b">
        <f>(Requirements!L596&lt;&gt;"Non-testable")</f>
        <v>0</v>
      </c>
      <c r="M579" s="1" t="b">
        <f>(VLOOKUP(Requirements!I596,Scope[[Role]:[Description]],2,FALSE)="In")</f>
        <v>1</v>
      </c>
      <c r="N579" s="1">
        <f t="shared" si="35"/>
        <v>0</v>
      </c>
    </row>
    <row r="580" spans="1:14">
      <c r="A580" s="1" t="str">
        <f>Requirements!A597</f>
        <v>MS-WSP_R575</v>
      </c>
      <c r="B580" s="1"/>
      <c r="C580" s="1"/>
      <c r="D580" s="1"/>
      <c r="E580" s="1"/>
      <c r="F580" s="1"/>
      <c r="G580" s="1"/>
      <c r="H580" s="3">
        <f t="shared" si="32"/>
        <v>0</v>
      </c>
      <c r="I580" s="6">
        <f t="shared" si="33"/>
        <v>0</v>
      </c>
      <c r="J580" s="1" t="b">
        <f t="shared" si="34"/>
        <v>0</v>
      </c>
      <c r="K580" s="1" t="b">
        <f>(Requirements!K597="Normative")</f>
        <v>1</v>
      </c>
      <c r="L580" s="1" t="b">
        <f>(Requirements!L597&lt;&gt;"Non-testable")</f>
        <v>0</v>
      </c>
      <c r="M580" s="1" t="b">
        <f>(VLOOKUP(Requirements!I597,Scope[[Role]:[Description]],2,FALSE)="In")</f>
        <v>1</v>
      </c>
      <c r="N580" s="1">
        <f t="shared" si="35"/>
        <v>0</v>
      </c>
    </row>
    <row r="581" spans="1:14">
      <c r="A581" s="1" t="str">
        <f>Requirements!A598</f>
        <v>MS-WSP_R576</v>
      </c>
      <c r="B581" s="1"/>
      <c r="C581" s="1"/>
      <c r="D581" s="1"/>
      <c r="E581" s="1"/>
      <c r="F581" s="1"/>
      <c r="G581" s="1"/>
      <c r="H581" s="3">
        <f t="shared" si="32"/>
        <v>0</v>
      </c>
      <c r="I581" s="6">
        <f t="shared" si="33"/>
        <v>0</v>
      </c>
      <c r="J581" s="1" t="b">
        <f t="shared" si="34"/>
        <v>0</v>
      </c>
      <c r="K581" s="1" t="b">
        <f>(Requirements!K598="Normative")</f>
        <v>1</v>
      </c>
      <c r="L581" s="1" t="b">
        <f>(Requirements!L598&lt;&gt;"Non-testable")</f>
        <v>0</v>
      </c>
      <c r="M581" s="1" t="b">
        <f>(VLOOKUP(Requirements!I598,Scope[[Role]:[Description]],2,FALSE)="In")</f>
        <v>1</v>
      </c>
      <c r="N581" s="1">
        <f t="shared" si="35"/>
        <v>0</v>
      </c>
    </row>
    <row r="582" spans="1:14">
      <c r="A582" s="1" t="str">
        <f>Requirements!A599</f>
        <v>MS-WSP_R577</v>
      </c>
      <c r="B582" s="1"/>
      <c r="C582" s="1"/>
      <c r="D582" s="1"/>
      <c r="E582" s="1"/>
      <c r="F582" s="1"/>
      <c r="G582" s="1"/>
      <c r="H582" s="3">
        <f t="shared" ref="H582:H645" si="36">SUM(B582:G582)</f>
        <v>0</v>
      </c>
      <c r="I582" s="6">
        <f t="shared" si="33"/>
        <v>0</v>
      </c>
      <c r="J582" s="1" t="b">
        <f t="shared" si="34"/>
        <v>0</v>
      </c>
      <c r="K582" s="1" t="b">
        <f>(Requirements!K599="Normative")</f>
        <v>0</v>
      </c>
      <c r="L582" s="1" t="b">
        <f>(Requirements!L599&lt;&gt;"Non-testable")</f>
        <v>1</v>
      </c>
      <c r="M582" s="1" t="b">
        <f>(VLOOKUP(Requirements!I599,Scope[[Role]:[Description]],2,FALSE)="In")</f>
        <v>0</v>
      </c>
      <c r="N582" s="1">
        <f t="shared" si="35"/>
        <v>0</v>
      </c>
    </row>
    <row r="583" spans="1:14">
      <c r="A583" s="1" t="str">
        <f>Requirements!A600</f>
        <v>MS-WSP_R578</v>
      </c>
      <c r="B583" s="1"/>
      <c r="C583" s="1"/>
      <c r="D583" s="1"/>
      <c r="E583" s="1"/>
      <c r="F583" s="1"/>
      <c r="G583" s="1"/>
      <c r="H583" s="3">
        <f t="shared" si="36"/>
        <v>0</v>
      </c>
      <c r="I583" s="6">
        <f t="shared" ref="I583:I646" si="37">IF(H583=0,0,1)</f>
        <v>0</v>
      </c>
      <c r="J583" s="1" t="b">
        <f t="shared" ref="J583:J646" si="38">AND(K583:M583)</f>
        <v>0</v>
      </c>
      <c r="K583" s="1" t="b">
        <f>(Requirements!K600="Normative")</f>
        <v>0</v>
      </c>
      <c r="L583" s="1" t="b">
        <f>(Requirements!L600&lt;&gt;"Non-testable")</f>
        <v>1</v>
      </c>
      <c r="M583" s="1" t="b">
        <f>(VLOOKUP(Requirements!I600,Scope[[Role]:[Description]],2,FALSE)="In")</f>
        <v>0</v>
      </c>
      <c r="N583" s="1">
        <f t="shared" ref="N583:N646" si="39">IF(J583,I583,0)</f>
        <v>0</v>
      </c>
    </row>
    <row r="584" spans="1:14">
      <c r="A584" s="1" t="str">
        <f>Requirements!A601</f>
        <v>MS-WSP_R579</v>
      </c>
      <c r="B584" s="1"/>
      <c r="C584" s="1"/>
      <c r="D584" s="1"/>
      <c r="E584" s="1"/>
      <c r="F584" s="1"/>
      <c r="G584" s="1"/>
      <c r="H584" s="3">
        <f t="shared" si="36"/>
        <v>0</v>
      </c>
      <c r="I584" s="6">
        <f t="shared" si="37"/>
        <v>0</v>
      </c>
      <c r="J584" s="1" t="b">
        <f t="shared" si="38"/>
        <v>0</v>
      </c>
      <c r="K584" s="1" t="b">
        <f>(Requirements!K601="Normative")</f>
        <v>0</v>
      </c>
      <c r="L584" s="1" t="b">
        <f>(Requirements!L601&lt;&gt;"Non-testable")</f>
        <v>1</v>
      </c>
      <c r="M584" s="1" t="b">
        <f>(VLOOKUP(Requirements!I601,Scope[[Role]:[Description]],2,FALSE)="In")</f>
        <v>0</v>
      </c>
      <c r="N584" s="1">
        <f t="shared" si="39"/>
        <v>0</v>
      </c>
    </row>
    <row r="585" spans="1:14">
      <c r="A585" s="1" t="str">
        <f>Requirements!A602</f>
        <v>MS-WSP_R580</v>
      </c>
      <c r="B585" s="1"/>
      <c r="C585" s="1"/>
      <c r="D585" s="1"/>
      <c r="E585" s="1"/>
      <c r="F585" s="1"/>
      <c r="G585" s="1"/>
      <c r="H585" s="3">
        <f t="shared" si="36"/>
        <v>0</v>
      </c>
      <c r="I585" s="6">
        <f t="shared" si="37"/>
        <v>0</v>
      </c>
      <c r="J585" s="1" t="b">
        <f t="shared" si="38"/>
        <v>0</v>
      </c>
      <c r="K585" s="1" t="b">
        <f>(Requirements!K602="Normative")</f>
        <v>0</v>
      </c>
      <c r="L585" s="1" t="b">
        <f>(Requirements!L602&lt;&gt;"Non-testable")</f>
        <v>1</v>
      </c>
      <c r="M585" s="1" t="b">
        <f>(VLOOKUP(Requirements!I602,Scope[[Role]:[Description]],2,FALSE)="In")</f>
        <v>0</v>
      </c>
      <c r="N585" s="1">
        <f t="shared" si="39"/>
        <v>0</v>
      </c>
    </row>
    <row r="586" spans="1:14">
      <c r="A586" s="1" t="str">
        <f>Requirements!A603</f>
        <v>MS-WSP_R581</v>
      </c>
      <c r="B586" s="1"/>
      <c r="C586" s="1"/>
      <c r="D586" s="1"/>
      <c r="E586" s="1"/>
      <c r="F586" s="1"/>
      <c r="G586" s="1"/>
      <c r="H586" s="3">
        <f t="shared" si="36"/>
        <v>0</v>
      </c>
      <c r="I586" s="6">
        <f t="shared" si="37"/>
        <v>0</v>
      </c>
      <c r="J586" s="1" t="b">
        <f t="shared" si="38"/>
        <v>0</v>
      </c>
      <c r="K586" s="1" t="b">
        <f>(Requirements!K603="Normative")</f>
        <v>1</v>
      </c>
      <c r="L586" s="1" t="b">
        <f>(Requirements!L603&lt;&gt;"Non-testable")</f>
        <v>0</v>
      </c>
      <c r="M586" s="1" t="b">
        <f>(VLOOKUP(Requirements!I603,Scope[[Role]:[Description]],2,FALSE)="In")</f>
        <v>1</v>
      </c>
      <c r="N586" s="1">
        <f t="shared" si="39"/>
        <v>0</v>
      </c>
    </row>
    <row r="587" spans="1:14">
      <c r="A587" s="1" t="str">
        <f>Requirements!A604</f>
        <v>MS-WSP_R582</v>
      </c>
      <c r="B587" s="1"/>
      <c r="C587" s="1"/>
      <c r="D587" s="1"/>
      <c r="E587" s="1"/>
      <c r="F587" s="1"/>
      <c r="G587" s="1"/>
      <c r="H587" s="3">
        <f t="shared" si="36"/>
        <v>0</v>
      </c>
      <c r="I587" s="6">
        <f t="shared" si="37"/>
        <v>0</v>
      </c>
      <c r="J587" s="1" t="b">
        <f t="shared" si="38"/>
        <v>0</v>
      </c>
      <c r="K587" s="1" t="b">
        <f>(Requirements!K604="Normative")</f>
        <v>0</v>
      </c>
      <c r="L587" s="1" t="b">
        <f>(Requirements!L604&lt;&gt;"Non-testable")</f>
        <v>1</v>
      </c>
      <c r="M587" s="1" t="b">
        <f>(VLOOKUP(Requirements!I604,Scope[[Role]:[Description]],2,FALSE)="In")</f>
        <v>0</v>
      </c>
      <c r="N587" s="1">
        <f t="shared" si="39"/>
        <v>0</v>
      </c>
    </row>
    <row r="588" spans="1:14">
      <c r="A588" s="1" t="str">
        <f>Requirements!A605</f>
        <v>MS-WSP_R583</v>
      </c>
      <c r="B588" s="1"/>
      <c r="C588" s="1"/>
      <c r="D588" s="1"/>
      <c r="E588" s="1"/>
      <c r="F588" s="1"/>
      <c r="G588" s="1"/>
      <c r="H588" s="3">
        <f t="shared" si="36"/>
        <v>0</v>
      </c>
      <c r="I588" s="6">
        <f t="shared" si="37"/>
        <v>0</v>
      </c>
      <c r="J588" s="1" t="b">
        <f t="shared" si="38"/>
        <v>0</v>
      </c>
      <c r="K588" s="1" t="b">
        <f>(Requirements!K605="Normative")</f>
        <v>1</v>
      </c>
      <c r="L588" s="1" t="b">
        <f>(Requirements!L605&lt;&gt;"Non-testable")</f>
        <v>1</v>
      </c>
      <c r="M588" s="1" t="b">
        <f>(VLOOKUP(Requirements!I605,Scope[[Role]:[Description]],2,FALSE)="In")</f>
        <v>0</v>
      </c>
      <c r="N588" s="1">
        <f t="shared" si="39"/>
        <v>0</v>
      </c>
    </row>
    <row r="589" spans="1:14">
      <c r="A589" s="1" t="str">
        <f>Requirements!A606</f>
        <v>MS-WSP_R584</v>
      </c>
      <c r="B589" s="1"/>
      <c r="C589" s="1"/>
      <c r="D589" s="1"/>
      <c r="E589" s="1"/>
      <c r="F589" s="1"/>
      <c r="G589" s="1"/>
      <c r="H589" s="3">
        <f t="shared" si="36"/>
        <v>0</v>
      </c>
      <c r="I589" s="6">
        <f t="shared" si="37"/>
        <v>0</v>
      </c>
      <c r="J589" s="1" t="b">
        <f t="shared" si="38"/>
        <v>0</v>
      </c>
      <c r="K589" s="1" t="b">
        <f>(Requirements!K606="Normative")</f>
        <v>1</v>
      </c>
      <c r="L589" s="1" t="b">
        <f>(Requirements!L606&lt;&gt;"Non-testable")</f>
        <v>0</v>
      </c>
      <c r="M589" s="1" t="b">
        <f>(VLOOKUP(Requirements!I606,Scope[[Role]:[Description]],2,FALSE)="In")</f>
        <v>1</v>
      </c>
      <c r="N589" s="1">
        <f t="shared" si="39"/>
        <v>0</v>
      </c>
    </row>
    <row r="590" spans="1:14">
      <c r="A590" s="1" t="str">
        <f>Requirements!A607</f>
        <v>MS-WSP_R585</v>
      </c>
      <c r="B590" s="1"/>
      <c r="C590" s="1"/>
      <c r="D590" s="1"/>
      <c r="E590" s="1"/>
      <c r="F590" s="1"/>
      <c r="G590" s="1"/>
      <c r="H590" s="3">
        <f t="shared" si="36"/>
        <v>0</v>
      </c>
      <c r="I590" s="6">
        <f t="shared" si="37"/>
        <v>0</v>
      </c>
      <c r="J590" s="1" t="b">
        <f t="shared" si="38"/>
        <v>0</v>
      </c>
      <c r="K590" s="1" t="b">
        <f>(Requirements!K607="Normative")</f>
        <v>0</v>
      </c>
      <c r="L590" s="1" t="b">
        <f>(Requirements!L607&lt;&gt;"Non-testable")</f>
        <v>1</v>
      </c>
      <c r="M590" s="1" t="b">
        <f>(VLOOKUP(Requirements!I607,Scope[[Role]:[Description]],2,FALSE)="In")</f>
        <v>0</v>
      </c>
      <c r="N590" s="1">
        <f t="shared" si="39"/>
        <v>0</v>
      </c>
    </row>
    <row r="591" spans="1:14">
      <c r="A591" s="1" t="str">
        <f>Requirements!A608</f>
        <v>MS-WSP_R586</v>
      </c>
      <c r="B591" s="1"/>
      <c r="C591" s="1"/>
      <c r="D591" s="1"/>
      <c r="E591" s="1"/>
      <c r="F591" s="1"/>
      <c r="G591" s="1"/>
      <c r="H591" s="3">
        <f t="shared" si="36"/>
        <v>0</v>
      </c>
      <c r="I591" s="6">
        <f t="shared" si="37"/>
        <v>0</v>
      </c>
      <c r="J591" s="1" t="b">
        <f t="shared" si="38"/>
        <v>0</v>
      </c>
      <c r="K591" s="1" t="b">
        <f>(Requirements!K608="Normative")</f>
        <v>1</v>
      </c>
      <c r="L591" s="1" t="b">
        <f>(Requirements!L608&lt;&gt;"Non-testable")</f>
        <v>1</v>
      </c>
      <c r="M591" s="1" t="b">
        <f>(VLOOKUP(Requirements!I608,Scope[[Role]:[Description]],2,FALSE)="In")</f>
        <v>0</v>
      </c>
      <c r="N591" s="1">
        <f t="shared" si="39"/>
        <v>0</v>
      </c>
    </row>
    <row r="592" spans="1:14">
      <c r="A592" s="1" t="str">
        <f>Requirements!A609</f>
        <v>MS-WSP_R587</v>
      </c>
      <c r="B592" s="1"/>
      <c r="C592" s="1"/>
      <c r="D592" s="1"/>
      <c r="E592" s="1"/>
      <c r="F592" s="1"/>
      <c r="G592" s="1"/>
      <c r="H592" s="3">
        <f t="shared" si="36"/>
        <v>0</v>
      </c>
      <c r="I592" s="6">
        <f t="shared" si="37"/>
        <v>0</v>
      </c>
      <c r="J592" s="1" t="b">
        <f t="shared" si="38"/>
        <v>0</v>
      </c>
      <c r="K592" s="1" t="b">
        <f>(Requirements!K609="Normative")</f>
        <v>1</v>
      </c>
      <c r="L592" s="1" t="b">
        <f>(Requirements!L609&lt;&gt;"Non-testable")</f>
        <v>0</v>
      </c>
      <c r="M592" s="1" t="b">
        <f>(VLOOKUP(Requirements!I609,Scope[[Role]:[Description]],2,FALSE)="In")</f>
        <v>1</v>
      </c>
      <c r="N592" s="1">
        <f t="shared" si="39"/>
        <v>0</v>
      </c>
    </row>
    <row r="593" spans="1:14">
      <c r="A593" s="1" t="str">
        <f>Requirements!A610</f>
        <v>MS-WSP_R588</v>
      </c>
      <c r="B593" s="1"/>
      <c r="C593" s="1"/>
      <c r="D593" s="1"/>
      <c r="E593" s="1"/>
      <c r="F593" s="1"/>
      <c r="G593" s="1"/>
      <c r="H593" s="3">
        <f t="shared" si="36"/>
        <v>0</v>
      </c>
      <c r="I593" s="6">
        <f t="shared" si="37"/>
        <v>0</v>
      </c>
      <c r="J593" s="1" t="b">
        <f t="shared" si="38"/>
        <v>0</v>
      </c>
      <c r="K593" s="1" t="b">
        <f>(Requirements!K610="Normative")</f>
        <v>0</v>
      </c>
      <c r="L593" s="1" t="b">
        <f>(Requirements!L610&lt;&gt;"Non-testable")</f>
        <v>1</v>
      </c>
      <c r="M593" s="1" t="b">
        <f>(VLOOKUP(Requirements!I610,Scope[[Role]:[Description]],2,FALSE)="In")</f>
        <v>0</v>
      </c>
      <c r="N593" s="1">
        <f t="shared" si="39"/>
        <v>0</v>
      </c>
    </row>
    <row r="594" spans="1:14">
      <c r="A594" s="1" t="str">
        <f>Requirements!A611</f>
        <v>MS-WSP_R589</v>
      </c>
      <c r="B594" s="1"/>
      <c r="C594" s="1"/>
      <c r="D594" s="1"/>
      <c r="E594" s="1"/>
      <c r="F594" s="1"/>
      <c r="G594" s="1"/>
      <c r="H594" s="3">
        <f t="shared" si="36"/>
        <v>0</v>
      </c>
      <c r="I594" s="6">
        <f t="shared" si="37"/>
        <v>0</v>
      </c>
      <c r="J594" s="1" t="b">
        <f t="shared" si="38"/>
        <v>0</v>
      </c>
      <c r="K594" s="1" t="b">
        <f>(Requirements!K611="Normative")</f>
        <v>0</v>
      </c>
      <c r="L594" s="1" t="b">
        <f>(Requirements!L611&lt;&gt;"Non-testable")</f>
        <v>1</v>
      </c>
      <c r="M594" s="1" t="b">
        <f>(VLOOKUP(Requirements!I611,Scope[[Role]:[Description]],2,FALSE)="In")</f>
        <v>0</v>
      </c>
      <c r="N594" s="1">
        <f t="shared" si="39"/>
        <v>0</v>
      </c>
    </row>
    <row r="595" spans="1:14">
      <c r="A595" s="1" t="str">
        <f>Requirements!A612</f>
        <v>MS-WSP_R590</v>
      </c>
      <c r="B595" s="1"/>
      <c r="C595" s="1"/>
      <c r="D595" s="1"/>
      <c r="E595" s="1"/>
      <c r="F595" s="1"/>
      <c r="G595" s="1"/>
      <c r="H595" s="3">
        <f t="shared" si="36"/>
        <v>0</v>
      </c>
      <c r="I595" s="6">
        <f t="shared" si="37"/>
        <v>0</v>
      </c>
      <c r="J595" s="1" t="b">
        <f t="shared" si="38"/>
        <v>1</v>
      </c>
      <c r="K595" s="1" t="b">
        <f>(Requirements!K612="Normative")</f>
        <v>1</v>
      </c>
      <c r="L595" s="1" t="b">
        <f>(Requirements!L612&lt;&gt;"Non-testable")</f>
        <v>1</v>
      </c>
      <c r="M595" s="1" t="b">
        <f>(VLOOKUP(Requirements!I612,Scope[[Role]:[Description]],2,FALSE)="In")</f>
        <v>1</v>
      </c>
      <c r="N595" s="1">
        <f t="shared" si="39"/>
        <v>0</v>
      </c>
    </row>
    <row r="596" spans="1:14">
      <c r="A596" s="1" t="str">
        <f>Requirements!A613</f>
        <v>MS-WSP_R591</v>
      </c>
      <c r="B596" s="1"/>
      <c r="C596" s="1"/>
      <c r="D596" s="1"/>
      <c r="E596" s="1"/>
      <c r="F596" s="1"/>
      <c r="G596" s="1"/>
      <c r="H596" s="3">
        <f t="shared" si="36"/>
        <v>0</v>
      </c>
      <c r="I596" s="6">
        <f t="shared" si="37"/>
        <v>0</v>
      </c>
      <c r="J596" s="1" t="b">
        <f t="shared" si="38"/>
        <v>0</v>
      </c>
      <c r="K596" s="1" t="b">
        <f>(Requirements!K613="Normative")</f>
        <v>1</v>
      </c>
      <c r="L596" s="1" t="b">
        <f>(Requirements!L613&lt;&gt;"Non-testable")</f>
        <v>1</v>
      </c>
      <c r="M596" s="1" t="b">
        <f>(VLOOKUP(Requirements!I613,Scope[[Role]:[Description]],2,FALSE)="In")</f>
        <v>0</v>
      </c>
      <c r="N596" s="1">
        <f t="shared" si="39"/>
        <v>0</v>
      </c>
    </row>
    <row r="597" spans="1:14">
      <c r="A597" s="1" t="str">
        <f>Requirements!A614</f>
        <v>MS-WSP_R592</v>
      </c>
      <c r="B597" s="1"/>
      <c r="C597" s="1"/>
      <c r="D597" s="1"/>
      <c r="E597" s="1"/>
      <c r="F597" s="1"/>
      <c r="G597" s="1"/>
      <c r="H597" s="3">
        <f t="shared" si="36"/>
        <v>0</v>
      </c>
      <c r="I597" s="6">
        <f t="shared" si="37"/>
        <v>0</v>
      </c>
      <c r="J597" s="1" t="b">
        <f t="shared" si="38"/>
        <v>1</v>
      </c>
      <c r="K597" s="1" t="b">
        <f>(Requirements!K614="Normative")</f>
        <v>1</v>
      </c>
      <c r="L597" s="1" t="b">
        <f>(Requirements!L614&lt;&gt;"Non-testable")</f>
        <v>1</v>
      </c>
      <c r="M597" s="1" t="b">
        <f>(VLOOKUP(Requirements!I614,Scope[[Role]:[Description]],2,FALSE)="In")</f>
        <v>1</v>
      </c>
      <c r="N597" s="1">
        <f t="shared" si="39"/>
        <v>0</v>
      </c>
    </row>
    <row r="598" spans="1:14">
      <c r="A598" s="1" t="str">
        <f>Requirements!A615</f>
        <v>MS-WSP_R593</v>
      </c>
      <c r="B598" s="1">
        <v>1</v>
      </c>
      <c r="C598" s="1">
        <v>1</v>
      </c>
      <c r="D598" s="1">
        <v>1</v>
      </c>
      <c r="E598" s="1">
        <v>1</v>
      </c>
      <c r="F598" s="1">
        <v>1</v>
      </c>
      <c r="G598" s="1">
        <v>1</v>
      </c>
      <c r="H598" s="3">
        <f t="shared" si="36"/>
        <v>6</v>
      </c>
      <c r="I598" s="6">
        <f t="shared" si="37"/>
        <v>1</v>
      </c>
      <c r="J598" s="1" t="b">
        <f t="shared" si="38"/>
        <v>1</v>
      </c>
      <c r="K598" s="1" t="b">
        <f>(Requirements!K615="Normative")</f>
        <v>1</v>
      </c>
      <c r="L598" s="1" t="b">
        <f>(Requirements!L615&lt;&gt;"Non-testable")</f>
        <v>1</v>
      </c>
      <c r="M598" s="1" t="b">
        <f>(VLOOKUP(Requirements!I615,Scope[[Role]:[Description]],2,FALSE)="In")</f>
        <v>1</v>
      </c>
      <c r="N598" s="1">
        <f t="shared" si="39"/>
        <v>1</v>
      </c>
    </row>
    <row r="599" spans="1:14">
      <c r="A599" s="1" t="str">
        <f>Requirements!A616</f>
        <v>MS-WSP_R594</v>
      </c>
      <c r="B599" s="1"/>
      <c r="C599" s="1"/>
      <c r="D599" s="1"/>
      <c r="E599" s="1"/>
      <c r="F599" s="1"/>
      <c r="G599" s="1"/>
      <c r="H599" s="3">
        <f t="shared" si="36"/>
        <v>0</v>
      </c>
      <c r="I599" s="6">
        <f t="shared" si="37"/>
        <v>0</v>
      </c>
      <c r="J599" s="1" t="b">
        <f t="shared" si="38"/>
        <v>1</v>
      </c>
      <c r="K599" s="1" t="b">
        <f>(Requirements!K616="Normative")</f>
        <v>1</v>
      </c>
      <c r="L599" s="1" t="b">
        <f>(Requirements!L616&lt;&gt;"Non-testable")</f>
        <v>1</v>
      </c>
      <c r="M599" s="1" t="b">
        <f>(VLOOKUP(Requirements!I616,Scope[[Role]:[Description]],2,FALSE)="In")</f>
        <v>1</v>
      </c>
      <c r="N599" s="1">
        <f t="shared" si="39"/>
        <v>0</v>
      </c>
    </row>
    <row r="600" spans="1:14">
      <c r="A600" s="1" t="str">
        <f>Requirements!A617</f>
        <v>MS-WSP_R595</v>
      </c>
      <c r="B600" s="1"/>
      <c r="C600" s="1"/>
      <c r="D600" s="1"/>
      <c r="E600" s="1"/>
      <c r="F600" s="1"/>
      <c r="G600" s="1"/>
      <c r="H600" s="3">
        <f t="shared" si="36"/>
        <v>0</v>
      </c>
      <c r="I600" s="6">
        <f t="shared" si="37"/>
        <v>0</v>
      </c>
      <c r="J600" s="1" t="b">
        <f t="shared" si="38"/>
        <v>1</v>
      </c>
      <c r="K600" s="1" t="b">
        <f>(Requirements!K617="Normative")</f>
        <v>1</v>
      </c>
      <c r="L600" s="1" t="b">
        <f>(Requirements!L617&lt;&gt;"Non-testable")</f>
        <v>1</v>
      </c>
      <c r="M600" s="1" t="b">
        <f>(VLOOKUP(Requirements!I617,Scope[[Role]:[Description]],2,FALSE)="In")</f>
        <v>1</v>
      </c>
      <c r="N600" s="1">
        <f t="shared" si="39"/>
        <v>0</v>
      </c>
    </row>
    <row r="601" spans="1:14">
      <c r="A601" s="1" t="str">
        <f>Requirements!A618</f>
        <v>MS-WSP_R596</v>
      </c>
      <c r="B601" s="1"/>
      <c r="C601" s="1"/>
      <c r="D601" s="1"/>
      <c r="E601" s="1"/>
      <c r="F601" s="1"/>
      <c r="G601" s="1"/>
      <c r="H601" s="3">
        <f t="shared" si="36"/>
        <v>0</v>
      </c>
      <c r="I601" s="6">
        <f t="shared" si="37"/>
        <v>0</v>
      </c>
      <c r="J601" s="1" t="b">
        <f t="shared" si="38"/>
        <v>1</v>
      </c>
      <c r="K601" s="1" t="b">
        <f>(Requirements!K618="Normative")</f>
        <v>1</v>
      </c>
      <c r="L601" s="1" t="b">
        <f>(Requirements!L618&lt;&gt;"Non-testable")</f>
        <v>1</v>
      </c>
      <c r="M601" s="1" t="b">
        <f>(VLOOKUP(Requirements!I618,Scope[[Role]:[Description]],2,FALSE)="In")</f>
        <v>1</v>
      </c>
      <c r="N601" s="1">
        <f t="shared" si="39"/>
        <v>0</v>
      </c>
    </row>
    <row r="602" spans="1:14">
      <c r="A602" s="1" t="str">
        <f>Requirements!A619</f>
        <v>MS-WSP_R597</v>
      </c>
      <c r="B602" s="1"/>
      <c r="C602" s="1"/>
      <c r="D602" s="1"/>
      <c r="E602" s="1"/>
      <c r="F602" s="1"/>
      <c r="G602" s="1"/>
      <c r="H602" s="3">
        <f t="shared" si="36"/>
        <v>0</v>
      </c>
      <c r="I602" s="6">
        <f t="shared" si="37"/>
        <v>0</v>
      </c>
      <c r="J602" s="1" t="b">
        <f t="shared" si="38"/>
        <v>0</v>
      </c>
      <c r="K602" s="1" t="b">
        <f>(Requirements!K619="Normative")</f>
        <v>1</v>
      </c>
      <c r="L602" s="1" t="b">
        <f>(Requirements!L619&lt;&gt;"Non-testable")</f>
        <v>0</v>
      </c>
      <c r="M602" s="1" t="b">
        <f>(VLOOKUP(Requirements!I619,Scope[[Role]:[Description]],2,FALSE)="In")</f>
        <v>1</v>
      </c>
      <c r="N602" s="1">
        <f t="shared" si="39"/>
        <v>0</v>
      </c>
    </row>
    <row r="603" spans="1:14">
      <c r="A603" s="1" t="str">
        <f>Requirements!A620</f>
        <v>MS-WSP_R598</v>
      </c>
      <c r="B603" s="1"/>
      <c r="C603" s="1"/>
      <c r="D603" s="1"/>
      <c r="E603" s="1">
        <v>1</v>
      </c>
      <c r="F603" s="1"/>
      <c r="G603" s="1"/>
      <c r="H603" s="3">
        <f t="shared" si="36"/>
        <v>1</v>
      </c>
      <c r="I603" s="6">
        <f t="shared" si="37"/>
        <v>1</v>
      </c>
      <c r="J603" s="1" t="b">
        <f t="shared" si="38"/>
        <v>1</v>
      </c>
      <c r="K603" s="1" t="b">
        <f>(Requirements!K620="Normative")</f>
        <v>1</v>
      </c>
      <c r="L603" s="1" t="b">
        <f>(Requirements!L620&lt;&gt;"Non-testable")</f>
        <v>1</v>
      </c>
      <c r="M603" s="1" t="b">
        <f>(VLOOKUP(Requirements!I620,Scope[[Role]:[Description]],2,FALSE)="In")</f>
        <v>1</v>
      </c>
      <c r="N603" s="1">
        <f t="shared" si="39"/>
        <v>1</v>
      </c>
    </row>
    <row r="604" spans="1:14">
      <c r="A604" s="1" t="str">
        <f>Requirements!A621</f>
        <v>MS-WSP_R599</v>
      </c>
      <c r="B604" s="1">
        <v>1</v>
      </c>
      <c r="C604" s="1">
        <v>1</v>
      </c>
      <c r="D604" s="1">
        <v>1</v>
      </c>
      <c r="E604" s="1"/>
      <c r="F604" s="1">
        <v>1</v>
      </c>
      <c r="G604" s="1">
        <v>1</v>
      </c>
      <c r="H604" s="3">
        <f t="shared" si="36"/>
        <v>5</v>
      </c>
      <c r="I604" s="6">
        <f t="shared" si="37"/>
        <v>1</v>
      </c>
      <c r="J604" s="1" t="b">
        <f t="shared" si="38"/>
        <v>1</v>
      </c>
      <c r="K604" s="1" t="b">
        <f>(Requirements!K621="Normative")</f>
        <v>1</v>
      </c>
      <c r="L604" s="1" t="b">
        <f>(Requirements!L621&lt;&gt;"Non-testable")</f>
        <v>1</v>
      </c>
      <c r="M604" s="1" t="b">
        <f>(VLOOKUP(Requirements!I621,Scope[[Role]:[Description]],2,FALSE)="In")</f>
        <v>1</v>
      </c>
      <c r="N604" s="1">
        <f t="shared" si="39"/>
        <v>1</v>
      </c>
    </row>
    <row r="605" spans="1:14">
      <c r="A605" s="1" t="str">
        <f>Requirements!A622</f>
        <v>MS-WSP_R600</v>
      </c>
      <c r="B605" s="1"/>
      <c r="C605" s="1"/>
      <c r="D605" s="1"/>
      <c r="E605" s="1"/>
      <c r="F605" s="1"/>
      <c r="G605" s="1"/>
      <c r="H605" s="3">
        <f t="shared" si="36"/>
        <v>0</v>
      </c>
      <c r="I605" s="6">
        <f t="shared" si="37"/>
        <v>0</v>
      </c>
      <c r="J605" s="1" t="b">
        <f t="shared" si="38"/>
        <v>0</v>
      </c>
      <c r="K605" s="1" t="b">
        <f>(Requirements!K622="Normative")</f>
        <v>0</v>
      </c>
      <c r="L605" s="1" t="b">
        <f>(Requirements!L622&lt;&gt;"Non-testable")</f>
        <v>1</v>
      </c>
      <c r="M605" s="1" t="b">
        <f>(VLOOKUP(Requirements!I622,Scope[[Role]:[Description]],2,FALSE)="In")</f>
        <v>1</v>
      </c>
      <c r="N605" s="1">
        <f t="shared" si="39"/>
        <v>0</v>
      </c>
    </row>
    <row r="606" spans="1:14">
      <c r="A606" s="1" t="str">
        <f>Requirements!A623</f>
        <v>MS-WSP_R601</v>
      </c>
      <c r="B606" s="1"/>
      <c r="C606" s="1"/>
      <c r="D606" s="1"/>
      <c r="E606" s="1"/>
      <c r="F606" s="1"/>
      <c r="G606" s="1"/>
      <c r="H606" s="3">
        <f t="shared" si="36"/>
        <v>0</v>
      </c>
      <c r="I606" s="6">
        <f t="shared" si="37"/>
        <v>0</v>
      </c>
      <c r="J606" s="1" t="b">
        <f t="shared" si="38"/>
        <v>0</v>
      </c>
      <c r="K606" s="1" t="b">
        <f>(Requirements!K623="Normative")</f>
        <v>1</v>
      </c>
      <c r="L606" s="1" t="b">
        <f>(Requirements!L623&lt;&gt;"Non-testable")</f>
        <v>0</v>
      </c>
      <c r="M606" s="1" t="b">
        <f>(VLOOKUP(Requirements!I623,Scope[[Role]:[Description]],2,FALSE)="In")</f>
        <v>1</v>
      </c>
      <c r="N606" s="1">
        <f t="shared" si="39"/>
        <v>0</v>
      </c>
    </row>
    <row r="607" spans="1:14">
      <c r="A607" s="1" t="str">
        <f>Requirements!A624</f>
        <v>MS-WSP_R602</v>
      </c>
      <c r="B607" s="1"/>
      <c r="C607" s="1"/>
      <c r="D607" s="1"/>
      <c r="E607" s="1"/>
      <c r="F607" s="1"/>
      <c r="G607" s="1"/>
      <c r="H607" s="3">
        <f t="shared" si="36"/>
        <v>0</v>
      </c>
      <c r="I607" s="6">
        <f t="shared" si="37"/>
        <v>0</v>
      </c>
      <c r="J607" s="1" t="b">
        <f t="shared" si="38"/>
        <v>0</v>
      </c>
      <c r="K607" s="1" t="b">
        <f>(Requirements!K624="Normative")</f>
        <v>1</v>
      </c>
      <c r="L607" s="1" t="b">
        <f>(Requirements!L624&lt;&gt;"Non-testable")</f>
        <v>0</v>
      </c>
      <c r="M607" s="1" t="b">
        <f>(VLOOKUP(Requirements!I624,Scope[[Role]:[Description]],2,FALSE)="In")</f>
        <v>1</v>
      </c>
      <c r="N607" s="1">
        <f t="shared" si="39"/>
        <v>0</v>
      </c>
    </row>
    <row r="608" spans="1:14">
      <c r="A608" s="1" t="str">
        <f>Requirements!A625</f>
        <v>MS-WSP_R603</v>
      </c>
      <c r="B608" s="1"/>
      <c r="C608" s="1"/>
      <c r="D608" s="1"/>
      <c r="E608" s="1"/>
      <c r="F608" s="1"/>
      <c r="G608" s="1"/>
      <c r="H608" s="3">
        <f t="shared" si="36"/>
        <v>0</v>
      </c>
      <c r="I608" s="6">
        <f t="shared" si="37"/>
        <v>0</v>
      </c>
      <c r="J608" s="1" t="b">
        <f t="shared" si="38"/>
        <v>0</v>
      </c>
      <c r="K608" s="1" t="b">
        <f>(Requirements!K625="Normative")</f>
        <v>1</v>
      </c>
      <c r="L608" s="1" t="b">
        <f>(Requirements!L625&lt;&gt;"Non-testable")</f>
        <v>0</v>
      </c>
      <c r="M608" s="1" t="b">
        <f>(VLOOKUP(Requirements!I625,Scope[[Role]:[Description]],2,FALSE)="In")</f>
        <v>1</v>
      </c>
      <c r="N608" s="1">
        <f t="shared" si="39"/>
        <v>0</v>
      </c>
    </row>
    <row r="609" spans="1:14">
      <c r="A609" s="1" t="str">
        <f>Requirements!A626</f>
        <v>MS-WSP_R604</v>
      </c>
      <c r="B609" s="1"/>
      <c r="C609" s="1"/>
      <c r="D609" s="1"/>
      <c r="E609" s="1"/>
      <c r="F609" s="1"/>
      <c r="G609" s="1"/>
      <c r="H609" s="3">
        <f t="shared" si="36"/>
        <v>0</v>
      </c>
      <c r="I609" s="6">
        <f t="shared" si="37"/>
        <v>0</v>
      </c>
      <c r="J609" s="1" t="b">
        <f t="shared" si="38"/>
        <v>0</v>
      </c>
      <c r="K609" s="1" t="b">
        <f>(Requirements!K626="Normative")</f>
        <v>1</v>
      </c>
      <c r="L609" s="1" t="b">
        <f>(Requirements!L626&lt;&gt;"Non-testable")</f>
        <v>0</v>
      </c>
      <c r="M609" s="1" t="b">
        <f>(VLOOKUP(Requirements!I626,Scope[[Role]:[Description]],2,FALSE)="In")</f>
        <v>1</v>
      </c>
      <c r="N609" s="1">
        <f t="shared" si="39"/>
        <v>0</v>
      </c>
    </row>
    <row r="610" spans="1:14">
      <c r="A610" s="1" t="str">
        <f>Requirements!A627</f>
        <v>MS-WSP_R605</v>
      </c>
      <c r="B610" s="1"/>
      <c r="C610" s="1"/>
      <c r="D610" s="1"/>
      <c r="E610" s="1"/>
      <c r="F610" s="1"/>
      <c r="G610" s="1"/>
      <c r="H610" s="3">
        <f t="shared" si="36"/>
        <v>0</v>
      </c>
      <c r="I610" s="6">
        <f t="shared" si="37"/>
        <v>0</v>
      </c>
      <c r="J610" s="1" t="b">
        <f t="shared" si="38"/>
        <v>0</v>
      </c>
      <c r="K610" s="1" t="b">
        <f>(Requirements!K627="Normative")</f>
        <v>1</v>
      </c>
      <c r="L610" s="1" t="b">
        <f>(Requirements!L627&lt;&gt;"Non-testable")</f>
        <v>0</v>
      </c>
      <c r="M610" s="1" t="b">
        <f>(VLOOKUP(Requirements!I627,Scope[[Role]:[Description]],2,FALSE)="In")</f>
        <v>1</v>
      </c>
      <c r="N610" s="1">
        <f t="shared" si="39"/>
        <v>0</v>
      </c>
    </row>
    <row r="611" spans="1:14">
      <c r="A611" s="1" t="str">
        <f>Requirements!A628</f>
        <v>MS-WSP_R606</v>
      </c>
      <c r="B611" s="1"/>
      <c r="C611" s="1"/>
      <c r="D611" s="1"/>
      <c r="E611" s="1"/>
      <c r="F611" s="1"/>
      <c r="G611" s="1"/>
      <c r="H611" s="3">
        <f t="shared" si="36"/>
        <v>0</v>
      </c>
      <c r="I611" s="6">
        <f t="shared" si="37"/>
        <v>0</v>
      </c>
      <c r="J611" s="1" t="b">
        <f t="shared" si="38"/>
        <v>0</v>
      </c>
      <c r="K611" s="1" t="b">
        <f>(Requirements!K628="Normative")</f>
        <v>1</v>
      </c>
      <c r="L611" s="1" t="b">
        <f>(Requirements!L628&lt;&gt;"Non-testable")</f>
        <v>0</v>
      </c>
      <c r="M611" s="1" t="b">
        <f>(VLOOKUP(Requirements!I628,Scope[[Role]:[Description]],2,FALSE)="In")</f>
        <v>1</v>
      </c>
      <c r="N611" s="1">
        <f t="shared" si="39"/>
        <v>0</v>
      </c>
    </row>
    <row r="612" spans="1:14">
      <c r="A612" s="1" t="str">
        <f>Requirements!A629</f>
        <v>MS-WSP_R607</v>
      </c>
      <c r="B612" s="1"/>
      <c r="C612" s="1"/>
      <c r="D612" s="1"/>
      <c r="E612" s="1"/>
      <c r="F612" s="1"/>
      <c r="G612" s="1"/>
      <c r="H612" s="3">
        <f t="shared" si="36"/>
        <v>0</v>
      </c>
      <c r="I612" s="6">
        <f t="shared" si="37"/>
        <v>0</v>
      </c>
      <c r="J612" s="1" t="b">
        <f t="shared" si="38"/>
        <v>0</v>
      </c>
      <c r="K612" s="1" t="b">
        <f>(Requirements!K629="Normative")</f>
        <v>1</v>
      </c>
      <c r="L612" s="1" t="b">
        <f>(Requirements!L629&lt;&gt;"Non-testable")</f>
        <v>0</v>
      </c>
      <c r="M612" s="1" t="b">
        <f>(VLOOKUP(Requirements!I629,Scope[[Role]:[Description]],2,FALSE)="In")</f>
        <v>1</v>
      </c>
      <c r="N612" s="1">
        <f t="shared" si="39"/>
        <v>0</v>
      </c>
    </row>
    <row r="613" spans="1:14">
      <c r="A613" s="1" t="str">
        <f>Requirements!A630</f>
        <v>MS-WSP_R608</v>
      </c>
      <c r="B613" s="1"/>
      <c r="C613" s="1"/>
      <c r="D613" s="1"/>
      <c r="E613" s="1"/>
      <c r="F613" s="1"/>
      <c r="G613" s="1"/>
      <c r="H613" s="3">
        <f t="shared" si="36"/>
        <v>0</v>
      </c>
      <c r="I613" s="6">
        <f t="shared" si="37"/>
        <v>0</v>
      </c>
      <c r="J613" s="1" t="b">
        <f t="shared" si="38"/>
        <v>0</v>
      </c>
      <c r="K613" s="1" t="b">
        <f>(Requirements!K630="Normative")</f>
        <v>1</v>
      </c>
      <c r="L613" s="1" t="b">
        <f>(Requirements!L630&lt;&gt;"Non-testable")</f>
        <v>0</v>
      </c>
      <c r="M613" s="1" t="b">
        <f>(VLOOKUP(Requirements!I630,Scope[[Role]:[Description]],2,FALSE)="In")</f>
        <v>1</v>
      </c>
      <c r="N613" s="1">
        <f t="shared" si="39"/>
        <v>0</v>
      </c>
    </row>
    <row r="614" spans="1:14">
      <c r="A614" s="1" t="str">
        <f>Requirements!A631</f>
        <v>MS-WSP_R609</v>
      </c>
      <c r="B614" s="1"/>
      <c r="C614" s="1"/>
      <c r="D614" s="1"/>
      <c r="E614" s="1"/>
      <c r="F614" s="1"/>
      <c r="G614" s="1"/>
      <c r="H614" s="3">
        <f t="shared" si="36"/>
        <v>0</v>
      </c>
      <c r="I614" s="6">
        <f t="shared" si="37"/>
        <v>0</v>
      </c>
      <c r="J614" s="1" t="b">
        <f t="shared" si="38"/>
        <v>0</v>
      </c>
      <c r="K614" s="1" t="b">
        <f>(Requirements!K631="Normative")</f>
        <v>1</v>
      </c>
      <c r="L614" s="1" t="b">
        <f>(Requirements!L631&lt;&gt;"Non-testable")</f>
        <v>0</v>
      </c>
      <c r="M614" s="1" t="b">
        <f>(VLOOKUP(Requirements!I631,Scope[[Role]:[Description]],2,FALSE)="In")</f>
        <v>1</v>
      </c>
      <c r="N614" s="1">
        <f t="shared" si="39"/>
        <v>0</v>
      </c>
    </row>
    <row r="615" spans="1:14">
      <c r="A615" s="1" t="str">
        <f>Requirements!A632</f>
        <v>MS-WSP_R610</v>
      </c>
      <c r="B615" s="1"/>
      <c r="C615" s="1"/>
      <c r="D615" s="1"/>
      <c r="E615" s="1"/>
      <c r="F615" s="1"/>
      <c r="G615" s="1"/>
      <c r="H615" s="3">
        <f t="shared" si="36"/>
        <v>0</v>
      </c>
      <c r="I615" s="6">
        <f t="shared" si="37"/>
        <v>0</v>
      </c>
      <c r="J615" s="1" t="b">
        <f t="shared" si="38"/>
        <v>0</v>
      </c>
      <c r="K615" s="1" t="b">
        <f>(Requirements!K632="Normative")</f>
        <v>1</v>
      </c>
      <c r="L615" s="1" t="b">
        <f>(Requirements!L632&lt;&gt;"Non-testable")</f>
        <v>0</v>
      </c>
      <c r="M615" s="1" t="b">
        <f>(VLOOKUP(Requirements!I632,Scope[[Role]:[Description]],2,FALSE)="In")</f>
        <v>1</v>
      </c>
      <c r="N615" s="1">
        <f t="shared" si="39"/>
        <v>0</v>
      </c>
    </row>
    <row r="616" spans="1:14">
      <c r="A616" s="1" t="str">
        <f>Requirements!A633</f>
        <v>MS-WSP_R611</v>
      </c>
      <c r="B616" s="1"/>
      <c r="C616" s="1"/>
      <c r="D616" s="1"/>
      <c r="E616" s="1"/>
      <c r="F616" s="1"/>
      <c r="G616" s="1"/>
      <c r="H616" s="3">
        <f t="shared" si="36"/>
        <v>0</v>
      </c>
      <c r="I616" s="6">
        <f t="shared" si="37"/>
        <v>0</v>
      </c>
      <c r="J616" s="1" t="b">
        <f t="shared" si="38"/>
        <v>0</v>
      </c>
      <c r="K616" s="1" t="b">
        <f>(Requirements!K633="Normative")</f>
        <v>1</v>
      </c>
      <c r="L616" s="1" t="b">
        <f>(Requirements!L633&lt;&gt;"Non-testable")</f>
        <v>0</v>
      </c>
      <c r="M616" s="1" t="b">
        <f>(VLOOKUP(Requirements!I633,Scope[[Role]:[Description]],2,FALSE)="In")</f>
        <v>1</v>
      </c>
      <c r="N616" s="1">
        <f t="shared" si="39"/>
        <v>0</v>
      </c>
    </row>
    <row r="617" spans="1:14">
      <c r="A617" s="1" t="str">
        <f>Requirements!A634</f>
        <v>MS-WSP_R612</v>
      </c>
      <c r="B617" s="1"/>
      <c r="C617" s="1"/>
      <c r="D617" s="1"/>
      <c r="E617" s="1"/>
      <c r="F617" s="1"/>
      <c r="G617" s="1"/>
      <c r="H617" s="3">
        <f t="shared" si="36"/>
        <v>0</v>
      </c>
      <c r="I617" s="6">
        <f t="shared" si="37"/>
        <v>0</v>
      </c>
      <c r="J617" s="1" t="b">
        <f t="shared" si="38"/>
        <v>0</v>
      </c>
      <c r="K617" s="1" t="b">
        <f>(Requirements!K634="Normative")</f>
        <v>1</v>
      </c>
      <c r="L617" s="1" t="b">
        <f>(Requirements!L634&lt;&gt;"Non-testable")</f>
        <v>0</v>
      </c>
      <c r="M617" s="1" t="b">
        <f>(VLOOKUP(Requirements!I634,Scope[[Role]:[Description]],2,FALSE)="In")</f>
        <v>1</v>
      </c>
      <c r="N617" s="1">
        <f t="shared" si="39"/>
        <v>0</v>
      </c>
    </row>
    <row r="618" spans="1:14">
      <c r="A618" s="1" t="str">
        <f>Requirements!A635</f>
        <v>MS-WSP_R613</v>
      </c>
      <c r="B618" s="1"/>
      <c r="C618" s="1"/>
      <c r="D618" s="1"/>
      <c r="E618" s="1"/>
      <c r="F618" s="1"/>
      <c r="G618" s="1"/>
      <c r="H618" s="3">
        <f t="shared" si="36"/>
        <v>0</v>
      </c>
      <c r="I618" s="6">
        <f t="shared" si="37"/>
        <v>0</v>
      </c>
      <c r="J618" s="1" t="b">
        <f t="shared" si="38"/>
        <v>0</v>
      </c>
      <c r="K618" s="1" t="b">
        <f>(Requirements!K635="Normative")</f>
        <v>1</v>
      </c>
      <c r="L618" s="1" t="b">
        <f>(Requirements!L635&lt;&gt;"Non-testable")</f>
        <v>0</v>
      </c>
      <c r="M618" s="1" t="b">
        <f>(VLOOKUP(Requirements!I635,Scope[[Role]:[Description]],2,FALSE)="In")</f>
        <v>1</v>
      </c>
      <c r="N618" s="1">
        <f t="shared" si="39"/>
        <v>0</v>
      </c>
    </row>
    <row r="619" spans="1:14">
      <c r="A619" s="1" t="str">
        <f>Requirements!A636</f>
        <v>MS-WSP_R614</v>
      </c>
      <c r="B619" s="1"/>
      <c r="C619" s="1"/>
      <c r="D619" s="1"/>
      <c r="E619" s="1"/>
      <c r="F619" s="1"/>
      <c r="G619" s="1"/>
      <c r="H619" s="3">
        <f t="shared" si="36"/>
        <v>0</v>
      </c>
      <c r="I619" s="6">
        <f t="shared" si="37"/>
        <v>0</v>
      </c>
      <c r="J619" s="1" t="b">
        <f t="shared" si="38"/>
        <v>0</v>
      </c>
      <c r="K619" s="1" t="b">
        <f>(Requirements!K636="Normative")</f>
        <v>1</v>
      </c>
      <c r="L619" s="1" t="b">
        <f>(Requirements!L636&lt;&gt;"Non-testable")</f>
        <v>0</v>
      </c>
      <c r="M619" s="1" t="b">
        <f>(VLOOKUP(Requirements!I636,Scope[[Role]:[Description]],2,FALSE)="In")</f>
        <v>1</v>
      </c>
      <c r="N619" s="1">
        <f t="shared" si="39"/>
        <v>0</v>
      </c>
    </row>
    <row r="620" spans="1:14">
      <c r="A620" s="1" t="str">
        <f>Requirements!A637</f>
        <v>MS-WSP_R615</v>
      </c>
      <c r="B620" s="1"/>
      <c r="C620" s="1"/>
      <c r="D620" s="1"/>
      <c r="E620" s="1"/>
      <c r="F620" s="1"/>
      <c r="G620" s="1"/>
      <c r="H620" s="3">
        <f t="shared" si="36"/>
        <v>0</v>
      </c>
      <c r="I620" s="6">
        <f t="shared" si="37"/>
        <v>0</v>
      </c>
      <c r="J620" s="1" t="b">
        <f t="shared" si="38"/>
        <v>0</v>
      </c>
      <c r="K620" s="1" t="b">
        <f>(Requirements!K637="Normative")</f>
        <v>1</v>
      </c>
      <c r="L620" s="1" t="b">
        <f>(Requirements!L637&lt;&gt;"Non-testable")</f>
        <v>0</v>
      </c>
      <c r="M620" s="1" t="b">
        <f>(VLOOKUP(Requirements!I637,Scope[[Role]:[Description]],2,FALSE)="In")</f>
        <v>1</v>
      </c>
      <c r="N620" s="1">
        <f t="shared" si="39"/>
        <v>0</v>
      </c>
    </row>
    <row r="621" spans="1:14">
      <c r="A621" s="1" t="str">
        <f>Requirements!A638</f>
        <v>MS-WSP_R616</v>
      </c>
      <c r="B621" s="1"/>
      <c r="C621" s="1"/>
      <c r="D621" s="1"/>
      <c r="E621" s="1"/>
      <c r="F621" s="1"/>
      <c r="G621" s="1"/>
      <c r="H621" s="3">
        <f t="shared" si="36"/>
        <v>0</v>
      </c>
      <c r="I621" s="6">
        <f t="shared" si="37"/>
        <v>0</v>
      </c>
      <c r="J621" s="1" t="b">
        <f t="shared" si="38"/>
        <v>0</v>
      </c>
      <c r="K621" s="1" t="b">
        <f>(Requirements!K638="Normative")</f>
        <v>1</v>
      </c>
      <c r="L621" s="1" t="b">
        <f>(Requirements!L638&lt;&gt;"Non-testable")</f>
        <v>0</v>
      </c>
      <c r="M621" s="1" t="b">
        <f>(VLOOKUP(Requirements!I638,Scope[[Role]:[Description]],2,FALSE)="In")</f>
        <v>1</v>
      </c>
      <c r="N621" s="1">
        <f t="shared" si="39"/>
        <v>0</v>
      </c>
    </row>
    <row r="622" spans="1:14">
      <c r="A622" s="1" t="str">
        <f>Requirements!A639</f>
        <v>MS-WSP_R617</v>
      </c>
      <c r="B622" s="1"/>
      <c r="C622" s="1"/>
      <c r="D622" s="1"/>
      <c r="E622" s="1"/>
      <c r="F622" s="1"/>
      <c r="G622" s="1"/>
      <c r="H622" s="3">
        <f t="shared" si="36"/>
        <v>0</v>
      </c>
      <c r="I622" s="6">
        <f t="shared" si="37"/>
        <v>0</v>
      </c>
      <c r="J622" s="1" t="b">
        <f t="shared" si="38"/>
        <v>0</v>
      </c>
      <c r="K622" s="1" t="b">
        <f>(Requirements!K639="Normative")</f>
        <v>1</v>
      </c>
      <c r="L622" s="1" t="b">
        <f>(Requirements!L639&lt;&gt;"Non-testable")</f>
        <v>0</v>
      </c>
      <c r="M622" s="1" t="b">
        <f>(VLOOKUP(Requirements!I639,Scope[[Role]:[Description]],2,FALSE)="In")</f>
        <v>1</v>
      </c>
      <c r="N622" s="1">
        <f t="shared" si="39"/>
        <v>0</v>
      </c>
    </row>
    <row r="623" spans="1:14">
      <c r="A623" s="1" t="str">
        <f>Requirements!A640</f>
        <v>MS-WSP_R618</v>
      </c>
      <c r="B623" s="1"/>
      <c r="C623" s="1"/>
      <c r="D623" s="1"/>
      <c r="E623" s="1"/>
      <c r="F623" s="1"/>
      <c r="G623" s="1"/>
      <c r="H623" s="3">
        <f t="shared" si="36"/>
        <v>0</v>
      </c>
      <c r="I623" s="6">
        <f t="shared" si="37"/>
        <v>0</v>
      </c>
      <c r="J623" s="1" t="b">
        <f t="shared" si="38"/>
        <v>0</v>
      </c>
      <c r="K623" s="1" t="b">
        <f>(Requirements!K640="Normative")</f>
        <v>1</v>
      </c>
      <c r="L623" s="1" t="b">
        <f>(Requirements!L640&lt;&gt;"Non-testable")</f>
        <v>0</v>
      </c>
      <c r="M623" s="1" t="b">
        <f>(VLOOKUP(Requirements!I640,Scope[[Role]:[Description]],2,FALSE)="In")</f>
        <v>1</v>
      </c>
      <c r="N623" s="1">
        <f t="shared" si="39"/>
        <v>0</v>
      </c>
    </row>
    <row r="624" spans="1:14">
      <c r="A624" s="1" t="str">
        <f>Requirements!A641</f>
        <v>MS-WSP_R619</v>
      </c>
      <c r="B624" s="1">
        <v>1</v>
      </c>
      <c r="C624" s="1">
        <v>1</v>
      </c>
      <c r="D624" s="1">
        <v>1</v>
      </c>
      <c r="E624" s="1">
        <v>1</v>
      </c>
      <c r="F624" s="1">
        <v>1</v>
      </c>
      <c r="G624" s="1">
        <v>1</v>
      </c>
      <c r="H624" s="3">
        <f t="shared" si="36"/>
        <v>6</v>
      </c>
      <c r="I624" s="6">
        <f t="shared" si="37"/>
        <v>1</v>
      </c>
      <c r="J624" s="1" t="b">
        <f t="shared" si="38"/>
        <v>1</v>
      </c>
      <c r="K624" s="1" t="b">
        <f>(Requirements!K641="Normative")</f>
        <v>1</v>
      </c>
      <c r="L624" s="1" t="b">
        <f>(Requirements!L641&lt;&gt;"Non-testable")</f>
        <v>1</v>
      </c>
      <c r="M624" s="1" t="b">
        <f>(VLOOKUP(Requirements!I641,Scope[[Role]:[Description]],2,FALSE)="In")</f>
        <v>1</v>
      </c>
      <c r="N624" s="1">
        <f t="shared" si="39"/>
        <v>1</v>
      </c>
    </row>
    <row r="625" spans="1:14">
      <c r="A625" s="1" t="str">
        <f>Requirements!A642</f>
        <v>MS-WSP_R620</v>
      </c>
      <c r="B625" s="1">
        <v>1</v>
      </c>
      <c r="C625" s="1">
        <v>1</v>
      </c>
      <c r="D625" s="1">
        <v>1</v>
      </c>
      <c r="E625" s="1">
        <v>1</v>
      </c>
      <c r="F625" s="1">
        <v>1</v>
      </c>
      <c r="G625" s="1">
        <v>1</v>
      </c>
      <c r="H625" s="3">
        <f t="shared" si="36"/>
        <v>6</v>
      </c>
      <c r="I625" s="6">
        <f t="shared" si="37"/>
        <v>1</v>
      </c>
      <c r="J625" s="1" t="b">
        <f t="shared" si="38"/>
        <v>1</v>
      </c>
      <c r="K625" s="1" t="b">
        <f>(Requirements!K642="Normative")</f>
        <v>1</v>
      </c>
      <c r="L625" s="1" t="b">
        <f>(Requirements!L642&lt;&gt;"Non-testable")</f>
        <v>1</v>
      </c>
      <c r="M625" s="1" t="b">
        <f>(VLOOKUP(Requirements!I642,Scope[[Role]:[Description]],2,FALSE)="In")</f>
        <v>1</v>
      </c>
      <c r="N625" s="1">
        <f t="shared" si="39"/>
        <v>1</v>
      </c>
    </row>
    <row r="626" spans="1:14">
      <c r="A626" s="1" t="str">
        <f>Requirements!A643</f>
        <v>MS-WSP_R621</v>
      </c>
      <c r="B626" s="1">
        <v>1</v>
      </c>
      <c r="C626" s="1">
        <v>1</v>
      </c>
      <c r="D626" s="1">
        <v>1</v>
      </c>
      <c r="E626" s="1">
        <v>1</v>
      </c>
      <c r="F626" s="1">
        <v>1</v>
      </c>
      <c r="G626" s="1">
        <v>1</v>
      </c>
      <c r="H626" s="3">
        <f t="shared" si="36"/>
        <v>6</v>
      </c>
      <c r="I626" s="6">
        <f t="shared" si="37"/>
        <v>1</v>
      </c>
      <c r="J626" s="1" t="b">
        <f t="shared" si="38"/>
        <v>1</v>
      </c>
      <c r="K626" s="1" t="b">
        <f>(Requirements!K643="Normative")</f>
        <v>1</v>
      </c>
      <c r="L626" s="1" t="b">
        <f>(Requirements!L643&lt;&gt;"Non-testable")</f>
        <v>1</v>
      </c>
      <c r="M626" s="1" t="b">
        <f>(VLOOKUP(Requirements!I643,Scope[[Role]:[Description]],2,FALSE)="In")</f>
        <v>1</v>
      </c>
      <c r="N626" s="1">
        <f t="shared" si="39"/>
        <v>1</v>
      </c>
    </row>
    <row r="627" spans="1:14">
      <c r="A627" s="1" t="str">
        <f>Requirements!A644</f>
        <v>MS-WSP_R622</v>
      </c>
      <c r="B627" s="1"/>
      <c r="C627" s="1"/>
      <c r="D627" s="1"/>
      <c r="E627" s="1"/>
      <c r="F627" s="1"/>
      <c r="G627" s="1"/>
      <c r="H627" s="3">
        <f t="shared" si="36"/>
        <v>0</v>
      </c>
      <c r="I627" s="6">
        <f t="shared" si="37"/>
        <v>0</v>
      </c>
      <c r="J627" s="1" t="b">
        <f t="shared" si="38"/>
        <v>1</v>
      </c>
      <c r="K627" s="1" t="b">
        <f>(Requirements!K644="Normative")</f>
        <v>1</v>
      </c>
      <c r="L627" s="1" t="b">
        <f>(Requirements!L644&lt;&gt;"Non-testable")</f>
        <v>1</v>
      </c>
      <c r="M627" s="1" t="b">
        <f>(VLOOKUP(Requirements!I644,Scope[[Role]:[Description]],2,FALSE)="In")</f>
        <v>1</v>
      </c>
      <c r="N627" s="1">
        <f t="shared" si="39"/>
        <v>0</v>
      </c>
    </row>
    <row r="628" spans="1:14">
      <c r="A628" s="1" t="str">
        <f>Requirements!A645</f>
        <v>MS-WSP_R623</v>
      </c>
      <c r="B628" s="1">
        <v>1</v>
      </c>
      <c r="C628" s="1">
        <v>1</v>
      </c>
      <c r="D628" s="1">
        <v>1</v>
      </c>
      <c r="E628" s="1"/>
      <c r="F628" s="1"/>
      <c r="G628" s="1"/>
      <c r="H628" s="3">
        <f t="shared" si="36"/>
        <v>3</v>
      </c>
      <c r="I628" s="6">
        <f t="shared" si="37"/>
        <v>1</v>
      </c>
      <c r="J628" s="1" t="b">
        <f t="shared" si="38"/>
        <v>1</v>
      </c>
      <c r="K628" s="1" t="b">
        <f>(Requirements!K645="Normative")</f>
        <v>1</v>
      </c>
      <c r="L628" s="1" t="b">
        <f>(Requirements!L645&lt;&gt;"Non-testable")</f>
        <v>1</v>
      </c>
      <c r="M628" s="1" t="b">
        <f>(VLOOKUP(Requirements!I645,Scope[[Role]:[Description]],2,FALSE)="In")</f>
        <v>1</v>
      </c>
      <c r="N628" s="1">
        <f t="shared" si="39"/>
        <v>1</v>
      </c>
    </row>
    <row r="629" spans="1:14">
      <c r="A629" s="1" t="str">
        <f>Requirements!A646</f>
        <v>MS-WSP_R624</v>
      </c>
      <c r="B629" s="1"/>
      <c r="C629" s="1"/>
      <c r="D629" s="1"/>
      <c r="E629" s="1"/>
      <c r="F629" s="1"/>
      <c r="G629" s="1"/>
      <c r="H629" s="3">
        <f t="shared" si="36"/>
        <v>0</v>
      </c>
      <c r="I629" s="6">
        <f t="shared" si="37"/>
        <v>0</v>
      </c>
      <c r="J629" s="1" t="b">
        <f t="shared" si="38"/>
        <v>1</v>
      </c>
      <c r="K629" s="1" t="b">
        <f>(Requirements!K646="Normative")</f>
        <v>1</v>
      </c>
      <c r="L629" s="1" t="b">
        <f>(Requirements!L646&lt;&gt;"Non-testable")</f>
        <v>1</v>
      </c>
      <c r="M629" s="1" t="b">
        <f>(VLOOKUP(Requirements!I646,Scope[[Role]:[Description]],2,FALSE)="In")</f>
        <v>1</v>
      </c>
      <c r="N629" s="1">
        <f t="shared" si="39"/>
        <v>0</v>
      </c>
    </row>
    <row r="630" spans="1:14">
      <c r="A630" s="1" t="str">
        <f>Requirements!A647</f>
        <v>MS-WSP_R625</v>
      </c>
      <c r="B630" s="1"/>
      <c r="C630" s="1"/>
      <c r="D630" s="1"/>
      <c r="E630" s="1"/>
      <c r="F630" s="1"/>
      <c r="G630" s="1"/>
      <c r="H630" s="3">
        <f t="shared" si="36"/>
        <v>0</v>
      </c>
      <c r="I630" s="6">
        <f t="shared" si="37"/>
        <v>0</v>
      </c>
      <c r="J630" s="1" t="b">
        <f t="shared" si="38"/>
        <v>1</v>
      </c>
      <c r="K630" s="1" t="b">
        <f>(Requirements!K647="Normative")</f>
        <v>1</v>
      </c>
      <c r="L630" s="1" t="b">
        <f>(Requirements!L647&lt;&gt;"Non-testable")</f>
        <v>1</v>
      </c>
      <c r="M630" s="1" t="b">
        <f>(VLOOKUP(Requirements!I647,Scope[[Role]:[Description]],2,FALSE)="In")</f>
        <v>1</v>
      </c>
      <c r="N630" s="1">
        <f t="shared" si="39"/>
        <v>0</v>
      </c>
    </row>
    <row r="631" spans="1:14">
      <c r="A631" s="1" t="str">
        <f>Requirements!A648</f>
        <v>MS-WSP_R626</v>
      </c>
      <c r="B631" s="1"/>
      <c r="C631" s="1"/>
      <c r="D631" s="1"/>
      <c r="E631" s="1"/>
      <c r="F631" s="1"/>
      <c r="G631" s="1"/>
      <c r="H631" s="3">
        <f t="shared" si="36"/>
        <v>0</v>
      </c>
      <c r="I631" s="6">
        <f t="shared" si="37"/>
        <v>0</v>
      </c>
      <c r="J631" s="1" t="b">
        <f t="shared" si="38"/>
        <v>1</v>
      </c>
      <c r="K631" s="1" t="b">
        <f>(Requirements!K648="Normative")</f>
        <v>1</v>
      </c>
      <c r="L631" s="1" t="b">
        <f>(Requirements!L648&lt;&gt;"Non-testable")</f>
        <v>1</v>
      </c>
      <c r="M631" s="1" t="b">
        <f>(VLOOKUP(Requirements!I648,Scope[[Role]:[Description]],2,FALSE)="In")</f>
        <v>1</v>
      </c>
      <c r="N631" s="1">
        <f t="shared" si="39"/>
        <v>0</v>
      </c>
    </row>
    <row r="632" spans="1:14">
      <c r="A632" s="1" t="str">
        <f>Requirements!A649</f>
        <v>MS-WSP_R627</v>
      </c>
      <c r="B632" s="1"/>
      <c r="C632" s="1"/>
      <c r="D632" s="1"/>
      <c r="E632" s="1"/>
      <c r="F632" s="1"/>
      <c r="G632" s="1"/>
      <c r="H632" s="3">
        <f t="shared" si="36"/>
        <v>0</v>
      </c>
      <c r="I632" s="6">
        <f t="shared" si="37"/>
        <v>0</v>
      </c>
      <c r="J632" s="1" t="b">
        <f t="shared" si="38"/>
        <v>0</v>
      </c>
      <c r="K632" s="1" t="b">
        <f>(Requirements!K649="Normative")</f>
        <v>1</v>
      </c>
      <c r="L632" s="1" t="b">
        <f>(Requirements!L649&lt;&gt;"Non-testable")</f>
        <v>0</v>
      </c>
      <c r="M632" s="1" t="b">
        <f>(VLOOKUP(Requirements!I649,Scope[[Role]:[Description]],2,FALSE)="In")</f>
        <v>1</v>
      </c>
      <c r="N632" s="1">
        <f t="shared" si="39"/>
        <v>0</v>
      </c>
    </row>
    <row r="633" spans="1:14">
      <c r="A633" s="1" t="str">
        <f>Requirements!A650</f>
        <v>MS-WSP_R628</v>
      </c>
      <c r="B633" s="1"/>
      <c r="C633" s="1"/>
      <c r="D633" s="1"/>
      <c r="E633" s="1"/>
      <c r="F633" s="1"/>
      <c r="G633" s="1"/>
      <c r="H633" s="3">
        <f t="shared" si="36"/>
        <v>0</v>
      </c>
      <c r="I633" s="6">
        <f t="shared" si="37"/>
        <v>0</v>
      </c>
      <c r="J633" s="1" t="b">
        <f t="shared" si="38"/>
        <v>0</v>
      </c>
      <c r="K633" s="1" t="b">
        <f>(Requirements!K650="Normative")</f>
        <v>1</v>
      </c>
      <c r="L633" s="1" t="b">
        <f>(Requirements!L650&lt;&gt;"Non-testable")</f>
        <v>0</v>
      </c>
      <c r="M633" s="1" t="b">
        <f>(VLOOKUP(Requirements!I650,Scope[[Role]:[Description]],2,FALSE)="In")</f>
        <v>1</v>
      </c>
      <c r="N633" s="1">
        <f t="shared" si="39"/>
        <v>0</v>
      </c>
    </row>
    <row r="634" spans="1:14">
      <c r="A634" s="1" t="str">
        <f>Requirements!A651</f>
        <v>MS-WSP_R629</v>
      </c>
      <c r="B634" s="1"/>
      <c r="C634" s="1"/>
      <c r="D634" s="1"/>
      <c r="E634" s="1"/>
      <c r="F634" s="1"/>
      <c r="G634" s="1"/>
      <c r="H634" s="3">
        <f t="shared" si="36"/>
        <v>0</v>
      </c>
      <c r="I634" s="6">
        <f t="shared" si="37"/>
        <v>0</v>
      </c>
      <c r="J634" s="1" t="b">
        <f t="shared" si="38"/>
        <v>0</v>
      </c>
      <c r="K634" s="1" t="b">
        <f>(Requirements!K651="Normative")</f>
        <v>1</v>
      </c>
      <c r="L634" s="1" t="b">
        <f>(Requirements!L651&lt;&gt;"Non-testable")</f>
        <v>0</v>
      </c>
      <c r="M634" s="1" t="b">
        <f>(VLOOKUP(Requirements!I651,Scope[[Role]:[Description]],2,FALSE)="In")</f>
        <v>1</v>
      </c>
      <c r="N634" s="1">
        <f t="shared" si="39"/>
        <v>0</v>
      </c>
    </row>
    <row r="635" spans="1:14">
      <c r="A635" s="1" t="str">
        <f>Requirements!A652</f>
        <v>MS-WSP_R630</v>
      </c>
      <c r="B635" s="1"/>
      <c r="C635" s="1"/>
      <c r="D635" s="1">
        <v>1</v>
      </c>
      <c r="E635" s="1"/>
      <c r="F635" s="1">
        <v>1</v>
      </c>
      <c r="G635" s="1"/>
      <c r="H635" s="3">
        <f t="shared" si="36"/>
        <v>2</v>
      </c>
      <c r="I635" s="6">
        <f t="shared" si="37"/>
        <v>1</v>
      </c>
      <c r="J635" s="1" t="b">
        <f t="shared" si="38"/>
        <v>1</v>
      </c>
      <c r="K635" s="1" t="b">
        <f>(Requirements!K652="Normative")</f>
        <v>1</v>
      </c>
      <c r="L635" s="1" t="b">
        <f>(Requirements!L652&lt;&gt;"Non-testable")</f>
        <v>1</v>
      </c>
      <c r="M635" s="1" t="b">
        <f>(VLOOKUP(Requirements!I652,Scope[[Role]:[Description]],2,FALSE)="In")</f>
        <v>1</v>
      </c>
      <c r="N635" s="1">
        <f t="shared" si="39"/>
        <v>1</v>
      </c>
    </row>
    <row r="636" spans="1:14">
      <c r="A636" s="1" t="str">
        <f>Requirements!A653</f>
        <v>MS-WSP_R631</v>
      </c>
      <c r="B636" s="1">
        <v>1</v>
      </c>
      <c r="C636" s="1"/>
      <c r="D636" s="1"/>
      <c r="E636" s="1"/>
      <c r="F636" s="1"/>
      <c r="G636" s="1"/>
      <c r="H636" s="3">
        <f t="shared" si="36"/>
        <v>1</v>
      </c>
      <c r="I636" s="6">
        <f t="shared" si="37"/>
        <v>1</v>
      </c>
      <c r="J636" s="1" t="b">
        <f t="shared" si="38"/>
        <v>1</v>
      </c>
      <c r="K636" s="1" t="b">
        <f>(Requirements!K653="Normative")</f>
        <v>1</v>
      </c>
      <c r="L636" s="1" t="b">
        <f>(Requirements!L653&lt;&gt;"Non-testable")</f>
        <v>1</v>
      </c>
      <c r="M636" s="1" t="b">
        <f>(VLOOKUP(Requirements!I653,Scope[[Role]:[Description]],2,FALSE)="In")</f>
        <v>1</v>
      </c>
      <c r="N636" s="1">
        <f t="shared" si="39"/>
        <v>1</v>
      </c>
    </row>
    <row r="637" spans="1:14">
      <c r="A637" s="1" t="str">
        <f>Requirements!A654</f>
        <v>MS-WSP_R632</v>
      </c>
      <c r="B637" s="1"/>
      <c r="C637" s="1"/>
      <c r="D637" s="1">
        <v>1</v>
      </c>
      <c r="E637" s="1"/>
      <c r="F637" s="1"/>
      <c r="G637" s="1"/>
      <c r="H637" s="3">
        <f t="shared" si="36"/>
        <v>1</v>
      </c>
      <c r="I637" s="6">
        <f t="shared" si="37"/>
        <v>1</v>
      </c>
      <c r="J637" s="1" t="b">
        <f t="shared" si="38"/>
        <v>1</v>
      </c>
      <c r="K637" s="1" t="b">
        <f>(Requirements!K654="Normative")</f>
        <v>1</v>
      </c>
      <c r="L637" s="1" t="b">
        <f>(Requirements!L654&lt;&gt;"Non-testable")</f>
        <v>1</v>
      </c>
      <c r="M637" s="1" t="b">
        <f>(VLOOKUP(Requirements!I654,Scope[[Role]:[Description]],2,FALSE)="In")</f>
        <v>1</v>
      </c>
      <c r="N637" s="1">
        <f t="shared" si="39"/>
        <v>1</v>
      </c>
    </row>
    <row r="638" spans="1:14">
      <c r="A638" s="1" t="str">
        <f>Requirements!A655</f>
        <v>MS-WSP_R633</v>
      </c>
      <c r="B638" s="1"/>
      <c r="C638" s="1"/>
      <c r="D638" s="1"/>
      <c r="E638" s="1"/>
      <c r="F638" s="1"/>
      <c r="G638" s="1"/>
      <c r="H638" s="3">
        <f t="shared" si="36"/>
        <v>0</v>
      </c>
      <c r="I638" s="6">
        <f t="shared" si="37"/>
        <v>0</v>
      </c>
      <c r="J638" s="1" t="b">
        <f t="shared" si="38"/>
        <v>0</v>
      </c>
      <c r="K638" s="1" t="b">
        <f>(Requirements!K655="Normative")</f>
        <v>1</v>
      </c>
      <c r="L638" s="1" t="b">
        <f>(Requirements!L655&lt;&gt;"Non-testable")</f>
        <v>0</v>
      </c>
      <c r="M638" s="1" t="b">
        <f>(VLOOKUP(Requirements!I655,Scope[[Role]:[Description]],2,FALSE)="In")</f>
        <v>1</v>
      </c>
      <c r="N638" s="1">
        <f t="shared" si="39"/>
        <v>0</v>
      </c>
    </row>
    <row r="639" spans="1:14">
      <c r="A639" s="1" t="str">
        <f>Requirements!A656</f>
        <v>MS-WSP_R634</v>
      </c>
      <c r="B639" s="1"/>
      <c r="C639" s="1"/>
      <c r="D639" s="1"/>
      <c r="E639" s="1"/>
      <c r="F639" s="1"/>
      <c r="G639" s="1"/>
      <c r="H639" s="3">
        <f t="shared" si="36"/>
        <v>0</v>
      </c>
      <c r="I639" s="6">
        <f t="shared" si="37"/>
        <v>0</v>
      </c>
      <c r="J639" s="1" t="b">
        <f t="shared" si="38"/>
        <v>0</v>
      </c>
      <c r="K639" s="1" t="b">
        <f>(Requirements!K656="Normative")</f>
        <v>1</v>
      </c>
      <c r="L639" s="1" t="b">
        <f>(Requirements!L656&lt;&gt;"Non-testable")</f>
        <v>0</v>
      </c>
      <c r="M639" s="1" t="b">
        <f>(VLOOKUP(Requirements!I656,Scope[[Role]:[Description]],2,FALSE)="In")</f>
        <v>1</v>
      </c>
      <c r="N639" s="1">
        <f t="shared" si="39"/>
        <v>0</v>
      </c>
    </row>
    <row r="640" spans="1:14">
      <c r="A640" s="1" t="str">
        <f>Requirements!A657</f>
        <v>MS-WSP_R635</v>
      </c>
      <c r="B640" s="1"/>
      <c r="C640" s="1"/>
      <c r="D640" s="1"/>
      <c r="E640" s="1"/>
      <c r="F640" s="1"/>
      <c r="G640" s="1"/>
      <c r="H640" s="3">
        <f t="shared" si="36"/>
        <v>0</v>
      </c>
      <c r="I640" s="6">
        <f t="shared" si="37"/>
        <v>0</v>
      </c>
      <c r="J640" s="1" t="b">
        <f t="shared" si="38"/>
        <v>0</v>
      </c>
      <c r="K640" s="1" t="b">
        <f>(Requirements!K657="Normative")</f>
        <v>1</v>
      </c>
      <c r="L640" s="1" t="b">
        <f>(Requirements!L657&lt;&gt;"Non-testable")</f>
        <v>0</v>
      </c>
      <c r="M640" s="1" t="b">
        <f>(VLOOKUP(Requirements!I657,Scope[[Role]:[Description]],2,FALSE)="In")</f>
        <v>1</v>
      </c>
      <c r="N640" s="1">
        <f t="shared" si="39"/>
        <v>0</v>
      </c>
    </row>
    <row r="641" spans="1:14">
      <c r="A641" s="1" t="str">
        <f>Requirements!A658</f>
        <v>MS-WSP_R636</v>
      </c>
      <c r="B641" s="1"/>
      <c r="C641" s="1"/>
      <c r="D641" s="1"/>
      <c r="E641" s="1"/>
      <c r="F641" s="1"/>
      <c r="G641" s="1"/>
      <c r="H641" s="3">
        <f t="shared" si="36"/>
        <v>0</v>
      </c>
      <c r="I641" s="6">
        <f t="shared" si="37"/>
        <v>0</v>
      </c>
      <c r="J641" s="1" t="b">
        <f t="shared" si="38"/>
        <v>0</v>
      </c>
      <c r="K641" s="1" t="b">
        <f>(Requirements!K658="Normative")</f>
        <v>1</v>
      </c>
      <c r="L641" s="1" t="b">
        <f>(Requirements!L658&lt;&gt;"Non-testable")</f>
        <v>0</v>
      </c>
      <c r="M641" s="1" t="b">
        <f>(VLOOKUP(Requirements!I658,Scope[[Role]:[Description]],2,FALSE)="In")</f>
        <v>1</v>
      </c>
      <c r="N641" s="1">
        <f t="shared" si="39"/>
        <v>0</v>
      </c>
    </row>
    <row r="642" spans="1:14">
      <c r="A642" s="1" t="str">
        <f>Requirements!A659</f>
        <v>MS-WSP_R637</v>
      </c>
      <c r="B642" s="1"/>
      <c r="C642" s="1"/>
      <c r="D642" s="1"/>
      <c r="E642" s="1"/>
      <c r="F642" s="1"/>
      <c r="G642" s="1"/>
      <c r="H642" s="3">
        <f t="shared" si="36"/>
        <v>0</v>
      </c>
      <c r="I642" s="6">
        <f t="shared" si="37"/>
        <v>0</v>
      </c>
      <c r="J642" s="1" t="b">
        <f t="shared" si="38"/>
        <v>0</v>
      </c>
      <c r="K642" s="1" t="b">
        <f>(Requirements!K659="Normative")</f>
        <v>1</v>
      </c>
      <c r="L642" s="1" t="b">
        <f>(Requirements!L659&lt;&gt;"Non-testable")</f>
        <v>0</v>
      </c>
      <c r="M642" s="1" t="b">
        <f>(VLOOKUP(Requirements!I659,Scope[[Role]:[Description]],2,FALSE)="In")</f>
        <v>1</v>
      </c>
      <c r="N642" s="1">
        <f t="shared" si="39"/>
        <v>0</v>
      </c>
    </row>
    <row r="643" spans="1:14">
      <c r="A643" s="1" t="str">
        <f>Requirements!A660</f>
        <v>MS-WSP_R638</v>
      </c>
      <c r="B643" s="1"/>
      <c r="C643" s="1"/>
      <c r="D643" s="1"/>
      <c r="E643" s="1"/>
      <c r="F643" s="1"/>
      <c r="G643" s="1"/>
      <c r="H643" s="3">
        <f t="shared" si="36"/>
        <v>0</v>
      </c>
      <c r="I643" s="6">
        <f t="shared" si="37"/>
        <v>0</v>
      </c>
      <c r="J643" s="1" t="b">
        <f t="shared" si="38"/>
        <v>0</v>
      </c>
      <c r="K643" s="1" t="b">
        <f>(Requirements!K660="Normative")</f>
        <v>1</v>
      </c>
      <c r="L643" s="1" t="b">
        <f>(Requirements!L660&lt;&gt;"Non-testable")</f>
        <v>0</v>
      </c>
      <c r="M643" s="1" t="b">
        <f>(VLOOKUP(Requirements!I660,Scope[[Role]:[Description]],2,FALSE)="In")</f>
        <v>1</v>
      </c>
      <c r="N643" s="1">
        <f t="shared" si="39"/>
        <v>0</v>
      </c>
    </row>
    <row r="644" spans="1:14">
      <c r="A644" s="1" t="str">
        <f>Requirements!A661</f>
        <v>MS-WSP_R639</v>
      </c>
      <c r="B644" s="1"/>
      <c r="C644" s="1"/>
      <c r="D644" s="1"/>
      <c r="E644" s="1"/>
      <c r="F644" s="1"/>
      <c r="G644" s="1"/>
      <c r="H644" s="3">
        <f t="shared" si="36"/>
        <v>0</v>
      </c>
      <c r="I644" s="6">
        <f t="shared" si="37"/>
        <v>0</v>
      </c>
      <c r="J644" s="1" t="b">
        <f t="shared" si="38"/>
        <v>0</v>
      </c>
      <c r="K644" s="1" t="b">
        <f>(Requirements!K661="Normative")</f>
        <v>1</v>
      </c>
      <c r="L644" s="1" t="b">
        <f>(Requirements!L661&lt;&gt;"Non-testable")</f>
        <v>0</v>
      </c>
      <c r="M644" s="1" t="b">
        <f>(VLOOKUP(Requirements!I661,Scope[[Role]:[Description]],2,FALSE)="In")</f>
        <v>1</v>
      </c>
      <c r="N644" s="1">
        <f t="shared" si="39"/>
        <v>0</v>
      </c>
    </row>
    <row r="645" spans="1:14">
      <c r="A645" s="1" t="str">
        <f>Requirements!A662</f>
        <v>MS-WSP_R640</v>
      </c>
      <c r="B645" s="1"/>
      <c r="C645" s="1"/>
      <c r="D645" s="1"/>
      <c r="E645" s="1"/>
      <c r="F645" s="1"/>
      <c r="G645" s="1"/>
      <c r="H645" s="3">
        <f t="shared" si="36"/>
        <v>0</v>
      </c>
      <c r="I645" s="6">
        <f t="shared" si="37"/>
        <v>0</v>
      </c>
      <c r="J645" s="1" t="b">
        <f t="shared" si="38"/>
        <v>0</v>
      </c>
      <c r="K645" s="1" t="b">
        <f>(Requirements!K662="Normative")</f>
        <v>1</v>
      </c>
      <c r="L645" s="1" t="b">
        <f>(Requirements!L662&lt;&gt;"Non-testable")</f>
        <v>0</v>
      </c>
      <c r="M645" s="1" t="b">
        <f>(VLOOKUP(Requirements!I662,Scope[[Role]:[Description]],2,FALSE)="In")</f>
        <v>1</v>
      </c>
      <c r="N645" s="1">
        <f t="shared" si="39"/>
        <v>0</v>
      </c>
    </row>
    <row r="646" spans="1:14">
      <c r="A646" s="1" t="str">
        <f>Requirements!A663</f>
        <v>MS-WSP_R641</v>
      </c>
      <c r="B646" s="1"/>
      <c r="C646" s="1"/>
      <c r="D646" s="1">
        <v>1</v>
      </c>
      <c r="E646" s="1"/>
      <c r="F646" s="1"/>
      <c r="G646" s="1"/>
      <c r="H646" s="3">
        <f t="shared" ref="H646:H709" si="40">SUM(B646:G646)</f>
        <v>1</v>
      </c>
      <c r="I646" s="6">
        <f t="shared" si="37"/>
        <v>1</v>
      </c>
      <c r="J646" s="1" t="b">
        <f t="shared" si="38"/>
        <v>1</v>
      </c>
      <c r="K646" s="1" t="b">
        <f>(Requirements!K663="Normative")</f>
        <v>1</v>
      </c>
      <c r="L646" s="1" t="b">
        <f>(Requirements!L663&lt;&gt;"Non-testable")</f>
        <v>1</v>
      </c>
      <c r="M646" s="1" t="b">
        <f>(VLOOKUP(Requirements!I663,Scope[[Role]:[Description]],2,FALSE)="In")</f>
        <v>1</v>
      </c>
      <c r="N646" s="1">
        <f t="shared" si="39"/>
        <v>1</v>
      </c>
    </row>
    <row r="647" spans="1:14">
      <c r="A647" s="1" t="str">
        <f>Requirements!A664</f>
        <v>MS-WSP_R642</v>
      </c>
      <c r="B647" s="1">
        <v>1</v>
      </c>
      <c r="C647" s="1"/>
      <c r="D647" s="1"/>
      <c r="E647" s="1"/>
      <c r="F647" s="1"/>
      <c r="G647" s="1"/>
      <c r="H647" s="3">
        <f t="shared" si="40"/>
        <v>1</v>
      </c>
      <c r="I647" s="6">
        <f t="shared" ref="I647:I710" si="41">IF(H647=0,0,1)</f>
        <v>1</v>
      </c>
      <c r="J647" s="1" t="b">
        <f t="shared" ref="J647:J710" si="42">AND(K647:M647)</f>
        <v>1</v>
      </c>
      <c r="K647" s="1" t="b">
        <f>(Requirements!K664="Normative")</f>
        <v>1</v>
      </c>
      <c r="L647" s="1" t="b">
        <f>(Requirements!L664&lt;&gt;"Non-testable")</f>
        <v>1</v>
      </c>
      <c r="M647" s="1" t="b">
        <f>(VLOOKUP(Requirements!I664,Scope[[Role]:[Description]],2,FALSE)="In")</f>
        <v>1</v>
      </c>
      <c r="N647" s="1">
        <f t="shared" ref="N647:N710" si="43">IF(J647,I647,0)</f>
        <v>1</v>
      </c>
    </row>
    <row r="648" spans="1:14">
      <c r="A648" s="1" t="str">
        <f>Requirements!A665</f>
        <v>MS-WSP_R643</v>
      </c>
      <c r="B648" s="1"/>
      <c r="C648" s="1"/>
      <c r="D648" s="1">
        <v>1</v>
      </c>
      <c r="E648" s="1"/>
      <c r="F648" s="1"/>
      <c r="G648" s="1"/>
      <c r="H648" s="3">
        <f t="shared" si="40"/>
        <v>1</v>
      </c>
      <c r="I648" s="6">
        <f t="shared" si="41"/>
        <v>1</v>
      </c>
      <c r="J648" s="1" t="b">
        <f t="shared" si="42"/>
        <v>1</v>
      </c>
      <c r="K648" s="1" t="b">
        <f>(Requirements!K665="Normative")</f>
        <v>1</v>
      </c>
      <c r="L648" s="1" t="b">
        <f>(Requirements!L665&lt;&gt;"Non-testable")</f>
        <v>1</v>
      </c>
      <c r="M648" s="1" t="b">
        <f>(VLOOKUP(Requirements!I665,Scope[[Role]:[Description]],2,FALSE)="In")</f>
        <v>1</v>
      </c>
      <c r="N648" s="1">
        <f t="shared" si="43"/>
        <v>1</v>
      </c>
    </row>
    <row r="649" spans="1:14">
      <c r="A649" s="1" t="str">
        <f>Requirements!A666</f>
        <v>MS-WSP_R644</v>
      </c>
      <c r="B649" s="1"/>
      <c r="C649" s="1"/>
      <c r="D649" s="1"/>
      <c r="E649" s="1"/>
      <c r="F649" s="1"/>
      <c r="G649" s="1"/>
      <c r="H649" s="3">
        <f t="shared" si="40"/>
        <v>0</v>
      </c>
      <c r="I649" s="6">
        <f t="shared" si="41"/>
        <v>0</v>
      </c>
      <c r="J649" s="1" t="b">
        <f t="shared" si="42"/>
        <v>1</v>
      </c>
      <c r="K649" s="1" t="b">
        <f>(Requirements!K666="Normative")</f>
        <v>1</v>
      </c>
      <c r="L649" s="1" t="b">
        <f>(Requirements!L666&lt;&gt;"Non-testable")</f>
        <v>1</v>
      </c>
      <c r="M649" s="1" t="b">
        <f>(VLOOKUP(Requirements!I666,Scope[[Role]:[Description]],2,FALSE)="In")</f>
        <v>1</v>
      </c>
      <c r="N649" s="1">
        <f t="shared" si="43"/>
        <v>0</v>
      </c>
    </row>
    <row r="650" spans="1:14">
      <c r="A650" s="1" t="str">
        <f>Requirements!A667</f>
        <v>MS-WSP_R645</v>
      </c>
      <c r="B650" s="1"/>
      <c r="C650" s="1"/>
      <c r="D650" s="1"/>
      <c r="E650" s="1"/>
      <c r="F650" s="1"/>
      <c r="G650" s="1"/>
      <c r="H650" s="3">
        <f t="shared" si="40"/>
        <v>0</v>
      </c>
      <c r="I650" s="6">
        <f t="shared" si="41"/>
        <v>0</v>
      </c>
      <c r="J650" s="1" t="b">
        <f t="shared" si="42"/>
        <v>0</v>
      </c>
      <c r="K650" s="1" t="b">
        <f>(Requirements!K667="Normative")</f>
        <v>1</v>
      </c>
      <c r="L650" s="1" t="b">
        <f>(Requirements!L667&lt;&gt;"Non-testable")</f>
        <v>0</v>
      </c>
      <c r="M650" s="1" t="b">
        <f>(VLOOKUP(Requirements!I667,Scope[[Role]:[Description]],2,FALSE)="In")</f>
        <v>1</v>
      </c>
      <c r="N650" s="1">
        <f t="shared" si="43"/>
        <v>0</v>
      </c>
    </row>
    <row r="651" spans="1:14">
      <c r="A651" s="1" t="str">
        <f>Requirements!A668</f>
        <v>MS-WSP_R646</v>
      </c>
      <c r="B651" s="1"/>
      <c r="C651" s="1"/>
      <c r="D651" s="1">
        <v>1</v>
      </c>
      <c r="E651" s="1"/>
      <c r="F651" s="1"/>
      <c r="G651" s="1"/>
      <c r="H651" s="3">
        <f t="shared" si="40"/>
        <v>1</v>
      </c>
      <c r="I651" s="6">
        <f t="shared" si="41"/>
        <v>1</v>
      </c>
      <c r="J651" s="1" t="b">
        <f t="shared" si="42"/>
        <v>1</v>
      </c>
      <c r="K651" s="1" t="b">
        <f>(Requirements!K668="Normative")</f>
        <v>1</v>
      </c>
      <c r="L651" s="1" t="b">
        <f>(Requirements!L668&lt;&gt;"Non-testable")</f>
        <v>1</v>
      </c>
      <c r="M651" s="1" t="b">
        <f>(VLOOKUP(Requirements!I668,Scope[[Role]:[Description]],2,FALSE)="In")</f>
        <v>1</v>
      </c>
      <c r="N651" s="1">
        <f t="shared" si="43"/>
        <v>1</v>
      </c>
    </row>
    <row r="652" spans="1:14">
      <c r="A652" s="1" t="str">
        <f>Requirements!A669</f>
        <v>MS-WSP_R647</v>
      </c>
      <c r="B652" s="1">
        <v>1</v>
      </c>
      <c r="C652" s="1">
        <v>1</v>
      </c>
      <c r="D652" s="1">
        <v>1</v>
      </c>
      <c r="E652" s="1">
        <v>1</v>
      </c>
      <c r="F652" s="1">
        <v>1</v>
      </c>
      <c r="G652" s="1">
        <v>1</v>
      </c>
      <c r="H652" s="3">
        <f t="shared" si="40"/>
        <v>6</v>
      </c>
      <c r="I652" s="6">
        <f t="shared" si="41"/>
        <v>1</v>
      </c>
      <c r="J652" s="1" t="b">
        <f t="shared" si="42"/>
        <v>1</v>
      </c>
      <c r="K652" s="1" t="b">
        <f>(Requirements!K669="Normative")</f>
        <v>1</v>
      </c>
      <c r="L652" s="1" t="b">
        <f>(Requirements!L669&lt;&gt;"Non-testable")</f>
        <v>1</v>
      </c>
      <c r="M652" s="1" t="b">
        <f>(VLOOKUP(Requirements!I669,Scope[[Role]:[Description]],2,FALSE)="In")</f>
        <v>1</v>
      </c>
      <c r="N652" s="1">
        <f t="shared" si="43"/>
        <v>1</v>
      </c>
    </row>
    <row r="653" spans="1:14">
      <c r="A653" s="1" t="str">
        <f>Requirements!A670</f>
        <v>MS-WSP_R648</v>
      </c>
      <c r="B653" s="1"/>
      <c r="C653" s="1"/>
      <c r="D653" s="1"/>
      <c r="E653" s="1">
        <v>1</v>
      </c>
      <c r="F653" s="1"/>
      <c r="G653" s="1"/>
      <c r="H653" s="3">
        <f t="shared" si="40"/>
        <v>1</v>
      </c>
      <c r="I653" s="6">
        <f t="shared" si="41"/>
        <v>1</v>
      </c>
      <c r="J653" s="1" t="b">
        <f t="shared" si="42"/>
        <v>1</v>
      </c>
      <c r="K653" s="1" t="b">
        <f>(Requirements!K670="Normative")</f>
        <v>1</v>
      </c>
      <c r="L653" s="1" t="b">
        <f>(Requirements!L670&lt;&gt;"Non-testable")</f>
        <v>1</v>
      </c>
      <c r="M653" s="1" t="b">
        <f>(VLOOKUP(Requirements!I670,Scope[[Role]:[Description]],2,FALSE)="In")</f>
        <v>1</v>
      </c>
      <c r="N653" s="1">
        <f t="shared" si="43"/>
        <v>1</v>
      </c>
    </row>
    <row r="654" spans="1:14">
      <c r="A654" s="1" t="str">
        <f>Requirements!A671</f>
        <v>MS-WSP_R649</v>
      </c>
      <c r="B654" s="1"/>
      <c r="C654" s="1"/>
      <c r="D654" s="1"/>
      <c r="E654" s="1"/>
      <c r="F654" s="1"/>
      <c r="G654" s="1"/>
      <c r="H654" s="3">
        <f t="shared" si="40"/>
        <v>0</v>
      </c>
      <c r="I654" s="6">
        <f t="shared" si="41"/>
        <v>0</v>
      </c>
      <c r="J654" s="1" t="b">
        <f t="shared" si="42"/>
        <v>0</v>
      </c>
      <c r="K654" s="1" t="b">
        <f>(Requirements!K671="Normative")</f>
        <v>1</v>
      </c>
      <c r="L654" s="1" t="b">
        <f>(Requirements!L671&lt;&gt;"Non-testable")</f>
        <v>0</v>
      </c>
      <c r="M654" s="1" t="b">
        <f>(VLOOKUP(Requirements!I671,Scope[[Role]:[Description]],2,FALSE)="In")</f>
        <v>1</v>
      </c>
      <c r="N654" s="1">
        <f t="shared" si="43"/>
        <v>0</v>
      </c>
    </row>
    <row r="655" spans="1:14">
      <c r="A655" s="1" t="str">
        <f>Requirements!A672</f>
        <v>MS-WSP_R650</v>
      </c>
      <c r="B655" s="1"/>
      <c r="C655" s="1"/>
      <c r="D655" s="1"/>
      <c r="E655" s="1"/>
      <c r="F655" s="1"/>
      <c r="G655" s="1"/>
      <c r="H655" s="3">
        <f t="shared" si="40"/>
        <v>0</v>
      </c>
      <c r="I655" s="6">
        <f t="shared" si="41"/>
        <v>0</v>
      </c>
      <c r="J655" s="1" t="b">
        <f t="shared" si="42"/>
        <v>1</v>
      </c>
      <c r="K655" s="1" t="b">
        <f>(Requirements!K672="Normative")</f>
        <v>1</v>
      </c>
      <c r="L655" s="1" t="b">
        <f>(Requirements!L672&lt;&gt;"Non-testable")</f>
        <v>1</v>
      </c>
      <c r="M655" s="1" t="b">
        <f>(VLOOKUP(Requirements!I672,Scope[[Role]:[Description]],2,FALSE)="In")</f>
        <v>1</v>
      </c>
      <c r="N655" s="1">
        <f t="shared" si="43"/>
        <v>0</v>
      </c>
    </row>
    <row r="656" spans="1:14">
      <c r="A656" s="1" t="str">
        <f>Requirements!A673</f>
        <v>MS-WSP_R651</v>
      </c>
      <c r="B656" s="1">
        <v>1</v>
      </c>
      <c r="C656" s="1">
        <v>1</v>
      </c>
      <c r="D656" s="1">
        <v>1</v>
      </c>
      <c r="E656" s="1">
        <v>1</v>
      </c>
      <c r="F656" s="1">
        <v>1</v>
      </c>
      <c r="G656" s="1">
        <v>1</v>
      </c>
      <c r="H656" s="3">
        <f t="shared" si="40"/>
        <v>6</v>
      </c>
      <c r="I656" s="6">
        <f t="shared" si="41"/>
        <v>1</v>
      </c>
      <c r="J656" s="1" t="b">
        <f t="shared" si="42"/>
        <v>1</v>
      </c>
      <c r="K656" s="1" t="b">
        <f>(Requirements!K673="Normative")</f>
        <v>1</v>
      </c>
      <c r="L656" s="1" t="b">
        <f>(Requirements!L673&lt;&gt;"Non-testable")</f>
        <v>1</v>
      </c>
      <c r="M656" s="1" t="b">
        <f>(VLOOKUP(Requirements!I673,Scope[[Role]:[Description]],2,FALSE)="In")</f>
        <v>1</v>
      </c>
      <c r="N656" s="1">
        <f t="shared" si="43"/>
        <v>1</v>
      </c>
    </row>
    <row r="657" spans="1:14">
      <c r="A657" s="1" t="str">
        <f>Requirements!A674</f>
        <v>MS-WSP_R652</v>
      </c>
      <c r="B657" s="1"/>
      <c r="C657" s="1"/>
      <c r="D657" s="1"/>
      <c r="E657" s="1"/>
      <c r="F657" s="1"/>
      <c r="G657" s="1"/>
      <c r="H657" s="3">
        <f t="shared" si="40"/>
        <v>0</v>
      </c>
      <c r="I657" s="6">
        <f t="shared" si="41"/>
        <v>0</v>
      </c>
      <c r="J657" s="1" t="b">
        <f t="shared" si="42"/>
        <v>1</v>
      </c>
      <c r="K657" s="1" t="b">
        <f>(Requirements!K674="Normative")</f>
        <v>1</v>
      </c>
      <c r="L657" s="1" t="b">
        <f>(Requirements!L674&lt;&gt;"Non-testable")</f>
        <v>1</v>
      </c>
      <c r="M657" s="1" t="b">
        <f>(VLOOKUP(Requirements!I674,Scope[[Role]:[Description]],2,FALSE)="In")</f>
        <v>1</v>
      </c>
      <c r="N657" s="1">
        <f t="shared" si="43"/>
        <v>0</v>
      </c>
    </row>
    <row r="658" spans="1:14">
      <c r="A658" s="1" t="str">
        <f>Requirements!A675</f>
        <v>MS-WSP_R653</v>
      </c>
      <c r="B658" s="1">
        <v>1</v>
      </c>
      <c r="C658" s="1">
        <v>1</v>
      </c>
      <c r="D658" s="1">
        <v>1</v>
      </c>
      <c r="E658" s="1">
        <v>1</v>
      </c>
      <c r="F658" s="1">
        <v>1</v>
      </c>
      <c r="G658" s="1">
        <v>1</v>
      </c>
      <c r="H658" s="3">
        <f t="shared" si="40"/>
        <v>6</v>
      </c>
      <c r="I658" s="6">
        <f t="shared" si="41"/>
        <v>1</v>
      </c>
      <c r="J658" s="1" t="b">
        <f t="shared" si="42"/>
        <v>1</v>
      </c>
      <c r="K658" s="1" t="b">
        <f>(Requirements!K675="Normative")</f>
        <v>1</v>
      </c>
      <c r="L658" s="1" t="b">
        <f>(Requirements!L675&lt;&gt;"Non-testable")</f>
        <v>1</v>
      </c>
      <c r="M658" s="1" t="b">
        <f>(VLOOKUP(Requirements!I675,Scope[[Role]:[Description]],2,FALSE)="In")</f>
        <v>1</v>
      </c>
      <c r="N658" s="1">
        <f t="shared" si="43"/>
        <v>1</v>
      </c>
    </row>
    <row r="659" spans="1:14">
      <c r="A659" s="1" t="str">
        <f>Requirements!A676</f>
        <v>MS-WSP_R654</v>
      </c>
      <c r="B659" s="1">
        <v>1</v>
      </c>
      <c r="C659" s="1">
        <v>1</v>
      </c>
      <c r="D659" s="1">
        <v>1</v>
      </c>
      <c r="E659" s="1">
        <v>1</v>
      </c>
      <c r="F659" s="1">
        <v>1</v>
      </c>
      <c r="G659" s="1">
        <v>1</v>
      </c>
      <c r="H659" s="3">
        <f t="shared" si="40"/>
        <v>6</v>
      </c>
      <c r="I659" s="6">
        <f t="shared" si="41"/>
        <v>1</v>
      </c>
      <c r="J659" s="1" t="b">
        <f t="shared" si="42"/>
        <v>1</v>
      </c>
      <c r="K659" s="1" t="b">
        <f>(Requirements!K676="Normative")</f>
        <v>1</v>
      </c>
      <c r="L659" s="1" t="b">
        <f>(Requirements!L676&lt;&gt;"Non-testable")</f>
        <v>1</v>
      </c>
      <c r="M659" s="1" t="b">
        <f>(VLOOKUP(Requirements!I676,Scope[[Role]:[Description]],2,FALSE)="In")</f>
        <v>1</v>
      </c>
      <c r="N659" s="1">
        <f t="shared" si="43"/>
        <v>1</v>
      </c>
    </row>
    <row r="660" spans="1:14">
      <c r="A660" s="1" t="str">
        <f>Requirements!A677</f>
        <v>MS-WSP_R655</v>
      </c>
      <c r="B660" s="1">
        <v>1</v>
      </c>
      <c r="C660" s="1">
        <v>1</v>
      </c>
      <c r="D660" s="1"/>
      <c r="E660" s="1"/>
      <c r="F660" s="1">
        <v>1</v>
      </c>
      <c r="G660" s="1">
        <v>1</v>
      </c>
      <c r="H660" s="3">
        <f t="shared" si="40"/>
        <v>4</v>
      </c>
      <c r="I660" s="6">
        <f t="shared" si="41"/>
        <v>1</v>
      </c>
      <c r="J660" s="1" t="b">
        <f t="shared" si="42"/>
        <v>1</v>
      </c>
      <c r="K660" s="1" t="b">
        <f>(Requirements!K677="Normative")</f>
        <v>1</v>
      </c>
      <c r="L660" s="1" t="b">
        <f>(Requirements!L677&lt;&gt;"Non-testable")</f>
        <v>1</v>
      </c>
      <c r="M660" s="1" t="b">
        <f>(VLOOKUP(Requirements!I677,Scope[[Role]:[Description]],2,FALSE)="In")</f>
        <v>1</v>
      </c>
      <c r="N660" s="1">
        <f t="shared" si="43"/>
        <v>1</v>
      </c>
    </row>
    <row r="661" spans="1:14">
      <c r="A661" s="1" t="str">
        <f>Requirements!A678</f>
        <v>MS-WSP_R656</v>
      </c>
      <c r="B661" s="1"/>
      <c r="C661" s="1"/>
      <c r="D661" s="1"/>
      <c r="E661" s="1"/>
      <c r="F661" s="1">
        <v>1</v>
      </c>
      <c r="G661" s="1"/>
      <c r="H661" s="3">
        <f t="shared" si="40"/>
        <v>1</v>
      </c>
      <c r="I661" s="6">
        <f t="shared" si="41"/>
        <v>1</v>
      </c>
      <c r="J661" s="1" t="b">
        <f t="shared" si="42"/>
        <v>1</v>
      </c>
      <c r="K661" s="1" t="b">
        <f>(Requirements!K678="Normative")</f>
        <v>1</v>
      </c>
      <c r="L661" s="1" t="b">
        <f>(Requirements!L678&lt;&gt;"Non-testable")</f>
        <v>1</v>
      </c>
      <c r="M661" s="1" t="b">
        <f>(VLOOKUP(Requirements!I678,Scope[[Role]:[Description]],2,FALSE)="In")</f>
        <v>1</v>
      </c>
      <c r="N661" s="1">
        <f t="shared" si="43"/>
        <v>1</v>
      </c>
    </row>
    <row r="662" spans="1:14">
      <c r="A662" s="1" t="str">
        <f>Requirements!A679</f>
        <v>MS-WSP_R657</v>
      </c>
      <c r="B662" s="1">
        <v>1</v>
      </c>
      <c r="C662" s="1">
        <v>1</v>
      </c>
      <c r="D662" s="1"/>
      <c r="E662" s="1"/>
      <c r="F662" s="1">
        <v>1</v>
      </c>
      <c r="G662" s="1">
        <v>1</v>
      </c>
      <c r="H662" s="3">
        <f t="shared" si="40"/>
        <v>4</v>
      </c>
      <c r="I662" s="6">
        <f t="shared" si="41"/>
        <v>1</v>
      </c>
      <c r="J662" s="1" t="b">
        <f t="shared" si="42"/>
        <v>1</v>
      </c>
      <c r="K662" s="1" t="b">
        <f>(Requirements!K679="Normative")</f>
        <v>1</v>
      </c>
      <c r="L662" s="1" t="b">
        <f>(Requirements!L679&lt;&gt;"Non-testable")</f>
        <v>1</v>
      </c>
      <c r="M662" s="1" t="b">
        <f>(VLOOKUP(Requirements!I679,Scope[[Role]:[Description]],2,FALSE)="In")</f>
        <v>1</v>
      </c>
      <c r="N662" s="1">
        <f t="shared" si="43"/>
        <v>1</v>
      </c>
    </row>
    <row r="663" spans="1:14">
      <c r="A663" s="1" t="str">
        <f>Requirements!A680</f>
        <v>MS-WSP_R658</v>
      </c>
      <c r="B663" s="1"/>
      <c r="C663" s="1"/>
      <c r="D663" s="1"/>
      <c r="E663" s="1"/>
      <c r="F663" s="1">
        <v>1</v>
      </c>
      <c r="G663" s="1"/>
      <c r="H663" s="3">
        <f t="shared" si="40"/>
        <v>1</v>
      </c>
      <c r="I663" s="6">
        <f t="shared" si="41"/>
        <v>1</v>
      </c>
      <c r="J663" s="1" t="b">
        <f t="shared" si="42"/>
        <v>1</v>
      </c>
      <c r="K663" s="1" t="b">
        <f>(Requirements!K680="Normative")</f>
        <v>1</v>
      </c>
      <c r="L663" s="1" t="b">
        <f>(Requirements!L680&lt;&gt;"Non-testable")</f>
        <v>1</v>
      </c>
      <c r="M663" s="1" t="b">
        <f>(VLOOKUP(Requirements!I680,Scope[[Role]:[Description]],2,FALSE)="In")</f>
        <v>1</v>
      </c>
      <c r="N663" s="1">
        <f t="shared" si="43"/>
        <v>1</v>
      </c>
    </row>
    <row r="664" spans="1:14">
      <c r="A664" s="1" t="str">
        <f>Requirements!A681</f>
        <v>MS-WSP_R659</v>
      </c>
      <c r="B664" s="1"/>
      <c r="C664" s="1"/>
      <c r="D664" s="1"/>
      <c r="E664" s="1"/>
      <c r="F664" s="1"/>
      <c r="G664" s="1"/>
      <c r="H664" s="3">
        <f t="shared" si="40"/>
        <v>0</v>
      </c>
      <c r="I664" s="6">
        <f t="shared" si="41"/>
        <v>0</v>
      </c>
      <c r="J664" s="1" t="b">
        <f t="shared" si="42"/>
        <v>0</v>
      </c>
      <c r="K664" s="1" t="b">
        <f>(Requirements!K681="Normative")</f>
        <v>1</v>
      </c>
      <c r="L664" s="1" t="b">
        <f>(Requirements!L681&lt;&gt;"Non-testable")</f>
        <v>0</v>
      </c>
      <c r="M664" s="1" t="b">
        <f>(VLOOKUP(Requirements!I681,Scope[[Role]:[Description]],2,FALSE)="In")</f>
        <v>1</v>
      </c>
      <c r="N664" s="1">
        <f t="shared" si="43"/>
        <v>0</v>
      </c>
    </row>
    <row r="665" spans="1:14">
      <c r="A665" s="1" t="str">
        <f>Requirements!A682</f>
        <v>MS-WSP_R660</v>
      </c>
      <c r="B665" s="1"/>
      <c r="C665" s="1"/>
      <c r="D665" s="1"/>
      <c r="E665" s="1"/>
      <c r="F665" s="1"/>
      <c r="G665" s="1"/>
      <c r="H665" s="3">
        <f t="shared" si="40"/>
        <v>0</v>
      </c>
      <c r="I665" s="6">
        <f t="shared" si="41"/>
        <v>0</v>
      </c>
      <c r="J665" s="1" t="b">
        <f t="shared" si="42"/>
        <v>0</v>
      </c>
      <c r="K665" s="1" t="b">
        <f>(Requirements!K682="Normative")</f>
        <v>1</v>
      </c>
      <c r="L665" s="1" t="b">
        <f>(Requirements!L682&lt;&gt;"Non-testable")</f>
        <v>0</v>
      </c>
      <c r="M665" s="1" t="b">
        <f>(VLOOKUP(Requirements!I682,Scope[[Role]:[Description]],2,FALSE)="In")</f>
        <v>1</v>
      </c>
      <c r="N665" s="1">
        <f t="shared" si="43"/>
        <v>0</v>
      </c>
    </row>
    <row r="666" spans="1:14">
      <c r="A666" s="1" t="str">
        <f>Requirements!A683</f>
        <v>MS-WSP_R661</v>
      </c>
      <c r="B666" s="1"/>
      <c r="C666" s="1"/>
      <c r="D666" s="1"/>
      <c r="E666" s="1"/>
      <c r="F666" s="1"/>
      <c r="G666" s="1"/>
      <c r="H666" s="3">
        <f t="shared" si="40"/>
        <v>0</v>
      </c>
      <c r="I666" s="6">
        <f t="shared" si="41"/>
        <v>0</v>
      </c>
      <c r="J666" s="1" t="b">
        <f t="shared" si="42"/>
        <v>0</v>
      </c>
      <c r="K666" s="1" t="b">
        <f>(Requirements!K683="Normative")</f>
        <v>1</v>
      </c>
      <c r="L666" s="1" t="b">
        <f>(Requirements!L683&lt;&gt;"Non-testable")</f>
        <v>0</v>
      </c>
      <c r="M666" s="1" t="b">
        <f>(VLOOKUP(Requirements!I683,Scope[[Role]:[Description]],2,FALSE)="In")</f>
        <v>1</v>
      </c>
      <c r="N666" s="1">
        <f t="shared" si="43"/>
        <v>0</v>
      </c>
    </row>
    <row r="667" spans="1:14">
      <c r="A667" s="1" t="str">
        <f>Requirements!A684</f>
        <v>MS-WSP_R662</v>
      </c>
      <c r="B667" s="1"/>
      <c r="C667" s="1"/>
      <c r="D667" s="1"/>
      <c r="E667" s="1"/>
      <c r="F667" s="1">
        <v>1</v>
      </c>
      <c r="G667" s="1"/>
      <c r="H667" s="3">
        <f t="shared" si="40"/>
        <v>1</v>
      </c>
      <c r="I667" s="6">
        <f t="shared" si="41"/>
        <v>1</v>
      </c>
      <c r="J667" s="1" t="b">
        <f t="shared" si="42"/>
        <v>1</v>
      </c>
      <c r="K667" s="1" t="b">
        <f>(Requirements!K684="Normative")</f>
        <v>1</v>
      </c>
      <c r="L667" s="1" t="b">
        <f>(Requirements!L684&lt;&gt;"Non-testable")</f>
        <v>1</v>
      </c>
      <c r="M667" s="1" t="b">
        <f>(VLOOKUP(Requirements!I684,Scope[[Role]:[Description]],2,FALSE)="In")</f>
        <v>1</v>
      </c>
      <c r="N667" s="1">
        <f t="shared" si="43"/>
        <v>1</v>
      </c>
    </row>
    <row r="668" spans="1:14">
      <c r="A668" s="1" t="str">
        <f>Requirements!A685</f>
        <v>MS-WSP_R663</v>
      </c>
      <c r="B668" s="1"/>
      <c r="C668" s="1"/>
      <c r="D668" s="1"/>
      <c r="E668" s="1"/>
      <c r="F668" s="1">
        <v>1</v>
      </c>
      <c r="G668" s="1"/>
      <c r="H668" s="3">
        <f t="shared" si="40"/>
        <v>1</v>
      </c>
      <c r="I668" s="6">
        <f t="shared" si="41"/>
        <v>1</v>
      </c>
      <c r="J668" s="1" t="b">
        <f t="shared" si="42"/>
        <v>1</v>
      </c>
      <c r="K668" s="1" t="b">
        <f>(Requirements!K685="Normative")</f>
        <v>1</v>
      </c>
      <c r="L668" s="1" t="b">
        <f>(Requirements!L685&lt;&gt;"Non-testable")</f>
        <v>1</v>
      </c>
      <c r="M668" s="1" t="b">
        <f>(VLOOKUP(Requirements!I685,Scope[[Role]:[Description]],2,FALSE)="In")</f>
        <v>1</v>
      </c>
      <c r="N668" s="1">
        <f t="shared" si="43"/>
        <v>1</v>
      </c>
    </row>
    <row r="669" spans="1:14">
      <c r="A669" s="1" t="str">
        <f>Requirements!A686</f>
        <v>MS-WSP_R664</v>
      </c>
      <c r="B669" s="1"/>
      <c r="C669" s="1"/>
      <c r="D669" s="1"/>
      <c r="E669" s="1"/>
      <c r="F669" s="1"/>
      <c r="G669" s="1"/>
      <c r="H669" s="3">
        <f t="shared" si="40"/>
        <v>0</v>
      </c>
      <c r="I669" s="6">
        <f t="shared" si="41"/>
        <v>0</v>
      </c>
      <c r="J669" s="1" t="b">
        <f t="shared" si="42"/>
        <v>0</v>
      </c>
      <c r="K669" s="1" t="b">
        <f>(Requirements!K686="Normative")</f>
        <v>1</v>
      </c>
      <c r="L669" s="1" t="b">
        <f>(Requirements!L686&lt;&gt;"Non-testable")</f>
        <v>0</v>
      </c>
      <c r="M669" s="1" t="b">
        <f>(VLOOKUP(Requirements!I686,Scope[[Role]:[Description]],2,FALSE)="In")</f>
        <v>1</v>
      </c>
      <c r="N669" s="1">
        <f t="shared" si="43"/>
        <v>0</v>
      </c>
    </row>
    <row r="670" spans="1:14">
      <c r="A670" s="1" t="str">
        <f>Requirements!A687</f>
        <v>MS-WSP_R665</v>
      </c>
      <c r="B670" s="1"/>
      <c r="C670" s="1"/>
      <c r="D670" s="1"/>
      <c r="E670" s="1"/>
      <c r="F670" s="1"/>
      <c r="G670" s="1"/>
      <c r="H670" s="3">
        <f t="shared" si="40"/>
        <v>0</v>
      </c>
      <c r="I670" s="6">
        <f t="shared" si="41"/>
        <v>0</v>
      </c>
      <c r="J670" s="1" t="b">
        <f t="shared" si="42"/>
        <v>0</v>
      </c>
      <c r="K670" s="1" t="b">
        <f>(Requirements!K687="Normative")</f>
        <v>1</v>
      </c>
      <c r="L670" s="1" t="b">
        <f>(Requirements!L687&lt;&gt;"Non-testable")</f>
        <v>0</v>
      </c>
      <c r="M670" s="1" t="b">
        <f>(VLOOKUP(Requirements!I687,Scope[[Role]:[Description]],2,FALSE)="In")</f>
        <v>1</v>
      </c>
      <c r="N670" s="1">
        <f t="shared" si="43"/>
        <v>0</v>
      </c>
    </row>
    <row r="671" spans="1:14">
      <c r="A671" s="1" t="str">
        <f>Requirements!A688</f>
        <v>MS-WSP_R666</v>
      </c>
      <c r="B671" s="1"/>
      <c r="C671" s="1"/>
      <c r="D671" s="1"/>
      <c r="E671" s="1"/>
      <c r="F671" s="1"/>
      <c r="G671" s="1"/>
      <c r="H671" s="3">
        <f t="shared" si="40"/>
        <v>0</v>
      </c>
      <c r="I671" s="6">
        <f t="shared" si="41"/>
        <v>0</v>
      </c>
      <c r="J671" s="1" t="b">
        <f t="shared" si="42"/>
        <v>0</v>
      </c>
      <c r="K671" s="1" t="b">
        <f>(Requirements!K688="Normative")</f>
        <v>1</v>
      </c>
      <c r="L671" s="1" t="b">
        <f>(Requirements!L688&lt;&gt;"Non-testable")</f>
        <v>0</v>
      </c>
      <c r="M671" s="1" t="b">
        <f>(VLOOKUP(Requirements!I688,Scope[[Role]:[Description]],2,FALSE)="In")</f>
        <v>1</v>
      </c>
      <c r="N671" s="1">
        <f t="shared" si="43"/>
        <v>0</v>
      </c>
    </row>
    <row r="672" spans="1:14">
      <c r="A672" s="1" t="str">
        <f>Requirements!A689</f>
        <v>MS-WSP_R667</v>
      </c>
      <c r="B672" s="1"/>
      <c r="C672" s="1"/>
      <c r="D672" s="1"/>
      <c r="E672" s="1"/>
      <c r="F672" s="1"/>
      <c r="G672" s="1"/>
      <c r="H672" s="3">
        <f t="shared" si="40"/>
        <v>0</v>
      </c>
      <c r="I672" s="6">
        <f t="shared" si="41"/>
        <v>0</v>
      </c>
      <c r="J672" s="1" t="b">
        <f t="shared" si="42"/>
        <v>0</v>
      </c>
      <c r="K672" s="1" t="b">
        <f>(Requirements!K689="Normative")</f>
        <v>1</v>
      </c>
      <c r="L672" s="1" t="b">
        <f>(Requirements!L689&lt;&gt;"Non-testable")</f>
        <v>0</v>
      </c>
      <c r="M672" s="1" t="b">
        <f>(VLOOKUP(Requirements!I689,Scope[[Role]:[Description]],2,FALSE)="In")</f>
        <v>1</v>
      </c>
      <c r="N672" s="1">
        <f t="shared" si="43"/>
        <v>0</v>
      </c>
    </row>
    <row r="673" spans="1:14">
      <c r="A673" s="1" t="str">
        <f>Requirements!A690</f>
        <v>MS-WSP_R668</v>
      </c>
      <c r="B673" s="1"/>
      <c r="C673" s="1"/>
      <c r="D673" s="1"/>
      <c r="E673" s="1"/>
      <c r="F673" s="1"/>
      <c r="G673" s="1"/>
      <c r="H673" s="3">
        <f t="shared" si="40"/>
        <v>0</v>
      </c>
      <c r="I673" s="6">
        <f t="shared" si="41"/>
        <v>0</v>
      </c>
      <c r="J673" s="1" t="b">
        <f t="shared" si="42"/>
        <v>0</v>
      </c>
      <c r="K673" s="1" t="b">
        <f>(Requirements!K690="Normative")</f>
        <v>1</v>
      </c>
      <c r="L673" s="1" t="b">
        <f>(Requirements!L690&lt;&gt;"Non-testable")</f>
        <v>0</v>
      </c>
      <c r="M673" s="1" t="b">
        <f>(VLOOKUP(Requirements!I690,Scope[[Role]:[Description]],2,FALSE)="In")</f>
        <v>1</v>
      </c>
      <c r="N673" s="1">
        <f t="shared" si="43"/>
        <v>0</v>
      </c>
    </row>
    <row r="674" spans="1:14">
      <c r="A674" s="1" t="str">
        <f>Requirements!A691</f>
        <v>MS-WSP_R669</v>
      </c>
      <c r="B674" s="1"/>
      <c r="C674" s="1"/>
      <c r="D674" s="1"/>
      <c r="E674" s="1"/>
      <c r="F674" s="1"/>
      <c r="G674" s="1"/>
      <c r="H674" s="3">
        <f t="shared" si="40"/>
        <v>0</v>
      </c>
      <c r="I674" s="6">
        <f t="shared" si="41"/>
        <v>0</v>
      </c>
      <c r="J674" s="1" t="b">
        <f t="shared" si="42"/>
        <v>0</v>
      </c>
      <c r="K674" s="1" t="b">
        <f>(Requirements!K691="Normative")</f>
        <v>1</v>
      </c>
      <c r="L674" s="1" t="b">
        <f>(Requirements!L691&lt;&gt;"Non-testable")</f>
        <v>0</v>
      </c>
      <c r="M674" s="1" t="b">
        <f>(VLOOKUP(Requirements!I691,Scope[[Role]:[Description]],2,FALSE)="In")</f>
        <v>1</v>
      </c>
      <c r="N674" s="1">
        <f t="shared" si="43"/>
        <v>0</v>
      </c>
    </row>
    <row r="675" spans="1:14">
      <c r="A675" s="1" t="str">
        <f>Requirements!A692</f>
        <v>MS-WSP_R670</v>
      </c>
      <c r="B675" s="1"/>
      <c r="C675" s="1"/>
      <c r="D675" s="1"/>
      <c r="E675" s="1"/>
      <c r="F675" s="1"/>
      <c r="G675" s="1"/>
      <c r="H675" s="3">
        <f t="shared" si="40"/>
        <v>0</v>
      </c>
      <c r="I675" s="6">
        <f t="shared" si="41"/>
        <v>0</v>
      </c>
      <c r="J675" s="1" t="b">
        <f t="shared" si="42"/>
        <v>0</v>
      </c>
      <c r="K675" s="1" t="b">
        <f>(Requirements!K692="Normative")</f>
        <v>1</v>
      </c>
      <c r="L675" s="1" t="b">
        <f>(Requirements!L692&lt;&gt;"Non-testable")</f>
        <v>0</v>
      </c>
      <c r="M675" s="1" t="b">
        <f>(VLOOKUP(Requirements!I692,Scope[[Role]:[Description]],2,FALSE)="In")</f>
        <v>1</v>
      </c>
      <c r="N675" s="1">
        <f t="shared" si="43"/>
        <v>0</v>
      </c>
    </row>
    <row r="676" spans="1:14">
      <c r="A676" s="1" t="str">
        <f>Requirements!A693</f>
        <v>MS-WSP_R671</v>
      </c>
      <c r="B676" s="1">
        <v>1</v>
      </c>
      <c r="C676" s="1">
        <v>1</v>
      </c>
      <c r="D676" s="1"/>
      <c r="E676" s="1"/>
      <c r="F676" s="1"/>
      <c r="G676" s="1">
        <v>1</v>
      </c>
      <c r="H676" s="3">
        <f t="shared" si="40"/>
        <v>3</v>
      </c>
      <c r="I676" s="6">
        <f t="shared" si="41"/>
        <v>1</v>
      </c>
      <c r="J676" s="1" t="b">
        <f t="shared" si="42"/>
        <v>1</v>
      </c>
      <c r="K676" s="1" t="b">
        <f>(Requirements!K693="Normative")</f>
        <v>1</v>
      </c>
      <c r="L676" s="1" t="b">
        <f>(Requirements!L693&lt;&gt;"Non-testable")</f>
        <v>1</v>
      </c>
      <c r="M676" s="1" t="b">
        <f>(VLOOKUP(Requirements!I693,Scope[[Role]:[Description]],2,FALSE)="In")</f>
        <v>1</v>
      </c>
      <c r="N676" s="1">
        <f t="shared" si="43"/>
        <v>1</v>
      </c>
    </row>
    <row r="677" spans="1:14">
      <c r="A677" s="1" t="str">
        <f>Requirements!A694</f>
        <v>MS-WSP_R672</v>
      </c>
      <c r="B677" s="1"/>
      <c r="C677" s="1">
        <v>1</v>
      </c>
      <c r="D677" s="1"/>
      <c r="E677" s="1"/>
      <c r="F677" s="1"/>
      <c r="G677" s="1"/>
      <c r="H677" s="3">
        <f t="shared" si="40"/>
        <v>1</v>
      </c>
      <c r="I677" s="6">
        <f t="shared" si="41"/>
        <v>1</v>
      </c>
      <c r="J677" s="1" t="b">
        <f t="shared" si="42"/>
        <v>1</v>
      </c>
      <c r="K677" s="1" t="b">
        <f>(Requirements!K694="Normative")</f>
        <v>1</v>
      </c>
      <c r="L677" s="1" t="b">
        <f>(Requirements!L694&lt;&gt;"Non-testable")</f>
        <v>1</v>
      </c>
      <c r="M677" s="1" t="b">
        <f>(VLOOKUP(Requirements!I694,Scope[[Role]:[Description]],2,FALSE)="In")</f>
        <v>1</v>
      </c>
      <c r="N677" s="1">
        <f t="shared" si="43"/>
        <v>1</v>
      </c>
    </row>
    <row r="678" spans="1:14">
      <c r="A678" s="1" t="str">
        <f>Requirements!A695</f>
        <v>MS-WSP_R673</v>
      </c>
      <c r="B678" s="1"/>
      <c r="C678" s="1">
        <v>1</v>
      </c>
      <c r="D678" s="1"/>
      <c r="E678" s="1"/>
      <c r="F678" s="1"/>
      <c r="G678" s="1"/>
      <c r="H678" s="3">
        <f t="shared" si="40"/>
        <v>1</v>
      </c>
      <c r="I678" s="6">
        <f t="shared" si="41"/>
        <v>1</v>
      </c>
      <c r="J678" s="1" t="b">
        <f t="shared" si="42"/>
        <v>1</v>
      </c>
      <c r="K678" s="1" t="b">
        <f>(Requirements!K695="Normative")</f>
        <v>1</v>
      </c>
      <c r="L678" s="1" t="b">
        <f>(Requirements!L695&lt;&gt;"Non-testable")</f>
        <v>1</v>
      </c>
      <c r="M678" s="1" t="b">
        <f>(VLOOKUP(Requirements!I695,Scope[[Role]:[Description]],2,FALSE)="In")</f>
        <v>1</v>
      </c>
      <c r="N678" s="1">
        <f t="shared" si="43"/>
        <v>1</v>
      </c>
    </row>
    <row r="679" spans="1:14">
      <c r="A679" s="1" t="str">
        <f>Requirements!A696</f>
        <v>MS-WSP_R674</v>
      </c>
      <c r="B679" s="1"/>
      <c r="C679" s="1">
        <v>1</v>
      </c>
      <c r="D679" s="1"/>
      <c r="E679" s="1"/>
      <c r="F679" s="1"/>
      <c r="G679" s="1"/>
      <c r="H679" s="3">
        <f t="shared" si="40"/>
        <v>1</v>
      </c>
      <c r="I679" s="6">
        <f t="shared" si="41"/>
        <v>1</v>
      </c>
      <c r="J679" s="1" t="b">
        <f t="shared" si="42"/>
        <v>1</v>
      </c>
      <c r="K679" s="1" t="b">
        <f>(Requirements!K696="Normative")</f>
        <v>1</v>
      </c>
      <c r="L679" s="1" t="b">
        <f>(Requirements!L696&lt;&gt;"Non-testable")</f>
        <v>1</v>
      </c>
      <c r="M679" s="1" t="b">
        <f>(VLOOKUP(Requirements!I696,Scope[[Role]:[Description]],2,FALSE)="In")</f>
        <v>1</v>
      </c>
      <c r="N679" s="1">
        <f t="shared" si="43"/>
        <v>1</v>
      </c>
    </row>
    <row r="680" spans="1:14">
      <c r="A680" s="1" t="str">
        <f>Requirements!A697</f>
        <v>MS-WSP_R675</v>
      </c>
      <c r="B680" s="1"/>
      <c r="C680" s="1"/>
      <c r="D680" s="1"/>
      <c r="E680" s="1"/>
      <c r="F680" s="1"/>
      <c r="G680" s="1"/>
      <c r="H680" s="3">
        <f t="shared" si="40"/>
        <v>0</v>
      </c>
      <c r="I680" s="6">
        <f t="shared" si="41"/>
        <v>0</v>
      </c>
      <c r="J680" s="1" t="b">
        <f t="shared" si="42"/>
        <v>1</v>
      </c>
      <c r="K680" s="1" t="b">
        <f>(Requirements!K697="Normative")</f>
        <v>1</v>
      </c>
      <c r="L680" s="1" t="b">
        <f>(Requirements!L697&lt;&gt;"Non-testable")</f>
        <v>1</v>
      </c>
      <c r="M680" s="1" t="b">
        <f>(VLOOKUP(Requirements!I697,Scope[[Role]:[Description]],2,FALSE)="In")</f>
        <v>1</v>
      </c>
      <c r="N680" s="1">
        <f t="shared" si="43"/>
        <v>0</v>
      </c>
    </row>
    <row r="681" spans="1:14">
      <c r="A681" s="1" t="str">
        <f>Requirements!A698</f>
        <v>MS-WSP_R676</v>
      </c>
      <c r="B681" s="1"/>
      <c r="C681" s="1">
        <v>1</v>
      </c>
      <c r="D681" s="1"/>
      <c r="E681" s="1"/>
      <c r="F681" s="1"/>
      <c r="G681" s="1"/>
      <c r="H681" s="3">
        <f t="shared" si="40"/>
        <v>1</v>
      </c>
      <c r="I681" s="6">
        <f t="shared" si="41"/>
        <v>1</v>
      </c>
      <c r="J681" s="1" t="b">
        <f t="shared" si="42"/>
        <v>1</v>
      </c>
      <c r="K681" s="1" t="b">
        <f>(Requirements!K698="Normative")</f>
        <v>1</v>
      </c>
      <c r="L681" s="1" t="b">
        <f>(Requirements!L698&lt;&gt;"Non-testable")</f>
        <v>1</v>
      </c>
      <c r="M681" s="1" t="b">
        <f>(VLOOKUP(Requirements!I698,Scope[[Role]:[Description]],2,FALSE)="In")</f>
        <v>1</v>
      </c>
      <c r="N681" s="1">
        <f t="shared" si="43"/>
        <v>1</v>
      </c>
    </row>
    <row r="682" spans="1:14">
      <c r="A682" s="1" t="str">
        <f>Requirements!A699</f>
        <v>MS-WSP_R677</v>
      </c>
      <c r="B682" s="1"/>
      <c r="C682" s="1">
        <v>1</v>
      </c>
      <c r="D682" s="1"/>
      <c r="E682" s="1"/>
      <c r="F682" s="1"/>
      <c r="G682" s="1"/>
      <c r="H682" s="3">
        <f t="shared" si="40"/>
        <v>1</v>
      </c>
      <c r="I682" s="6">
        <f t="shared" si="41"/>
        <v>1</v>
      </c>
      <c r="J682" s="1" t="b">
        <f t="shared" si="42"/>
        <v>1</v>
      </c>
      <c r="K682" s="1" t="b">
        <f>(Requirements!K699="Normative")</f>
        <v>1</v>
      </c>
      <c r="L682" s="1" t="b">
        <f>(Requirements!L699&lt;&gt;"Non-testable")</f>
        <v>1</v>
      </c>
      <c r="M682" s="1" t="b">
        <f>(VLOOKUP(Requirements!I699,Scope[[Role]:[Description]],2,FALSE)="In")</f>
        <v>1</v>
      </c>
      <c r="N682" s="1">
        <f t="shared" si="43"/>
        <v>1</v>
      </c>
    </row>
    <row r="683" spans="1:14">
      <c r="A683" s="1" t="str">
        <f>Requirements!A700</f>
        <v>MS-WSP_R678</v>
      </c>
      <c r="B683" s="1"/>
      <c r="C683" s="1">
        <v>1</v>
      </c>
      <c r="D683" s="1"/>
      <c r="E683" s="1"/>
      <c r="F683" s="1"/>
      <c r="G683" s="1"/>
      <c r="H683" s="3">
        <f t="shared" si="40"/>
        <v>1</v>
      </c>
      <c r="I683" s="6">
        <f t="shared" si="41"/>
        <v>1</v>
      </c>
      <c r="J683" s="1" t="b">
        <f t="shared" si="42"/>
        <v>1</v>
      </c>
      <c r="K683" s="1" t="b">
        <f>(Requirements!K700="Normative")</f>
        <v>1</v>
      </c>
      <c r="L683" s="1" t="b">
        <f>(Requirements!L700&lt;&gt;"Non-testable")</f>
        <v>1</v>
      </c>
      <c r="M683" s="1" t="b">
        <f>(VLOOKUP(Requirements!I700,Scope[[Role]:[Description]],2,FALSE)="In")</f>
        <v>1</v>
      </c>
      <c r="N683" s="1">
        <f t="shared" si="43"/>
        <v>1</v>
      </c>
    </row>
    <row r="684" spans="1:14">
      <c r="A684" s="1" t="str">
        <f>Requirements!A701</f>
        <v>MS-WSP_R679</v>
      </c>
      <c r="B684" s="1"/>
      <c r="C684" s="1">
        <v>1</v>
      </c>
      <c r="D684" s="1"/>
      <c r="E684" s="1"/>
      <c r="F684" s="1"/>
      <c r="G684" s="1"/>
      <c r="H684" s="3">
        <f t="shared" si="40"/>
        <v>1</v>
      </c>
      <c r="I684" s="6">
        <f t="shared" si="41"/>
        <v>1</v>
      </c>
      <c r="J684" s="1" t="b">
        <f t="shared" si="42"/>
        <v>1</v>
      </c>
      <c r="K684" s="1" t="b">
        <f>(Requirements!K701="Normative")</f>
        <v>1</v>
      </c>
      <c r="L684" s="1" t="b">
        <f>(Requirements!L701&lt;&gt;"Non-testable")</f>
        <v>1</v>
      </c>
      <c r="M684" s="1" t="b">
        <f>(VLOOKUP(Requirements!I701,Scope[[Role]:[Description]],2,FALSE)="In")</f>
        <v>1</v>
      </c>
      <c r="N684" s="1">
        <f t="shared" si="43"/>
        <v>1</v>
      </c>
    </row>
    <row r="685" spans="1:14">
      <c r="A685" s="1" t="str">
        <f>Requirements!A702</f>
        <v>MS-WSP_R680</v>
      </c>
      <c r="B685" s="1"/>
      <c r="C685" s="1">
        <v>1</v>
      </c>
      <c r="D685" s="1"/>
      <c r="E685" s="1"/>
      <c r="F685" s="1"/>
      <c r="G685" s="1"/>
      <c r="H685" s="3">
        <f t="shared" si="40"/>
        <v>1</v>
      </c>
      <c r="I685" s="6">
        <f t="shared" si="41"/>
        <v>1</v>
      </c>
      <c r="J685" s="1" t="b">
        <f t="shared" si="42"/>
        <v>1</v>
      </c>
      <c r="K685" s="1" t="b">
        <f>(Requirements!K702="Normative")</f>
        <v>1</v>
      </c>
      <c r="L685" s="1" t="b">
        <f>(Requirements!L702&lt;&gt;"Non-testable")</f>
        <v>1</v>
      </c>
      <c r="M685" s="1" t="b">
        <f>(VLOOKUP(Requirements!I702,Scope[[Role]:[Description]],2,FALSE)="In")</f>
        <v>1</v>
      </c>
      <c r="N685" s="1">
        <f t="shared" si="43"/>
        <v>1</v>
      </c>
    </row>
    <row r="686" spans="1:14">
      <c r="A686" s="1" t="str">
        <f>Requirements!A703</f>
        <v>MS-WSP_R681</v>
      </c>
      <c r="B686" s="1"/>
      <c r="C686" s="1">
        <v>1</v>
      </c>
      <c r="D686" s="1"/>
      <c r="E686" s="1"/>
      <c r="F686" s="1"/>
      <c r="G686" s="1"/>
      <c r="H686" s="3">
        <f t="shared" si="40"/>
        <v>1</v>
      </c>
      <c r="I686" s="6">
        <f t="shared" si="41"/>
        <v>1</v>
      </c>
      <c r="J686" s="1" t="b">
        <f t="shared" si="42"/>
        <v>1</v>
      </c>
      <c r="K686" s="1" t="b">
        <f>(Requirements!K703="Normative")</f>
        <v>1</v>
      </c>
      <c r="L686" s="1" t="b">
        <f>(Requirements!L703&lt;&gt;"Non-testable")</f>
        <v>1</v>
      </c>
      <c r="M686" s="1" t="b">
        <f>(VLOOKUP(Requirements!I703,Scope[[Role]:[Description]],2,FALSE)="In")</f>
        <v>1</v>
      </c>
      <c r="N686" s="1">
        <f t="shared" si="43"/>
        <v>1</v>
      </c>
    </row>
    <row r="687" spans="1:14">
      <c r="A687" s="1" t="str">
        <f>Requirements!A704</f>
        <v>MS-WSP_R682</v>
      </c>
      <c r="B687" s="1"/>
      <c r="C687" s="1">
        <v>1</v>
      </c>
      <c r="D687" s="1"/>
      <c r="E687" s="1"/>
      <c r="F687" s="1"/>
      <c r="G687" s="1"/>
      <c r="H687" s="3">
        <f t="shared" si="40"/>
        <v>1</v>
      </c>
      <c r="I687" s="6">
        <f t="shared" si="41"/>
        <v>1</v>
      </c>
      <c r="J687" s="1" t="b">
        <f t="shared" si="42"/>
        <v>1</v>
      </c>
      <c r="K687" s="1" t="b">
        <f>(Requirements!K704="Normative")</f>
        <v>1</v>
      </c>
      <c r="L687" s="1" t="b">
        <f>(Requirements!L704&lt;&gt;"Non-testable")</f>
        <v>1</v>
      </c>
      <c r="M687" s="1" t="b">
        <f>(VLOOKUP(Requirements!I704,Scope[[Role]:[Description]],2,FALSE)="In")</f>
        <v>1</v>
      </c>
      <c r="N687" s="1">
        <f t="shared" si="43"/>
        <v>1</v>
      </c>
    </row>
    <row r="688" spans="1:14">
      <c r="A688" s="1" t="str">
        <f>Requirements!A705</f>
        <v>MS-WSP_R683</v>
      </c>
      <c r="B688" s="1"/>
      <c r="C688" s="1"/>
      <c r="D688" s="1"/>
      <c r="E688" s="1"/>
      <c r="F688" s="1"/>
      <c r="G688" s="1"/>
      <c r="H688" s="3">
        <f t="shared" si="40"/>
        <v>0</v>
      </c>
      <c r="I688" s="6">
        <f t="shared" si="41"/>
        <v>0</v>
      </c>
      <c r="J688" s="1" t="b">
        <f t="shared" si="42"/>
        <v>1</v>
      </c>
      <c r="K688" s="1" t="b">
        <f>(Requirements!K705="Normative")</f>
        <v>1</v>
      </c>
      <c r="L688" s="1" t="b">
        <f>(Requirements!L705&lt;&gt;"Non-testable")</f>
        <v>1</v>
      </c>
      <c r="M688" s="1" t="b">
        <f>(VLOOKUP(Requirements!I705,Scope[[Role]:[Description]],2,FALSE)="In")</f>
        <v>1</v>
      </c>
      <c r="N688" s="1">
        <f t="shared" si="43"/>
        <v>0</v>
      </c>
    </row>
    <row r="689" spans="1:14">
      <c r="A689" s="1" t="str">
        <f>Requirements!A706</f>
        <v>MS-WSP_R684</v>
      </c>
      <c r="B689" s="1"/>
      <c r="C689" s="1">
        <v>1</v>
      </c>
      <c r="D689" s="1"/>
      <c r="E689" s="1"/>
      <c r="F689" s="1"/>
      <c r="G689" s="1"/>
      <c r="H689" s="3">
        <f t="shared" si="40"/>
        <v>1</v>
      </c>
      <c r="I689" s="6">
        <f t="shared" si="41"/>
        <v>1</v>
      </c>
      <c r="J689" s="1" t="b">
        <f t="shared" si="42"/>
        <v>1</v>
      </c>
      <c r="K689" s="1" t="b">
        <f>(Requirements!K706="Normative")</f>
        <v>1</v>
      </c>
      <c r="L689" s="1" t="b">
        <f>(Requirements!L706&lt;&gt;"Non-testable")</f>
        <v>1</v>
      </c>
      <c r="M689" s="1" t="b">
        <f>(VLOOKUP(Requirements!I706,Scope[[Role]:[Description]],2,FALSE)="In")</f>
        <v>1</v>
      </c>
      <c r="N689" s="1">
        <f t="shared" si="43"/>
        <v>1</v>
      </c>
    </row>
    <row r="690" spans="1:14">
      <c r="A690" s="1" t="str">
        <f>Requirements!A707</f>
        <v>MS-WSP_R685</v>
      </c>
      <c r="B690" s="1"/>
      <c r="C690" s="1">
        <v>1</v>
      </c>
      <c r="D690" s="1"/>
      <c r="E690" s="1"/>
      <c r="F690" s="1"/>
      <c r="G690" s="1"/>
      <c r="H690" s="3">
        <f t="shared" si="40"/>
        <v>1</v>
      </c>
      <c r="I690" s="6">
        <f t="shared" si="41"/>
        <v>1</v>
      </c>
      <c r="J690" s="1" t="b">
        <f t="shared" si="42"/>
        <v>1</v>
      </c>
      <c r="K690" s="1" t="b">
        <f>(Requirements!K707="Normative")</f>
        <v>1</v>
      </c>
      <c r="L690" s="1" t="b">
        <f>(Requirements!L707&lt;&gt;"Non-testable")</f>
        <v>1</v>
      </c>
      <c r="M690" s="1" t="b">
        <f>(VLOOKUP(Requirements!I707,Scope[[Role]:[Description]],2,FALSE)="In")</f>
        <v>1</v>
      </c>
      <c r="N690" s="1">
        <f t="shared" si="43"/>
        <v>1</v>
      </c>
    </row>
    <row r="691" spans="1:14">
      <c r="A691" s="1" t="str">
        <f>Requirements!A708</f>
        <v>MS-WSP_R686</v>
      </c>
      <c r="B691" s="1"/>
      <c r="C691" s="1">
        <v>1</v>
      </c>
      <c r="D691" s="1"/>
      <c r="E691" s="1"/>
      <c r="F691" s="1"/>
      <c r="G691" s="1"/>
      <c r="H691" s="3">
        <f t="shared" si="40"/>
        <v>1</v>
      </c>
      <c r="I691" s="6">
        <f t="shared" si="41"/>
        <v>1</v>
      </c>
      <c r="J691" s="1" t="b">
        <f t="shared" si="42"/>
        <v>1</v>
      </c>
      <c r="K691" s="1" t="b">
        <f>(Requirements!K708="Normative")</f>
        <v>1</v>
      </c>
      <c r="L691" s="1" t="b">
        <f>(Requirements!L708&lt;&gt;"Non-testable")</f>
        <v>1</v>
      </c>
      <c r="M691" s="1" t="b">
        <f>(VLOOKUP(Requirements!I708,Scope[[Role]:[Description]],2,FALSE)="In")</f>
        <v>1</v>
      </c>
      <c r="N691" s="1">
        <f t="shared" si="43"/>
        <v>1</v>
      </c>
    </row>
    <row r="692" spans="1:14">
      <c r="A692" s="1" t="str">
        <f>Requirements!A709</f>
        <v>MS-WSP_R687</v>
      </c>
      <c r="B692" s="1"/>
      <c r="C692" s="1">
        <v>1</v>
      </c>
      <c r="D692" s="1"/>
      <c r="E692" s="1"/>
      <c r="F692" s="1"/>
      <c r="G692" s="1"/>
      <c r="H692" s="3">
        <f t="shared" si="40"/>
        <v>1</v>
      </c>
      <c r="I692" s="6">
        <f t="shared" si="41"/>
        <v>1</v>
      </c>
      <c r="J692" s="1" t="b">
        <f t="shared" si="42"/>
        <v>1</v>
      </c>
      <c r="K692" s="1" t="b">
        <f>(Requirements!K709="Normative")</f>
        <v>1</v>
      </c>
      <c r="L692" s="1" t="b">
        <f>(Requirements!L709&lt;&gt;"Non-testable")</f>
        <v>1</v>
      </c>
      <c r="M692" s="1" t="b">
        <f>(VLOOKUP(Requirements!I709,Scope[[Role]:[Description]],2,FALSE)="In")</f>
        <v>1</v>
      </c>
      <c r="N692" s="1">
        <f t="shared" si="43"/>
        <v>1</v>
      </c>
    </row>
    <row r="693" spans="1:14">
      <c r="A693" s="1" t="str">
        <f>Requirements!A710</f>
        <v>MS-WSP_R688</v>
      </c>
      <c r="B693" s="1"/>
      <c r="C693" s="1">
        <v>1</v>
      </c>
      <c r="D693" s="1"/>
      <c r="E693" s="1"/>
      <c r="F693" s="1"/>
      <c r="G693" s="1"/>
      <c r="H693" s="3">
        <f t="shared" si="40"/>
        <v>1</v>
      </c>
      <c r="I693" s="6">
        <f t="shared" si="41"/>
        <v>1</v>
      </c>
      <c r="J693" s="1" t="b">
        <f t="shared" si="42"/>
        <v>1</v>
      </c>
      <c r="K693" s="1" t="b">
        <f>(Requirements!K710="Normative")</f>
        <v>1</v>
      </c>
      <c r="L693" s="1" t="b">
        <f>(Requirements!L710&lt;&gt;"Non-testable")</f>
        <v>1</v>
      </c>
      <c r="M693" s="1" t="b">
        <f>(VLOOKUP(Requirements!I710,Scope[[Role]:[Description]],2,FALSE)="In")</f>
        <v>1</v>
      </c>
      <c r="N693" s="1">
        <f t="shared" si="43"/>
        <v>1</v>
      </c>
    </row>
    <row r="694" spans="1:14">
      <c r="A694" s="1" t="str">
        <f>Requirements!A711</f>
        <v>MS-WSP_R689</v>
      </c>
      <c r="B694" s="1"/>
      <c r="C694" s="1">
        <v>1</v>
      </c>
      <c r="D694" s="1"/>
      <c r="E694" s="1"/>
      <c r="F694" s="1"/>
      <c r="G694" s="1"/>
      <c r="H694" s="3">
        <f t="shared" si="40"/>
        <v>1</v>
      </c>
      <c r="I694" s="6">
        <f t="shared" si="41"/>
        <v>1</v>
      </c>
      <c r="J694" s="1" t="b">
        <f t="shared" si="42"/>
        <v>1</v>
      </c>
      <c r="K694" s="1" t="b">
        <f>(Requirements!K711="Normative")</f>
        <v>1</v>
      </c>
      <c r="L694" s="1" t="b">
        <f>(Requirements!L711&lt;&gt;"Non-testable")</f>
        <v>1</v>
      </c>
      <c r="M694" s="1" t="b">
        <f>(VLOOKUP(Requirements!I711,Scope[[Role]:[Description]],2,FALSE)="In")</f>
        <v>1</v>
      </c>
      <c r="N694" s="1">
        <f t="shared" si="43"/>
        <v>1</v>
      </c>
    </row>
    <row r="695" spans="1:14">
      <c r="A695" s="1" t="str">
        <f>Requirements!A712</f>
        <v>MS-WSP_R690</v>
      </c>
      <c r="B695" s="1"/>
      <c r="C695" s="1">
        <v>1</v>
      </c>
      <c r="D695" s="1"/>
      <c r="E695" s="1"/>
      <c r="F695" s="1"/>
      <c r="G695" s="1"/>
      <c r="H695" s="3">
        <f t="shared" si="40"/>
        <v>1</v>
      </c>
      <c r="I695" s="6">
        <f t="shared" si="41"/>
        <v>1</v>
      </c>
      <c r="J695" s="1" t="b">
        <f t="shared" si="42"/>
        <v>1</v>
      </c>
      <c r="K695" s="1" t="b">
        <f>(Requirements!K712="Normative")</f>
        <v>1</v>
      </c>
      <c r="L695" s="1" t="b">
        <f>(Requirements!L712&lt;&gt;"Non-testable")</f>
        <v>1</v>
      </c>
      <c r="M695" s="1" t="b">
        <f>(VLOOKUP(Requirements!I712,Scope[[Role]:[Description]],2,FALSE)="In")</f>
        <v>1</v>
      </c>
      <c r="N695" s="1">
        <f t="shared" si="43"/>
        <v>1</v>
      </c>
    </row>
    <row r="696" spans="1:14">
      <c r="A696" s="1" t="str">
        <f>Requirements!A713</f>
        <v>MS-WSP_R691</v>
      </c>
      <c r="B696" s="1"/>
      <c r="C696" s="1">
        <v>1</v>
      </c>
      <c r="D696" s="1"/>
      <c r="E696" s="1"/>
      <c r="F696" s="1"/>
      <c r="G696" s="1"/>
      <c r="H696" s="3">
        <f t="shared" si="40"/>
        <v>1</v>
      </c>
      <c r="I696" s="6">
        <f t="shared" si="41"/>
        <v>1</v>
      </c>
      <c r="J696" s="1" t="b">
        <f t="shared" si="42"/>
        <v>1</v>
      </c>
      <c r="K696" s="1" t="b">
        <f>(Requirements!K713="Normative")</f>
        <v>1</v>
      </c>
      <c r="L696" s="1" t="b">
        <f>(Requirements!L713&lt;&gt;"Non-testable")</f>
        <v>1</v>
      </c>
      <c r="M696" s="1" t="b">
        <f>(VLOOKUP(Requirements!I713,Scope[[Role]:[Description]],2,FALSE)="In")</f>
        <v>1</v>
      </c>
      <c r="N696" s="1">
        <f t="shared" si="43"/>
        <v>1</v>
      </c>
    </row>
    <row r="697" spans="1:14">
      <c r="A697" s="1" t="str">
        <f>Requirements!A714</f>
        <v>MS-WSP_R692</v>
      </c>
      <c r="B697" s="1"/>
      <c r="C697" s="1">
        <v>1</v>
      </c>
      <c r="D697" s="1"/>
      <c r="E697" s="1"/>
      <c r="F697" s="1"/>
      <c r="G697" s="1"/>
      <c r="H697" s="3">
        <f t="shared" si="40"/>
        <v>1</v>
      </c>
      <c r="I697" s="6">
        <f t="shared" si="41"/>
        <v>1</v>
      </c>
      <c r="J697" s="1" t="b">
        <f t="shared" si="42"/>
        <v>1</v>
      </c>
      <c r="K697" s="1" t="b">
        <f>(Requirements!K714="Normative")</f>
        <v>1</v>
      </c>
      <c r="L697" s="1" t="b">
        <f>(Requirements!L714&lt;&gt;"Non-testable")</f>
        <v>1</v>
      </c>
      <c r="M697" s="1" t="b">
        <f>(VLOOKUP(Requirements!I714,Scope[[Role]:[Description]],2,FALSE)="In")</f>
        <v>1</v>
      </c>
      <c r="N697" s="1">
        <f t="shared" si="43"/>
        <v>1</v>
      </c>
    </row>
    <row r="698" spans="1:14">
      <c r="A698" s="1" t="str">
        <f>Requirements!A715</f>
        <v>MS-WSP_R693</v>
      </c>
      <c r="B698" s="1"/>
      <c r="C698" s="1">
        <v>1</v>
      </c>
      <c r="D698" s="1"/>
      <c r="E698" s="1"/>
      <c r="F698" s="1"/>
      <c r="G698" s="1"/>
      <c r="H698" s="3">
        <f t="shared" si="40"/>
        <v>1</v>
      </c>
      <c r="I698" s="6">
        <f t="shared" si="41"/>
        <v>1</v>
      </c>
      <c r="J698" s="1" t="b">
        <f t="shared" si="42"/>
        <v>1</v>
      </c>
      <c r="K698" s="1" t="b">
        <f>(Requirements!K715="Normative")</f>
        <v>1</v>
      </c>
      <c r="L698" s="1" t="b">
        <f>(Requirements!L715&lt;&gt;"Non-testable")</f>
        <v>1</v>
      </c>
      <c r="M698" s="1" t="b">
        <f>(VLOOKUP(Requirements!I715,Scope[[Role]:[Description]],2,FALSE)="In")</f>
        <v>1</v>
      </c>
      <c r="N698" s="1">
        <f t="shared" si="43"/>
        <v>1</v>
      </c>
    </row>
    <row r="699" spans="1:14">
      <c r="A699" s="1" t="str">
        <f>Requirements!A716</f>
        <v>MS-WSP_R694</v>
      </c>
      <c r="B699" s="1"/>
      <c r="C699" s="1">
        <v>1</v>
      </c>
      <c r="D699" s="1"/>
      <c r="E699" s="1"/>
      <c r="F699" s="1"/>
      <c r="G699" s="1"/>
      <c r="H699" s="3">
        <f t="shared" si="40"/>
        <v>1</v>
      </c>
      <c r="I699" s="6">
        <f t="shared" si="41"/>
        <v>1</v>
      </c>
      <c r="J699" s="1" t="b">
        <f t="shared" si="42"/>
        <v>1</v>
      </c>
      <c r="K699" s="1" t="b">
        <f>(Requirements!K716="Normative")</f>
        <v>1</v>
      </c>
      <c r="L699" s="1" t="b">
        <f>(Requirements!L716&lt;&gt;"Non-testable")</f>
        <v>1</v>
      </c>
      <c r="M699" s="1" t="b">
        <f>(VLOOKUP(Requirements!I716,Scope[[Role]:[Description]],2,FALSE)="In")</f>
        <v>1</v>
      </c>
      <c r="N699" s="1">
        <f t="shared" si="43"/>
        <v>1</v>
      </c>
    </row>
    <row r="700" spans="1:14">
      <c r="A700" s="1" t="str">
        <f>Requirements!A717</f>
        <v>MS-WSP_R695</v>
      </c>
      <c r="B700" s="1"/>
      <c r="C700" s="1">
        <v>1</v>
      </c>
      <c r="D700" s="1"/>
      <c r="E700" s="1"/>
      <c r="F700" s="1"/>
      <c r="G700" s="1"/>
      <c r="H700" s="3">
        <f t="shared" si="40"/>
        <v>1</v>
      </c>
      <c r="I700" s="6">
        <f t="shared" si="41"/>
        <v>1</v>
      </c>
      <c r="J700" s="1" t="b">
        <f t="shared" si="42"/>
        <v>1</v>
      </c>
      <c r="K700" s="1" t="b">
        <f>(Requirements!K717="Normative")</f>
        <v>1</v>
      </c>
      <c r="L700" s="1" t="b">
        <f>(Requirements!L717&lt;&gt;"Non-testable")</f>
        <v>1</v>
      </c>
      <c r="M700" s="1" t="b">
        <f>(VLOOKUP(Requirements!I717,Scope[[Role]:[Description]],2,FALSE)="In")</f>
        <v>1</v>
      </c>
      <c r="N700" s="1">
        <f t="shared" si="43"/>
        <v>1</v>
      </c>
    </row>
    <row r="701" spans="1:14">
      <c r="A701" s="1" t="str">
        <f>Requirements!A718</f>
        <v>MS-WSP_R696</v>
      </c>
      <c r="B701" s="1"/>
      <c r="C701" s="1"/>
      <c r="D701" s="1"/>
      <c r="E701" s="1"/>
      <c r="F701" s="1"/>
      <c r="G701" s="1"/>
      <c r="H701" s="3">
        <f t="shared" si="40"/>
        <v>0</v>
      </c>
      <c r="I701" s="6">
        <f t="shared" si="41"/>
        <v>0</v>
      </c>
      <c r="J701" s="1" t="b">
        <f t="shared" si="42"/>
        <v>1</v>
      </c>
      <c r="K701" s="1" t="b">
        <f>(Requirements!K718="Normative")</f>
        <v>1</v>
      </c>
      <c r="L701" s="1" t="b">
        <f>(Requirements!L718&lt;&gt;"Non-testable")</f>
        <v>1</v>
      </c>
      <c r="M701" s="1" t="b">
        <f>(VLOOKUP(Requirements!I718,Scope[[Role]:[Description]],2,FALSE)="In")</f>
        <v>1</v>
      </c>
      <c r="N701" s="1">
        <f t="shared" si="43"/>
        <v>0</v>
      </c>
    </row>
    <row r="702" spans="1:14">
      <c r="A702" s="1" t="str">
        <f>Requirements!A719</f>
        <v>MS-WSP_R697</v>
      </c>
      <c r="B702" s="1"/>
      <c r="C702" s="1">
        <v>1</v>
      </c>
      <c r="D702" s="1"/>
      <c r="E702" s="1"/>
      <c r="F702" s="1"/>
      <c r="G702" s="1"/>
      <c r="H702" s="3">
        <f t="shared" si="40"/>
        <v>1</v>
      </c>
      <c r="I702" s="6">
        <f t="shared" si="41"/>
        <v>1</v>
      </c>
      <c r="J702" s="1" t="b">
        <f t="shared" si="42"/>
        <v>1</v>
      </c>
      <c r="K702" s="1" t="b">
        <f>(Requirements!K719="Normative")</f>
        <v>1</v>
      </c>
      <c r="L702" s="1" t="b">
        <f>(Requirements!L719&lt;&gt;"Non-testable")</f>
        <v>1</v>
      </c>
      <c r="M702" s="1" t="b">
        <f>(VLOOKUP(Requirements!I719,Scope[[Role]:[Description]],2,FALSE)="In")</f>
        <v>1</v>
      </c>
      <c r="N702" s="1">
        <f t="shared" si="43"/>
        <v>1</v>
      </c>
    </row>
    <row r="703" spans="1:14">
      <c r="A703" s="1" t="str">
        <f>Requirements!A720</f>
        <v>MS-WSP_R698</v>
      </c>
      <c r="B703" s="1"/>
      <c r="C703" s="1">
        <v>1</v>
      </c>
      <c r="D703" s="1"/>
      <c r="E703" s="1"/>
      <c r="F703" s="1"/>
      <c r="G703" s="1"/>
      <c r="H703" s="3">
        <f t="shared" si="40"/>
        <v>1</v>
      </c>
      <c r="I703" s="6">
        <f t="shared" si="41"/>
        <v>1</v>
      </c>
      <c r="J703" s="1" t="b">
        <f t="shared" si="42"/>
        <v>1</v>
      </c>
      <c r="K703" s="1" t="b">
        <f>(Requirements!K720="Normative")</f>
        <v>1</v>
      </c>
      <c r="L703" s="1" t="b">
        <f>(Requirements!L720&lt;&gt;"Non-testable")</f>
        <v>1</v>
      </c>
      <c r="M703" s="1" t="b">
        <f>(VLOOKUP(Requirements!I720,Scope[[Role]:[Description]],2,FALSE)="In")</f>
        <v>1</v>
      </c>
      <c r="N703" s="1">
        <f t="shared" si="43"/>
        <v>1</v>
      </c>
    </row>
    <row r="704" spans="1:14">
      <c r="A704" s="1" t="str">
        <f>Requirements!A721</f>
        <v>MS-WSP_R699</v>
      </c>
      <c r="B704" s="1"/>
      <c r="C704" s="1">
        <v>1</v>
      </c>
      <c r="D704" s="1"/>
      <c r="E704" s="1"/>
      <c r="F704" s="1"/>
      <c r="G704" s="1"/>
      <c r="H704" s="3">
        <f t="shared" si="40"/>
        <v>1</v>
      </c>
      <c r="I704" s="6">
        <f t="shared" si="41"/>
        <v>1</v>
      </c>
      <c r="J704" s="1" t="b">
        <f t="shared" si="42"/>
        <v>1</v>
      </c>
      <c r="K704" s="1" t="b">
        <f>(Requirements!K721="Normative")</f>
        <v>1</v>
      </c>
      <c r="L704" s="1" t="b">
        <f>(Requirements!L721&lt;&gt;"Non-testable")</f>
        <v>1</v>
      </c>
      <c r="M704" s="1" t="b">
        <f>(VLOOKUP(Requirements!I721,Scope[[Role]:[Description]],2,FALSE)="In")</f>
        <v>1</v>
      </c>
      <c r="N704" s="1">
        <f t="shared" si="43"/>
        <v>1</v>
      </c>
    </row>
    <row r="705" spans="1:14">
      <c r="A705" s="1" t="str">
        <f>Requirements!A722</f>
        <v>MS-WSP_R700</v>
      </c>
      <c r="B705" s="1"/>
      <c r="C705" s="1">
        <v>1</v>
      </c>
      <c r="D705" s="1"/>
      <c r="E705" s="1"/>
      <c r="F705" s="1"/>
      <c r="G705" s="1"/>
      <c r="H705" s="3">
        <f t="shared" si="40"/>
        <v>1</v>
      </c>
      <c r="I705" s="6">
        <f t="shared" si="41"/>
        <v>1</v>
      </c>
      <c r="J705" s="1" t="b">
        <f t="shared" si="42"/>
        <v>1</v>
      </c>
      <c r="K705" s="1" t="b">
        <f>(Requirements!K722="Normative")</f>
        <v>1</v>
      </c>
      <c r="L705" s="1" t="b">
        <f>(Requirements!L722&lt;&gt;"Non-testable")</f>
        <v>1</v>
      </c>
      <c r="M705" s="1" t="b">
        <f>(VLOOKUP(Requirements!I722,Scope[[Role]:[Description]],2,FALSE)="In")</f>
        <v>1</v>
      </c>
      <c r="N705" s="1">
        <f t="shared" si="43"/>
        <v>1</v>
      </c>
    </row>
    <row r="706" spans="1:14">
      <c r="A706" s="1" t="str">
        <f>Requirements!A723</f>
        <v>MS-WSP_R701</v>
      </c>
      <c r="B706" s="1"/>
      <c r="C706" s="1">
        <v>1</v>
      </c>
      <c r="D706" s="1"/>
      <c r="E706" s="1"/>
      <c r="F706" s="1"/>
      <c r="G706" s="1"/>
      <c r="H706" s="3">
        <f t="shared" si="40"/>
        <v>1</v>
      </c>
      <c r="I706" s="6">
        <f t="shared" si="41"/>
        <v>1</v>
      </c>
      <c r="J706" s="1" t="b">
        <f t="shared" si="42"/>
        <v>1</v>
      </c>
      <c r="K706" s="1" t="b">
        <f>(Requirements!K723="Normative")</f>
        <v>1</v>
      </c>
      <c r="L706" s="1" t="b">
        <f>(Requirements!L723&lt;&gt;"Non-testable")</f>
        <v>1</v>
      </c>
      <c r="M706" s="1" t="b">
        <f>(VLOOKUP(Requirements!I723,Scope[[Role]:[Description]],2,FALSE)="In")</f>
        <v>1</v>
      </c>
      <c r="N706" s="1">
        <f t="shared" si="43"/>
        <v>1</v>
      </c>
    </row>
    <row r="707" spans="1:14">
      <c r="A707" s="1" t="str">
        <f>Requirements!A724</f>
        <v>MS-WSP_R702</v>
      </c>
      <c r="B707" s="1"/>
      <c r="C707" s="1">
        <v>1</v>
      </c>
      <c r="D707" s="1"/>
      <c r="E707" s="1"/>
      <c r="F707" s="1"/>
      <c r="G707" s="1"/>
      <c r="H707" s="3">
        <f t="shared" si="40"/>
        <v>1</v>
      </c>
      <c r="I707" s="6">
        <f t="shared" si="41"/>
        <v>1</v>
      </c>
      <c r="J707" s="1" t="b">
        <f t="shared" si="42"/>
        <v>1</v>
      </c>
      <c r="K707" s="1" t="b">
        <f>(Requirements!K724="Normative")</f>
        <v>1</v>
      </c>
      <c r="L707" s="1" t="b">
        <f>(Requirements!L724&lt;&gt;"Non-testable")</f>
        <v>1</v>
      </c>
      <c r="M707" s="1" t="b">
        <f>(VLOOKUP(Requirements!I724,Scope[[Role]:[Description]],2,FALSE)="In")</f>
        <v>1</v>
      </c>
      <c r="N707" s="1">
        <f t="shared" si="43"/>
        <v>1</v>
      </c>
    </row>
    <row r="708" spans="1:14">
      <c r="A708" s="1" t="str">
        <f>Requirements!A725</f>
        <v>MS-WSP_R703</v>
      </c>
      <c r="B708" s="1">
        <v>1</v>
      </c>
      <c r="C708" s="1"/>
      <c r="D708" s="1"/>
      <c r="E708" s="1"/>
      <c r="F708" s="1"/>
      <c r="G708" s="1">
        <v>1</v>
      </c>
      <c r="H708" s="3">
        <f t="shared" si="40"/>
        <v>2</v>
      </c>
      <c r="I708" s="6">
        <f t="shared" si="41"/>
        <v>1</v>
      </c>
      <c r="J708" s="1" t="b">
        <f t="shared" si="42"/>
        <v>1</v>
      </c>
      <c r="K708" s="1" t="b">
        <f>(Requirements!K725="Normative")</f>
        <v>1</v>
      </c>
      <c r="L708" s="1" t="b">
        <f>(Requirements!L725&lt;&gt;"Non-testable")</f>
        <v>1</v>
      </c>
      <c r="M708" s="1" t="b">
        <f>(VLOOKUP(Requirements!I725,Scope[[Role]:[Description]],2,FALSE)="In")</f>
        <v>1</v>
      </c>
      <c r="N708" s="1">
        <f t="shared" si="43"/>
        <v>1</v>
      </c>
    </row>
    <row r="709" spans="1:14">
      <c r="A709" s="1" t="str">
        <f>Requirements!A726</f>
        <v>MS-WSP_R704</v>
      </c>
      <c r="B709" s="1">
        <v>1</v>
      </c>
      <c r="C709" s="1"/>
      <c r="D709" s="1"/>
      <c r="E709" s="1"/>
      <c r="F709" s="1"/>
      <c r="G709" s="1"/>
      <c r="H709" s="3">
        <f t="shared" si="40"/>
        <v>1</v>
      </c>
      <c r="I709" s="6">
        <f t="shared" si="41"/>
        <v>1</v>
      </c>
      <c r="J709" s="1" t="b">
        <f t="shared" si="42"/>
        <v>1</v>
      </c>
      <c r="K709" s="1" t="b">
        <f>(Requirements!K726="Normative")</f>
        <v>1</v>
      </c>
      <c r="L709" s="1" t="b">
        <f>(Requirements!L726&lt;&gt;"Non-testable")</f>
        <v>1</v>
      </c>
      <c r="M709" s="1" t="b">
        <f>(VLOOKUP(Requirements!I726,Scope[[Role]:[Description]],2,FALSE)="In")</f>
        <v>1</v>
      </c>
      <c r="N709" s="1">
        <f t="shared" si="43"/>
        <v>1</v>
      </c>
    </row>
    <row r="710" spans="1:14">
      <c r="A710" s="1" t="str">
        <f>Requirements!A727</f>
        <v>MS-WSP_R705</v>
      </c>
      <c r="B710" s="1">
        <v>1</v>
      </c>
      <c r="C710" s="1"/>
      <c r="D710" s="1"/>
      <c r="E710" s="1"/>
      <c r="F710" s="1"/>
      <c r="G710" s="1">
        <v>1</v>
      </c>
      <c r="H710" s="3">
        <f t="shared" ref="H710:H773" si="44">SUM(B710:G710)</f>
        <v>2</v>
      </c>
      <c r="I710" s="6">
        <f t="shared" si="41"/>
        <v>1</v>
      </c>
      <c r="J710" s="1" t="b">
        <f t="shared" si="42"/>
        <v>1</v>
      </c>
      <c r="K710" s="1" t="b">
        <f>(Requirements!K727="Normative")</f>
        <v>1</v>
      </c>
      <c r="L710" s="1" t="b">
        <f>(Requirements!L727&lt;&gt;"Non-testable")</f>
        <v>1</v>
      </c>
      <c r="M710" s="1" t="b">
        <f>(VLOOKUP(Requirements!I727,Scope[[Role]:[Description]],2,FALSE)="In")</f>
        <v>1</v>
      </c>
      <c r="N710" s="1">
        <f t="shared" si="43"/>
        <v>1</v>
      </c>
    </row>
    <row r="711" spans="1:14">
      <c r="A711" s="1" t="str">
        <f>Requirements!A728</f>
        <v>MS-WSP_R706</v>
      </c>
      <c r="B711" s="1"/>
      <c r="C711" s="1"/>
      <c r="D711" s="1"/>
      <c r="E711" s="1"/>
      <c r="F711" s="1"/>
      <c r="G711" s="1"/>
      <c r="H711" s="3">
        <f t="shared" si="44"/>
        <v>0</v>
      </c>
      <c r="I711" s="6">
        <f t="shared" ref="I711:I774" si="45">IF(H711=0,0,1)</f>
        <v>0</v>
      </c>
      <c r="J711" s="1" t="b">
        <f t="shared" ref="J711:J774" si="46">AND(K711:M711)</f>
        <v>1</v>
      </c>
      <c r="K711" s="1" t="b">
        <f>(Requirements!K728="Normative")</f>
        <v>1</v>
      </c>
      <c r="L711" s="1" t="b">
        <f>(Requirements!L728&lt;&gt;"Non-testable")</f>
        <v>1</v>
      </c>
      <c r="M711" s="1" t="b">
        <f>(VLOOKUP(Requirements!I728,Scope[[Role]:[Description]],2,FALSE)="In")</f>
        <v>1</v>
      </c>
      <c r="N711" s="1">
        <f t="shared" ref="N711:N774" si="47">IF(J711,I711,0)</f>
        <v>0</v>
      </c>
    </row>
    <row r="712" spans="1:14">
      <c r="A712" s="1" t="str">
        <f>Requirements!A729</f>
        <v>MS-WSP_R707</v>
      </c>
      <c r="B712" s="1">
        <v>1</v>
      </c>
      <c r="C712" s="1"/>
      <c r="D712" s="1"/>
      <c r="E712" s="1"/>
      <c r="F712" s="1"/>
      <c r="G712" s="1">
        <v>1</v>
      </c>
      <c r="H712" s="3">
        <f t="shared" si="44"/>
        <v>2</v>
      </c>
      <c r="I712" s="6">
        <f t="shared" si="45"/>
        <v>1</v>
      </c>
      <c r="J712" s="1" t="b">
        <f t="shared" si="46"/>
        <v>1</v>
      </c>
      <c r="K712" s="1" t="b">
        <f>(Requirements!K729="Normative")</f>
        <v>1</v>
      </c>
      <c r="L712" s="1" t="b">
        <f>(Requirements!L729&lt;&gt;"Non-testable")</f>
        <v>1</v>
      </c>
      <c r="M712" s="1" t="b">
        <f>(VLOOKUP(Requirements!I729,Scope[[Role]:[Description]],2,FALSE)="In")</f>
        <v>1</v>
      </c>
      <c r="N712" s="1">
        <f t="shared" si="47"/>
        <v>1</v>
      </c>
    </row>
    <row r="713" spans="1:14">
      <c r="A713" s="1" t="str">
        <f>Requirements!A730</f>
        <v>MS-WSP_R708</v>
      </c>
      <c r="B713" s="1"/>
      <c r="C713" s="1"/>
      <c r="D713" s="1"/>
      <c r="E713" s="1"/>
      <c r="F713" s="1"/>
      <c r="G713" s="1"/>
      <c r="H713" s="3">
        <f t="shared" si="44"/>
        <v>0</v>
      </c>
      <c r="I713" s="6">
        <f t="shared" si="45"/>
        <v>0</v>
      </c>
      <c r="J713" s="1" t="b">
        <f t="shared" si="46"/>
        <v>1</v>
      </c>
      <c r="K713" s="1" t="b">
        <f>(Requirements!K730="Normative")</f>
        <v>1</v>
      </c>
      <c r="L713" s="1" t="b">
        <f>(Requirements!L730&lt;&gt;"Non-testable")</f>
        <v>1</v>
      </c>
      <c r="M713" s="1" t="b">
        <f>(VLOOKUP(Requirements!I730,Scope[[Role]:[Description]],2,FALSE)="In")</f>
        <v>1</v>
      </c>
      <c r="N713" s="1">
        <f t="shared" si="47"/>
        <v>0</v>
      </c>
    </row>
    <row r="714" spans="1:14">
      <c r="A714" s="1" t="str">
        <f>Requirements!A731</f>
        <v>MS-WSP_R709</v>
      </c>
      <c r="B714" s="1">
        <v>1</v>
      </c>
      <c r="C714" s="1"/>
      <c r="D714" s="1"/>
      <c r="E714" s="1"/>
      <c r="F714" s="1"/>
      <c r="G714" s="1"/>
      <c r="H714" s="3">
        <f t="shared" si="44"/>
        <v>1</v>
      </c>
      <c r="I714" s="6">
        <f t="shared" si="45"/>
        <v>1</v>
      </c>
      <c r="J714" s="1" t="b">
        <f t="shared" si="46"/>
        <v>1</v>
      </c>
      <c r="K714" s="1" t="b">
        <f>(Requirements!K731="Normative")</f>
        <v>1</v>
      </c>
      <c r="L714" s="1" t="b">
        <f>(Requirements!L731&lt;&gt;"Non-testable")</f>
        <v>1</v>
      </c>
      <c r="M714" s="1" t="b">
        <f>(VLOOKUP(Requirements!I731,Scope[[Role]:[Description]],2,FALSE)="In")</f>
        <v>1</v>
      </c>
      <c r="N714" s="1">
        <f t="shared" si="47"/>
        <v>1</v>
      </c>
    </row>
    <row r="715" spans="1:14">
      <c r="A715" s="1" t="str">
        <f>Requirements!A732</f>
        <v>MS-WSP_R710</v>
      </c>
      <c r="B715" s="1"/>
      <c r="C715" s="1"/>
      <c r="D715" s="1"/>
      <c r="E715" s="1"/>
      <c r="F715" s="1"/>
      <c r="G715" s="1"/>
      <c r="H715" s="3">
        <f t="shared" si="44"/>
        <v>0</v>
      </c>
      <c r="I715" s="6">
        <f t="shared" si="45"/>
        <v>0</v>
      </c>
      <c r="J715" s="1" t="b">
        <f t="shared" si="46"/>
        <v>0</v>
      </c>
      <c r="K715" s="1" t="b">
        <f>(Requirements!K732="Normative")</f>
        <v>1</v>
      </c>
      <c r="L715" s="1" t="b">
        <f>(Requirements!L732&lt;&gt;"Non-testable")</f>
        <v>0</v>
      </c>
      <c r="M715" s="1" t="b">
        <f>(VLOOKUP(Requirements!I732,Scope[[Role]:[Description]],2,FALSE)="In")</f>
        <v>1</v>
      </c>
      <c r="N715" s="1">
        <f t="shared" si="47"/>
        <v>0</v>
      </c>
    </row>
    <row r="716" spans="1:14">
      <c r="A716" s="1" t="str">
        <f>Requirements!A733</f>
        <v>MS-WSP_R711</v>
      </c>
      <c r="B716" s="1"/>
      <c r="C716" s="1"/>
      <c r="D716" s="1"/>
      <c r="E716" s="1"/>
      <c r="F716" s="1"/>
      <c r="G716" s="1"/>
      <c r="H716" s="3">
        <f t="shared" si="44"/>
        <v>0</v>
      </c>
      <c r="I716" s="6">
        <f t="shared" si="45"/>
        <v>0</v>
      </c>
      <c r="J716" s="1" t="b">
        <f t="shared" si="46"/>
        <v>0</v>
      </c>
      <c r="K716" s="1" t="b">
        <f>(Requirements!K733="Normative")</f>
        <v>1</v>
      </c>
      <c r="L716" s="1" t="b">
        <f>(Requirements!L733&lt;&gt;"Non-testable")</f>
        <v>0</v>
      </c>
      <c r="M716" s="1" t="b">
        <f>(VLOOKUP(Requirements!I733,Scope[[Role]:[Description]],2,FALSE)="In")</f>
        <v>1</v>
      </c>
      <c r="N716" s="1">
        <f t="shared" si="47"/>
        <v>0</v>
      </c>
    </row>
    <row r="717" spans="1:14">
      <c r="A717" s="1" t="str">
        <f>Requirements!A734</f>
        <v>MS-WSP_R712</v>
      </c>
      <c r="B717" s="1">
        <v>1</v>
      </c>
      <c r="C717" s="1"/>
      <c r="D717" s="1"/>
      <c r="E717" s="1"/>
      <c r="F717" s="1"/>
      <c r="G717" s="1"/>
      <c r="H717" s="3">
        <f t="shared" si="44"/>
        <v>1</v>
      </c>
      <c r="I717" s="6">
        <f t="shared" si="45"/>
        <v>1</v>
      </c>
      <c r="J717" s="1" t="b">
        <f t="shared" si="46"/>
        <v>1</v>
      </c>
      <c r="K717" s="1" t="b">
        <f>(Requirements!K734="Normative")</f>
        <v>1</v>
      </c>
      <c r="L717" s="1" t="b">
        <f>(Requirements!L734&lt;&gt;"Non-testable")</f>
        <v>1</v>
      </c>
      <c r="M717" s="1" t="b">
        <f>(VLOOKUP(Requirements!I734,Scope[[Role]:[Description]],2,FALSE)="In")</f>
        <v>1</v>
      </c>
      <c r="N717" s="1">
        <f t="shared" si="47"/>
        <v>1</v>
      </c>
    </row>
    <row r="718" spans="1:14">
      <c r="A718" s="1" t="str">
        <f>Requirements!A735</f>
        <v>MS-WSP_R713</v>
      </c>
      <c r="B718" s="1"/>
      <c r="C718" s="1"/>
      <c r="D718" s="1"/>
      <c r="E718" s="1"/>
      <c r="F718" s="1"/>
      <c r="G718" s="1"/>
      <c r="H718" s="3">
        <f t="shared" si="44"/>
        <v>0</v>
      </c>
      <c r="I718" s="6">
        <f t="shared" si="45"/>
        <v>0</v>
      </c>
      <c r="J718" s="1" t="b">
        <f t="shared" si="46"/>
        <v>0</v>
      </c>
      <c r="K718" s="1" t="b">
        <f>(Requirements!K735="Normative")</f>
        <v>1</v>
      </c>
      <c r="L718" s="1" t="b">
        <f>(Requirements!L735&lt;&gt;"Non-testable")</f>
        <v>0</v>
      </c>
      <c r="M718" s="1" t="b">
        <f>(VLOOKUP(Requirements!I735,Scope[[Role]:[Description]],2,FALSE)="In")</f>
        <v>1</v>
      </c>
      <c r="N718" s="1">
        <f t="shared" si="47"/>
        <v>0</v>
      </c>
    </row>
    <row r="719" spans="1:14">
      <c r="A719" s="1" t="str">
        <f>Requirements!A736</f>
        <v>MS-WSP_R714</v>
      </c>
      <c r="B719" s="1"/>
      <c r="C719" s="1"/>
      <c r="D719" s="1"/>
      <c r="E719" s="1"/>
      <c r="F719" s="1"/>
      <c r="G719" s="1"/>
      <c r="H719" s="3">
        <f t="shared" si="44"/>
        <v>0</v>
      </c>
      <c r="I719" s="6">
        <f t="shared" si="45"/>
        <v>0</v>
      </c>
      <c r="J719" s="1" t="b">
        <f t="shared" si="46"/>
        <v>0</v>
      </c>
      <c r="K719" s="1" t="b">
        <f>(Requirements!K736="Normative")</f>
        <v>1</v>
      </c>
      <c r="L719" s="1" t="b">
        <f>(Requirements!L736&lt;&gt;"Non-testable")</f>
        <v>0</v>
      </c>
      <c r="M719" s="1" t="b">
        <f>(VLOOKUP(Requirements!I736,Scope[[Role]:[Description]],2,FALSE)="In")</f>
        <v>1</v>
      </c>
      <c r="N719" s="1">
        <f t="shared" si="47"/>
        <v>0</v>
      </c>
    </row>
    <row r="720" spans="1:14">
      <c r="A720" s="1" t="str">
        <f>Requirements!A737</f>
        <v>MS-WSP_R715</v>
      </c>
      <c r="B720" s="1"/>
      <c r="C720" s="1"/>
      <c r="D720" s="1"/>
      <c r="E720" s="1"/>
      <c r="F720" s="1"/>
      <c r="G720" s="1"/>
      <c r="H720" s="3">
        <f t="shared" si="44"/>
        <v>0</v>
      </c>
      <c r="I720" s="6">
        <f t="shared" si="45"/>
        <v>0</v>
      </c>
      <c r="J720" s="1" t="b">
        <f t="shared" si="46"/>
        <v>1</v>
      </c>
      <c r="K720" s="1" t="b">
        <f>(Requirements!K737="Normative")</f>
        <v>1</v>
      </c>
      <c r="L720" s="1" t="b">
        <f>(Requirements!L737&lt;&gt;"Non-testable")</f>
        <v>1</v>
      </c>
      <c r="M720" s="1" t="b">
        <f>(VLOOKUP(Requirements!I737,Scope[[Role]:[Description]],2,FALSE)="In")</f>
        <v>1</v>
      </c>
      <c r="N720" s="1">
        <f t="shared" si="47"/>
        <v>0</v>
      </c>
    </row>
    <row r="721" spans="1:14">
      <c r="A721" s="1" t="str">
        <f>Requirements!A738</f>
        <v>MS-WSP_R716</v>
      </c>
      <c r="B721" s="1"/>
      <c r="C721" s="1"/>
      <c r="D721" s="1"/>
      <c r="E721" s="1"/>
      <c r="F721" s="1"/>
      <c r="G721" s="1"/>
      <c r="H721" s="3">
        <f t="shared" si="44"/>
        <v>0</v>
      </c>
      <c r="I721" s="6">
        <f t="shared" si="45"/>
        <v>0</v>
      </c>
      <c r="J721" s="1" t="b">
        <f t="shared" si="46"/>
        <v>0</v>
      </c>
      <c r="K721" s="1" t="b">
        <f>(Requirements!K738="Normative")</f>
        <v>1</v>
      </c>
      <c r="L721" s="1" t="b">
        <f>(Requirements!L738&lt;&gt;"Non-testable")</f>
        <v>0</v>
      </c>
      <c r="M721" s="1" t="b">
        <f>(VLOOKUP(Requirements!I738,Scope[[Role]:[Description]],2,FALSE)="In")</f>
        <v>1</v>
      </c>
      <c r="N721" s="1">
        <f t="shared" si="47"/>
        <v>0</v>
      </c>
    </row>
    <row r="722" spans="1:14">
      <c r="A722" s="1" t="str">
        <f>Requirements!A739</f>
        <v>MS-WSP_R717</v>
      </c>
      <c r="B722" s="1"/>
      <c r="C722" s="1"/>
      <c r="D722" s="1"/>
      <c r="E722" s="1"/>
      <c r="F722" s="1"/>
      <c r="G722" s="1"/>
      <c r="H722" s="3">
        <f t="shared" si="44"/>
        <v>0</v>
      </c>
      <c r="I722" s="6">
        <f t="shared" si="45"/>
        <v>0</v>
      </c>
      <c r="J722" s="1" t="b">
        <f t="shared" si="46"/>
        <v>0</v>
      </c>
      <c r="K722" s="1" t="b">
        <f>(Requirements!K739="Normative")</f>
        <v>1</v>
      </c>
      <c r="L722" s="1" t="b">
        <f>(Requirements!L739&lt;&gt;"Non-testable")</f>
        <v>0</v>
      </c>
      <c r="M722" s="1" t="b">
        <f>(VLOOKUP(Requirements!I739,Scope[[Role]:[Description]],2,FALSE)="In")</f>
        <v>1</v>
      </c>
      <c r="N722" s="1">
        <f t="shared" si="47"/>
        <v>0</v>
      </c>
    </row>
    <row r="723" spans="1:14">
      <c r="A723" s="1" t="str">
        <f>Requirements!A740</f>
        <v>MS-WSP_R718</v>
      </c>
      <c r="B723" s="1"/>
      <c r="C723" s="1"/>
      <c r="D723" s="1"/>
      <c r="E723" s="1"/>
      <c r="F723" s="1"/>
      <c r="G723" s="1"/>
      <c r="H723" s="3">
        <f t="shared" si="44"/>
        <v>0</v>
      </c>
      <c r="I723" s="6">
        <f t="shared" si="45"/>
        <v>0</v>
      </c>
      <c r="J723" s="1" t="b">
        <f t="shared" si="46"/>
        <v>0</v>
      </c>
      <c r="K723" s="1" t="b">
        <f>(Requirements!K740="Normative")</f>
        <v>1</v>
      </c>
      <c r="L723" s="1" t="b">
        <f>(Requirements!L740&lt;&gt;"Non-testable")</f>
        <v>0</v>
      </c>
      <c r="M723" s="1" t="b">
        <f>(VLOOKUP(Requirements!I740,Scope[[Role]:[Description]],2,FALSE)="In")</f>
        <v>1</v>
      </c>
      <c r="N723" s="1">
        <f t="shared" si="47"/>
        <v>0</v>
      </c>
    </row>
    <row r="724" spans="1:14">
      <c r="A724" s="1" t="str">
        <f>Requirements!A741</f>
        <v>MS-WSP_R719</v>
      </c>
      <c r="B724" s="1">
        <v>1</v>
      </c>
      <c r="C724" s="1"/>
      <c r="D724" s="1"/>
      <c r="E724" s="1"/>
      <c r="F724" s="1"/>
      <c r="G724" s="1"/>
      <c r="H724" s="3">
        <f t="shared" si="44"/>
        <v>1</v>
      </c>
      <c r="I724" s="6">
        <f t="shared" si="45"/>
        <v>1</v>
      </c>
      <c r="J724" s="1" t="b">
        <f t="shared" si="46"/>
        <v>1</v>
      </c>
      <c r="K724" s="1" t="b">
        <f>(Requirements!K741="Normative")</f>
        <v>1</v>
      </c>
      <c r="L724" s="1" t="b">
        <f>(Requirements!L741&lt;&gt;"Non-testable")</f>
        <v>1</v>
      </c>
      <c r="M724" s="1" t="b">
        <f>(VLOOKUP(Requirements!I741,Scope[[Role]:[Description]],2,FALSE)="In")</f>
        <v>1</v>
      </c>
      <c r="N724" s="1">
        <f t="shared" si="47"/>
        <v>1</v>
      </c>
    </row>
    <row r="725" spans="1:14">
      <c r="A725" s="1" t="str">
        <f>Requirements!A742</f>
        <v>MS-WSP_R720</v>
      </c>
      <c r="B725" s="1"/>
      <c r="C725" s="1"/>
      <c r="D725" s="1"/>
      <c r="E725" s="1"/>
      <c r="F725" s="1"/>
      <c r="G725" s="1"/>
      <c r="H725" s="3">
        <f t="shared" si="44"/>
        <v>0</v>
      </c>
      <c r="I725" s="6">
        <f t="shared" si="45"/>
        <v>0</v>
      </c>
      <c r="J725" s="1" t="b">
        <f t="shared" si="46"/>
        <v>1</v>
      </c>
      <c r="K725" s="1" t="b">
        <f>(Requirements!K742="Normative")</f>
        <v>1</v>
      </c>
      <c r="L725" s="1" t="b">
        <f>(Requirements!L742&lt;&gt;"Non-testable")</f>
        <v>1</v>
      </c>
      <c r="M725" s="1" t="b">
        <f>(VLOOKUP(Requirements!I742,Scope[[Role]:[Description]],2,FALSE)="In")</f>
        <v>1</v>
      </c>
      <c r="N725" s="1">
        <f t="shared" si="47"/>
        <v>0</v>
      </c>
    </row>
    <row r="726" spans="1:14">
      <c r="A726" s="1" t="str">
        <f>Requirements!A743</f>
        <v>MS-WSP_R721</v>
      </c>
      <c r="B726" s="1">
        <v>1</v>
      </c>
      <c r="C726" s="1"/>
      <c r="D726" s="1"/>
      <c r="E726" s="1"/>
      <c r="F726" s="1"/>
      <c r="G726" s="1"/>
      <c r="H726" s="3">
        <f t="shared" si="44"/>
        <v>1</v>
      </c>
      <c r="I726" s="6">
        <f t="shared" si="45"/>
        <v>1</v>
      </c>
      <c r="J726" s="1" t="b">
        <f t="shared" si="46"/>
        <v>1</v>
      </c>
      <c r="K726" s="1" t="b">
        <f>(Requirements!K743="Normative")</f>
        <v>1</v>
      </c>
      <c r="L726" s="1" t="b">
        <f>(Requirements!L743&lt;&gt;"Non-testable")</f>
        <v>1</v>
      </c>
      <c r="M726" s="1" t="b">
        <f>(VLOOKUP(Requirements!I743,Scope[[Role]:[Description]],2,FALSE)="In")</f>
        <v>1</v>
      </c>
      <c r="N726" s="1">
        <f t="shared" si="47"/>
        <v>1</v>
      </c>
    </row>
    <row r="727" spans="1:14">
      <c r="A727" s="1" t="str">
        <f>Requirements!A744</f>
        <v>MS-WSP_R722</v>
      </c>
      <c r="B727" s="1">
        <v>1</v>
      </c>
      <c r="C727" s="1"/>
      <c r="D727" s="1"/>
      <c r="E727" s="1"/>
      <c r="F727" s="1"/>
      <c r="G727" s="1"/>
      <c r="H727" s="3">
        <f t="shared" si="44"/>
        <v>1</v>
      </c>
      <c r="I727" s="6">
        <f t="shared" si="45"/>
        <v>1</v>
      </c>
      <c r="J727" s="1" t="b">
        <f t="shared" si="46"/>
        <v>1</v>
      </c>
      <c r="K727" s="1" t="b">
        <f>(Requirements!K744="Normative")</f>
        <v>1</v>
      </c>
      <c r="L727" s="1" t="b">
        <f>(Requirements!L744&lt;&gt;"Non-testable")</f>
        <v>1</v>
      </c>
      <c r="M727" s="1" t="b">
        <f>(VLOOKUP(Requirements!I744,Scope[[Role]:[Description]],2,FALSE)="In")</f>
        <v>1</v>
      </c>
      <c r="N727" s="1">
        <f t="shared" si="47"/>
        <v>1</v>
      </c>
    </row>
    <row r="728" spans="1:14">
      <c r="A728" s="1" t="str">
        <f>Requirements!A745</f>
        <v>MS-WSP_R723</v>
      </c>
      <c r="B728" s="1">
        <v>1</v>
      </c>
      <c r="C728" s="1"/>
      <c r="D728" s="1"/>
      <c r="E728" s="1"/>
      <c r="F728" s="1"/>
      <c r="G728" s="1"/>
      <c r="H728" s="3">
        <f t="shared" si="44"/>
        <v>1</v>
      </c>
      <c r="I728" s="6">
        <f t="shared" si="45"/>
        <v>1</v>
      </c>
      <c r="J728" s="1" t="b">
        <f t="shared" si="46"/>
        <v>1</v>
      </c>
      <c r="K728" s="1" t="b">
        <f>(Requirements!K745="Normative")</f>
        <v>1</v>
      </c>
      <c r="L728" s="1" t="b">
        <f>(Requirements!L745&lt;&gt;"Non-testable")</f>
        <v>1</v>
      </c>
      <c r="M728" s="1" t="b">
        <f>(VLOOKUP(Requirements!I745,Scope[[Role]:[Description]],2,FALSE)="In")</f>
        <v>1</v>
      </c>
      <c r="N728" s="1">
        <f t="shared" si="47"/>
        <v>1</v>
      </c>
    </row>
    <row r="729" spans="1:14">
      <c r="A729" s="1" t="str">
        <f>Requirements!A746</f>
        <v>MS-WSP_R724</v>
      </c>
      <c r="B729" s="1"/>
      <c r="C729" s="1"/>
      <c r="D729" s="1"/>
      <c r="E729" s="1"/>
      <c r="F729" s="1"/>
      <c r="G729" s="1"/>
      <c r="H729" s="3">
        <f t="shared" si="44"/>
        <v>0</v>
      </c>
      <c r="I729" s="6">
        <f t="shared" si="45"/>
        <v>0</v>
      </c>
      <c r="J729" s="1" t="b">
        <f t="shared" si="46"/>
        <v>1</v>
      </c>
      <c r="K729" s="1" t="b">
        <f>(Requirements!K746="Normative")</f>
        <v>1</v>
      </c>
      <c r="L729" s="1" t="b">
        <f>(Requirements!L746&lt;&gt;"Non-testable")</f>
        <v>1</v>
      </c>
      <c r="M729" s="1" t="b">
        <f>(VLOOKUP(Requirements!I746,Scope[[Role]:[Description]],2,FALSE)="In")</f>
        <v>1</v>
      </c>
      <c r="N729" s="1">
        <f t="shared" si="47"/>
        <v>0</v>
      </c>
    </row>
    <row r="730" spans="1:14">
      <c r="A730" s="1" t="str">
        <f>Requirements!A747</f>
        <v>MS-WSP_R725</v>
      </c>
      <c r="B730" s="1"/>
      <c r="C730" s="1"/>
      <c r="D730" s="1"/>
      <c r="E730" s="1"/>
      <c r="F730" s="1"/>
      <c r="G730" s="1"/>
      <c r="H730" s="3">
        <f t="shared" si="44"/>
        <v>0</v>
      </c>
      <c r="I730" s="6">
        <f t="shared" si="45"/>
        <v>0</v>
      </c>
      <c r="J730" s="1" t="b">
        <f t="shared" si="46"/>
        <v>1</v>
      </c>
      <c r="K730" s="1" t="b">
        <f>(Requirements!K747="Normative")</f>
        <v>1</v>
      </c>
      <c r="L730" s="1" t="b">
        <f>(Requirements!L747&lt;&gt;"Non-testable")</f>
        <v>1</v>
      </c>
      <c r="M730" s="1" t="b">
        <f>(VLOOKUP(Requirements!I747,Scope[[Role]:[Description]],2,FALSE)="In")</f>
        <v>1</v>
      </c>
      <c r="N730" s="1">
        <f t="shared" si="47"/>
        <v>0</v>
      </c>
    </row>
    <row r="731" spans="1:14">
      <c r="A731" s="1" t="str">
        <f>Requirements!A748</f>
        <v>MS-WSP_R726</v>
      </c>
      <c r="B731" s="1">
        <v>1</v>
      </c>
      <c r="C731" s="1"/>
      <c r="D731" s="1"/>
      <c r="E731" s="1"/>
      <c r="F731" s="1"/>
      <c r="G731" s="1"/>
      <c r="H731" s="3">
        <f t="shared" si="44"/>
        <v>1</v>
      </c>
      <c r="I731" s="6">
        <f t="shared" si="45"/>
        <v>1</v>
      </c>
      <c r="J731" s="1" t="b">
        <f t="shared" si="46"/>
        <v>1</v>
      </c>
      <c r="K731" s="1" t="b">
        <f>(Requirements!K748="Normative")</f>
        <v>1</v>
      </c>
      <c r="L731" s="1" t="b">
        <f>(Requirements!L748&lt;&gt;"Non-testable")</f>
        <v>1</v>
      </c>
      <c r="M731" s="1" t="b">
        <f>(VLOOKUP(Requirements!I748,Scope[[Role]:[Description]],2,FALSE)="In")</f>
        <v>1</v>
      </c>
      <c r="N731" s="1">
        <f t="shared" si="47"/>
        <v>1</v>
      </c>
    </row>
    <row r="732" spans="1:14">
      <c r="A732" s="1" t="str">
        <f>Requirements!A749</f>
        <v>MS-WSP_R727</v>
      </c>
      <c r="B732" s="1">
        <v>1</v>
      </c>
      <c r="C732" s="1"/>
      <c r="D732" s="1"/>
      <c r="E732" s="1"/>
      <c r="F732" s="1"/>
      <c r="G732" s="1"/>
      <c r="H732" s="3">
        <f t="shared" si="44"/>
        <v>1</v>
      </c>
      <c r="I732" s="6">
        <f t="shared" si="45"/>
        <v>1</v>
      </c>
      <c r="J732" s="1" t="b">
        <f t="shared" si="46"/>
        <v>1</v>
      </c>
      <c r="K732" s="1" t="b">
        <f>(Requirements!K749="Normative")</f>
        <v>1</v>
      </c>
      <c r="L732" s="1" t="b">
        <f>(Requirements!L749&lt;&gt;"Non-testable")</f>
        <v>1</v>
      </c>
      <c r="M732" s="1" t="b">
        <f>(VLOOKUP(Requirements!I749,Scope[[Role]:[Description]],2,FALSE)="In")</f>
        <v>1</v>
      </c>
      <c r="N732" s="1">
        <f t="shared" si="47"/>
        <v>1</v>
      </c>
    </row>
    <row r="733" spans="1:14">
      <c r="A733" s="1" t="str">
        <f>Requirements!A750</f>
        <v>MS-WSP_R728</v>
      </c>
      <c r="B733" s="1">
        <v>1</v>
      </c>
      <c r="C733" s="1"/>
      <c r="D733" s="1"/>
      <c r="E733" s="1"/>
      <c r="F733" s="1"/>
      <c r="G733" s="1"/>
      <c r="H733" s="3">
        <f t="shared" si="44"/>
        <v>1</v>
      </c>
      <c r="I733" s="6">
        <f t="shared" si="45"/>
        <v>1</v>
      </c>
      <c r="J733" s="1" t="b">
        <f t="shared" si="46"/>
        <v>1</v>
      </c>
      <c r="K733" s="1" t="b">
        <f>(Requirements!K750="Normative")</f>
        <v>1</v>
      </c>
      <c r="L733" s="1" t="b">
        <f>(Requirements!L750&lt;&gt;"Non-testable")</f>
        <v>1</v>
      </c>
      <c r="M733" s="1" t="b">
        <f>(VLOOKUP(Requirements!I750,Scope[[Role]:[Description]],2,FALSE)="In")</f>
        <v>1</v>
      </c>
      <c r="N733" s="1">
        <f t="shared" si="47"/>
        <v>1</v>
      </c>
    </row>
    <row r="734" spans="1:14">
      <c r="A734" s="1" t="str">
        <f>Requirements!A751</f>
        <v>MS-WSP_R729</v>
      </c>
      <c r="B734" s="1">
        <v>1</v>
      </c>
      <c r="C734" s="1"/>
      <c r="D734" s="1"/>
      <c r="E734" s="1"/>
      <c r="F734" s="1"/>
      <c r="G734" s="1"/>
      <c r="H734" s="3">
        <f t="shared" si="44"/>
        <v>1</v>
      </c>
      <c r="I734" s="6">
        <f t="shared" si="45"/>
        <v>1</v>
      </c>
      <c r="J734" s="1" t="b">
        <f t="shared" si="46"/>
        <v>1</v>
      </c>
      <c r="K734" s="1" t="b">
        <f>(Requirements!K751="Normative")</f>
        <v>1</v>
      </c>
      <c r="L734" s="1" t="b">
        <f>(Requirements!L751&lt;&gt;"Non-testable")</f>
        <v>1</v>
      </c>
      <c r="M734" s="1" t="b">
        <f>(VLOOKUP(Requirements!I751,Scope[[Role]:[Description]],2,FALSE)="In")</f>
        <v>1</v>
      </c>
      <c r="N734" s="1">
        <f t="shared" si="47"/>
        <v>1</v>
      </c>
    </row>
    <row r="735" spans="1:14">
      <c r="A735" s="1" t="str">
        <f>Requirements!A752</f>
        <v>MS-WSP_R730</v>
      </c>
      <c r="B735" s="1">
        <v>1</v>
      </c>
      <c r="C735" s="1"/>
      <c r="D735" s="1"/>
      <c r="E735" s="1"/>
      <c r="F735" s="1"/>
      <c r="G735" s="1"/>
      <c r="H735" s="3">
        <f t="shared" si="44"/>
        <v>1</v>
      </c>
      <c r="I735" s="6">
        <f t="shared" si="45"/>
        <v>1</v>
      </c>
      <c r="J735" s="1" t="b">
        <f t="shared" si="46"/>
        <v>1</v>
      </c>
      <c r="K735" s="1" t="b">
        <f>(Requirements!K752="Normative")</f>
        <v>1</v>
      </c>
      <c r="L735" s="1" t="b">
        <f>(Requirements!L752&lt;&gt;"Non-testable")</f>
        <v>1</v>
      </c>
      <c r="M735" s="1" t="b">
        <f>(VLOOKUP(Requirements!I752,Scope[[Role]:[Description]],2,FALSE)="In")</f>
        <v>1</v>
      </c>
      <c r="N735" s="1">
        <f t="shared" si="47"/>
        <v>1</v>
      </c>
    </row>
    <row r="736" spans="1:14">
      <c r="A736" s="1" t="str">
        <f>Requirements!A753</f>
        <v>MS-WSP_R731</v>
      </c>
      <c r="B736" s="1"/>
      <c r="C736" s="1"/>
      <c r="D736" s="1"/>
      <c r="E736" s="1"/>
      <c r="F736" s="1"/>
      <c r="G736" s="1"/>
      <c r="H736" s="3">
        <f t="shared" si="44"/>
        <v>0</v>
      </c>
      <c r="I736" s="6">
        <f t="shared" si="45"/>
        <v>0</v>
      </c>
      <c r="J736" s="1" t="b">
        <f t="shared" si="46"/>
        <v>0</v>
      </c>
      <c r="K736" s="1" t="b">
        <f>(Requirements!K753="Normative")</f>
        <v>1</v>
      </c>
      <c r="L736" s="1" t="b">
        <f>(Requirements!L753&lt;&gt;"Non-testable")</f>
        <v>0</v>
      </c>
      <c r="M736" s="1" t="b">
        <f>(VLOOKUP(Requirements!I753,Scope[[Role]:[Description]],2,FALSE)="In")</f>
        <v>1</v>
      </c>
      <c r="N736" s="1">
        <f t="shared" si="47"/>
        <v>0</v>
      </c>
    </row>
    <row r="737" spans="1:14">
      <c r="A737" s="1" t="str">
        <f>Requirements!A754</f>
        <v>MS-WSP_R732</v>
      </c>
      <c r="B737" s="1">
        <v>1</v>
      </c>
      <c r="C737" s="1"/>
      <c r="D737" s="1"/>
      <c r="E737" s="1"/>
      <c r="F737" s="1"/>
      <c r="G737" s="1"/>
      <c r="H737" s="3">
        <f t="shared" si="44"/>
        <v>1</v>
      </c>
      <c r="I737" s="6">
        <f t="shared" si="45"/>
        <v>1</v>
      </c>
      <c r="J737" s="1" t="b">
        <f t="shared" si="46"/>
        <v>1</v>
      </c>
      <c r="K737" s="1" t="b">
        <f>(Requirements!K754="Normative")</f>
        <v>1</v>
      </c>
      <c r="L737" s="1" t="b">
        <f>(Requirements!L754&lt;&gt;"Non-testable")</f>
        <v>1</v>
      </c>
      <c r="M737" s="1" t="b">
        <f>(VLOOKUP(Requirements!I754,Scope[[Role]:[Description]],2,FALSE)="In")</f>
        <v>1</v>
      </c>
      <c r="N737" s="1">
        <f t="shared" si="47"/>
        <v>1</v>
      </c>
    </row>
    <row r="738" spans="1:14">
      <c r="A738" s="1" t="str">
        <f>Requirements!A755</f>
        <v>MS-WSP_R733</v>
      </c>
      <c r="B738" s="1">
        <v>1</v>
      </c>
      <c r="C738" s="1"/>
      <c r="D738" s="1"/>
      <c r="E738" s="1"/>
      <c r="F738" s="1"/>
      <c r="G738" s="1"/>
      <c r="H738" s="3">
        <f t="shared" si="44"/>
        <v>1</v>
      </c>
      <c r="I738" s="6">
        <f t="shared" si="45"/>
        <v>1</v>
      </c>
      <c r="J738" s="1" t="b">
        <f t="shared" si="46"/>
        <v>1</v>
      </c>
      <c r="K738" s="1" t="b">
        <f>(Requirements!K755="Normative")</f>
        <v>1</v>
      </c>
      <c r="L738" s="1" t="b">
        <f>(Requirements!L755&lt;&gt;"Non-testable")</f>
        <v>1</v>
      </c>
      <c r="M738" s="1" t="b">
        <f>(VLOOKUP(Requirements!I755,Scope[[Role]:[Description]],2,FALSE)="In")</f>
        <v>1</v>
      </c>
      <c r="N738" s="1">
        <f t="shared" si="47"/>
        <v>1</v>
      </c>
    </row>
    <row r="739" spans="1:14">
      <c r="A739" s="1" t="str">
        <f>Requirements!A756</f>
        <v>MS-WSP_R734</v>
      </c>
      <c r="B739" s="1">
        <v>1</v>
      </c>
      <c r="C739" s="1"/>
      <c r="D739" s="1"/>
      <c r="E739" s="1"/>
      <c r="F739" s="1"/>
      <c r="G739" s="1"/>
      <c r="H739" s="3">
        <f t="shared" si="44"/>
        <v>1</v>
      </c>
      <c r="I739" s="6">
        <f t="shared" si="45"/>
        <v>1</v>
      </c>
      <c r="J739" s="1" t="b">
        <f t="shared" si="46"/>
        <v>1</v>
      </c>
      <c r="K739" s="1" t="b">
        <f>(Requirements!K756="Normative")</f>
        <v>1</v>
      </c>
      <c r="L739" s="1" t="b">
        <f>(Requirements!L756&lt;&gt;"Non-testable")</f>
        <v>1</v>
      </c>
      <c r="M739" s="1" t="b">
        <f>(VLOOKUP(Requirements!I756,Scope[[Role]:[Description]],2,FALSE)="In")</f>
        <v>1</v>
      </c>
      <c r="N739" s="1">
        <f t="shared" si="47"/>
        <v>1</v>
      </c>
    </row>
    <row r="740" spans="1:14">
      <c r="A740" s="1" t="str">
        <f>Requirements!A757</f>
        <v>MS-WSP_R735</v>
      </c>
      <c r="B740" s="1">
        <v>1</v>
      </c>
      <c r="C740" s="1"/>
      <c r="D740" s="1"/>
      <c r="E740" s="1"/>
      <c r="F740" s="1"/>
      <c r="G740" s="1"/>
      <c r="H740" s="3">
        <f t="shared" si="44"/>
        <v>1</v>
      </c>
      <c r="I740" s="6">
        <f t="shared" si="45"/>
        <v>1</v>
      </c>
      <c r="J740" s="1" t="b">
        <f t="shared" si="46"/>
        <v>1</v>
      </c>
      <c r="K740" s="1" t="b">
        <f>(Requirements!K757="Normative")</f>
        <v>1</v>
      </c>
      <c r="L740" s="1" t="b">
        <f>(Requirements!L757&lt;&gt;"Non-testable")</f>
        <v>1</v>
      </c>
      <c r="M740" s="1" t="b">
        <f>(VLOOKUP(Requirements!I757,Scope[[Role]:[Description]],2,FALSE)="In")</f>
        <v>1</v>
      </c>
      <c r="N740" s="1">
        <f t="shared" si="47"/>
        <v>1</v>
      </c>
    </row>
    <row r="741" spans="1:14">
      <c r="A741" s="1" t="str">
        <f>Requirements!A758</f>
        <v>MS-WSP_R736</v>
      </c>
      <c r="B741" s="1">
        <v>1</v>
      </c>
      <c r="C741" s="1"/>
      <c r="D741" s="1"/>
      <c r="E741" s="1"/>
      <c r="F741" s="1"/>
      <c r="G741" s="1"/>
      <c r="H741" s="3">
        <f t="shared" si="44"/>
        <v>1</v>
      </c>
      <c r="I741" s="6">
        <f t="shared" si="45"/>
        <v>1</v>
      </c>
      <c r="J741" s="1" t="b">
        <f t="shared" si="46"/>
        <v>1</v>
      </c>
      <c r="K741" s="1" t="b">
        <f>(Requirements!K758="Normative")</f>
        <v>1</v>
      </c>
      <c r="L741" s="1" t="b">
        <f>(Requirements!L758&lt;&gt;"Non-testable")</f>
        <v>1</v>
      </c>
      <c r="M741" s="1" t="b">
        <f>(VLOOKUP(Requirements!I758,Scope[[Role]:[Description]],2,FALSE)="In")</f>
        <v>1</v>
      </c>
      <c r="N741" s="1">
        <f t="shared" si="47"/>
        <v>1</v>
      </c>
    </row>
    <row r="742" spans="1:14">
      <c r="A742" s="1" t="str">
        <f>Requirements!A759</f>
        <v>MS-WSP_R737</v>
      </c>
      <c r="B742" s="1">
        <v>1</v>
      </c>
      <c r="C742" s="1"/>
      <c r="D742" s="1"/>
      <c r="E742" s="1"/>
      <c r="F742" s="1"/>
      <c r="G742" s="1"/>
      <c r="H742" s="3">
        <f t="shared" si="44"/>
        <v>1</v>
      </c>
      <c r="I742" s="6">
        <f t="shared" si="45"/>
        <v>1</v>
      </c>
      <c r="J742" s="1" t="b">
        <f t="shared" si="46"/>
        <v>1</v>
      </c>
      <c r="K742" s="1" t="b">
        <f>(Requirements!K759="Normative")</f>
        <v>1</v>
      </c>
      <c r="L742" s="1" t="b">
        <f>(Requirements!L759&lt;&gt;"Non-testable")</f>
        <v>1</v>
      </c>
      <c r="M742" s="1" t="b">
        <f>(VLOOKUP(Requirements!I759,Scope[[Role]:[Description]],2,FALSE)="In")</f>
        <v>1</v>
      </c>
      <c r="N742" s="1">
        <f t="shared" si="47"/>
        <v>1</v>
      </c>
    </row>
    <row r="743" spans="1:14">
      <c r="A743" s="1" t="str">
        <f>Requirements!A760</f>
        <v>MS-WSP_R738</v>
      </c>
      <c r="B743" s="1">
        <v>1</v>
      </c>
      <c r="C743" s="1"/>
      <c r="D743" s="1"/>
      <c r="E743" s="1"/>
      <c r="F743" s="1"/>
      <c r="G743" s="1"/>
      <c r="H743" s="3">
        <f t="shared" si="44"/>
        <v>1</v>
      </c>
      <c r="I743" s="6">
        <f t="shared" si="45"/>
        <v>1</v>
      </c>
      <c r="J743" s="1" t="b">
        <f t="shared" si="46"/>
        <v>1</v>
      </c>
      <c r="K743" s="1" t="b">
        <f>(Requirements!K760="Normative")</f>
        <v>1</v>
      </c>
      <c r="L743" s="1" t="b">
        <f>(Requirements!L760&lt;&gt;"Non-testable")</f>
        <v>1</v>
      </c>
      <c r="M743" s="1" t="b">
        <f>(VLOOKUP(Requirements!I760,Scope[[Role]:[Description]],2,FALSE)="In")</f>
        <v>1</v>
      </c>
      <c r="N743" s="1">
        <f t="shared" si="47"/>
        <v>1</v>
      </c>
    </row>
    <row r="744" spans="1:14">
      <c r="A744" s="1" t="str">
        <f>Requirements!A761</f>
        <v>MS-WSP_R739</v>
      </c>
      <c r="B744" s="1">
        <v>1</v>
      </c>
      <c r="C744" s="1"/>
      <c r="D744" s="1"/>
      <c r="E744" s="1"/>
      <c r="F744" s="1"/>
      <c r="G744" s="1"/>
      <c r="H744" s="3">
        <f t="shared" si="44"/>
        <v>1</v>
      </c>
      <c r="I744" s="6">
        <f t="shared" si="45"/>
        <v>1</v>
      </c>
      <c r="J744" s="1" t="b">
        <f t="shared" si="46"/>
        <v>1</v>
      </c>
      <c r="K744" s="1" t="b">
        <f>(Requirements!K761="Normative")</f>
        <v>1</v>
      </c>
      <c r="L744" s="1" t="b">
        <f>(Requirements!L761&lt;&gt;"Non-testable")</f>
        <v>1</v>
      </c>
      <c r="M744" s="1" t="b">
        <f>(VLOOKUP(Requirements!I761,Scope[[Role]:[Description]],2,FALSE)="In")</f>
        <v>1</v>
      </c>
      <c r="N744" s="1">
        <f t="shared" si="47"/>
        <v>1</v>
      </c>
    </row>
    <row r="745" spans="1:14">
      <c r="A745" s="1" t="str">
        <f>Requirements!A762</f>
        <v>MS-WSP_R740</v>
      </c>
      <c r="B745" s="1">
        <v>1</v>
      </c>
      <c r="C745" s="1"/>
      <c r="D745" s="1"/>
      <c r="E745" s="1"/>
      <c r="F745" s="1"/>
      <c r="G745" s="1"/>
      <c r="H745" s="3">
        <f t="shared" si="44"/>
        <v>1</v>
      </c>
      <c r="I745" s="6">
        <f t="shared" si="45"/>
        <v>1</v>
      </c>
      <c r="J745" s="1" t="b">
        <f t="shared" si="46"/>
        <v>1</v>
      </c>
      <c r="K745" s="1" t="b">
        <f>(Requirements!K762="Normative")</f>
        <v>1</v>
      </c>
      <c r="L745" s="1" t="b">
        <f>(Requirements!L762&lt;&gt;"Non-testable")</f>
        <v>1</v>
      </c>
      <c r="M745" s="1" t="b">
        <f>(VLOOKUP(Requirements!I762,Scope[[Role]:[Description]],2,FALSE)="In")</f>
        <v>1</v>
      </c>
      <c r="N745" s="1">
        <f t="shared" si="47"/>
        <v>1</v>
      </c>
    </row>
    <row r="746" spans="1:14">
      <c r="A746" s="1" t="str">
        <f>Requirements!A763</f>
        <v>MS-WSP_R741</v>
      </c>
      <c r="B746" s="1">
        <v>1</v>
      </c>
      <c r="C746" s="1"/>
      <c r="D746" s="1"/>
      <c r="E746" s="1"/>
      <c r="F746" s="1"/>
      <c r="G746" s="1"/>
      <c r="H746" s="3">
        <f t="shared" si="44"/>
        <v>1</v>
      </c>
      <c r="I746" s="6">
        <f t="shared" si="45"/>
        <v>1</v>
      </c>
      <c r="J746" s="1" t="b">
        <f t="shared" si="46"/>
        <v>1</v>
      </c>
      <c r="K746" s="1" t="b">
        <f>(Requirements!K763="Normative")</f>
        <v>1</v>
      </c>
      <c r="L746" s="1" t="b">
        <f>(Requirements!L763&lt;&gt;"Non-testable")</f>
        <v>1</v>
      </c>
      <c r="M746" s="1" t="b">
        <f>(VLOOKUP(Requirements!I763,Scope[[Role]:[Description]],2,FALSE)="In")</f>
        <v>1</v>
      </c>
      <c r="N746" s="1">
        <f t="shared" si="47"/>
        <v>1</v>
      </c>
    </row>
    <row r="747" spans="1:14">
      <c r="A747" s="1" t="str">
        <f>Requirements!A764</f>
        <v>MS-WSP_R742</v>
      </c>
      <c r="B747" s="1">
        <v>1</v>
      </c>
      <c r="C747" s="1"/>
      <c r="D747" s="1"/>
      <c r="E747" s="1"/>
      <c r="F747" s="1"/>
      <c r="G747" s="1"/>
      <c r="H747" s="3">
        <f t="shared" si="44"/>
        <v>1</v>
      </c>
      <c r="I747" s="6">
        <f t="shared" si="45"/>
        <v>1</v>
      </c>
      <c r="J747" s="1" t="b">
        <f t="shared" si="46"/>
        <v>1</v>
      </c>
      <c r="K747" s="1" t="b">
        <f>(Requirements!K764="Normative")</f>
        <v>1</v>
      </c>
      <c r="L747" s="1" t="b">
        <f>(Requirements!L764&lt;&gt;"Non-testable")</f>
        <v>1</v>
      </c>
      <c r="M747" s="1" t="b">
        <f>(VLOOKUP(Requirements!I764,Scope[[Role]:[Description]],2,FALSE)="In")</f>
        <v>1</v>
      </c>
      <c r="N747" s="1">
        <f t="shared" si="47"/>
        <v>1</v>
      </c>
    </row>
    <row r="748" spans="1:14">
      <c r="A748" s="1" t="str">
        <f>Requirements!A765</f>
        <v>MS-WSP_R743</v>
      </c>
      <c r="B748" s="1">
        <v>1</v>
      </c>
      <c r="C748" s="1"/>
      <c r="D748" s="1"/>
      <c r="E748" s="1"/>
      <c r="F748" s="1"/>
      <c r="G748" s="1"/>
      <c r="H748" s="3">
        <f t="shared" si="44"/>
        <v>1</v>
      </c>
      <c r="I748" s="6">
        <f t="shared" si="45"/>
        <v>1</v>
      </c>
      <c r="J748" s="1" t="b">
        <f t="shared" si="46"/>
        <v>1</v>
      </c>
      <c r="K748" s="1" t="b">
        <f>(Requirements!K765="Normative")</f>
        <v>1</v>
      </c>
      <c r="L748" s="1" t="b">
        <f>(Requirements!L765&lt;&gt;"Non-testable")</f>
        <v>1</v>
      </c>
      <c r="M748" s="1" t="b">
        <f>(VLOOKUP(Requirements!I765,Scope[[Role]:[Description]],2,FALSE)="In")</f>
        <v>1</v>
      </c>
      <c r="N748" s="1">
        <f t="shared" si="47"/>
        <v>1</v>
      </c>
    </row>
    <row r="749" spans="1:14">
      <c r="A749" s="1" t="str">
        <f>Requirements!A766</f>
        <v>MS-WSP_R744</v>
      </c>
      <c r="B749" s="1">
        <v>1</v>
      </c>
      <c r="C749" s="1"/>
      <c r="D749" s="1"/>
      <c r="E749" s="1"/>
      <c r="F749" s="1"/>
      <c r="G749" s="1"/>
      <c r="H749" s="3">
        <f t="shared" si="44"/>
        <v>1</v>
      </c>
      <c r="I749" s="6">
        <f t="shared" si="45"/>
        <v>1</v>
      </c>
      <c r="J749" s="1" t="b">
        <f t="shared" si="46"/>
        <v>1</v>
      </c>
      <c r="K749" s="1" t="b">
        <f>(Requirements!K766="Normative")</f>
        <v>1</v>
      </c>
      <c r="L749" s="1" t="b">
        <f>(Requirements!L766&lt;&gt;"Non-testable")</f>
        <v>1</v>
      </c>
      <c r="M749" s="1" t="b">
        <f>(VLOOKUP(Requirements!I766,Scope[[Role]:[Description]],2,FALSE)="In")</f>
        <v>1</v>
      </c>
      <c r="N749" s="1">
        <f t="shared" si="47"/>
        <v>1</v>
      </c>
    </row>
    <row r="750" spans="1:14">
      <c r="A750" s="1" t="str">
        <f>Requirements!A767</f>
        <v>MS-WSP_R745</v>
      </c>
      <c r="B750" s="1"/>
      <c r="C750" s="1"/>
      <c r="D750" s="1"/>
      <c r="E750" s="1"/>
      <c r="F750" s="1"/>
      <c r="G750" s="1"/>
      <c r="H750" s="3">
        <f t="shared" si="44"/>
        <v>0</v>
      </c>
      <c r="I750" s="6">
        <f t="shared" si="45"/>
        <v>0</v>
      </c>
      <c r="J750" s="1" t="b">
        <f t="shared" si="46"/>
        <v>1</v>
      </c>
      <c r="K750" s="1" t="b">
        <f>(Requirements!K767="Normative")</f>
        <v>1</v>
      </c>
      <c r="L750" s="1" t="b">
        <f>(Requirements!L767&lt;&gt;"Non-testable")</f>
        <v>1</v>
      </c>
      <c r="M750" s="1" t="b">
        <f>(VLOOKUP(Requirements!I767,Scope[[Role]:[Description]],2,FALSE)="In")</f>
        <v>1</v>
      </c>
      <c r="N750" s="1">
        <f t="shared" si="47"/>
        <v>0</v>
      </c>
    </row>
    <row r="751" spans="1:14">
      <c r="A751" s="1" t="str">
        <f>Requirements!A768</f>
        <v>MS-WSP_R746</v>
      </c>
      <c r="B751" s="1">
        <v>1</v>
      </c>
      <c r="C751" s="1"/>
      <c r="D751" s="1"/>
      <c r="E751" s="1"/>
      <c r="F751" s="1"/>
      <c r="G751" s="1"/>
      <c r="H751" s="3">
        <f t="shared" si="44"/>
        <v>1</v>
      </c>
      <c r="I751" s="6">
        <f t="shared" si="45"/>
        <v>1</v>
      </c>
      <c r="J751" s="1" t="b">
        <f t="shared" si="46"/>
        <v>1</v>
      </c>
      <c r="K751" s="1" t="b">
        <f>(Requirements!K768="Normative")</f>
        <v>1</v>
      </c>
      <c r="L751" s="1" t="b">
        <f>(Requirements!L768&lt;&gt;"Non-testable")</f>
        <v>1</v>
      </c>
      <c r="M751" s="1" t="b">
        <f>(VLOOKUP(Requirements!I768,Scope[[Role]:[Description]],2,FALSE)="In")</f>
        <v>1</v>
      </c>
      <c r="N751" s="1">
        <f t="shared" si="47"/>
        <v>1</v>
      </c>
    </row>
    <row r="752" spans="1:14">
      <c r="A752" s="1" t="str">
        <f>Requirements!A769</f>
        <v>MS-WSP_R747</v>
      </c>
      <c r="B752" s="1">
        <v>1</v>
      </c>
      <c r="C752" s="1"/>
      <c r="D752" s="1"/>
      <c r="E752" s="1"/>
      <c r="F752" s="1"/>
      <c r="G752" s="1"/>
      <c r="H752" s="3">
        <f t="shared" si="44"/>
        <v>1</v>
      </c>
      <c r="I752" s="6">
        <f t="shared" si="45"/>
        <v>1</v>
      </c>
      <c r="J752" s="1" t="b">
        <f t="shared" si="46"/>
        <v>1</v>
      </c>
      <c r="K752" s="1" t="b">
        <f>(Requirements!K769="Normative")</f>
        <v>1</v>
      </c>
      <c r="L752" s="1" t="b">
        <f>(Requirements!L769&lt;&gt;"Non-testable")</f>
        <v>1</v>
      </c>
      <c r="M752" s="1" t="b">
        <f>(VLOOKUP(Requirements!I769,Scope[[Role]:[Description]],2,FALSE)="In")</f>
        <v>1</v>
      </c>
      <c r="N752" s="1">
        <f t="shared" si="47"/>
        <v>1</v>
      </c>
    </row>
    <row r="753" spans="1:14">
      <c r="A753" s="1" t="str">
        <f>Requirements!A770</f>
        <v>MS-WSP_R748</v>
      </c>
      <c r="B753" s="1"/>
      <c r="C753" s="1"/>
      <c r="D753" s="1"/>
      <c r="E753" s="1"/>
      <c r="F753" s="1"/>
      <c r="G753" s="1"/>
      <c r="H753" s="3">
        <f t="shared" si="44"/>
        <v>0</v>
      </c>
      <c r="I753" s="6">
        <f t="shared" si="45"/>
        <v>0</v>
      </c>
      <c r="J753" s="1" t="b">
        <f t="shared" si="46"/>
        <v>0</v>
      </c>
      <c r="K753" s="1" t="b">
        <f>(Requirements!K770="Normative")</f>
        <v>1</v>
      </c>
      <c r="L753" s="1" t="b">
        <f>(Requirements!L770&lt;&gt;"Non-testable")</f>
        <v>0</v>
      </c>
      <c r="M753" s="1" t="b">
        <f>(VLOOKUP(Requirements!I770,Scope[[Role]:[Description]],2,FALSE)="In")</f>
        <v>1</v>
      </c>
      <c r="N753" s="1">
        <f t="shared" si="47"/>
        <v>0</v>
      </c>
    </row>
    <row r="754" spans="1:14">
      <c r="A754" s="1" t="str">
        <f>Requirements!A771</f>
        <v>MS-WSP_R749</v>
      </c>
      <c r="B754" s="1"/>
      <c r="C754" s="1"/>
      <c r="D754" s="1"/>
      <c r="E754" s="1"/>
      <c r="F754" s="1"/>
      <c r="G754" s="1"/>
      <c r="H754" s="3">
        <f t="shared" si="44"/>
        <v>0</v>
      </c>
      <c r="I754" s="6">
        <f t="shared" si="45"/>
        <v>0</v>
      </c>
      <c r="J754" s="1" t="b">
        <f t="shared" si="46"/>
        <v>1</v>
      </c>
      <c r="K754" s="1" t="b">
        <f>(Requirements!K771="Normative")</f>
        <v>1</v>
      </c>
      <c r="L754" s="1" t="b">
        <f>(Requirements!L771&lt;&gt;"Non-testable")</f>
        <v>1</v>
      </c>
      <c r="M754" s="1" t="b">
        <f>(VLOOKUP(Requirements!I771,Scope[[Role]:[Description]],2,FALSE)="In")</f>
        <v>1</v>
      </c>
      <c r="N754" s="1">
        <f t="shared" si="47"/>
        <v>0</v>
      </c>
    </row>
    <row r="755" spans="1:14">
      <c r="A755" s="1" t="str">
        <f>Requirements!A772</f>
        <v>MS-WSP_R750</v>
      </c>
      <c r="B755" s="1">
        <v>1</v>
      </c>
      <c r="C755" s="1"/>
      <c r="D755" s="1"/>
      <c r="E755" s="1"/>
      <c r="F755" s="1"/>
      <c r="G755" s="1"/>
      <c r="H755" s="3">
        <f t="shared" si="44"/>
        <v>1</v>
      </c>
      <c r="I755" s="6">
        <f t="shared" si="45"/>
        <v>1</v>
      </c>
      <c r="J755" s="1" t="b">
        <f t="shared" si="46"/>
        <v>1</v>
      </c>
      <c r="K755" s="1" t="b">
        <f>(Requirements!K772="Normative")</f>
        <v>1</v>
      </c>
      <c r="L755" s="1" t="b">
        <f>(Requirements!L772&lt;&gt;"Non-testable")</f>
        <v>1</v>
      </c>
      <c r="M755" s="1" t="b">
        <f>(VLOOKUP(Requirements!I772,Scope[[Role]:[Description]],2,FALSE)="In")</f>
        <v>1</v>
      </c>
      <c r="N755" s="1">
        <f t="shared" si="47"/>
        <v>1</v>
      </c>
    </row>
    <row r="756" spans="1:14">
      <c r="A756" s="1" t="str">
        <f>Requirements!A773</f>
        <v>MS-WSP_R751</v>
      </c>
      <c r="B756" s="1"/>
      <c r="C756" s="1">
        <v>1</v>
      </c>
      <c r="D756" s="1"/>
      <c r="E756" s="1"/>
      <c r="F756" s="1"/>
      <c r="G756" s="1"/>
      <c r="H756" s="3">
        <f t="shared" si="44"/>
        <v>1</v>
      </c>
      <c r="I756" s="6">
        <f t="shared" si="45"/>
        <v>1</v>
      </c>
      <c r="J756" s="1" t="b">
        <f t="shared" si="46"/>
        <v>1</v>
      </c>
      <c r="K756" s="1" t="b">
        <f>(Requirements!K773="Normative")</f>
        <v>1</v>
      </c>
      <c r="L756" s="1" t="b">
        <f>(Requirements!L773&lt;&gt;"Non-testable")</f>
        <v>1</v>
      </c>
      <c r="M756" s="1" t="b">
        <f>(VLOOKUP(Requirements!I773,Scope[[Role]:[Description]],2,FALSE)="In")</f>
        <v>1</v>
      </c>
      <c r="N756" s="1">
        <f t="shared" si="47"/>
        <v>1</v>
      </c>
    </row>
    <row r="757" spans="1:14">
      <c r="A757" s="1" t="str">
        <f>Requirements!A774</f>
        <v>MS-WSP_R752</v>
      </c>
      <c r="B757" s="1"/>
      <c r="C757" s="1">
        <v>1</v>
      </c>
      <c r="D757" s="1"/>
      <c r="E757" s="1"/>
      <c r="F757" s="1"/>
      <c r="G757" s="1"/>
      <c r="H757" s="3">
        <f t="shared" si="44"/>
        <v>1</v>
      </c>
      <c r="I757" s="6">
        <f t="shared" si="45"/>
        <v>1</v>
      </c>
      <c r="J757" s="1" t="b">
        <f t="shared" si="46"/>
        <v>1</v>
      </c>
      <c r="K757" s="1" t="b">
        <f>(Requirements!K774="Normative")</f>
        <v>1</v>
      </c>
      <c r="L757" s="1" t="b">
        <f>(Requirements!L774&lt;&gt;"Non-testable")</f>
        <v>1</v>
      </c>
      <c r="M757" s="1" t="b">
        <f>(VLOOKUP(Requirements!I774,Scope[[Role]:[Description]],2,FALSE)="In")</f>
        <v>1</v>
      </c>
      <c r="N757" s="1">
        <f t="shared" si="47"/>
        <v>1</v>
      </c>
    </row>
    <row r="758" spans="1:14">
      <c r="A758" s="1" t="str">
        <f>Requirements!A775</f>
        <v>MS-WSP_R753</v>
      </c>
      <c r="B758" s="1"/>
      <c r="C758" s="1">
        <v>1</v>
      </c>
      <c r="D758" s="1"/>
      <c r="E758" s="1"/>
      <c r="F758" s="1"/>
      <c r="G758" s="1"/>
      <c r="H758" s="3">
        <f t="shared" si="44"/>
        <v>1</v>
      </c>
      <c r="I758" s="6">
        <f t="shared" si="45"/>
        <v>1</v>
      </c>
      <c r="J758" s="1" t="b">
        <f t="shared" si="46"/>
        <v>1</v>
      </c>
      <c r="K758" s="1" t="b">
        <f>(Requirements!K775="Normative")</f>
        <v>1</v>
      </c>
      <c r="L758" s="1" t="b">
        <f>(Requirements!L775&lt;&gt;"Non-testable")</f>
        <v>1</v>
      </c>
      <c r="M758" s="1" t="b">
        <f>(VLOOKUP(Requirements!I775,Scope[[Role]:[Description]],2,FALSE)="In")</f>
        <v>1</v>
      </c>
      <c r="N758" s="1">
        <f t="shared" si="47"/>
        <v>1</v>
      </c>
    </row>
    <row r="759" spans="1:14">
      <c r="A759" s="1" t="str">
        <f>Requirements!A776</f>
        <v>MS-WSP_R754</v>
      </c>
      <c r="B759" s="1"/>
      <c r="C759" s="1"/>
      <c r="D759" s="1"/>
      <c r="E759" s="1"/>
      <c r="F759" s="1"/>
      <c r="G759" s="1"/>
      <c r="H759" s="3">
        <f t="shared" si="44"/>
        <v>0</v>
      </c>
      <c r="I759" s="6">
        <f t="shared" si="45"/>
        <v>0</v>
      </c>
      <c r="J759" s="1" t="b">
        <f t="shared" si="46"/>
        <v>1</v>
      </c>
      <c r="K759" s="1" t="b">
        <f>(Requirements!K776="Normative")</f>
        <v>1</v>
      </c>
      <c r="L759" s="1" t="b">
        <f>(Requirements!L776&lt;&gt;"Non-testable")</f>
        <v>1</v>
      </c>
      <c r="M759" s="1" t="b">
        <f>(VLOOKUP(Requirements!I776,Scope[[Role]:[Description]],2,FALSE)="In")</f>
        <v>1</v>
      </c>
      <c r="N759" s="1">
        <f t="shared" si="47"/>
        <v>0</v>
      </c>
    </row>
    <row r="760" spans="1:14">
      <c r="A760" s="1" t="str">
        <f>Requirements!A777</f>
        <v>MS-WSP_R755</v>
      </c>
      <c r="B760" s="1"/>
      <c r="C760" s="1"/>
      <c r="D760" s="1"/>
      <c r="E760" s="1"/>
      <c r="F760" s="1"/>
      <c r="G760" s="1"/>
      <c r="H760" s="3">
        <f t="shared" si="44"/>
        <v>0</v>
      </c>
      <c r="I760" s="6">
        <f t="shared" si="45"/>
        <v>0</v>
      </c>
      <c r="J760" s="1" t="b">
        <f t="shared" si="46"/>
        <v>1</v>
      </c>
      <c r="K760" s="1" t="b">
        <f>(Requirements!K777="Normative")</f>
        <v>1</v>
      </c>
      <c r="L760" s="1" t="b">
        <f>(Requirements!L777&lt;&gt;"Non-testable")</f>
        <v>1</v>
      </c>
      <c r="M760" s="1" t="b">
        <f>(VLOOKUP(Requirements!I777,Scope[[Role]:[Description]],2,FALSE)="In")</f>
        <v>1</v>
      </c>
      <c r="N760" s="1">
        <f t="shared" si="47"/>
        <v>0</v>
      </c>
    </row>
    <row r="761" spans="1:14">
      <c r="A761" s="1" t="str">
        <f>Requirements!A778</f>
        <v>MS-WSP_R756</v>
      </c>
      <c r="B761" s="1"/>
      <c r="C761" s="1"/>
      <c r="D761" s="1"/>
      <c r="E761" s="1"/>
      <c r="F761" s="1"/>
      <c r="G761" s="1"/>
      <c r="H761" s="3">
        <f t="shared" si="44"/>
        <v>0</v>
      </c>
      <c r="I761" s="6">
        <f t="shared" si="45"/>
        <v>0</v>
      </c>
      <c r="J761" s="1" t="b">
        <f t="shared" si="46"/>
        <v>0</v>
      </c>
      <c r="K761" s="1" t="b">
        <f>(Requirements!K778="Normative")</f>
        <v>0</v>
      </c>
      <c r="L761" s="1" t="b">
        <f>(Requirements!L778&lt;&gt;"Non-testable")</f>
        <v>1</v>
      </c>
      <c r="M761" s="1" t="b">
        <f>(VLOOKUP(Requirements!I778,Scope[[Role]:[Description]],2,FALSE)="In")</f>
        <v>1</v>
      </c>
      <c r="N761" s="1">
        <f t="shared" si="47"/>
        <v>0</v>
      </c>
    </row>
    <row r="762" spans="1:14">
      <c r="A762" s="1" t="str">
        <f>Requirements!A779</f>
        <v>MS-WSP_R757</v>
      </c>
      <c r="B762" s="1"/>
      <c r="C762" s="1"/>
      <c r="D762" s="1"/>
      <c r="E762" s="1"/>
      <c r="F762" s="1"/>
      <c r="G762" s="1"/>
      <c r="H762" s="3">
        <f t="shared" si="44"/>
        <v>0</v>
      </c>
      <c r="I762" s="6">
        <f t="shared" si="45"/>
        <v>0</v>
      </c>
      <c r="J762" s="1" t="b">
        <f t="shared" si="46"/>
        <v>0</v>
      </c>
      <c r="K762" s="1" t="b">
        <f>(Requirements!K779="Normative")</f>
        <v>1</v>
      </c>
      <c r="L762" s="1" t="b">
        <f>(Requirements!L779&lt;&gt;"Non-testable")</f>
        <v>0</v>
      </c>
      <c r="M762" s="1" t="b">
        <f>(VLOOKUP(Requirements!I779,Scope[[Role]:[Description]],2,FALSE)="In")</f>
        <v>1</v>
      </c>
      <c r="N762" s="1">
        <f t="shared" si="47"/>
        <v>0</v>
      </c>
    </row>
    <row r="763" spans="1:14">
      <c r="A763" s="1" t="str">
        <f>Requirements!A780</f>
        <v>MS-WSP_R758</v>
      </c>
      <c r="B763" s="1"/>
      <c r="C763" s="1"/>
      <c r="D763" s="1"/>
      <c r="E763" s="1"/>
      <c r="F763" s="1"/>
      <c r="G763" s="1"/>
      <c r="H763" s="3">
        <f t="shared" si="44"/>
        <v>0</v>
      </c>
      <c r="I763" s="6">
        <f t="shared" si="45"/>
        <v>0</v>
      </c>
      <c r="J763" s="1" t="b">
        <f t="shared" si="46"/>
        <v>0</v>
      </c>
      <c r="K763" s="1" t="b">
        <f>(Requirements!K780="Normative")</f>
        <v>1</v>
      </c>
      <c r="L763" s="1" t="b">
        <f>(Requirements!L780&lt;&gt;"Non-testable")</f>
        <v>0</v>
      </c>
      <c r="M763" s="1" t="b">
        <f>(VLOOKUP(Requirements!I780,Scope[[Role]:[Description]],2,FALSE)="In")</f>
        <v>1</v>
      </c>
      <c r="N763" s="1">
        <f t="shared" si="47"/>
        <v>0</v>
      </c>
    </row>
    <row r="764" spans="1:14">
      <c r="A764" s="1" t="str">
        <f>Requirements!A781</f>
        <v>MS-WSP_R759</v>
      </c>
      <c r="B764" s="1"/>
      <c r="C764" s="1"/>
      <c r="D764" s="1"/>
      <c r="E764" s="1"/>
      <c r="F764" s="1"/>
      <c r="G764" s="1"/>
      <c r="H764" s="3">
        <f t="shared" si="44"/>
        <v>0</v>
      </c>
      <c r="I764" s="6">
        <f t="shared" si="45"/>
        <v>0</v>
      </c>
      <c r="J764" s="1" t="b">
        <f t="shared" si="46"/>
        <v>0</v>
      </c>
      <c r="K764" s="1" t="b">
        <f>(Requirements!K781="Normative")</f>
        <v>1</v>
      </c>
      <c r="L764" s="1" t="b">
        <f>(Requirements!L781&lt;&gt;"Non-testable")</f>
        <v>0</v>
      </c>
      <c r="M764" s="1" t="b">
        <f>(VLOOKUP(Requirements!I781,Scope[[Role]:[Description]],2,FALSE)="In")</f>
        <v>1</v>
      </c>
      <c r="N764" s="1">
        <f t="shared" si="47"/>
        <v>0</v>
      </c>
    </row>
    <row r="765" spans="1:14">
      <c r="A765" s="1" t="str">
        <f>Requirements!A782</f>
        <v>MS-WSP_R760</v>
      </c>
      <c r="B765" s="1"/>
      <c r="C765" s="1"/>
      <c r="D765" s="1"/>
      <c r="E765" s="1"/>
      <c r="F765" s="1"/>
      <c r="G765" s="1"/>
      <c r="H765" s="3">
        <f t="shared" si="44"/>
        <v>0</v>
      </c>
      <c r="I765" s="6">
        <f t="shared" si="45"/>
        <v>0</v>
      </c>
      <c r="J765" s="1" t="b">
        <f t="shared" si="46"/>
        <v>0</v>
      </c>
      <c r="K765" s="1" t="b">
        <f>(Requirements!K782="Normative")</f>
        <v>1</v>
      </c>
      <c r="L765" s="1" t="b">
        <f>(Requirements!L782&lt;&gt;"Non-testable")</f>
        <v>0</v>
      </c>
      <c r="M765" s="1" t="b">
        <f>(VLOOKUP(Requirements!I782,Scope[[Role]:[Description]],2,FALSE)="In")</f>
        <v>1</v>
      </c>
      <c r="N765" s="1">
        <f t="shared" si="47"/>
        <v>0</v>
      </c>
    </row>
    <row r="766" spans="1:14">
      <c r="A766" s="1" t="str">
        <f>Requirements!A783</f>
        <v>MS-WSP_R761</v>
      </c>
      <c r="B766" s="1"/>
      <c r="C766" s="1"/>
      <c r="D766" s="1"/>
      <c r="E766" s="1"/>
      <c r="F766" s="1"/>
      <c r="G766" s="1"/>
      <c r="H766" s="3">
        <f t="shared" si="44"/>
        <v>0</v>
      </c>
      <c r="I766" s="6">
        <f t="shared" si="45"/>
        <v>0</v>
      </c>
      <c r="J766" s="1" t="b">
        <f t="shared" si="46"/>
        <v>0</v>
      </c>
      <c r="K766" s="1" t="b">
        <f>(Requirements!K783="Normative")</f>
        <v>1</v>
      </c>
      <c r="L766" s="1" t="b">
        <f>(Requirements!L783&lt;&gt;"Non-testable")</f>
        <v>0</v>
      </c>
      <c r="M766" s="1" t="b">
        <f>(VLOOKUP(Requirements!I783,Scope[[Role]:[Description]],2,FALSE)="In")</f>
        <v>1</v>
      </c>
      <c r="N766" s="1">
        <f t="shared" si="47"/>
        <v>0</v>
      </c>
    </row>
    <row r="767" spans="1:14">
      <c r="A767" s="1" t="str">
        <f>Requirements!A784</f>
        <v>MS-WSP_R762</v>
      </c>
      <c r="B767" s="1"/>
      <c r="C767" s="1"/>
      <c r="D767" s="1"/>
      <c r="E767" s="1"/>
      <c r="F767" s="1"/>
      <c r="G767" s="1"/>
      <c r="H767" s="3">
        <f t="shared" si="44"/>
        <v>0</v>
      </c>
      <c r="I767" s="6">
        <f t="shared" si="45"/>
        <v>0</v>
      </c>
      <c r="J767" s="1" t="b">
        <f t="shared" si="46"/>
        <v>0</v>
      </c>
      <c r="K767" s="1" t="b">
        <f>(Requirements!K784="Normative")</f>
        <v>0</v>
      </c>
      <c r="L767" s="1" t="b">
        <f>(Requirements!L784&lt;&gt;"Non-testable")</f>
        <v>1</v>
      </c>
      <c r="M767" s="1" t="b">
        <f>(VLOOKUP(Requirements!I784,Scope[[Role]:[Description]],2,FALSE)="In")</f>
        <v>1</v>
      </c>
      <c r="N767" s="1">
        <f t="shared" si="47"/>
        <v>0</v>
      </c>
    </row>
    <row r="768" spans="1:14">
      <c r="A768" s="1" t="str">
        <f>Requirements!A785</f>
        <v>MS-WSP_R763</v>
      </c>
      <c r="B768" s="1"/>
      <c r="C768" s="1"/>
      <c r="D768" s="1"/>
      <c r="E768" s="1"/>
      <c r="F768" s="1"/>
      <c r="G768" s="1"/>
      <c r="H768" s="3">
        <f t="shared" si="44"/>
        <v>0</v>
      </c>
      <c r="I768" s="6">
        <f t="shared" si="45"/>
        <v>0</v>
      </c>
      <c r="J768" s="1" t="b">
        <f t="shared" si="46"/>
        <v>0</v>
      </c>
      <c r="K768" s="1" t="b">
        <f>(Requirements!K785="Normative")</f>
        <v>1</v>
      </c>
      <c r="L768" s="1" t="b">
        <f>(Requirements!L785&lt;&gt;"Non-testable")</f>
        <v>0</v>
      </c>
      <c r="M768" s="1" t="b">
        <f>(VLOOKUP(Requirements!I785,Scope[[Role]:[Description]],2,FALSE)="In")</f>
        <v>1</v>
      </c>
      <c r="N768" s="1">
        <f t="shared" si="47"/>
        <v>0</v>
      </c>
    </row>
    <row r="769" spans="1:14">
      <c r="A769" s="1" t="str">
        <f>Requirements!A786</f>
        <v>MS-WSP_R764</v>
      </c>
      <c r="B769" s="1"/>
      <c r="C769" s="1"/>
      <c r="D769" s="1"/>
      <c r="E769" s="1"/>
      <c r="F769" s="1"/>
      <c r="G769" s="1"/>
      <c r="H769" s="3">
        <f t="shared" si="44"/>
        <v>0</v>
      </c>
      <c r="I769" s="6">
        <f t="shared" si="45"/>
        <v>0</v>
      </c>
      <c r="J769" s="1" t="b">
        <f t="shared" si="46"/>
        <v>0</v>
      </c>
      <c r="K769" s="1" t="b">
        <f>(Requirements!K786="Normative")</f>
        <v>1</v>
      </c>
      <c r="L769" s="1" t="b">
        <f>(Requirements!L786&lt;&gt;"Non-testable")</f>
        <v>0</v>
      </c>
      <c r="M769" s="1" t="b">
        <f>(VLOOKUP(Requirements!I786,Scope[[Role]:[Description]],2,FALSE)="In")</f>
        <v>1</v>
      </c>
      <c r="N769" s="1">
        <f t="shared" si="47"/>
        <v>0</v>
      </c>
    </row>
    <row r="770" spans="1:14">
      <c r="A770" s="1" t="str">
        <f>Requirements!A787</f>
        <v>MS-WSP_R765</v>
      </c>
      <c r="B770" s="1"/>
      <c r="C770" s="1"/>
      <c r="D770" s="1"/>
      <c r="E770" s="1"/>
      <c r="F770" s="1"/>
      <c r="G770" s="1"/>
      <c r="H770" s="3">
        <f t="shared" si="44"/>
        <v>0</v>
      </c>
      <c r="I770" s="6">
        <f t="shared" si="45"/>
        <v>0</v>
      </c>
      <c r="J770" s="1" t="b">
        <f t="shared" si="46"/>
        <v>0</v>
      </c>
      <c r="K770" s="1" t="b">
        <f>(Requirements!K787="Normative")</f>
        <v>1</v>
      </c>
      <c r="L770" s="1" t="b">
        <f>(Requirements!L787&lt;&gt;"Non-testable")</f>
        <v>0</v>
      </c>
      <c r="M770" s="1" t="b">
        <f>(VLOOKUP(Requirements!I787,Scope[[Role]:[Description]],2,FALSE)="In")</f>
        <v>1</v>
      </c>
      <c r="N770" s="1">
        <f t="shared" si="47"/>
        <v>0</v>
      </c>
    </row>
    <row r="771" spans="1:14">
      <c r="A771" s="1" t="str">
        <f>Requirements!A788</f>
        <v>MS-WSP_R766</v>
      </c>
      <c r="B771" s="1"/>
      <c r="C771" s="1"/>
      <c r="D771" s="1"/>
      <c r="E771" s="1"/>
      <c r="F771" s="1"/>
      <c r="G771" s="1"/>
      <c r="H771" s="3">
        <f t="shared" si="44"/>
        <v>0</v>
      </c>
      <c r="I771" s="6">
        <f t="shared" si="45"/>
        <v>0</v>
      </c>
      <c r="J771" s="1" t="b">
        <f t="shared" si="46"/>
        <v>0</v>
      </c>
      <c r="K771" s="1" t="b">
        <f>(Requirements!K788="Normative")</f>
        <v>1</v>
      </c>
      <c r="L771" s="1" t="b">
        <f>(Requirements!L788&lt;&gt;"Non-testable")</f>
        <v>0</v>
      </c>
      <c r="M771" s="1" t="b">
        <f>(VLOOKUP(Requirements!I788,Scope[[Role]:[Description]],2,FALSE)="In")</f>
        <v>1</v>
      </c>
      <c r="N771" s="1">
        <f t="shared" si="47"/>
        <v>0</v>
      </c>
    </row>
    <row r="772" spans="1:14">
      <c r="A772" s="1" t="str">
        <f>Requirements!A789</f>
        <v>MS-WSP_R767</v>
      </c>
      <c r="B772" s="1"/>
      <c r="C772" s="1"/>
      <c r="D772" s="1"/>
      <c r="E772" s="1"/>
      <c r="F772" s="1"/>
      <c r="G772" s="1"/>
      <c r="H772" s="3">
        <f t="shared" si="44"/>
        <v>0</v>
      </c>
      <c r="I772" s="6">
        <f t="shared" si="45"/>
        <v>0</v>
      </c>
      <c r="J772" s="1" t="b">
        <f t="shared" si="46"/>
        <v>0</v>
      </c>
      <c r="K772" s="1" t="b">
        <f>(Requirements!K789="Normative")</f>
        <v>1</v>
      </c>
      <c r="L772" s="1" t="b">
        <f>(Requirements!L789&lt;&gt;"Non-testable")</f>
        <v>0</v>
      </c>
      <c r="M772" s="1" t="b">
        <f>(VLOOKUP(Requirements!I789,Scope[[Role]:[Description]],2,FALSE)="In")</f>
        <v>1</v>
      </c>
      <c r="N772" s="1">
        <f t="shared" si="47"/>
        <v>0</v>
      </c>
    </row>
    <row r="773" spans="1:14">
      <c r="A773" s="1" t="str">
        <f>Requirements!A790</f>
        <v>MS-WSP_R768</v>
      </c>
      <c r="B773" s="1"/>
      <c r="C773" s="1"/>
      <c r="D773" s="1"/>
      <c r="E773" s="1"/>
      <c r="F773" s="1"/>
      <c r="G773" s="1"/>
      <c r="H773" s="3">
        <f t="shared" si="44"/>
        <v>0</v>
      </c>
      <c r="I773" s="6">
        <f t="shared" si="45"/>
        <v>0</v>
      </c>
      <c r="J773" s="1" t="b">
        <f t="shared" si="46"/>
        <v>0</v>
      </c>
      <c r="K773" s="1" t="b">
        <f>(Requirements!K790="Normative")</f>
        <v>1</v>
      </c>
      <c r="L773" s="1" t="b">
        <f>(Requirements!L790&lt;&gt;"Non-testable")</f>
        <v>0</v>
      </c>
      <c r="M773" s="1" t="b">
        <f>(VLOOKUP(Requirements!I790,Scope[[Role]:[Description]],2,FALSE)="In")</f>
        <v>1</v>
      </c>
      <c r="N773" s="1">
        <f t="shared" si="47"/>
        <v>0</v>
      </c>
    </row>
    <row r="774" spans="1:14">
      <c r="A774" s="1" t="str">
        <f>Requirements!A791</f>
        <v>MS-WSP_R769</v>
      </c>
      <c r="B774" s="1"/>
      <c r="C774" s="1"/>
      <c r="D774" s="1"/>
      <c r="E774" s="1"/>
      <c r="F774" s="1"/>
      <c r="G774" s="1"/>
      <c r="H774" s="3">
        <f t="shared" ref="H774:H837" si="48">SUM(B774:G774)</f>
        <v>0</v>
      </c>
      <c r="I774" s="6">
        <f t="shared" si="45"/>
        <v>0</v>
      </c>
      <c r="J774" s="1" t="b">
        <f t="shared" si="46"/>
        <v>0</v>
      </c>
      <c r="K774" s="1" t="b">
        <f>(Requirements!K791="Normative")</f>
        <v>1</v>
      </c>
      <c r="L774" s="1" t="b">
        <f>(Requirements!L791&lt;&gt;"Non-testable")</f>
        <v>0</v>
      </c>
      <c r="M774" s="1" t="b">
        <f>(VLOOKUP(Requirements!I791,Scope[[Role]:[Description]],2,FALSE)="In")</f>
        <v>1</v>
      </c>
      <c r="N774" s="1">
        <f t="shared" si="47"/>
        <v>0</v>
      </c>
    </row>
    <row r="775" spans="1:14">
      <c r="A775" s="1" t="str">
        <f>Requirements!A792</f>
        <v>MS-WSP_R770</v>
      </c>
      <c r="B775" s="1"/>
      <c r="C775" s="1"/>
      <c r="D775" s="1"/>
      <c r="E775" s="1"/>
      <c r="F775" s="1"/>
      <c r="G775" s="1"/>
      <c r="H775" s="3">
        <f t="shared" si="48"/>
        <v>0</v>
      </c>
      <c r="I775" s="6">
        <f t="shared" ref="I775:I838" si="49">IF(H775=0,0,1)</f>
        <v>0</v>
      </c>
      <c r="J775" s="1" t="b">
        <f t="shared" ref="J775:J838" si="50">AND(K775:M775)</f>
        <v>0</v>
      </c>
      <c r="K775" s="1" t="b">
        <f>(Requirements!K792="Normative")</f>
        <v>1</v>
      </c>
      <c r="L775" s="1" t="b">
        <f>(Requirements!L792&lt;&gt;"Non-testable")</f>
        <v>0</v>
      </c>
      <c r="M775" s="1" t="b">
        <f>(VLOOKUP(Requirements!I792,Scope[[Role]:[Description]],2,FALSE)="In")</f>
        <v>1</v>
      </c>
      <c r="N775" s="1">
        <f t="shared" ref="N775:N838" si="51">IF(J775,I775,0)</f>
        <v>0</v>
      </c>
    </row>
    <row r="776" spans="1:14">
      <c r="A776" s="1" t="str">
        <f>Requirements!A793</f>
        <v>MS-WSP_R771</v>
      </c>
      <c r="B776" s="1"/>
      <c r="C776" s="1"/>
      <c r="D776" s="1"/>
      <c r="E776" s="1"/>
      <c r="F776" s="1"/>
      <c r="G776" s="1"/>
      <c r="H776" s="3">
        <f t="shared" si="48"/>
        <v>0</v>
      </c>
      <c r="I776" s="6">
        <f t="shared" si="49"/>
        <v>0</v>
      </c>
      <c r="J776" s="1" t="b">
        <f t="shared" si="50"/>
        <v>0</v>
      </c>
      <c r="K776" s="1" t="b">
        <f>(Requirements!K793="Normative")</f>
        <v>1</v>
      </c>
      <c r="L776" s="1" t="b">
        <f>(Requirements!L793&lt;&gt;"Non-testable")</f>
        <v>0</v>
      </c>
      <c r="M776" s="1" t="b">
        <f>(VLOOKUP(Requirements!I793,Scope[[Role]:[Description]],2,FALSE)="In")</f>
        <v>1</v>
      </c>
      <c r="N776" s="1">
        <f t="shared" si="51"/>
        <v>0</v>
      </c>
    </row>
    <row r="777" spans="1:14">
      <c r="A777" s="1" t="str">
        <f>Requirements!A794</f>
        <v>MS-WSP_R772</v>
      </c>
      <c r="B777" s="1"/>
      <c r="C777" s="1"/>
      <c r="D777" s="1"/>
      <c r="E777" s="1"/>
      <c r="F777" s="1"/>
      <c r="G777" s="1"/>
      <c r="H777" s="3">
        <f t="shared" si="48"/>
        <v>0</v>
      </c>
      <c r="I777" s="6">
        <f t="shared" si="49"/>
        <v>0</v>
      </c>
      <c r="J777" s="1" t="b">
        <f t="shared" si="50"/>
        <v>0</v>
      </c>
      <c r="K777" s="1" t="b">
        <f>(Requirements!K794="Normative")</f>
        <v>1</v>
      </c>
      <c r="L777" s="1" t="b">
        <f>(Requirements!L794&lt;&gt;"Non-testable")</f>
        <v>0</v>
      </c>
      <c r="M777" s="1" t="b">
        <f>(VLOOKUP(Requirements!I794,Scope[[Role]:[Description]],2,FALSE)="In")</f>
        <v>1</v>
      </c>
      <c r="N777" s="1">
        <f t="shared" si="51"/>
        <v>0</v>
      </c>
    </row>
    <row r="778" spans="1:14">
      <c r="A778" s="1" t="str">
        <f>Requirements!A795</f>
        <v>MS-WSP_R773</v>
      </c>
      <c r="B778" s="1"/>
      <c r="C778" s="1"/>
      <c r="D778" s="1"/>
      <c r="E778" s="1"/>
      <c r="F778" s="1"/>
      <c r="G778" s="1"/>
      <c r="H778" s="3">
        <f t="shared" si="48"/>
        <v>0</v>
      </c>
      <c r="I778" s="6">
        <f t="shared" si="49"/>
        <v>0</v>
      </c>
      <c r="J778" s="1" t="b">
        <f t="shared" si="50"/>
        <v>0</v>
      </c>
      <c r="K778" s="1" t="b">
        <f>(Requirements!K795="Normative")</f>
        <v>1</v>
      </c>
      <c r="L778" s="1" t="b">
        <f>(Requirements!L795&lt;&gt;"Non-testable")</f>
        <v>0</v>
      </c>
      <c r="M778" s="1" t="b">
        <f>(VLOOKUP(Requirements!I795,Scope[[Role]:[Description]],2,FALSE)="In")</f>
        <v>1</v>
      </c>
      <c r="N778" s="1">
        <f t="shared" si="51"/>
        <v>0</v>
      </c>
    </row>
    <row r="779" spans="1:14">
      <c r="A779" s="1" t="str">
        <f>Requirements!A796</f>
        <v>MS-WSP_R774</v>
      </c>
      <c r="B779" s="1"/>
      <c r="C779" s="1"/>
      <c r="D779" s="1"/>
      <c r="E779" s="1"/>
      <c r="F779" s="1"/>
      <c r="G779" s="1"/>
      <c r="H779" s="3">
        <f t="shared" si="48"/>
        <v>0</v>
      </c>
      <c r="I779" s="6">
        <f t="shared" si="49"/>
        <v>0</v>
      </c>
      <c r="J779" s="1" t="b">
        <f t="shared" si="50"/>
        <v>0</v>
      </c>
      <c r="K779" s="1" t="b">
        <f>(Requirements!K796="Normative")</f>
        <v>1</v>
      </c>
      <c r="L779" s="1" t="b">
        <f>(Requirements!L796&lt;&gt;"Non-testable")</f>
        <v>0</v>
      </c>
      <c r="M779" s="1" t="b">
        <f>(VLOOKUP(Requirements!I796,Scope[[Role]:[Description]],2,FALSE)="In")</f>
        <v>1</v>
      </c>
      <c r="N779" s="1">
        <f t="shared" si="51"/>
        <v>0</v>
      </c>
    </row>
    <row r="780" spans="1:14">
      <c r="A780" s="1" t="str">
        <f>Requirements!A797</f>
        <v>MS-WSP_R775</v>
      </c>
      <c r="B780" s="1"/>
      <c r="C780" s="1"/>
      <c r="D780" s="1"/>
      <c r="E780" s="1"/>
      <c r="F780" s="1"/>
      <c r="G780" s="1"/>
      <c r="H780" s="3">
        <f t="shared" si="48"/>
        <v>0</v>
      </c>
      <c r="I780" s="6">
        <f t="shared" si="49"/>
        <v>0</v>
      </c>
      <c r="J780" s="1" t="b">
        <f t="shared" si="50"/>
        <v>0</v>
      </c>
      <c r="K780" s="1" t="b">
        <f>(Requirements!K797="Normative")</f>
        <v>1</v>
      </c>
      <c r="L780" s="1" t="b">
        <f>(Requirements!L797&lt;&gt;"Non-testable")</f>
        <v>0</v>
      </c>
      <c r="M780" s="1" t="b">
        <f>(VLOOKUP(Requirements!I797,Scope[[Role]:[Description]],2,FALSE)="In")</f>
        <v>1</v>
      </c>
      <c r="N780" s="1">
        <f t="shared" si="51"/>
        <v>0</v>
      </c>
    </row>
    <row r="781" spans="1:14">
      <c r="A781" s="1" t="str">
        <f>Requirements!A798</f>
        <v>MS-WSP_R776</v>
      </c>
      <c r="B781" s="1"/>
      <c r="C781" s="1"/>
      <c r="D781" s="1"/>
      <c r="E781" s="1"/>
      <c r="F781" s="1"/>
      <c r="G781" s="1"/>
      <c r="H781" s="3">
        <f t="shared" si="48"/>
        <v>0</v>
      </c>
      <c r="I781" s="6">
        <f t="shared" si="49"/>
        <v>0</v>
      </c>
      <c r="J781" s="1" t="b">
        <f t="shared" si="50"/>
        <v>0</v>
      </c>
      <c r="K781" s="1" t="b">
        <f>(Requirements!K798="Normative")</f>
        <v>1</v>
      </c>
      <c r="L781" s="1" t="b">
        <f>(Requirements!L798&lt;&gt;"Non-testable")</f>
        <v>0</v>
      </c>
      <c r="M781" s="1" t="b">
        <f>(VLOOKUP(Requirements!I798,Scope[[Role]:[Description]],2,FALSE)="In")</f>
        <v>1</v>
      </c>
      <c r="N781" s="1">
        <f t="shared" si="51"/>
        <v>0</v>
      </c>
    </row>
    <row r="782" spans="1:14">
      <c r="A782" s="1" t="str">
        <f>Requirements!A799</f>
        <v>MS-WSP_R777</v>
      </c>
      <c r="B782" s="1"/>
      <c r="C782" s="1"/>
      <c r="D782" s="1"/>
      <c r="E782" s="1"/>
      <c r="F782" s="1"/>
      <c r="G782" s="1"/>
      <c r="H782" s="3">
        <f t="shared" si="48"/>
        <v>0</v>
      </c>
      <c r="I782" s="6">
        <f t="shared" si="49"/>
        <v>0</v>
      </c>
      <c r="J782" s="1" t="b">
        <f t="shared" si="50"/>
        <v>0</v>
      </c>
      <c r="K782" s="1" t="b">
        <f>(Requirements!K799="Normative")</f>
        <v>1</v>
      </c>
      <c r="L782" s="1" t="b">
        <f>(Requirements!L799&lt;&gt;"Non-testable")</f>
        <v>0</v>
      </c>
      <c r="M782" s="1" t="b">
        <f>(VLOOKUP(Requirements!I799,Scope[[Role]:[Description]],2,FALSE)="In")</f>
        <v>1</v>
      </c>
      <c r="N782" s="1">
        <f t="shared" si="51"/>
        <v>0</v>
      </c>
    </row>
    <row r="783" spans="1:14">
      <c r="A783" s="1" t="str">
        <f>Requirements!A800</f>
        <v>MS-WSP_R778</v>
      </c>
      <c r="B783" s="1"/>
      <c r="C783" s="1"/>
      <c r="D783" s="1"/>
      <c r="E783" s="1"/>
      <c r="F783" s="1"/>
      <c r="G783" s="1"/>
      <c r="H783" s="3">
        <f t="shared" si="48"/>
        <v>0</v>
      </c>
      <c r="I783" s="6">
        <f t="shared" si="49"/>
        <v>0</v>
      </c>
      <c r="J783" s="1" t="b">
        <f t="shared" si="50"/>
        <v>0</v>
      </c>
      <c r="K783" s="1" t="b">
        <f>(Requirements!K800="Normative")</f>
        <v>1</v>
      </c>
      <c r="L783" s="1" t="b">
        <f>(Requirements!L800&lt;&gt;"Non-testable")</f>
        <v>0</v>
      </c>
      <c r="M783" s="1" t="b">
        <f>(VLOOKUP(Requirements!I800,Scope[[Role]:[Description]],2,FALSE)="In")</f>
        <v>1</v>
      </c>
      <c r="N783" s="1">
        <f t="shared" si="51"/>
        <v>0</v>
      </c>
    </row>
    <row r="784" spans="1:14">
      <c r="A784" s="1" t="str">
        <f>Requirements!A801</f>
        <v>MS-WSP_R779</v>
      </c>
      <c r="B784" s="1"/>
      <c r="C784" s="1"/>
      <c r="D784" s="1"/>
      <c r="E784" s="1"/>
      <c r="F784" s="1"/>
      <c r="G784" s="1"/>
      <c r="H784" s="3">
        <f t="shared" si="48"/>
        <v>0</v>
      </c>
      <c r="I784" s="6">
        <f t="shared" si="49"/>
        <v>0</v>
      </c>
      <c r="J784" s="1" t="b">
        <f t="shared" si="50"/>
        <v>0</v>
      </c>
      <c r="K784" s="1" t="b">
        <f>(Requirements!K801="Normative")</f>
        <v>1</v>
      </c>
      <c r="L784" s="1" t="b">
        <f>(Requirements!L801&lt;&gt;"Non-testable")</f>
        <v>0</v>
      </c>
      <c r="M784" s="1" t="b">
        <f>(VLOOKUP(Requirements!I801,Scope[[Role]:[Description]],2,FALSE)="In")</f>
        <v>1</v>
      </c>
      <c r="N784" s="1">
        <f t="shared" si="51"/>
        <v>0</v>
      </c>
    </row>
    <row r="785" spans="1:14">
      <c r="A785" s="1" t="str">
        <f>Requirements!A802</f>
        <v>MS-WSP_R780</v>
      </c>
      <c r="B785" s="1"/>
      <c r="C785" s="1"/>
      <c r="D785" s="1"/>
      <c r="E785" s="1"/>
      <c r="F785" s="1"/>
      <c r="G785" s="1"/>
      <c r="H785" s="3">
        <f t="shared" si="48"/>
        <v>0</v>
      </c>
      <c r="I785" s="6">
        <f t="shared" si="49"/>
        <v>0</v>
      </c>
      <c r="J785" s="1" t="b">
        <f t="shared" si="50"/>
        <v>0</v>
      </c>
      <c r="K785" s="1" t="b">
        <f>(Requirements!K802="Normative")</f>
        <v>1</v>
      </c>
      <c r="L785" s="1" t="b">
        <f>(Requirements!L802&lt;&gt;"Non-testable")</f>
        <v>0</v>
      </c>
      <c r="M785" s="1" t="b">
        <f>(VLOOKUP(Requirements!I802,Scope[[Role]:[Description]],2,FALSE)="In")</f>
        <v>1</v>
      </c>
      <c r="N785" s="1">
        <f t="shared" si="51"/>
        <v>0</v>
      </c>
    </row>
    <row r="786" spans="1:14">
      <c r="A786" s="1" t="str">
        <f>Requirements!A803</f>
        <v>MS-WSP_R781</v>
      </c>
      <c r="B786" s="1"/>
      <c r="C786" s="1"/>
      <c r="D786" s="1"/>
      <c r="E786" s="1"/>
      <c r="F786" s="1"/>
      <c r="G786" s="1"/>
      <c r="H786" s="3">
        <f t="shared" si="48"/>
        <v>0</v>
      </c>
      <c r="I786" s="6">
        <f t="shared" si="49"/>
        <v>0</v>
      </c>
      <c r="J786" s="1" t="b">
        <f t="shared" si="50"/>
        <v>0</v>
      </c>
      <c r="K786" s="1" t="b">
        <f>(Requirements!K803="Normative")</f>
        <v>1</v>
      </c>
      <c r="L786" s="1" t="b">
        <f>(Requirements!L803&lt;&gt;"Non-testable")</f>
        <v>0</v>
      </c>
      <c r="M786" s="1" t="b">
        <f>(VLOOKUP(Requirements!I803,Scope[[Role]:[Description]],2,FALSE)="In")</f>
        <v>1</v>
      </c>
      <c r="N786" s="1">
        <f t="shared" si="51"/>
        <v>0</v>
      </c>
    </row>
    <row r="787" spans="1:14">
      <c r="A787" s="1" t="str">
        <f>Requirements!A804</f>
        <v>MS-WSP_R782</v>
      </c>
      <c r="B787" s="1"/>
      <c r="C787" s="1"/>
      <c r="D787" s="1"/>
      <c r="E787" s="1"/>
      <c r="F787" s="1"/>
      <c r="G787" s="1"/>
      <c r="H787" s="3">
        <f t="shared" si="48"/>
        <v>0</v>
      </c>
      <c r="I787" s="6">
        <f t="shared" si="49"/>
        <v>0</v>
      </c>
      <c r="J787" s="1" t="b">
        <f t="shared" si="50"/>
        <v>0</v>
      </c>
      <c r="K787" s="1" t="b">
        <f>(Requirements!K804="Normative")</f>
        <v>0</v>
      </c>
      <c r="L787" s="1" t="b">
        <f>(Requirements!L804&lt;&gt;"Non-testable")</f>
        <v>1</v>
      </c>
      <c r="M787" s="1" t="b">
        <f>(VLOOKUP(Requirements!I804,Scope[[Role]:[Description]],2,FALSE)="In")</f>
        <v>1</v>
      </c>
      <c r="N787" s="1">
        <f t="shared" si="51"/>
        <v>0</v>
      </c>
    </row>
    <row r="788" spans="1:14">
      <c r="A788" s="1" t="str">
        <f>Requirements!A805</f>
        <v>MS-WSP_R783</v>
      </c>
      <c r="B788" s="1"/>
      <c r="C788" s="1"/>
      <c r="D788" s="1"/>
      <c r="E788" s="1"/>
      <c r="F788" s="1"/>
      <c r="G788" s="1"/>
      <c r="H788" s="3">
        <f t="shared" si="48"/>
        <v>0</v>
      </c>
      <c r="I788" s="6">
        <f t="shared" si="49"/>
        <v>0</v>
      </c>
      <c r="J788" s="1" t="b">
        <f t="shared" si="50"/>
        <v>0</v>
      </c>
      <c r="K788" s="1" t="b">
        <f>(Requirements!K805="Normative")</f>
        <v>1</v>
      </c>
      <c r="L788" s="1" t="b">
        <f>(Requirements!L805&lt;&gt;"Non-testable")</f>
        <v>0</v>
      </c>
      <c r="M788" s="1" t="b">
        <f>(VLOOKUP(Requirements!I805,Scope[[Role]:[Description]],2,FALSE)="In")</f>
        <v>1</v>
      </c>
      <c r="N788" s="1">
        <f t="shared" si="51"/>
        <v>0</v>
      </c>
    </row>
    <row r="789" spans="1:14">
      <c r="A789" s="1" t="str">
        <f>Requirements!A806</f>
        <v>MS-WSP_R784</v>
      </c>
      <c r="B789" s="1"/>
      <c r="C789" s="1"/>
      <c r="D789" s="1"/>
      <c r="E789" s="1"/>
      <c r="F789" s="1"/>
      <c r="G789" s="1"/>
      <c r="H789" s="3">
        <f t="shared" si="48"/>
        <v>0</v>
      </c>
      <c r="I789" s="6">
        <f t="shared" si="49"/>
        <v>0</v>
      </c>
      <c r="J789" s="1" t="b">
        <f t="shared" si="50"/>
        <v>0</v>
      </c>
      <c r="K789" s="1" t="b">
        <f>(Requirements!K806="Normative")</f>
        <v>1</v>
      </c>
      <c r="L789" s="1" t="b">
        <f>(Requirements!L806&lt;&gt;"Non-testable")</f>
        <v>0</v>
      </c>
      <c r="M789" s="1" t="b">
        <f>(VLOOKUP(Requirements!I806,Scope[[Role]:[Description]],2,FALSE)="In")</f>
        <v>1</v>
      </c>
      <c r="N789" s="1">
        <f t="shared" si="51"/>
        <v>0</v>
      </c>
    </row>
    <row r="790" spans="1:14">
      <c r="A790" s="1" t="str">
        <f>Requirements!A807</f>
        <v>MS-WSP_R785</v>
      </c>
      <c r="B790" s="1"/>
      <c r="C790" s="1"/>
      <c r="D790" s="1"/>
      <c r="E790" s="1"/>
      <c r="F790" s="1"/>
      <c r="G790" s="1"/>
      <c r="H790" s="3">
        <f t="shared" si="48"/>
        <v>0</v>
      </c>
      <c r="I790" s="6">
        <f t="shared" si="49"/>
        <v>0</v>
      </c>
      <c r="J790" s="1" t="b">
        <f t="shared" si="50"/>
        <v>0</v>
      </c>
      <c r="K790" s="1" t="b">
        <f>(Requirements!K807="Normative")</f>
        <v>1</v>
      </c>
      <c r="L790" s="1" t="b">
        <f>(Requirements!L807&lt;&gt;"Non-testable")</f>
        <v>0</v>
      </c>
      <c r="M790" s="1" t="b">
        <f>(VLOOKUP(Requirements!I807,Scope[[Role]:[Description]],2,FALSE)="In")</f>
        <v>1</v>
      </c>
      <c r="N790" s="1">
        <f t="shared" si="51"/>
        <v>0</v>
      </c>
    </row>
    <row r="791" spans="1:14">
      <c r="A791" s="1" t="str">
        <f>Requirements!A808</f>
        <v>MS-WSP_R786</v>
      </c>
      <c r="B791" s="1"/>
      <c r="C791" s="1"/>
      <c r="D791" s="1"/>
      <c r="E791" s="1"/>
      <c r="F791" s="1"/>
      <c r="G791" s="1"/>
      <c r="H791" s="3">
        <f t="shared" si="48"/>
        <v>0</v>
      </c>
      <c r="I791" s="6">
        <f t="shared" si="49"/>
        <v>0</v>
      </c>
      <c r="J791" s="1" t="b">
        <f t="shared" si="50"/>
        <v>0</v>
      </c>
      <c r="K791" s="1" t="b">
        <f>(Requirements!K808="Normative")</f>
        <v>1</v>
      </c>
      <c r="L791" s="1" t="b">
        <f>(Requirements!L808&lt;&gt;"Non-testable")</f>
        <v>0</v>
      </c>
      <c r="M791" s="1" t="b">
        <f>(VLOOKUP(Requirements!I808,Scope[[Role]:[Description]],2,FALSE)="In")</f>
        <v>1</v>
      </c>
      <c r="N791" s="1">
        <f t="shared" si="51"/>
        <v>0</v>
      </c>
    </row>
    <row r="792" spans="1:14">
      <c r="A792" s="1" t="str">
        <f>Requirements!A809</f>
        <v>MS-WSP_R787</v>
      </c>
      <c r="B792" s="1"/>
      <c r="C792" s="1"/>
      <c r="D792" s="1"/>
      <c r="E792" s="1"/>
      <c r="F792" s="1"/>
      <c r="G792" s="1"/>
      <c r="H792" s="3">
        <f t="shared" si="48"/>
        <v>0</v>
      </c>
      <c r="I792" s="6">
        <f t="shared" si="49"/>
        <v>0</v>
      </c>
      <c r="J792" s="1" t="b">
        <f t="shared" si="50"/>
        <v>0</v>
      </c>
      <c r="K792" s="1" t="b">
        <f>(Requirements!K809="Normative")</f>
        <v>1</v>
      </c>
      <c r="L792" s="1" t="b">
        <f>(Requirements!L809&lt;&gt;"Non-testable")</f>
        <v>0</v>
      </c>
      <c r="M792" s="1" t="b">
        <f>(VLOOKUP(Requirements!I809,Scope[[Role]:[Description]],2,FALSE)="In")</f>
        <v>1</v>
      </c>
      <c r="N792" s="1">
        <f t="shared" si="51"/>
        <v>0</v>
      </c>
    </row>
    <row r="793" spans="1:14">
      <c r="A793" s="1" t="str">
        <f>Requirements!A810</f>
        <v>MS-WSP_R788</v>
      </c>
      <c r="B793" s="1"/>
      <c r="C793" s="1"/>
      <c r="D793" s="1"/>
      <c r="E793" s="1"/>
      <c r="F793" s="1"/>
      <c r="G793" s="1"/>
      <c r="H793" s="3">
        <f t="shared" si="48"/>
        <v>0</v>
      </c>
      <c r="I793" s="6">
        <f t="shared" si="49"/>
        <v>0</v>
      </c>
      <c r="J793" s="1" t="b">
        <f t="shared" si="50"/>
        <v>0</v>
      </c>
      <c r="K793" s="1" t="b">
        <f>(Requirements!K810="Normative")</f>
        <v>1</v>
      </c>
      <c r="L793" s="1" t="b">
        <f>(Requirements!L810&lt;&gt;"Non-testable")</f>
        <v>0</v>
      </c>
      <c r="M793" s="1" t="b">
        <f>(VLOOKUP(Requirements!I810,Scope[[Role]:[Description]],2,FALSE)="In")</f>
        <v>1</v>
      </c>
      <c r="N793" s="1">
        <f t="shared" si="51"/>
        <v>0</v>
      </c>
    </row>
    <row r="794" spans="1:14">
      <c r="A794" s="1" t="str">
        <f>Requirements!A811</f>
        <v>MS-WSP_R789</v>
      </c>
      <c r="B794" s="1"/>
      <c r="C794" s="1"/>
      <c r="D794" s="1"/>
      <c r="E794" s="1"/>
      <c r="F794" s="1"/>
      <c r="G794" s="1"/>
      <c r="H794" s="3">
        <f t="shared" si="48"/>
        <v>0</v>
      </c>
      <c r="I794" s="6">
        <f t="shared" si="49"/>
        <v>0</v>
      </c>
      <c r="J794" s="1" t="b">
        <f t="shared" si="50"/>
        <v>0</v>
      </c>
      <c r="K794" s="1" t="b">
        <f>(Requirements!K811="Normative")</f>
        <v>1</v>
      </c>
      <c r="L794" s="1" t="b">
        <f>(Requirements!L811&lt;&gt;"Non-testable")</f>
        <v>0</v>
      </c>
      <c r="M794" s="1" t="b">
        <f>(VLOOKUP(Requirements!I811,Scope[[Role]:[Description]],2,FALSE)="In")</f>
        <v>1</v>
      </c>
      <c r="N794" s="1">
        <f t="shared" si="51"/>
        <v>0</v>
      </c>
    </row>
    <row r="795" spans="1:14">
      <c r="A795" s="1" t="str">
        <f>Requirements!A812</f>
        <v>MS-WSP_R790</v>
      </c>
      <c r="B795" s="1"/>
      <c r="C795" s="1"/>
      <c r="D795" s="1"/>
      <c r="E795" s="1"/>
      <c r="F795" s="1"/>
      <c r="G795" s="1"/>
      <c r="H795" s="3">
        <f t="shared" si="48"/>
        <v>0</v>
      </c>
      <c r="I795" s="6">
        <f t="shared" si="49"/>
        <v>0</v>
      </c>
      <c r="J795" s="1" t="b">
        <f t="shared" si="50"/>
        <v>0</v>
      </c>
      <c r="K795" s="1" t="b">
        <f>(Requirements!K812="Normative")</f>
        <v>1</v>
      </c>
      <c r="L795" s="1" t="b">
        <f>(Requirements!L812&lt;&gt;"Non-testable")</f>
        <v>0</v>
      </c>
      <c r="M795" s="1" t="b">
        <f>(VLOOKUP(Requirements!I812,Scope[[Role]:[Description]],2,FALSE)="In")</f>
        <v>1</v>
      </c>
      <c r="N795" s="1">
        <f t="shared" si="51"/>
        <v>0</v>
      </c>
    </row>
    <row r="796" spans="1:14">
      <c r="A796" s="1" t="str">
        <f>Requirements!A813</f>
        <v>MS-WSP_R791</v>
      </c>
      <c r="B796" s="1">
        <v>1</v>
      </c>
      <c r="C796" s="1">
        <v>1</v>
      </c>
      <c r="D796" s="1"/>
      <c r="E796" s="1"/>
      <c r="F796" s="1"/>
      <c r="G796" s="1"/>
      <c r="H796" s="3">
        <f t="shared" si="48"/>
        <v>2</v>
      </c>
      <c r="I796" s="6">
        <f t="shared" si="49"/>
        <v>1</v>
      </c>
      <c r="J796" s="1" t="b">
        <f t="shared" si="50"/>
        <v>1</v>
      </c>
      <c r="K796" s="1" t="b">
        <f>(Requirements!K813="Normative")</f>
        <v>1</v>
      </c>
      <c r="L796" s="1" t="b">
        <f>(Requirements!L813&lt;&gt;"Non-testable")</f>
        <v>1</v>
      </c>
      <c r="M796" s="1" t="b">
        <f>(VLOOKUP(Requirements!I813,Scope[[Role]:[Description]],2,FALSE)="In")</f>
        <v>1</v>
      </c>
      <c r="N796" s="1">
        <f t="shared" si="51"/>
        <v>1</v>
      </c>
    </row>
    <row r="797" spans="1:14">
      <c r="A797" s="1" t="str">
        <f>Requirements!A814</f>
        <v>MS-WSP_R792</v>
      </c>
      <c r="B797" s="1">
        <v>1</v>
      </c>
      <c r="C797" s="1"/>
      <c r="D797" s="1"/>
      <c r="E797" s="1"/>
      <c r="F797" s="1"/>
      <c r="G797" s="1"/>
      <c r="H797" s="3">
        <f t="shared" si="48"/>
        <v>1</v>
      </c>
      <c r="I797" s="6">
        <f t="shared" si="49"/>
        <v>1</v>
      </c>
      <c r="J797" s="1" t="b">
        <f t="shared" si="50"/>
        <v>1</v>
      </c>
      <c r="K797" s="1" t="b">
        <f>(Requirements!K814="Normative")</f>
        <v>1</v>
      </c>
      <c r="L797" s="1" t="b">
        <f>(Requirements!L814&lt;&gt;"Non-testable")</f>
        <v>1</v>
      </c>
      <c r="M797" s="1" t="b">
        <f>(VLOOKUP(Requirements!I814,Scope[[Role]:[Description]],2,FALSE)="In")</f>
        <v>1</v>
      </c>
      <c r="N797" s="1">
        <f t="shared" si="51"/>
        <v>1</v>
      </c>
    </row>
    <row r="798" spans="1:14">
      <c r="A798" s="1" t="str">
        <f>Requirements!A815</f>
        <v>MS-WSP_R793</v>
      </c>
      <c r="B798" s="1">
        <v>1</v>
      </c>
      <c r="C798" s="1">
        <v>1</v>
      </c>
      <c r="D798" s="1"/>
      <c r="E798" s="1"/>
      <c r="F798" s="1"/>
      <c r="G798" s="1"/>
      <c r="H798" s="3">
        <f t="shared" si="48"/>
        <v>2</v>
      </c>
      <c r="I798" s="6">
        <f t="shared" si="49"/>
        <v>1</v>
      </c>
      <c r="J798" s="1" t="b">
        <f t="shared" si="50"/>
        <v>1</v>
      </c>
      <c r="K798" s="1" t="b">
        <f>(Requirements!K815="Normative")</f>
        <v>1</v>
      </c>
      <c r="L798" s="1" t="b">
        <f>(Requirements!L815&lt;&gt;"Non-testable")</f>
        <v>1</v>
      </c>
      <c r="M798" s="1" t="b">
        <f>(VLOOKUP(Requirements!I815,Scope[[Role]:[Description]],2,FALSE)="In")</f>
        <v>1</v>
      </c>
      <c r="N798" s="1">
        <f t="shared" si="51"/>
        <v>1</v>
      </c>
    </row>
    <row r="799" spans="1:14">
      <c r="A799" s="1" t="str">
        <f>Requirements!A816</f>
        <v>MS-WSP_R794</v>
      </c>
      <c r="B799" s="1"/>
      <c r="C799" s="1"/>
      <c r="D799" s="1"/>
      <c r="E799" s="1"/>
      <c r="F799" s="1"/>
      <c r="G799" s="1"/>
      <c r="H799" s="3">
        <f t="shared" si="48"/>
        <v>0</v>
      </c>
      <c r="I799" s="6">
        <f t="shared" si="49"/>
        <v>0</v>
      </c>
      <c r="J799" s="1" t="b">
        <f t="shared" si="50"/>
        <v>1</v>
      </c>
      <c r="K799" s="1" t="b">
        <f>(Requirements!K816="Normative")</f>
        <v>1</v>
      </c>
      <c r="L799" s="1" t="b">
        <f>(Requirements!L816&lt;&gt;"Non-testable")</f>
        <v>1</v>
      </c>
      <c r="M799" s="1" t="b">
        <f>(VLOOKUP(Requirements!I816,Scope[[Role]:[Description]],2,FALSE)="In")</f>
        <v>1</v>
      </c>
      <c r="N799" s="1">
        <f t="shared" si="51"/>
        <v>0</v>
      </c>
    </row>
    <row r="800" spans="1:14">
      <c r="A800" s="1" t="str">
        <f>Requirements!A817</f>
        <v>MS-WSP_R795</v>
      </c>
      <c r="B800" s="1"/>
      <c r="C800" s="1"/>
      <c r="D800" s="1"/>
      <c r="E800" s="1"/>
      <c r="F800" s="1"/>
      <c r="G800" s="1"/>
      <c r="H800" s="3">
        <f t="shared" si="48"/>
        <v>0</v>
      </c>
      <c r="I800" s="6">
        <f t="shared" si="49"/>
        <v>0</v>
      </c>
      <c r="J800" s="1" t="b">
        <f t="shared" si="50"/>
        <v>0</v>
      </c>
      <c r="K800" s="1" t="b">
        <f>(Requirements!K817="Normative")</f>
        <v>1</v>
      </c>
      <c r="L800" s="1" t="b">
        <f>(Requirements!L817&lt;&gt;"Non-testable")</f>
        <v>0</v>
      </c>
      <c r="M800" s="1" t="b">
        <f>(VLOOKUP(Requirements!I817,Scope[[Role]:[Description]],2,FALSE)="In")</f>
        <v>1</v>
      </c>
      <c r="N800" s="1">
        <f t="shared" si="51"/>
        <v>0</v>
      </c>
    </row>
    <row r="801" spans="1:14">
      <c r="A801" s="1" t="str">
        <f>Requirements!A818</f>
        <v>MS-WSP_R796</v>
      </c>
      <c r="B801" s="1"/>
      <c r="C801" s="1"/>
      <c r="D801" s="1"/>
      <c r="E801" s="1"/>
      <c r="F801" s="1"/>
      <c r="G801" s="1"/>
      <c r="H801" s="3">
        <f t="shared" si="48"/>
        <v>0</v>
      </c>
      <c r="I801" s="6">
        <f t="shared" si="49"/>
        <v>0</v>
      </c>
      <c r="J801" s="1" t="b">
        <f t="shared" si="50"/>
        <v>0</v>
      </c>
      <c r="K801" s="1" t="b">
        <f>(Requirements!K818="Normative")</f>
        <v>1</v>
      </c>
      <c r="L801" s="1" t="b">
        <f>(Requirements!L818&lt;&gt;"Non-testable")</f>
        <v>0</v>
      </c>
      <c r="M801" s="1" t="b">
        <f>(VLOOKUP(Requirements!I818,Scope[[Role]:[Description]],2,FALSE)="In")</f>
        <v>1</v>
      </c>
      <c r="N801" s="1">
        <f t="shared" si="51"/>
        <v>0</v>
      </c>
    </row>
    <row r="802" spans="1:14">
      <c r="A802" s="1" t="str">
        <f>Requirements!A819</f>
        <v>MS-WSP_R797</v>
      </c>
      <c r="B802" s="1"/>
      <c r="C802" s="1"/>
      <c r="D802" s="1"/>
      <c r="E802" s="1"/>
      <c r="F802" s="1"/>
      <c r="G802" s="1"/>
      <c r="H802" s="3">
        <f t="shared" si="48"/>
        <v>0</v>
      </c>
      <c r="I802" s="6">
        <f t="shared" si="49"/>
        <v>0</v>
      </c>
      <c r="J802" s="1" t="b">
        <f t="shared" si="50"/>
        <v>1</v>
      </c>
      <c r="K802" s="1" t="b">
        <f>(Requirements!K819="Normative")</f>
        <v>1</v>
      </c>
      <c r="L802" s="1" t="b">
        <f>(Requirements!L819&lt;&gt;"Non-testable")</f>
        <v>1</v>
      </c>
      <c r="M802" s="1" t="b">
        <f>(VLOOKUP(Requirements!I819,Scope[[Role]:[Description]],2,FALSE)="In")</f>
        <v>1</v>
      </c>
      <c r="N802" s="1">
        <f t="shared" si="51"/>
        <v>0</v>
      </c>
    </row>
    <row r="803" spans="1:14">
      <c r="A803" s="1" t="str">
        <f>Requirements!A820</f>
        <v>MS-WSP_R798</v>
      </c>
      <c r="B803" s="1"/>
      <c r="C803" s="1"/>
      <c r="D803" s="1"/>
      <c r="E803" s="1"/>
      <c r="F803" s="1"/>
      <c r="G803" s="1"/>
      <c r="H803" s="3">
        <f t="shared" si="48"/>
        <v>0</v>
      </c>
      <c r="I803" s="6">
        <f t="shared" si="49"/>
        <v>0</v>
      </c>
      <c r="J803" s="1" t="b">
        <f t="shared" si="50"/>
        <v>0</v>
      </c>
      <c r="K803" s="1" t="b">
        <f>(Requirements!K820="Normative")</f>
        <v>1</v>
      </c>
      <c r="L803" s="1" t="b">
        <f>(Requirements!L820&lt;&gt;"Non-testable")</f>
        <v>0</v>
      </c>
      <c r="M803" s="1" t="b">
        <f>(VLOOKUP(Requirements!I820,Scope[[Role]:[Description]],2,FALSE)="In")</f>
        <v>1</v>
      </c>
      <c r="N803" s="1">
        <f t="shared" si="51"/>
        <v>0</v>
      </c>
    </row>
    <row r="804" spans="1:14">
      <c r="A804" s="1" t="str">
        <f>Requirements!A821</f>
        <v>MS-WSP_R799</v>
      </c>
      <c r="B804" s="1"/>
      <c r="C804" s="1"/>
      <c r="D804" s="1"/>
      <c r="E804" s="1"/>
      <c r="F804" s="1"/>
      <c r="G804" s="1"/>
      <c r="H804" s="3">
        <f t="shared" si="48"/>
        <v>0</v>
      </c>
      <c r="I804" s="6">
        <f t="shared" si="49"/>
        <v>0</v>
      </c>
      <c r="J804" s="1" t="b">
        <f t="shared" si="50"/>
        <v>0</v>
      </c>
      <c r="K804" s="1" t="b">
        <f>(Requirements!K821="Normative")</f>
        <v>1</v>
      </c>
      <c r="L804" s="1" t="b">
        <f>(Requirements!L821&lt;&gt;"Non-testable")</f>
        <v>0</v>
      </c>
      <c r="M804" s="1" t="b">
        <f>(VLOOKUP(Requirements!I821,Scope[[Role]:[Description]],2,FALSE)="In")</f>
        <v>1</v>
      </c>
      <c r="N804" s="1">
        <f t="shared" si="51"/>
        <v>0</v>
      </c>
    </row>
    <row r="805" spans="1:14">
      <c r="A805" s="1" t="str">
        <f>Requirements!A822</f>
        <v>MS-WSP_R800</v>
      </c>
      <c r="B805" s="1"/>
      <c r="C805" s="1"/>
      <c r="D805" s="1"/>
      <c r="E805" s="1"/>
      <c r="F805" s="1"/>
      <c r="G805" s="1"/>
      <c r="H805" s="3">
        <f t="shared" si="48"/>
        <v>0</v>
      </c>
      <c r="I805" s="6">
        <f t="shared" si="49"/>
        <v>0</v>
      </c>
      <c r="J805" s="1" t="b">
        <f t="shared" si="50"/>
        <v>0</v>
      </c>
      <c r="K805" s="1" t="b">
        <f>(Requirements!K822="Normative")</f>
        <v>1</v>
      </c>
      <c r="L805" s="1" t="b">
        <f>(Requirements!L822&lt;&gt;"Non-testable")</f>
        <v>0</v>
      </c>
      <c r="M805" s="1" t="b">
        <f>(VLOOKUP(Requirements!I822,Scope[[Role]:[Description]],2,FALSE)="In")</f>
        <v>1</v>
      </c>
      <c r="N805" s="1">
        <f t="shared" si="51"/>
        <v>0</v>
      </c>
    </row>
    <row r="806" spans="1:14">
      <c r="A806" s="1" t="str">
        <f>Requirements!A823</f>
        <v>MS-WSP_R801</v>
      </c>
      <c r="B806" s="1"/>
      <c r="C806" s="1"/>
      <c r="D806" s="1"/>
      <c r="E806" s="1"/>
      <c r="F806" s="1"/>
      <c r="G806" s="1"/>
      <c r="H806" s="3">
        <f t="shared" si="48"/>
        <v>0</v>
      </c>
      <c r="I806" s="6">
        <f t="shared" si="49"/>
        <v>0</v>
      </c>
      <c r="J806" s="1" t="b">
        <f t="shared" si="50"/>
        <v>0</v>
      </c>
      <c r="K806" s="1" t="b">
        <f>(Requirements!K823="Normative")</f>
        <v>1</v>
      </c>
      <c r="L806" s="1" t="b">
        <f>(Requirements!L823&lt;&gt;"Non-testable")</f>
        <v>0</v>
      </c>
      <c r="M806" s="1" t="b">
        <f>(VLOOKUP(Requirements!I823,Scope[[Role]:[Description]],2,FALSE)="In")</f>
        <v>1</v>
      </c>
      <c r="N806" s="1">
        <f t="shared" si="51"/>
        <v>0</v>
      </c>
    </row>
    <row r="807" spans="1:14">
      <c r="A807" s="1" t="str">
        <f>Requirements!A824</f>
        <v>MS-WSP_R802</v>
      </c>
      <c r="B807" s="1"/>
      <c r="C807" s="1"/>
      <c r="D807" s="1"/>
      <c r="E807" s="1"/>
      <c r="F807" s="1"/>
      <c r="G807" s="1"/>
      <c r="H807" s="3">
        <f t="shared" si="48"/>
        <v>0</v>
      </c>
      <c r="I807" s="6">
        <f t="shared" si="49"/>
        <v>0</v>
      </c>
      <c r="J807" s="1" t="b">
        <f t="shared" si="50"/>
        <v>0</v>
      </c>
      <c r="K807" s="1" t="b">
        <f>(Requirements!K824="Normative")</f>
        <v>1</v>
      </c>
      <c r="L807" s="1" t="b">
        <f>(Requirements!L824&lt;&gt;"Non-testable")</f>
        <v>1</v>
      </c>
      <c r="M807" s="1" t="b">
        <f>(VLOOKUP(Requirements!I824,Scope[[Role]:[Description]],2,FALSE)="In")</f>
        <v>0</v>
      </c>
      <c r="N807" s="1">
        <f t="shared" si="51"/>
        <v>0</v>
      </c>
    </row>
    <row r="808" spans="1:14">
      <c r="A808" s="1" t="str">
        <f>Requirements!A825</f>
        <v>MS-WSP_R803</v>
      </c>
      <c r="B808" s="1"/>
      <c r="C808" s="1"/>
      <c r="D808" s="1"/>
      <c r="E808" s="1"/>
      <c r="F808" s="1"/>
      <c r="G808" s="1"/>
      <c r="H808" s="3">
        <f t="shared" si="48"/>
        <v>0</v>
      </c>
      <c r="I808" s="6">
        <f t="shared" si="49"/>
        <v>0</v>
      </c>
      <c r="J808" s="1" t="b">
        <f t="shared" si="50"/>
        <v>0</v>
      </c>
      <c r="K808" s="1" t="b">
        <f>(Requirements!K825="Normative")</f>
        <v>1</v>
      </c>
      <c r="L808" s="1" t="b">
        <f>(Requirements!L825&lt;&gt;"Non-testable")</f>
        <v>1</v>
      </c>
      <c r="M808" s="1" t="b">
        <f>(VLOOKUP(Requirements!I825,Scope[[Role]:[Description]],2,FALSE)="In")</f>
        <v>0</v>
      </c>
      <c r="N808" s="1">
        <f t="shared" si="51"/>
        <v>0</v>
      </c>
    </row>
    <row r="809" spans="1:14">
      <c r="A809" s="1" t="str">
        <f>Requirements!A826</f>
        <v>MS-WSP_R804</v>
      </c>
      <c r="B809" s="1"/>
      <c r="C809" s="1"/>
      <c r="D809" s="1"/>
      <c r="E809" s="1"/>
      <c r="F809" s="1"/>
      <c r="G809" s="1"/>
      <c r="H809" s="3">
        <f t="shared" si="48"/>
        <v>0</v>
      </c>
      <c r="I809" s="6">
        <f t="shared" si="49"/>
        <v>0</v>
      </c>
      <c r="J809" s="1" t="b">
        <f t="shared" si="50"/>
        <v>0</v>
      </c>
      <c r="K809" s="1" t="b">
        <f>(Requirements!K826="Normative")</f>
        <v>0</v>
      </c>
      <c r="L809" s="1" t="b">
        <f>(Requirements!L826&lt;&gt;"Non-testable")</f>
        <v>1</v>
      </c>
      <c r="M809" s="1" t="b">
        <f>(VLOOKUP(Requirements!I826,Scope[[Role]:[Description]],2,FALSE)="In")</f>
        <v>0</v>
      </c>
      <c r="N809" s="1">
        <f t="shared" si="51"/>
        <v>0</v>
      </c>
    </row>
    <row r="810" spans="1:14">
      <c r="A810" s="1" t="str">
        <f>Requirements!A827</f>
        <v>MS-WSP_R805</v>
      </c>
      <c r="B810" s="1"/>
      <c r="C810" s="1"/>
      <c r="D810" s="1"/>
      <c r="E810" s="1"/>
      <c r="F810" s="1"/>
      <c r="G810" s="1"/>
      <c r="H810" s="3">
        <f t="shared" si="48"/>
        <v>0</v>
      </c>
      <c r="I810" s="6">
        <f t="shared" si="49"/>
        <v>0</v>
      </c>
      <c r="J810" s="1" t="b">
        <f t="shared" si="50"/>
        <v>0</v>
      </c>
      <c r="K810" s="1" t="b">
        <f>(Requirements!K827="Normative")</f>
        <v>1</v>
      </c>
      <c r="L810" s="1" t="b">
        <f>(Requirements!L827&lt;&gt;"Non-testable")</f>
        <v>1</v>
      </c>
      <c r="M810" s="1" t="b">
        <f>(VLOOKUP(Requirements!I827,Scope[[Role]:[Description]],2,FALSE)="In")</f>
        <v>0</v>
      </c>
      <c r="N810" s="1">
        <f t="shared" si="51"/>
        <v>0</v>
      </c>
    </row>
    <row r="811" spans="1:14">
      <c r="A811" s="1" t="str">
        <f>Requirements!A828</f>
        <v>MS-WSP_R806</v>
      </c>
      <c r="B811" s="1"/>
      <c r="C811" s="1"/>
      <c r="D811" s="1"/>
      <c r="E811" s="1"/>
      <c r="F811" s="1"/>
      <c r="G811" s="1"/>
      <c r="H811" s="3">
        <f t="shared" si="48"/>
        <v>0</v>
      </c>
      <c r="I811" s="6">
        <f t="shared" si="49"/>
        <v>0</v>
      </c>
      <c r="J811" s="1" t="b">
        <f t="shared" si="50"/>
        <v>0</v>
      </c>
      <c r="K811" s="1" t="b">
        <f>(Requirements!K828="Normative")</f>
        <v>1</v>
      </c>
      <c r="L811" s="1" t="b">
        <f>(Requirements!L828&lt;&gt;"Non-testable")</f>
        <v>1</v>
      </c>
      <c r="M811" s="1" t="b">
        <f>(VLOOKUP(Requirements!I828,Scope[[Role]:[Description]],2,FALSE)="In")</f>
        <v>0</v>
      </c>
      <c r="N811" s="1">
        <f t="shared" si="51"/>
        <v>0</v>
      </c>
    </row>
    <row r="812" spans="1:14">
      <c r="A812" s="1" t="str">
        <f>Requirements!A829</f>
        <v>MS-WSP_R807</v>
      </c>
      <c r="B812" s="1"/>
      <c r="C812" s="1"/>
      <c r="D812" s="1"/>
      <c r="E812" s="1"/>
      <c r="F812" s="1"/>
      <c r="G812" s="1"/>
      <c r="H812" s="3">
        <f t="shared" si="48"/>
        <v>0</v>
      </c>
      <c r="I812" s="6">
        <f t="shared" si="49"/>
        <v>0</v>
      </c>
      <c r="J812" s="1" t="b">
        <f t="shared" si="50"/>
        <v>0</v>
      </c>
      <c r="K812" s="1" t="b">
        <f>(Requirements!K829="Normative")</f>
        <v>1</v>
      </c>
      <c r="L812" s="1" t="b">
        <f>(Requirements!L829&lt;&gt;"Non-testable")</f>
        <v>1</v>
      </c>
      <c r="M812" s="1" t="b">
        <f>(VLOOKUP(Requirements!I829,Scope[[Role]:[Description]],2,FALSE)="In")</f>
        <v>0</v>
      </c>
      <c r="N812" s="1">
        <f t="shared" si="51"/>
        <v>0</v>
      </c>
    </row>
    <row r="813" spans="1:14">
      <c r="A813" s="1" t="str">
        <f>Requirements!A830</f>
        <v>MS-WSP_R808</v>
      </c>
      <c r="B813" s="1"/>
      <c r="C813" s="1"/>
      <c r="D813" s="1"/>
      <c r="E813" s="1"/>
      <c r="F813" s="1"/>
      <c r="G813" s="1"/>
      <c r="H813" s="3">
        <f t="shared" si="48"/>
        <v>0</v>
      </c>
      <c r="I813" s="6">
        <f t="shared" si="49"/>
        <v>0</v>
      </c>
      <c r="J813" s="1" t="b">
        <f t="shared" si="50"/>
        <v>0</v>
      </c>
      <c r="K813" s="1" t="b">
        <f>(Requirements!K830="Normative")</f>
        <v>0</v>
      </c>
      <c r="L813" s="1" t="b">
        <f>(Requirements!L830&lt;&gt;"Non-testable")</f>
        <v>1</v>
      </c>
      <c r="M813" s="1" t="b">
        <f>(VLOOKUP(Requirements!I830,Scope[[Role]:[Description]],2,FALSE)="In")</f>
        <v>0</v>
      </c>
      <c r="N813" s="1">
        <f t="shared" si="51"/>
        <v>0</v>
      </c>
    </row>
    <row r="814" spans="1:14">
      <c r="A814" s="1" t="str">
        <f>Requirements!A831</f>
        <v>MS-WSP_R809</v>
      </c>
      <c r="B814" s="1"/>
      <c r="C814" s="1"/>
      <c r="D814" s="1"/>
      <c r="E814" s="1"/>
      <c r="F814" s="1"/>
      <c r="G814" s="1"/>
      <c r="H814" s="3">
        <f t="shared" si="48"/>
        <v>0</v>
      </c>
      <c r="I814" s="6">
        <f t="shared" si="49"/>
        <v>0</v>
      </c>
      <c r="J814" s="1" t="b">
        <f t="shared" si="50"/>
        <v>0</v>
      </c>
      <c r="K814" s="1" t="b">
        <f>(Requirements!K831="Normative")</f>
        <v>0</v>
      </c>
      <c r="L814" s="1" t="b">
        <f>(Requirements!L831&lt;&gt;"Non-testable")</f>
        <v>1</v>
      </c>
      <c r="M814" s="1" t="b">
        <f>(VLOOKUP(Requirements!I831,Scope[[Role]:[Description]],2,FALSE)="In")</f>
        <v>0</v>
      </c>
      <c r="N814" s="1">
        <f t="shared" si="51"/>
        <v>0</v>
      </c>
    </row>
    <row r="815" spans="1:14">
      <c r="A815" s="1" t="str">
        <f>Requirements!A832</f>
        <v>MS-WSP_R810</v>
      </c>
      <c r="B815" s="1"/>
      <c r="C815" s="1"/>
      <c r="D815" s="1"/>
      <c r="E815" s="1"/>
      <c r="F815" s="1"/>
      <c r="G815" s="1"/>
      <c r="H815" s="3">
        <f t="shared" si="48"/>
        <v>0</v>
      </c>
      <c r="I815" s="6">
        <f t="shared" si="49"/>
        <v>0</v>
      </c>
      <c r="J815" s="1" t="b">
        <f t="shared" si="50"/>
        <v>0</v>
      </c>
      <c r="K815" s="1" t="b">
        <f>(Requirements!K832="Normative")</f>
        <v>0</v>
      </c>
      <c r="L815" s="1" t="b">
        <f>(Requirements!L832&lt;&gt;"Non-testable")</f>
        <v>1</v>
      </c>
      <c r="M815" s="1" t="b">
        <f>(VLOOKUP(Requirements!I832,Scope[[Role]:[Description]],2,FALSE)="In")</f>
        <v>0</v>
      </c>
      <c r="N815" s="1">
        <f t="shared" si="51"/>
        <v>0</v>
      </c>
    </row>
    <row r="816" spans="1:14">
      <c r="A816" s="1" t="str">
        <f>Requirements!A833</f>
        <v>MS-WSP_R811</v>
      </c>
      <c r="B816" s="1"/>
      <c r="C816" s="1"/>
      <c r="D816" s="1"/>
      <c r="E816" s="1"/>
      <c r="F816" s="1"/>
      <c r="G816" s="1"/>
      <c r="H816" s="3">
        <f t="shared" si="48"/>
        <v>0</v>
      </c>
      <c r="I816" s="6">
        <f t="shared" si="49"/>
        <v>0</v>
      </c>
      <c r="J816" s="1" t="b">
        <f t="shared" si="50"/>
        <v>0</v>
      </c>
      <c r="K816" s="1" t="b">
        <f>(Requirements!K833="Normative")</f>
        <v>1</v>
      </c>
      <c r="L816" s="1" t="b">
        <f>(Requirements!L833&lt;&gt;"Non-testable")</f>
        <v>1</v>
      </c>
      <c r="M816" s="1" t="b">
        <f>(VLOOKUP(Requirements!I833,Scope[[Role]:[Description]],2,FALSE)="In")</f>
        <v>0</v>
      </c>
      <c r="N816" s="1">
        <f t="shared" si="51"/>
        <v>0</v>
      </c>
    </row>
    <row r="817" spans="1:14">
      <c r="A817" s="1" t="str">
        <f>Requirements!A834</f>
        <v>MS-WSP_R812</v>
      </c>
      <c r="B817" s="1"/>
      <c r="C817" s="1"/>
      <c r="D817" s="1"/>
      <c r="E817" s="1"/>
      <c r="F817" s="1"/>
      <c r="G817" s="1"/>
      <c r="H817" s="3">
        <f t="shared" si="48"/>
        <v>0</v>
      </c>
      <c r="I817" s="6">
        <f t="shared" si="49"/>
        <v>0</v>
      </c>
      <c r="J817" s="1" t="b">
        <f t="shared" si="50"/>
        <v>0</v>
      </c>
      <c r="K817" s="1" t="b">
        <f>(Requirements!K834="Normative")</f>
        <v>1</v>
      </c>
      <c r="L817" s="1" t="b">
        <f>(Requirements!L834&lt;&gt;"Non-testable")</f>
        <v>1</v>
      </c>
      <c r="M817" s="1" t="b">
        <f>(VLOOKUP(Requirements!I834,Scope[[Role]:[Description]],2,FALSE)="In")</f>
        <v>0</v>
      </c>
      <c r="N817" s="1">
        <f t="shared" si="51"/>
        <v>0</v>
      </c>
    </row>
    <row r="818" spans="1:14">
      <c r="A818" s="1" t="str">
        <f>Requirements!A835</f>
        <v>MS-WSP_R813</v>
      </c>
      <c r="B818" s="1"/>
      <c r="C818" s="1"/>
      <c r="D818" s="1"/>
      <c r="E818" s="1"/>
      <c r="F818" s="1"/>
      <c r="G818" s="1"/>
      <c r="H818" s="3">
        <f t="shared" si="48"/>
        <v>0</v>
      </c>
      <c r="I818" s="6">
        <f t="shared" si="49"/>
        <v>0</v>
      </c>
      <c r="J818" s="1" t="b">
        <f t="shared" si="50"/>
        <v>0</v>
      </c>
      <c r="K818" s="1" t="b">
        <f>(Requirements!K835="Normative")</f>
        <v>1</v>
      </c>
      <c r="L818" s="1" t="b">
        <f>(Requirements!L835&lt;&gt;"Non-testable")</f>
        <v>1</v>
      </c>
      <c r="M818" s="1" t="b">
        <f>(VLOOKUP(Requirements!I835,Scope[[Role]:[Description]],2,FALSE)="In")</f>
        <v>0</v>
      </c>
      <c r="N818" s="1">
        <f t="shared" si="51"/>
        <v>0</v>
      </c>
    </row>
    <row r="819" spans="1:14">
      <c r="A819" s="1" t="str">
        <f>Requirements!A836</f>
        <v>MS-WSP_R814</v>
      </c>
      <c r="B819" s="1"/>
      <c r="C819" s="1"/>
      <c r="D819" s="1"/>
      <c r="E819" s="1"/>
      <c r="F819" s="1"/>
      <c r="G819" s="1"/>
      <c r="H819" s="3">
        <f t="shared" si="48"/>
        <v>0</v>
      </c>
      <c r="I819" s="6">
        <f t="shared" si="49"/>
        <v>0</v>
      </c>
      <c r="J819" s="1" t="b">
        <f t="shared" si="50"/>
        <v>0</v>
      </c>
      <c r="K819" s="1" t="b">
        <f>(Requirements!K836="Normative")</f>
        <v>1</v>
      </c>
      <c r="L819" s="1" t="b">
        <f>(Requirements!L836&lt;&gt;"Non-testable")</f>
        <v>1</v>
      </c>
      <c r="M819" s="1" t="b">
        <f>(VLOOKUP(Requirements!I836,Scope[[Role]:[Description]],2,FALSE)="In")</f>
        <v>0</v>
      </c>
      <c r="N819" s="1">
        <f t="shared" si="51"/>
        <v>0</v>
      </c>
    </row>
    <row r="820" spans="1:14">
      <c r="A820" s="1" t="str">
        <f>Requirements!A837</f>
        <v>MS-WSP_R815</v>
      </c>
      <c r="B820" s="1"/>
      <c r="C820" s="1"/>
      <c r="D820" s="1"/>
      <c r="E820" s="1"/>
      <c r="F820" s="1"/>
      <c r="G820" s="1"/>
      <c r="H820" s="3">
        <f t="shared" si="48"/>
        <v>0</v>
      </c>
      <c r="I820" s="6">
        <f t="shared" si="49"/>
        <v>0</v>
      </c>
      <c r="J820" s="1" t="b">
        <f t="shared" si="50"/>
        <v>0</v>
      </c>
      <c r="K820" s="1" t="b">
        <f>(Requirements!K837="Normative")</f>
        <v>1</v>
      </c>
      <c r="L820" s="1" t="b">
        <f>(Requirements!L837&lt;&gt;"Non-testable")</f>
        <v>1</v>
      </c>
      <c r="M820" s="1" t="b">
        <f>(VLOOKUP(Requirements!I837,Scope[[Role]:[Description]],2,FALSE)="In")</f>
        <v>0</v>
      </c>
      <c r="N820" s="1">
        <f t="shared" si="51"/>
        <v>0</v>
      </c>
    </row>
    <row r="821" spans="1:14">
      <c r="A821" s="1" t="str">
        <f>Requirements!A838</f>
        <v>MS-WSP_R816</v>
      </c>
      <c r="B821" s="1"/>
      <c r="C821" s="1"/>
      <c r="D821" s="1"/>
      <c r="E821" s="1"/>
      <c r="F821" s="1"/>
      <c r="G821" s="1"/>
      <c r="H821" s="3">
        <f t="shared" si="48"/>
        <v>0</v>
      </c>
      <c r="I821" s="6">
        <f t="shared" si="49"/>
        <v>0</v>
      </c>
      <c r="J821" s="1" t="b">
        <f t="shared" si="50"/>
        <v>0</v>
      </c>
      <c r="K821" s="1" t="b">
        <f>(Requirements!K838="Normative")</f>
        <v>1</v>
      </c>
      <c r="L821" s="1" t="b">
        <f>(Requirements!L838&lt;&gt;"Non-testable")</f>
        <v>1</v>
      </c>
      <c r="M821" s="1" t="b">
        <f>(VLOOKUP(Requirements!I838,Scope[[Role]:[Description]],2,FALSE)="In")</f>
        <v>0</v>
      </c>
      <c r="N821" s="1">
        <f t="shared" si="51"/>
        <v>0</v>
      </c>
    </row>
    <row r="822" spans="1:14">
      <c r="A822" s="1" t="str">
        <f>Requirements!A839</f>
        <v>MS-WSP_R817</v>
      </c>
      <c r="B822" s="1"/>
      <c r="C822" s="1"/>
      <c r="D822" s="1"/>
      <c r="E822" s="1"/>
      <c r="F822" s="1"/>
      <c r="G822" s="1"/>
      <c r="H822" s="3">
        <f t="shared" si="48"/>
        <v>0</v>
      </c>
      <c r="I822" s="6">
        <f t="shared" si="49"/>
        <v>0</v>
      </c>
      <c r="J822" s="1" t="b">
        <f t="shared" si="50"/>
        <v>0</v>
      </c>
      <c r="K822" s="1" t="b">
        <f>(Requirements!K839="Normative")</f>
        <v>1</v>
      </c>
      <c r="L822" s="1" t="b">
        <f>(Requirements!L839&lt;&gt;"Non-testable")</f>
        <v>1</v>
      </c>
      <c r="M822" s="1" t="b">
        <f>(VLOOKUP(Requirements!I839,Scope[[Role]:[Description]],2,FALSE)="In")</f>
        <v>0</v>
      </c>
      <c r="N822" s="1">
        <f t="shared" si="51"/>
        <v>0</v>
      </c>
    </row>
    <row r="823" spans="1:14">
      <c r="A823" s="1" t="str">
        <f>Requirements!A840</f>
        <v>MS-WSP_R818</v>
      </c>
      <c r="B823" s="1"/>
      <c r="C823" s="1"/>
      <c r="D823" s="1"/>
      <c r="E823" s="1"/>
      <c r="F823" s="1"/>
      <c r="G823" s="1"/>
      <c r="H823" s="3">
        <f t="shared" si="48"/>
        <v>0</v>
      </c>
      <c r="I823" s="6">
        <f t="shared" si="49"/>
        <v>0</v>
      </c>
      <c r="J823" s="1" t="b">
        <f t="shared" si="50"/>
        <v>0</v>
      </c>
      <c r="K823" s="1" t="b">
        <f>(Requirements!K840="Normative")</f>
        <v>1</v>
      </c>
      <c r="L823" s="1" t="b">
        <f>(Requirements!L840&lt;&gt;"Non-testable")</f>
        <v>1</v>
      </c>
      <c r="M823" s="1" t="b">
        <f>(VLOOKUP(Requirements!I840,Scope[[Role]:[Description]],2,FALSE)="In")</f>
        <v>0</v>
      </c>
      <c r="N823" s="1">
        <f t="shared" si="51"/>
        <v>0</v>
      </c>
    </row>
    <row r="824" spans="1:14">
      <c r="A824" s="1" t="str">
        <f>Requirements!A841</f>
        <v>MS-WSP_R819</v>
      </c>
      <c r="B824" s="1"/>
      <c r="C824" s="1"/>
      <c r="D824" s="1"/>
      <c r="E824" s="1"/>
      <c r="F824" s="1"/>
      <c r="G824" s="1"/>
      <c r="H824" s="3">
        <f t="shared" si="48"/>
        <v>0</v>
      </c>
      <c r="I824" s="6">
        <f t="shared" si="49"/>
        <v>0</v>
      </c>
      <c r="J824" s="1" t="b">
        <f t="shared" si="50"/>
        <v>0</v>
      </c>
      <c r="K824" s="1" t="b">
        <f>(Requirements!K841="Normative")</f>
        <v>0</v>
      </c>
      <c r="L824" s="1" t="b">
        <f>(Requirements!L841&lt;&gt;"Non-testable")</f>
        <v>1</v>
      </c>
      <c r="M824" s="1" t="b">
        <f>(VLOOKUP(Requirements!I841,Scope[[Role]:[Description]],2,FALSE)="In")</f>
        <v>0</v>
      </c>
      <c r="N824" s="1">
        <f t="shared" si="51"/>
        <v>0</v>
      </c>
    </row>
    <row r="825" spans="1:14">
      <c r="A825" s="1" t="str">
        <f>Requirements!A842</f>
        <v>MS-WSP_R820</v>
      </c>
      <c r="B825" s="1"/>
      <c r="C825" s="1"/>
      <c r="D825" s="1"/>
      <c r="E825" s="1"/>
      <c r="F825" s="1"/>
      <c r="G825" s="1"/>
      <c r="H825" s="3">
        <f t="shared" si="48"/>
        <v>0</v>
      </c>
      <c r="I825" s="6">
        <f t="shared" si="49"/>
        <v>0</v>
      </c>
      <c r="J825" s="1" t="b">
        <f t="shared" si="50"/>
        <v>0</v>
      </c>
      <c r="K825" s="1" t="b">
        <f>(Requirements!K842="Normative")</f>
        <v>1</v>
      </c>
      <c r="L825" s="1" t="b">
        <f>(Requirements!L842&lt;&gt;"Non-testable")</f>
        <v>1</v>
      </c>
      <c r="M825" s="1" t="b">
        <f>(VLOOKUP(Requirements!I842,Scope[[Role]:[Description]],2,FALSE)="In")</f>
        <v>0</v>
      </c>
      <c r="N825" s="1">
        <f t="shared" si="51"/>
        <v>0</v>
      </c>
    </row>
    <row r="826" spans="1:14">
      <c r="A826" s="1" t="str">
        <f>Requirements!A843</f>
        <v>MS-WSP_R821</v>
      </c>
      <c r="B826" s="1"/>
      <c r="C826" s="1"/>
      <c r="D826" s="1"/>
      <c r="E826" s="1"/>
      <c r="F826" s="1"/>
      <c r="G826" s="1"/>
      <c r="H826" s="3">
        <f t="shared" si="48"/>
        <v>0</v>
      </c>
      <c r="I826" s="6">
        <f t="shared" si="49"/>
        <v>0</v>
      </c>
      <c r="J826" s="1" t="b">
        <f t="shared" si="50"/>
        <v>0</v>
      </c>
      <c r="K826" s="1" t="b">
        <f>(Requirements!K843="Normative")</f>
        <v>1</v>
      </c>
      <c r="L826" s="1" t="b">
        <f>(Requirements!L843&lt;&gt;"Non-testable")</f>
        <v>1</v>
      </c>
      <c r="M826" s="1" t="b">
        <f>(VLOOKUP(Requirements!I843,Scope[[Role]:[Description]],2,FALSE)="In")</f>
        <v>0</v>
      </c>
      <c r="N826" s="1">
        <f t="shared" si="51"/>
        <v>0</v>
      </c>
    </row>
    <row r="827" spans="1:14">
      <c r="A827" s="1" t="str">
        <f>Requirements!A844</f>
        <v>MS-WSP_R822</v>
      </c>
      <c r="B827" s="1"/>
      <c r="C827" s="1"/>
      <c r="D827" s="1"/>
      <c r="E827" s="1"/>
      <c r="F827" s="1"/>
      <c r="G827" s="1"/>
      <c r="H827" s="3">
        <f t="shared" si="48"/>
        <v>0</v>
      </c>
      <c r="I827" s="6">
        <f t="shared" si="49"/>
        <v>0</v>
      </c>
      <c r="J827" s="1" t="b">
        <f t="shared" si="50"/>
        <v>0</v>
      </c>
      <c r="K827" s="1" t="b">
        <f>(Requirements!K844="Normative")</f>
        <v>1</v>
      </c>
      <c r="L827" s="1" t="b">
        <f>(Requirements!L844&lt;&gt;"Non-testable")</f>
        <v>1</v>
      </c>
      <c r="M827" s="1" t="b">
        <f>(VLOOKUP(Requirements!I844,Scope[[Role]:[Description]],2,FALSE)="In")</f>
        <v>0</v>
      </c>
      <c r="N827" s="1">
        <f t="shared" si="51"/>
        <v>0</v>
      </c>
    </row>
    <row r="828" spans="1:14">
      <c r="A828" s="1" t="str">
        <f>Requirements!A845</f>
        <v>MS-WSP_R823</v>
      </c>
      <c r="B828" s="1"/>
      <c r="C828" s="1"/>
      <c r="D828" s="1"/>
      <c r="E828" s="1"/>
      <c r="F828" s="1"/>
      <c r="G828" s="1"/>
      <c r="H828" s="3">
        <f t="shared" si="48"/>
        <v>0</v>
      </c>
      <c r="I828" s="6">
        <f t="shared" si="49"/>
        <v>0</v>
      </c>
      <c r="J828" s="1" t="b">
        <f t="shared" si="50"/>
        <v>0</v>
      </c>
      <c r="K828" s="1" t="b">
        <f>(Requirements!K845="Normative")</f>
        <v>0</v>
      </c>
      <c r="L828" s="1" t="b">
        <f>(Requirements!L845&lt;&gt;"Non-testable")</f>
        <v>1</v>
      </c>
      <c r="M828" s="1" t="b">
        <f>(VLOOKUP(Requirements!I845,Scope[[Role]:[Description]],2,FALSE)="In")</f>
        <v>0</v>
      </c>
      <c r="N828" s="1">
        <f t="shared" si="51"/>
        <v>0</v>
      </c>
    </row>
    <row r="829" spans="1:14">
      <c r="A829" s="1" t="str">
        <f>Requirements!A846</f>
        <v>MS-WSP_R824</v>
      </c>
      <c r="B829" s="1"/>
      <c r="C829" s="1"/>
      <c r="D829" s="1"/>
      <c r="E829" s="1"/>
      <c r="F829" s="1"/>
      <c r="G829" s="1"/>
      <c r="H829" s="3">
        <f t="shared" si="48"/>
        <v>0</v>
      </c>
      <c r="I829" s="6">
        <f t="shared" si="49"/>
        <v>0</v>
      </c>
      <c r="J829" s="1" t="b">
        <f t="shared" si="50"/>
        <v>0</v>
      </c>
      <c r="K829" s="1" t="b">
        <f>(Requirements!K846="Normative")</f>
        <v>0</v>
      </c>
      <c r="L829" s="1" t="b">
        <f>(Requirements!L846&lt;&gt;"Non-testable")</f>
        <v>1</v>
      </c>
      <c r="M829" s="1" t="b">
        <f>(VLOOKUP(Requirements!I846,Scope[[Role]:[Description]],2,FALSE)="In")</f>
        <v>0</v>
      </c>
      <c r="N829" s="1">
        <f t="shared" si="51"/>
        <v>0</v>
      </c>
    </row>
    <row r="830" spans="1:14">
      <c r="A830" s="1" t="str">
        <f>Requirements!A847</f>
        <v>MS-WSP_R825</v>
      </c>
      <c r="B830" s="1"/>
      <c r="C830" s="1"/>
      <c r="D830" s="1"/>
      <c r="E830" s="1"/>
      <c r="F830" s="1"/>
      <c r="G830" s="1"/>
      <c r="H830" s="3">
        <f t="shared" si="48"/>
        <v>0</v>
      </c>
      <c r="I830" s="6">
        <f t="shared" si="49"/>
        <v>0</v>
      </c>
      <c r="J830" s="1" t="b">
        <f t="shared" si="50"/>
        <v>0</v>
      </c>
      <c r="K830" s="1" t="b">
        <f>(Requirements!K847="Normative")</f>
        <v>0</v>
      </c>
      <c r="L830" s="1" t="b">
        <f>(Requirements!L847&lt;&gt;"Non-testable")</f>
        <v>1</v>
      </c>
      <c r="M830" s="1" t="b">
        <f>(VLOOKUP(Requirements!I847,Scope[[Role]:[Description]],2,FALSE)="In")</f>
        <v>0</v>
      </c>
      <c r="N830" s="1">
        <f t="shared" si="51"/>
        <v>0</v>
      </c>
    </row>
    <row r="831" spans="1:14">
      <c r="A831" s="1" t="str">
        <f>Requirements!A848</f>
        <v>MS-WSP_R826</v>
      </c>
      <c r="B831" s="1"/>
      <c r="C831" s="1"/>
      <c r="D831" s="1"/>
      <c r="E831" s="1"/>
      <c r="F831" s="1"/>
      <c r="G831" s="1"/>
      <c r="H831" s="3">
        <f t="shared" si="48"/>
        <v>0</v>
      </c>
      <c r="I831" s="6">
        <f t="shared" si="49"/>
        <v>0</v>
      </c>
      <c r="J831" s="1" t="b">
        <f t="shared" si="50"/>
        <v>0</v>
      </c>
      <c r="K831" s="1" t="b">
        <f>(Requirements!K848="Normative")</f>
        <v>1</v>
      </c>
      <c r="L831" s="1" t="b">
        <f>(Requirements!L848&lt;&gt;"Non-testable")</f>
        <v>1</v>
      </c>
      <c r="M831" s="1" t="b">
        <f>(VLOOKUP(Requirements!I848,Scope[[Role]:[Description]],2,FALSE)="In")</f>
        <v>0</v>
      </c>
      <c r="N831" s="1">
        <f t="shared" si="51"/>
        <v>0</v>
      </c>
    </row>
    <row r="832" spans="1:14">
      <c r="A832" s="1" t="str">
        <f>Requirements!A849</f>
        <v>MS-WSP_R827</v>
      </c>
      <c r="B832" s="1"/>
      <c r="C832" s="1"/>
      <c r="D832" s="1"/>
      <c r="E832" s="1"/>
      <c r="F832" s="1"/>
      <c r="G832" s="1"/>
      <c r="H832" s="3">
        <f t="shared" si="48"/>
        <v>0</v>
      </c>
      <c r="I832" s="6">
        <f t="shared" si="49"/>
        <v>0</v>
      </c>
      <c r="J832" s="1" t="b">
        <f t="shared" si="50"/>
        <v>0</v>
      </c>
      <c r="K832" s="1" t="b">
        <f>(Requirements!K849="Normative")</f>
        <v>1</v>
      </c>
      <c r="L832" s="1" t="b">
        <f>(Requirements!L849&lt;&gt;"Non-testable")</f>
        <v>1</v>
      </c>
      <c r="M832" s="1" t="b">
        <f>(VLOOKUP(Requirements!I849,Scope[[Role]:[Description]],2,FALSE)="In")</f>
        <v>0</v>
      </c>
      <c r="N832" s="1">
        <f t="shared" si="51"/>
        <v>0</v>
      </c>
    </row>
    <row r="833" spans="1:14">
      <c r="A833" s="1" t="str">
        <f>Requirements!A850</f>
        <v>MS-WSP_R828</v>
      </c>
      <c r="B833" s="1"/>
      <c r="C833" s="1"/>
      <c r="D833" s="1"/>
      <c r="E833" s="1"/>
      <c r="F833" s="1"/>
      <c r="G833" s="1"/>
      <c r="H833" s="3">
        <f t="shared" si="48"/>
        <v>0</v>
      </c>
      <c r="I833" s="6">
        <f t="shared" si="49"/>
        <v>0</v>
      </c>
      <c r="J833" s="1" t="b">
        <f t="shared" si="50"/>
        <v>0</v>
      </c>
      <c r="K833" s="1" t="b">
        <f>(Requirements!K850="Normative")</f>
        <v>1</v>
      </c>
      <c r="L833" s="1" t="b">
        <f>(Requirements!L850&lt;&gt;"Non-testable")</f>
        <v>1</v>
      </c>
      <c r="M833" s="1" t="b">
        <f>(VLOOKUP(Requirements!I850,Scope[[Role]:[Description]],2,FALSE)="In")</f>
        <v>0</v>
      </c>
      <c r="N833" s="1">
        <f t="shared" si="51"/>
        <v>0</v>
      </c>
    </row>
    <row r="834" spans="1:14">
      <c r="A834" s="1" t="str">
        <f>Requirements!A851</f>
        <v>MS-WSP_R829</v>
      </c>
      <c r="B834" s="1"/>
      <c r="C834" s="1"/>
      <c r="D834" s="1"/>
      <c r="E834" s="1"/>
      <c r="F834" s="1"/>
      <c r="G834" s="1"/>
      <c r="H834" s="3">
        <f t="shared" si="48"/>
        <v>0</v>
      </c>
      <c r="I834" s="6">
        <f t="shared" si="49"/>
        <v>0</v>
      </c>
      <c r="J834" s="1" t="b">
        <f t="shared" si="50"/>
        <v>0</v>
      </c>
      <c r="K834" s="1" t="b">
        <f>(Requirements!K851="Normative")</f>
        <v>1</v>
      </c>
      <c r="L834" s="1" t="b">
        <f>(Requirements!L851&lt;&gt;"Non-testable")</f>
        <v>1</v>
      </c>
      <c r="M834" s="1" t="b">
        <f>(VLOOKUP(Requirements!I851,Scope[[Role]:[Description]],2,FALSE)="In")</f>
        <v>0</v>
      </c>
      <c r="N834" s="1">
        <f t="shared" si="51"/>
        <v>0</v>
      </c>
    </row>
    <row r="835" spans="1:14">
      <c r="A835" s="1" t="str">
        <f>Requirements!A852</f>
        <v>MS-WSP_R830</v>
      </c>
      <c r="B835" s="1"/>
      <c r="C835" s="1"/>
      <c r="D835" s="1"/>
      <c r="E835" s="1"/>
      <c r="F835" s="1"/>
      <c r="G835" s="1"/>
      <c r="H835" s="3">
        <f t="shared" si="48"/>
        <v>0</v>
      </c>
      <c r="I835" s="6">
        <f t="shared" si="49"/>
        <v>0</v>
      </c>
      <c r="J835" s="1" t="b">
        <f t="shared" si="50"/>
        <v>0</v>
      </c>
      <c r="K835" s="1" t="b">
        <f>(Requirements!K852="Normative")</f>
        <v>1</v>
      </c>
      <c r="L835" s="1" t="b">
        <f>(Requirements!L852&lt;&gt;"Non-testable")</f>
        <v>1</v>
      </c>
      <c r="M835" s="1" t="b">
        <f>(VLOOKUP(Requirements!I852,Scope[[Role]:[Description]],2,FALSE)="In")</f>
        <v>0</v>
      </c>
      <c r="N835" s="1">
        <f t="shared" si="51"/>
        <v>0</v>
      </c>
    </row>
    <row r="836" spans="1:14">
      <c r="A836" s="1" t="str">
        <f>Requirements!A853</f>
        <v>MS-WSP_R831</v>
      </c>
      <c r="B836" s="1"/>
      <c r="C836" s="1"/>
      <c r="D836" s="1"/>
      <c r="E836" s="1"/>
      <c r="F836" s="1"/>
      <c r="G836" s="1"/>
      <c r="H836" s="3">
        <f t="shared" si="48"/>
        <v>0</v>
      </c>
      <c r="I836" s="6">
        <f t="shared" si="49"/>
        <v>0</v>
      </c>
      <c r="J836" s="1" t="b">
        <f t="shared" si="50"/>
        <v>0</v>
      </c>
      <c r="K836" s="1" t="b">
        <f>(Requirements!K853="Normative")</f>
        <v>1</v>
      </c>
      <c r="L836" s="1" t="b">
        <f>(Requirements!L853&lt;&gt;"Non-testable")</f>
        <v>1</v>
      </c>
      <c r="M836" s="1" t="b">
        <f>(VLOOKUP(Requirements!I853,Scope[[Role]:[Description]],2,FALSE)="In")</f>
        <v>0</v>
      </c>
      <c r="N836" s="1">
        <f t="shared" si="51"/>
        <v>0</v>
      </c>
    </row>
    <row r="837" spans="1:14">
      <c r="A837" s="1" t="str">
        <f>Requirements!A854</f>
        <v>MS-WSP_R832</v>
      </c>
      <c r="B837" s="1"/>
      <c r="C837" s="1"/>
      <c r="D837" s="1"/>
      <c r="E837" s="1"/>
      <c r="F837" s="1"/>
      <c r="G837" s="1"/>
      <c r="H837" s="3">
        <f t="shared" si="48"/>
        <v>0</v>
      </c>
      <c r="I837" s="6">
        <f t="shared" si="49"/>
        <v>0</v>
      </c>
      <c r="J837" s="1" t="b">
        <f t="shared" si="50"/>
        <v>0</v>
      </c>
      <c r="K837" s="1" t="b">
        <f>(Requirements!K854="Normative")</f>
        <v>1</v>
      </c>
      <c r="L837" s="1" t="b">
        <f>(Requirements!L854&lt;&gt;"Non-testable")</f>
        <v>1</v>
      </c>
      <c r="M837" s="1" t="b">
        <f>(VLOOKUP(Requirements!I854,Scope[[Role]:[Description]],2,FALSE)="In")</f>
        <v>0</v>
      </c>
      <c r="N837" s="1">
        <f t="shared" si="51"/>
        <v>0</v>
      </c>
    </row>
    <row r="838" spans="1:14">
      <c r="A838" s="1" t="str">
        <f>Requirements!A855</f>
        <v>MS-WSP_R833</v>
      </c>
      <c r="B838" s="1"/>
      <c r="C838" s="1"/>
      <c r="D838" s="1"/>
      <c r="E838" s="1"/>
      <c r="F838" s="1"/>
      <c r="G838" s="1"/>
      <c r="H838" s="3">
        <f t="shared" ref="H838:H901" si="52">SUM(B838:G838)</f>
        <v>0</v>
      </c>
      <c r="I838" s="6">
        <f t="shared" si="49"/>
        <v>0</v>
      </c>
      <c r="J838" s="1" t="b">
        <f t="shared" si="50"/>
        <v>0</v>
      </c>
      <c r="K838" s="1" t="b">
        <f>(Requirements!K855="Normative")</f>
        <v>1</v>
      </c>
      <c r="L838" s="1" t="b">
        <f>(Requirements!L855&lt;&gt;"Non-testable")</f>
        <v>1</v>
      </c>
      <c r="M838" s="1" t="b">
        <f>(VLOOKUP(Requirements!I855,Scope[[Role]:[Description]],2,FALSE)="In")</f>
        <v>0</v>
      </c>
      <c r="N838" s="1">
        <f t="shared" si="51"/>
        <v>0</v>
      </c>
    </row>
    <row r="839" spans="1:14">
      <c r="A839" s="1" t="str">
        <f>Requirements!A856</f>
        <v>MS-WSP_R834</v>
      </c>
      <c r="B839" s="1"/>
      <c r="C839" s="1"/>
      <c r="D839" s="1"/>
      <c r="E839" s="1"/>
      <c r="F839" s="1"/>
      <c r="G839" s="1"/>
      <c r="H839" s="3">
        <f t="shared" si="52"/>
        <v>0</v>
      </c>
      <c r="I839" s="6">
        <f t="shared" ref="I839:I902" si="53">IF(H839=0,0,1)</f>
        <v>0</v>
      </c>
      <c r="J839" s="1" t="b">
        <f t="shared" ref="J839:J902" si="54">AND(K839:M839)</f>
        <v>0</v>
      </c>
      <c r="K839" s="1" t="b">
        <f>(Requirements!K856="Normative")</f>
        <v>1</v>
      </c>
      <c r="L839" s="1" t="b">
        <f>(Requirements!L856&lt;&gt;"Non-testable")</f>
        <v>1</v>
      </c>
      <c r="M839" s="1" t="b">
        <f>(VLOOKUP(Requirements!I856,Scope[[Role]:[Description]],2,FALSE)="In")</f>
        <v>0</v>
      </c>
      <c r="N839" s="1">
        <f t="shared" ref="N839:N902" si="55">IF(J839,I839,0)</f>
        <v>0</v>
      </c>
    </row>
    <row r="840" spans="1:14">
      <c r="A840" s="1" t="str">
        <f>Requirements!A857</f>
        <v>MS-WSP_R835</v>
      </c>
      <c r="B840" s="1"/>
      <c r="C840" s="1"/>
      <c r="D840" s="1"/>
      <c r="E840" s="1"/>
      <c r="F840" s="1"/>
      <c r="G840" s="1"/>
      <c r="H840" s="3">
        <f t="shared" si="52"/>
        <v>0</v>
      </c>
      <c r="I840" s="6">
        <f t="shared" si="53"/>
        <v>0</v>
      </c>
      <c r="J840" s="1" t="b">
        <f t="shared" si="54"/>
        <v>0</v>
      </c>
      <c r="K840" s="1" t="b">
        <f>(Requirements!K857="Normative")</f>
        <v>0</v>
      </c>
      <c r="L840" s="1" t="b">
        <f>(Requirements!L857&lt;&gt;"Non-testable")</f>
        <v>1</v>
      </c>
      <c r="M840" s="1" t="b">
        <f>(VLOOKUP(Requirements!I857,Scope[[Role]:[Description]],2,FALSE)="In")</f>
        <v>0</v>
      </c>
      <c r="N840" s="1">
        <f t="shared" si="55"/>
        <v>0</v>
      </c>
    </row>
    <row r="841" spans="1:14">
      <c r="A841" s="1" t="str">
        <f>Requirements!A858</f>
        <v>MS-WSP_R836</v>
      </c>
      <c r="B841" s="1"/>
      <c r="C841" s="1"/>
      <c r="D841" s="1"/>
      <c r="E841" s="1"/>
      <c r="F841" s="1"/>
      <c r="G841" s="1"/>
      <c r="H841" s="3">
        <f t="shared" si="52"/>
        <v>0</v>
      </c>
      <c r="I841" s="6">
        <f t="shared" si="53"/>
        <v>0</v>
      </c>
      <c r="J841" s="1" t="b">
        <f t="shared" si="54"/>
        <v>0</v>
      </c>
      <c r="K841" s="1" t="b">
        <f>(Requirements!K858="Normative")</f>
        <v>1</v>
      </c>
      <c r="L841" s="1" t="b">
        <f>(Requirements!L858&lt;&gt;"Non-testable")</f>
        <v>1</v>
      </c>
      <c r="M841" s="1" t="b">
        <f>(VLOOKUP(Requirements!I858,Scope[[Role]:[Description]],2,FALSE)="In")</f>
        <v>0</v>
      </c>
      <c r="N841" s="1">
        <f t="shared" si="55"/>
        <v>0</v>
      </c>
    </row>
    <row r="842" spans="1:14">
      <c r="A842" s="1" t="str">
        <f>Requirements!A859</f>
        <v>MS-WSP_R837</v>
      </c>
      <c r="B842" s="1"/>
      <c r="C842" s="1"/>
      <c r="D842" s="1"/>
      <c r="E842" s="1"/>
      <c r="F842" s="1"/>
      <c r="G842" s="1"/>
      <c r="H842" s="3">
        <f t="shared" si="52"/>
        <v>0</v>
      </c>
      <c r="I842" s="6">
        <f t="shared" si="53"/>
        <v>0</v>
      </c>
      <c r="J842" s="1" t="b">
        <f t="shared" si="54"/>
        <v>0</v>
      </c>
      <c r="K842" s="1" t="b">
        <f>(Requirements!K859="Normative")</f>
        <v>1</v>
      </c>
      <c r="L842" s="1" t="b">
        <f>(Requirements!L859&lt;&gt;"Non-testable")</f>
        <v>1</v>
      </c>
      <c r="M842" s="1" t="b">
        <f>(VLOOKUP(Requirements!I859,Scope[[Role]:[Description]],2,FALSE)="In")</f>
        <v>0</v>
      </c>
      <c r="N842" s="1">
        <f t="shared" si="55"/>
        <v>0</v>
      </c>
    </row>
    <row r="843" spans="1:14">
      <c r="A843" s="1" t="str">
        <f>Requirements!A860</f>
        <v>MS-WSP_R838</v>
      </c>
      <c r="B843" s="1"/>
      <c r="C843" s="1"/>
      <c r="D843" s="1"/>
      <c r="E843" s="1"/>
      <c r="F843" s="1"/>
      <c r="G843" s="1"/>
      <c r="H843" s="3">
        <f t="shared" si="52"/>
        <v>0</v>
      </c>
      <c r="I843" s="6">
        <f t="shared" si="53"/>
        <v>0</v>
      </c>
      <c r="J843" s="1" t="b">
        <f t="shared" si="54"/>
        <v>0</v>
      </c>
      <c r="K843" s="1" t="b">
        <f>(Requirements!K860="Normative")</f>
        <v>1</v>
      </c>
      <c r="L843" s="1" t="b">
        <f>(Requirements!L860&lt;&gt;"Non-testable")</f>
        <v>1</v>
      </c>
      <c r="M843" s="1" t="b">
        <f>(VLOOKUP(Requirements!I860,Scope[[Role]:[Description]],2,FALSE)="In")</f>
        <v>0</v>
      </c>
      <c r="N843" s="1">
        <f t="shared" si="55"/>
        <v>0</v>
      </c>
    </row>
    <row r="844" spans="1:14">
      <c r="A844" s="1" t="str">
        <f>Requirements!A861</f>
        <v>MS-WSP_R839</v>
      </c>
      <c r="B844" s="1"/>
      <c r="C844" s="1"/>
      <c r="D844" s="1"/>
      <c r="E844" s="1"/>
      <c r="F844" s="1"/>
      <c r="G844" s="1"/>
      <c r="H844" s="3">
        <f t="shared" si="52"/>
        <v>0</v>
      </c>
      <c r="I844" s="6">
        <f t="shared" si="53"/>
        <v>0</v>
      </c>
      <c r="J844" s="1" t="b">
        <f t="shared" si="54"/>
        <v>0</v>
      </c>
      <c r="K844" s="1" t="b">
        <f>(Requirements!K861="Normative")</f>
        <v>1</v>
      </c>
      <c r="L844" s="1" t="b">
        <f>(Requirements!L861&lt;&gt;"Non-testable")</f>
        <v>1</v>
      </c>
      <c r="M844" s="1" t="b">
        <f>(VLOOKUP(Requirements!I861,Scope[[Role]:[Description]],2,FALSE)="In")</f>
        <v>0</v>
      </c>
      <c r="N844" s="1">
        <f t="shared" si="55"/>
        <v>0</v>
      </c>
    </row>
    <row r="845" spans="1:14">
      <c r="A845" s="1" t="str">
        <f>Requirements!A862</f>
        <v>MS-WSP_R840</v>
      </c>
      <c r="B845" s="1"/>
      <c r="C845" s="1"/>
      <c r="D845" s="1"/>
      <c r="E845" s="1"/>
      <c r="F845" s="1"/>
      <c r="G845" s="1"/>
      <c r="H845" s="3">
        <f t="shared" si="52"/>
        <v>0</v>
      </c>
      <c r="I845" s="6">
        <f t="shared" si="53"/>
        <v>0</v>
      </c>
      <c r="J845" s="1" t="b">
        <f t="shared" si="54"/>
        <v>0</v>
      </c>
      <c r="K845" s="1" t="b">
        <f>(Requirements!K862="Normative")</f>
        <v>1</v>
      </c>
      <c r="L845" s="1" t="b">
        <f>(Requirements!L862&lt;&gt;"Non-testable")</f>
        <v>1</v>
      </c>
      <c r="M845" s="1" t="b">
        <f>(VLOOKUP(Requirements!I862,Scope[[Role]:[Description]],2,FALSE)="In")</f>
        <v>0</v>
      </c>
      <c r="N845" s="1">
        <f t="shared" si="55"/>
        <v>0</v>
      </c>
    </row>
    <row r="846" spans="1:14">
      <c r="A846" s="1" t="str">
        <f>Requirements!A863</f>
        <v>MS-WSP_R841</v>
      </c>
      <c r="B846" s="1"/>
      <c r="C846" s="1"/>
      <c r="D846" s="1"/>
      <c r="E846" s="1"/>
      <c r="F846" s="1"/>
      <c r="G846" s="1"/>
      <c r="H846" s="3">
        <f t="shared" si="52"/>
        <v>0</v>
      </c>
      <c r="I846" s="6">
        <f t="shared" si="53"/>
        <v>0</v>
      </c>
      <c r="J846" s="1" t="b">
        <f t="shared" si="54"/>
        <v>0</v>
      </c>
      <c r="K846" s="1" t="b">
        <f>(Requirements!K863="Normative")</f>
        <v>1</v>
      </c>
      <c r="L846" s="1" t="b">
        <f>(Requirements!L863&lt;&gt;"Non-testable")</f>
        <v>1</v>
      </c>
      <c r="M846" s="1" t="b">
        <f>(VLOOKUP(Requirements!I863,Scope[[Role]:[Description]],2,FALSE)="In")</f>
        <v>0</v>
      </c>
      <c r="N846" s="1">
        <f t="shared" si="55"/>
        <v>0</v>
      </c>
    </row>
    <row r="847" spans="1:14">
      <c r="A847" s="1" t="str">
        <f>Requirements!A864</f>
        <v>MS-WSP_R842</v>
      </c>
      <c r="B847" s="1"/>
      <c r="C847" s="1"/>
      <c r="D847" s="1"/>
      <c r="E847" s="1"/>
      <c r="F847" s="1"/>
      <c r="G847" s="1"/>
      <c r="H847" s="3">
        <f t="shared" si="52"/>
        <v>0</v>
      </c>
      <c r="I847" s="6">
        <f t="shared" si="53"/>
        <v>0</v>
      </c>
      <c r="J847" s="1" t="b">
        <f t="shared" si="54"/>
        <v>0</v>
      </c>
      <c r="K847" s="1" t="b">
        <f>(Requirements!K864="Normative")</f>
        <v>1</v>
      </c>
      <c r="L847" s="1" t="b">
        <f>(Requirements!L864&lt;&gt;"Non-testable")</f>
        <v>1</v>
      </c>
      <c r="M847" s="1" t="b">
        <f>(VLOOKUP(Requirements!I864,Scope[[Role]:[Description]],2,FALSE)="In")</f>
        <v>0</v>
      </c>
      <c r="N847" s="1">
        <f t="shared" si="55"/>
        <v>0</v>
      </c>
    </row>
    <row r="848" spans="1:14">
      <c r="A848" s="1" t="str">
        <f>Requirements!A865</f>
        <v>MS-WSP_R843</v>
      </c>
      <c r="B848" s="1"/>
      <c r="C848" s="1"/>
      <c r="D848" s="1"/>
      <c r="E848" s="1"/>
      <c r="F848" s="1"/>
      <c r="G848" s="1"/>
      <c r="H848" s="3">
        <f t="shared" si="52"/>
        <v>0</v>
      </c>
      <c r="I848" s="6">
        <f t="shared" si="53"/>
        <v>0</v>
      </c>
      <c r="J848" s="1" t="b">
        <f t="shared" si="54"/>
        <v>0</v>
      </c>
      <c r="K848" s="1" t="b">
        <f>(Requirements!K865="Normative")</f>
        <v>1</v>
      </c>
      <c r="L848" s="1" t="b">
        <f>(Requirements!L865&lt;&gt;"Non-testable")</f>
        <v>1</v>
      </c>
      <c r="M848" s="1" t="b">
        <f>(VLOOKUP(Requirements!I865,Scope[[Role]:[Description]],2,FALSE)="In")</f>
        <v>0</v>
      </c>
      <c r="N848" s="1">
        <f t="shared" si="55"/>
        <v>0</v>
      </c>
    </row>
    <row r="849" spans="1:14">
      <c r="A849" s="1" t="str">
        <f>Requirements!A866</f>
        <v>MS-WSP_R844</v>
      </c>
      <c r="B849" s="1"/>
      <c r="C849" s="1"/>
      <c r="D849" s="1"/>
      <c r="E849" s="1"/>
      <c r="F849" s="1"/>
      <c r="G849" s="1"/>
      <c r="H849" s="3">
        <f t="shared" si="52"/>
        <v>0</v>
      </c>
      <c r="I849" s="6">
        <f t="shared" si="53"/>
        <v>0</v>
      </c>
      <c r="J849" s="1" t="b">
        <f t="shared" si="54"/>
        <v>0</v>
      </c>
      <c r="K849" s="1" t="b">
        <f>(Requirements!K866="Normative")</f>
        <v>1</v>
      </c>
      <c r="L849" s="1" t="b">
        <f>(Requirements!L866&lt;&gt;"Non-testable")</f>
        <v>1</v>
      </c>
      <c r="M849" s="1" t="b">
        <f>(VLOOKUP(Requirements!I866,Scope[[Role]:[Description]],2,FALSE)="In")</f>
        <v>0</v>
      </c>
      <c r="N849" s="1">
        <f t="shared" si="55"/>
        <v>0</v>
      </c>
    </row>
    <row r="850" spans="1:14">
      <c r="A850" s="1" t="str">
        <f>Requirements!A867</f>
        <v>MS-WSP_R845</v>
      </c>
      <c r="B850" s="1"/>
      <c r="C850" s="1"/>
      <c r="D850" s="1"/>
      <c r="E850" s="1"/>
      <c r="F850" s="1"/>
      <c r="G850" s="1"/>
      <c r="H850" s="3">
        <f t="shared" si="52"/>
        <v>0</v>
      </c>
      <c r="I850" s="6">
        <f t="shared" si="53"/>
        <v>0</v>
      </c>
      <c r="J850" s="1" t="b">
        <f t="shared" si="54"/>
        <v>0</v>
      </c>
      <c r="K850" s="1" t="b">
        <f>(Requirements!K867="Normative")</f>
        <v>1</v>
      </c>
      <c r="L850" s="1" t="b">
        <f>(Requirements!L867&lt;&gt;"Non-testable")</f>
        <v>1</v>
      </c>
      <c r="M850" s="1" t="b">
        <f>(VLOOKUP(Requirements!I867,Scope[[Role]:[Description]],2,FALSE)="In")</f>
        <v>0</v>
      </c>
      <c r="N850" s="1">
        <f t="shared" si="55"/>
        <v>0</v>
      </c>
    </row>
    <row r="851" spans="1:14">
      <c r="A851" s="1" t="str">
        <f>Requirements!A868</f>
        <v>MS-WSP_R846</v>
      </c>
      <c r="B851" s="1"/>
      <c r="C851" s="1"/>
      <c r="D851" s="1"/>
      <c r="E851" s="1"/>
      <c r="F851" s="1"/>
      <c r="G851" s="1"/>
      <c r="H851" s="3">
        <f t="shared" si="52"/>
        <v>0</v>
      </c>
      <c r="I851" s="6">
        <f t="shared" si="53"/>
        <v>0</v>
      </c>
      <c r="J851" s="1" t="b">
        <f t="shared" si="54"/>
        <v>0</v>
      </c>
      <c r="K851" s="1" t="b">
        <f>(Requirements!K868="Normative")</f>
        <v>1</v>
      </c>
      <c r="L851" s="1" t="b">
        <f>(Requirements!L868&lt;&gt;"Non-testable")</f>
        <v>1</v>
      </c>
      <c r="M851" s="1" t="b">
        <f>(VLOOKUP(Requirements!I868,Scope[[Role]:[Description]],2,FALSE)="In")</f>
        <v>0</v>
      </c>
      <c r="N851" s="1">
        <f t="shared" si="55"/>
        <v>0</v>
      </c>
    </row>
    <row r="852" spans="1:14">
      <c r="A852" s="1" t="str">
        <f>Requirements!A869</f>
        <v>MS-WSP_R847</v>
      </c>
      <c r="B852" s="1"/>
      <c r="C852" s="1"/>
      <c r="D852" s="1"/>
      <c r="E852" s="1"/>
      <c r="F852" s="1"/>
      <c r="G852" s="1"/>
      <c r="H852" s="3">
        <f t="shared" si="52"/>
        <v>0</v>
      </c>
      <c r="I852" s="6">
        <f t="shared" si="53"/>
        <v>0</v>
      </c>
      <c r="J852" s="1" t="b">
        <f t="shared" si="54"/>
        <v>0</v>
      </c>
      <c r="K852" s="1" t="b">
        <f>(Requirements!K869="Normative")</f>
        <v>1</v>
      </c>
      <c r="L852" s="1" t="b">
        <f>(Requirements!L869&lt;&gt;"Non-testable")</f>
        <v>1</v>
      </c>
      <c r="M852" s="1" t="b">
        <f>(VLOOKUP(Requirements!I869,Scope[[Role]:[Description]],2,FALSE)="In")</f>
        <v>0</v>
      </c>
      <c r="N852" s="1">
        <f t="shared" si="55"/>
        <v>0</v>
      </c>
    </row>
    <row r="853" spans="1:14">
      <c r="A853" s="1" t="str">
        <f>Requirements!A870</f>
        <v>MS-WSP_R848</v>
      </c>
      <c r="B853" s="1"/>
      <c r="C853" s="1"/>
      <c r="D853" s="1"/>
      <c r="E853" s="1"/>
      <c r="F853" s="1"/>
      <c r="G853" s="1"/>
      <c r="H853" s="3">
        <f t="shared" si="52"/>
        <v>0</v>
      </c>
      <c r="I853" s="6">
        <f t="shared" si="53"/>
        <v>0</v>
      </c>
      <c r="J853" s="1" t="b">
        <f t="shared" si="54"/>
        <v>0</v>
      </c>
      <c r="K853" s="1" t="b">
        <f>(Requirements!K870="Normative")</f>
        <v>1</v>
      </c>
      <c r="L853" s="1" t="b">
        <f>(Requirements!L870&lt;&gt;"Non-testable")</f>
        <v>1</v>
      </c>
      <c r="M853" s="1" t="b">
        <f>(VLOOKUP(Requirements!I870,Scope[[Role]:[Description]],2,FALSE)="In")</f>
        <v>0</v>
      </c>
      <c r="N853" s="1">
        <f t="shared" si="55"/>
        <v>0</v>
      </c>
    </row>
    <row r="854" spans="1:14">
      <c r="A854" s="1" t="str">
        <f>Requirements!A871</f>
        <v>MS-WSP_R849</v>
      </c>
      <c r="B854" s="1"/>
      <c r="C854" s="1"/>
      <c r="D854" s="1"/>
      <c r="E854" s="1"/>
      <c r="F854" s="1"/>
      <c r="G854" s="1"/>
      <c r="H854" s="3">
        <f t="shared" si="52"/>
        <v>0</v>
      </c>
      <c r="I854" s="6">
        <f t="shared" si="53"/>
        <v>0</v>
      </c>
      <c r="J854" s="1" t="b">
        <f t="shared" si="54"/>
        <v>0</v>
      </c>
      <c r="K854" s="1" t="b">
        <f>(Requirements!K871="Normative")</f>
        <v>1</v>
      </c>
      <c r="L854" s="1" t="b">
        <f>(Requirements!L871&lt;&gt;"Non-testable")</f>
        <v>1</v>
      </c>
      <c r="M854" s="1" t="b">
        <f>(VLOOKUP(Requirements!I871,Scope[[Role]:[Description]],2,FALSE)="In")</f>
        <v>0</v>
      </c>
      <c r="N854" s="1">
        <f t="shared" si="55"/>
        <v>0</v>
      </c>
    </row>
    <row r="855" spans="1:14">
      <c r="A855" s="1" t="str">
        <f>Requirements!A872</f>
        <v>MS-WSP_R850</v>
      </c>
      <c r="B855" s="1"/>
      <c r="C855" s="1"/>
      <c r="D855" s="1"/>
      <c r="E855" s="1"/>
      <c r="F855" s="1"/>
      <c r="G855" s="1"/>
      <c r="H855" s="3">
        <f t="shared" si="52"/>
        <v>0</v>
      </c>
      <c r="I855" s="6">
        <f t="shared" si="53"/>
        <v>0</v>
      </c>
      <c r="J855" s="1" t="b">
        <f t="shared" si="54"/>
        <v>0</v>
      </c>
      <c r="K855" s="1" t="b">
        <f>(Requirements!K872="Normative")</f>
        <v>1</v>
      </c>
      <c r="L855" s="1" t="b">
        <f>(Requirements!L872&lt;&gt;"Non-testable")</f>
        <v>1</v>
      </c>
      <c r="M855" s="1" t="b">
        <f>(VLOOKUP(Requirements!I872,Scope[[Role]:[Description]],2,FALSE)="In")</f>
        <v>0</v>
      </c>
      <c r="N855" s="1">
        <f t="shared" si="55"/>
        <v>0</v>
      </c>
    </row>
    <row r="856" spans="1:14">
      <c r="A856" s="1" t="str">
        <f>Requirements!A873</f>
        <v>MS-WSP_R851</v>
      </c>
      <c r="B856" s="1"/>
      <c r="C856" s="1"/>
      <c r="D856" s="1"/>
      <c r="E856" s="1"/>
      <c r="F856" s="1"/>
      <c r="G856" s="1"/>
      <c r="H856" s="3">
        <f t="shared" si="52"/>
        <v>0</v>
      </c>
      <c r="I856" s="6">
        <f t="shared" si="53"/>
        <v>0</v>
      </c>
      <c r="J856" s="1" t="b">
        <f t="shared" si="54"/>
        <v>0</v>
      </c>
      <c r="K856" s="1" t="b">
        <f>(Requirements!K873="Normative")</f>
        <v>1</v>
      </c>
      <c r="L856" s="1" t="b">
        <f>(Requirements!L873&lt;&gt;"Non-testable")</f>
        <v>1</v>
      </c>
      <c r="M856" s="1" t="b">
        <f>(VLOOKUP(Requirements!I873,Scope[[Role]:[Description]],2,FALSE)="In")</f>
        <v>0</v>
      </c>
      <c r="N856" s="1">
        <f t="shared" si="55"/>
        <v>0</v>
      </c>
    </row>
    <row r="857" spans="1:14">
      <c r="A857" s="1" t="str">
        <f>Requirements!A874</f>
        <v>MS-WSP_R852</v>
      </c>
      <c r="B857" s="1"/>
      <c r="C857" s="1"/>
      <c r="D857" s="1"/>
      <c r="E857" s="1"/>
      <c r="F857" s="1"/>
      <c r="G857" s="1"/>
      <c r="H857" s="3">
        <f t="shared" si="52"/>
        <v>0</v>
      </c>
      <c r="I857" s="6">
        <f t="shared" si="53"/>
        <v>0</v>
      </c>
      <c r="J857" s="1" t="b">
        <f t="shared" si="54"/>
        <v>0</v>
      </c>
      <c r="K857" s="1" t="b">
        <f>(Requirements!K874="Normative")</f>
        <v>1</v>
      </c>
      <c r="L857" s="1" t="b">
        <f>(Requirements!L874&lt;&gt;"Non-testable")</f>
        <v>1</v>
      </c>
      <c r="M857" s="1" t="b">
        <f>(VLOOKUP(Requirements!I874,Scope[[Role]:[Description]],2,FALSE)="In")</f>
        <v>0</v>
      </c>
      <c r="N857" s="1">
        <f t="shared" si="55"/>
        <v>0</v>
      </c>
    </row>
    <row r="858" spans="1:14">
      <c r="A858" s="1" t="str">
        <f>Requirements!A875</f>
        <v>MS-WSP_R853</v>
      </c>
      <c r="B858" s="1"/>
      <c r="C858" s="1"/>
      <c r="D858" s="1"/>
      <c r="E858" s="1"/>
      <c r="F858" s="1"/>
      <c r="G858" s="1"/>
      <c r="H858" s="3">
        <f t="shared" si="52"/>
        <v>0</v>
      </c>
      <c r="I858" s="6">
        <f t="shared" si="53"/>
        <v>0</v>
      </c>
      <c r="J858" s="1" t="b">
        <f t="shared" si="54"/>
        <v>0</v>
      </c>
      <c r="K858" s="1" t="b">
        <f>(Requirements!K875="Normative")</f>
        <v>0</v>
      </c>
      <c r="L858" s="1" t="b">
        <f>(Requirements!L875&lt;&gt;"Non-testable")</f>
        <v>1</v>
      </c>
      <c r="M858" s="1" t="b">
        <f>(VLOOKUP(Requirements!I875,Scope[[Role]:[Description]],2,FALSE)="In")</f>
        <v>0</v>
      </c>
      <c r="N858" s="1">
        <f t="shared" si="55"/>
        <v>0</v>
      </c>
    </row>
    <row r="859" spans="1:14">
      <c r="A859" s="1" t="str">
        <f>Requirements!A876</f>
        <v>MS-WSP_R854</v>
      </c>
      <c r="B859" s="1"/>
      <c r="C859" s="1"/>
      <c r="D859" s="1"/>
      <c r="E859" s="1"/>
      <c r="F859" s="1"/>
      <c r="G859" s="1"/>
      <c r="H859" s="3">
        <f t="shared" si="52"/>
        <v>0</v>
      </c>
      <c r="I859" s="6">
        <f t="shared" si="53"/>
        <v>0</v>
      </c>
      <c r="J859" s="1" t="b">
        <f t="shared" si="54"/>
        <v>0</v>
      </c>
      <c r="K859" s="1" t="b">
        <f>(Requirements!K876="Normative")</f>
        <v>1</v>
      </c>
      <c r="L859" s="1" t="b">
        <f>(Requirements!L876&lt;&gt;"Non-testable")</f>
        <v>1</v>
      </c>
      <c r="M859" s="1" t="b">
        <f>(VLOOKUP(Requirements!I876,Scope[[Role]:[Description]],2,FALSE)="In")</f>
        <v>0</v>
      </c>
      <c r="N859" s="1">
        <f t="shared" si="55"/>
        <v>0</v>
      </c>
    </row>
    <row r="860" spans="1:14">
      <c r="A860" s="1" t="str">
        <f>Requirements!A877</f>
        <v>MS-WSP_R855</v>
      </c>
      <c r="B860" s="1"/>
      <c r="C860" s="1"/>
      <c r="D860" s="1"/>
      <c r="E860" s="1"/>
      <c r="F860" s="1"/>
      <c r="G860" s="1"/>
      <c r="H860" s="3">
        <f t="shared" si="52"/>
        <v>0</v>
      </c>
      <c r="I860" s="6">
        <f t="shared" si="53"/>
        <v>0</v>
      </c>
      <c r="J860" s="1" t="b">
        <f t="shared" si="54"/>
        <v>0</v>
      </c>
      <c r="K860" s="1" t="b">
        <f>(Requirements!K877="Normative")</f>
        <v>1</v>
      </c>
      <c r="L860" s="1" t="b">
        <f>(Requirements!L877&lt;&gt;"Non-testable")</f>
        <v>1</v>
      </c>
      <c r="M860" s="1" t="b">
        <f>(VLOOKUP(Requirements!I877,Scope[[Role]:[Description]],2,FALSE)="In")</f>
        <v>0</v>
      </c>
      <c r="N860" s="1">
        <f t="shared" si="55"/>
        <v>0</v>
      </c>
    </row>
    <row r="861" spans="1:14">
      <c r="A861" s="1" t="str">
        <f>Requirements!A878</f>
        <v>MS-WSP_R856</v>
      </c>
      <c r="B861" s="1"/>
      <c r="C861" s="1"/>
      <c r="D861" s="1"/>
      <c r="E861" s="1"/>
      <c r="F861" s="1"/>
      <c r="G861" s="1"/>
      <c r="H861" s="3">
        <f t="shared" si="52"/>
        <v>0</v>
      </c>
      <c r="I861" s="6">
        <f t="shared" si="53"/>
        <v>0</v>
      </c>
      <c r="J861" s="1" t="b">
        <f t="shared" si="54"/>
        <v>0</v>
      </c>
      <c r="K861" s="1" t="b">
        <f>(Requirements!K878="Normative")</f>
        <v>1</v>
      </c>
      <c r="L861" s="1" t="b">
        <f>(Requirements!L878&lt;&gt;"Non-testable")</f>
        <v>1</v>
      </c>
      <c r="M861" s="1" t="b">
        <f>(VLOOKUP(Requirements!I878,Scope[[Role]:[Description]],2,FALSE)="In")</f>
        <v>0</v>
      </c>
      <c r="N861" s="1">
        <f t="shared" si="55"/>
        <v>0</v>
      </c>
    </row>
    <row r="862" spans="1:14">
      <c r="A862" s="1" t="str">
        <f>Requirements!A879</f>
        <v>MS-WSP_R857</v>
      </c>
      <c r="B862" s="1"/>
      <c r="C862" s="1"/>
      <c r="D862" s="1"/>
      <c r="E862" s="1"/>
      <c r="F862" s="1"/>
      <c r="G862" s="1"/>
      <c r="H862" s="3">
        <f t="shared" si="52"/>
        <v>0</v>
      </c>
      <c r="I862" s="6">
        <f t="shared" si="53"/>
        <v>0</v>
      </c>
      <c r="J862" s="1" t="b">
        <f t="shared" si="54"/>
        <v>0</v>
      </c>
      <c r="K862" s="1" t="b">
        <f>(Requirements!K879="Normative")</f>
        <v>1</v>
      </c>
      <c r="L862" s="1" t="b">
        <f>(Requirements!L879&lt;&gt;"Non-testable")</f>
        <v>1</v>
      </c>
      <c r="M862" s="1" t="b">
        <f>(VLOOKUP(Requirements!I879,Scope[[Role]:[Description]],2,FALSE)="In")</f>
        <v>0</v>
      </c>
      <c r="N862" s="1">
        <f t="shared" si="55"/>
        <v>0</v>
      </c>
    </row>
    <row r="863" spans="1:14">
      <c r="A863" s="1" t="str">
        <f>Requirements!A880</f>
        <v>MS-WSP_R858</v>
      </c>
      <c r="B863" s="1"/>
      <c r="C863" s="1"/>
      <c r="D863" s="1"/>
      <c r="E863" s="1"/>
      <c r="F863" s="1"/>
      <c r="G863" s="1"/>
      <c r="H863" s="3">
        <f t="shared" si="52"/>
        <v>0</v>
      </c>
      <c r="I863" s="6">
        <f t="shared" si="53"/>
        <v>0</v>
      </c>
      <c r="J863" s="1" t="b">
        <f t="shared" si="54"/>
        <v>0</v>
      </c>
      <c r="K863" s="1" t="b">
        <f>(Requirements!K880="Normative")</f>
        <v>1</v>
      </c>
      <c r="L863" s="1" t="b">
        <f>(Requirements!L880&lt;&gt;"Non-testable")</f>
        <v>1</v>
      </c>
      <c r="M863" s="1" t="b">
        <f>(VLOOKUP(Requirements!I880,Scope[[Role]:[Description]],2,FALSE)="In")</f>
        <v>0</v>
      </c>
      <c r="N863" s="1">
        <f t="shared" si="55"/>
        <v>0</v>
      </c>
    </row>
    <row r="864" spans="1:14">
      <c r="A864" s="1" t="str">
        <f>Requirements!A881</f>
        <v>MS-WSP_R859</v>
      </c>
      <c r="B864" s="1"/>
      <c r="C864" s="1"/>
      <c r="D864" s="1"/>
      <c r="E864" s="1"/>
      <c r="F864" s="1"/>
      <c r="G864" s="1"/>
      <c r="H864" s="3">
        <f t="shared" si="52"/>
        <v>0</v>
      </c>
      <c r="I864" s="6">
        <f t="shared" si="53"/>
        <v>0</v>
      </c>
      <c r="J864" s="1" t="b">
        <f t="shared" si="54"/>
        <v>0</v>
      </c>
      <c r="K864" s="1" t="b">
        <f>(Requirements!K881="Normative")</f>
        <v>1</v>
      </c>
      <c r="L864" s="1" t="b">
        <f>(Requirements!L881&lt;&gt;"Non-testable")</f>
        <v>1</v>
      </c>
      <c r="M864" s="1" t="b">
        <f>(VLOOKUP(Requirements!I881,Scope[[Role]:[Description]],2,FALSE)="In")</f>
        <v>0</v>
      </c>
      <c r="N864" s="1">
        <f t="shared" si="55"/>
        <v>0</v>
      </c>
    </row>
    <row r="865" spans="1:14">
      <c r="A865" s="1" t="str">
        <f>Requirements!A882</f>
        <v>MS-WSP_R860</v>
      </c>
      <c r="B865" s="1"/>
      <c r="C865" s="1"/>
      <c r="D865" s="1"/>
      <c r="E865" s="1"/>
      <c r="F865" s="1"/>
      <c r="G865" s="1"/>
      <c r="H865" s="3">
        <f t="shared" si="52"/>
        <v>0</v>
      </c>
      <c r="I865" s="6">
        <f t="shared" si="53"/>
        <v>0</v>
      </c>
      <c r="J865" s="1" t="b">
        <f t="shared" si="54"/>
        <v>0</v>
      </c>
      <c r="K865" s="1" t="b">
        <f>(Requirements!K882="Normative")</f>
        <v>1</v>
      </c>
      <c r="L865" s="1" t="b">
        <f>(Requirements!L882&lt;&gt;"Non-testable")</f>
        <v>1</v>
      </c>
      <c r="M865" s="1" t="b">
        <f>(VLOOKUP(Requirements!I882,Scope[[Role]:[Description]],2,FALSE)="In")</f>
        <v>0</v>
      </c>
      <c r="N865" s="1">
        <f t="shared" si="55"/>
        <v>0</v>
      </c>
    </row>
    <row r="866" spans="1:14">
      <c r="A866" s="1" t="str">
        <f>Requirements!A883</f>
        <v>MS-WSP_R861</v>
      </c>
      <c r="B866" s="1"/>
      <c r="C866" s="1"/>
      <c r="D866" s="1"/>
      <c r="E866" s="1"/>
      <c r="F866" s="1"/>
      <c r="G866" s="1"/>
      <c r="H866" s="3">
        <f t="shared" si="52"/>
        <v>0</v>
      </c>
      <c r="I866" s="6">
        <f t="shared" si="53"/>
        <v>0</v>
      </c>
      <c r="J866" s="1" t="b">
        <f t="shared" si="54"/>
        <v>0</v>
      </c>
      <c r="K866" s="1" t="b">
        <f>(Requirements!K883="Normative")</f>
        <v>1</v>
      </c>
      <c r="L866" s="1" t="b">
        <f>(Requirements!L883&lt;&gt;"Non-testable")</f>
        <v>1</v>
      </c>
      <c r="M866" s="1" t="b">
        <f>(VLOOKUP(Requirements!I883,Scope[[Role]:[Description]],2,FALSE)="In")</f>
        <v>0</v>
      </c>
      <c r="N866" s="1">
        <f t="shared" si="55"/>
        <v>0</v>
      </c>
    </row>
    <row r="867" spans="1:14">
      <c r="A867" s="1" t="str">
        <f>Requirements!A884</f>
        <v>MS-WSP_R862</v>
      </c>
      <c r="B867" s="1"/>
      <c r="C867" s="1"/>
      <c r="D867" s="1"/>
      <c r="E867" s="1"/>
      <c r="F867" s="1"/>
      <c r="G867" s="1"/>
      <c r="H867" s="3">
        <f t="shared" si="52"/>
        <v>0</v>
      </c>
      <c r="I867" s="6">
        <f t="shared" si="53"/>
        <v>0</v>
      </c>
      <c r="J867" s="1" t="b">
        <f t="shared" si="54"/>
        <v>0</v>
      </c>
      <c r="K867" s="1" t="b">
        <f>(Requirements!K884="Normative")</f>
        <v>1</v>
      </c>
      <c r="L867" s="1" t="b">
        <f>(Requirements!L884&lt;&gt;"Non-testable")</f>
        <v>1</v>
      </c>
      <c r="M867" s="1" t="b">
        <f>(VLOOKUP(Requirements!I884,Scope[[Role]:[Description]],2,FALSE)="In")</f>
        <v>0</v>
      </c>
      <c r="N867" s="1">
        <f t="shared" si="55"/>
        <v>0</v>
      </c>
    </row>
    <row r="868" spans="1:14">
      <c r="A868" s="1" t="str">
        <f>Requirements!A885</f>
        <v>MS-WSP_R863</v>
      </c>
      <c r="B868" s="1"/>
      <c r="C868" s="1"/>
      <c r="D868" s="1"/>
      <c r="E868" s="1"/>
      <c r="F868" s="1"/>
      <c r="G868" s="1"/>
      <c r="H868" s="3">
        <f t="shared" si="52"/>
        <v>0</v>
      </c>
      <c r="I868" s="6">
        <f t="shared" si="53"/>
        <v>0</v>
      </c>
      <c r="J868" s="1" t="b">
        <f t="shared" si="54"/>
        <v>0</v>
      </c>
      <c r="K868" s="1" t="b">
        <f>(Requirements!K885="Normative")</f>
        <v>1</v>
      </c>
      <c r="L868" s="1" t="b">
        <f>(Requirements!L885&lt;&gt;"Non-testable")</f>
        <v>1</v>
      </c>
      <c r="M868" s="1" t="b">
        <f>(VLOOKUP(Requirements!I885,Scope[[Role]:[Description]],2,FALSE)="In")</f>
        <v>0</v>
      </c>
      <c r="N868" s="1">
        <f t="shared" si="55"/>
        <v>0</v>
      </c>
    </row>
    <row r="869" spans="1:14">
      <c r="A869" s="1" t="str">
        <f>Requirements!A886</f>
        <v>MS-WSP_R864</v>
      </c>
      <c r="B869" s="1"/>
      <c r="C869" s="1"/>
      <c r="D869" s="1"/>
      <c r="E869" s="1"/>
      <c r="F869" s="1"/>
      <c r="G869" s="1"/>
      <c r="H869" s="3">
        <f t="shared" si="52"/>
        <v>0</v>
      </c>
      <c r="I869" s="6">
        <f t="shared" si="53"/>
        <v>0</v>
      </c>
      <c r="J869" s="1" t="b">
        <f t="shared" si="54"/>
        <v>0</v>
      </c>
      <c r="K869" s="1" t="b">
        <f>(Requirements!K886="Normative")</f>
        <v>1</v>
      </c>
      <c r="L869" s="1" t="b">
        <f>(Requirements!L886&lt;&gt;"Non-testable")</f>
        <v>1</v>
      </c>
      <c r="M869" s="1" t="b">
        <f>(VLOOKUP(Requirements!I886,Scope[[Role]:[Description]],2,FALSE)="In")</f>
        <v>0</v>
      </c>
      <c r="N869" s="1">
        <f t="shared" si="55"/>
        <v>0</v>
      </c>
    </row>
    <row r="870" spans="1:14">
      <c r="A870" s="1" t="str">
        <f>Requirements!A887</f>
        <v>MS-WSP_R865</v>
      </c>
      <c r="B870" s="1"/>
      <c r="C870" s="1"/>
      <c r="D870" s="1"/>
      <c r="E870" s="1"/>
      <c r="F870" s="1"/>
      <c r="G870" s="1"/>
      <c r="H870" s="3">
        <f t="shared" si="52"/>
        <v>0</v>
      </c>
      <c r="I870" s="6">
        <f t="shared" si="53"/>
        <v>0</v>
      </c>
      <c r="J870" s="1" t="b">
        <f t="shared" si="54"/>
        <v>0</v>
      </c>
      <c r="K870" s="1" t="b">
        <f>(Requirements!K887="Normative")</f>
        <v>1</v>
      </c>
      <c r="L870" s="1" t="b">
        <f>(Requirements!L887&lt;&gt;"Non-testable")</f>
        <v>1</v>
      </c>
      <c r="M870" s="1" t="b">
        <f>(VLOOKUP(Requirements!I887,Scope[[Role]:[Description]],2,FALSE)="In")</f>
        <v>0</v>
      </c>
      <c r="N870" s="1">
        <f t="shared" si="55"/>
        <v>0</v>
      </c>
    </row>
    <row r="871" spans="1:14">
      <c r="A871" s="1" t="str">
        <f>Requirements!A888</f>
        <v>MS-WSP_R866</v>
      </c>
      <c r="B871" s="1"/>
      <c r="C871" s="1"/>
      <c r="D871" s="1"/>
      <c r="E871" s="1"/>
      <c r="F871" s="1"/>
      <c r="G871" s="1"/>
      <c r="H871" s="3">
        <f t="shared" si="52"/>
        <v>0</v>
      </c>
      <c r="I871" s="6">
        <f t="shared" si="53"/>
        <v>0</v>
      </c>
      <c r="J871" s="1" t="b">
        <f t="shared" si="54"/>
        <v>0</v>
      </c>
      <c r="K871" s="1" t="b">
        <f>(Requirements!K888="Normative")</f>
        <v>1</v>
      </c>
      <c r="L871" s="1" t="b">
        <f>(Requirements!L888&lt;&gt;"Non-testable")</f>
        <v>1</v>
      </c>
      <c r="M871" s="1" t="b">
        <f>(VLOOKUP(Requirements!I888,Scope[[Role]:[Description]],2,FALSE)="In")</f>
        <v>0</v>
      </c>
      <c r="N871" s="1">
        <f t="shared" si="55"/>
        <v>0</v>
      </c>
    </row>
    <row r="872" spans="1:14">
      <c r="A872" s="1" t="str">
        <f>Requirements!A889</f>
        <v>MS-WSP_R867</v>
      </c>
      <c r="B872" s="1"/>
      <c r="C872" s="1"/>
      <c r="D872" s="1"/>
      <c r="E872" s="1"/>
      <c r="F872" s="1"/>
      <c r="G872" s="1"/>
      <c r="H872" s="3">
        <f t="shared" si="52"/>
        <v>0</v>
      </c>
      <c r="I872" s="6">
        <f t="shared" si="53"/>
        <v>0</v>
      </c>
      <c r="J872" s="1" t="b">
        <f t="shared" si="54"/>
        <v>0</v>
      </c>
      <c r="K872" s="1" t="b">
        <f>(Requirements!K889="Normative")</f>
        <v>1</v>
      </c>
      <c r="L872" s="1" t="b">
        <f>(Requirements!L889&lt;&gt;"Non-testable")</f>
        <v>1</v>
      </c>
      <c r="M872" s="1" t="b">
        <f>(VLOOKUP(Requirements!I889,Scope[[Role]:[Description]],2,FALSE)="In")</f>
        <v>0</v>
      </c>
      <c r="N872" s="1">
        <f t="shared" si="55"/>
        <v>0</v>
      </c>
    </row>
    <row r="873" spans="1:14">
      <c r="A873" s="1" t="str">
        <f>Requirements!A890</f>
        <v>MS-WSP_R868</v>
      </c>
      <c r="B873" s="1"/>
      <c r="C873" s="1"/>
      <c r="D873" s="1"/>
      <c r="E873" s="1"/>
      <c r="F873" s="1"/>
      <c r="G873" s="1"/>
      <c r="H873" s="3">
        <f t="shared" si="52"/>
        <v>0</v>
      </c>
      <c r="I873" s="6">
        <f t="shared" si="53"/>
        <v>0</v>
      </c>
      <c r="J873" s="1" t="b">
        <f t="shared" si="54"/>
        <v>0</v>
      </c>
      <c r="K873" s="1" t="b">
        <f>(Requirements!K890="Normative")</f>
        <v>0</v>
      </c>
      <c r="L873" s="1" t="b">
        <f>(Requirements!L890&lt;&gt;"Non-testable")</f>
        <v>1</v>
      </c>
      <c r="M873" s="1" t="b">
        <f>(VLOOKUP(Requirements!I890,Scope[[Role]:[Description]],2,FALSE)="In")</f>
        <v>0</v>
      </c>
      <c r="N873" s="1">
        <f t="shared" si="55"/>
        <v>0</v>
      </c>
    </row>
    <row r="874" spans="1:14">
      <c r="A874" s="1" t="str">
        <f>Requirements!A891</f>
        <v>MS-WSP_R869</v>
      </c>
      <c r="B874" s="1"/>
      <c r="C874" s="1"/>
      <c r="D874" s="1"/>
      <c r="E874" s="1"/>
      <c r="F874" s="1"/>
      <c r="G874" s="1"/>
      <c r="H874" s="3">
        <f t="shared" si="52"/>
        <v>0</v>
      </c>
      <c r="I874" s="6">
        <f t="shared" si="53"/>
        <v>0</v>
      </c>
      <c r="J874" s="1" t="b">
        <f t="shared" si="54"/>
        <v>0</v>
      </c>
      <c r="K874" s="1" t="b">
        <f>(Requirements!K891="Normative")</f>
        <v>1</v>
      </c>
      <c r="L874" s="1" t="b">
        <f>(Requirements!L891&lt;&gt;"Non-testable")</f>
        <v>1</v>
      </c>
      <c r="M874" s="1" t="b">
        <f>(VLOOKUP(Requirements!I891,Scope[[Role]:[Description]],2,FALSE)="In")</f>
        <v>0</v>
      </c>
      <c r="N874" s="1">
        <f t="shared" si="55"/>
        <v>0</v>
      </c>
    </row>
    <row r="875" spans="1:14">
      <c r="A875" s="1" t="str">
        <f>Requirements!A892</f>
        <v>MS-WSP_R870</v>
      </c>
      <c r="B875" s="1"/>
      <c r="C875" s="1"/>
      <c r="D875" s="1"/>
      <c r="E875" s="1"/>
      <c r="F875" s="1"/>
      <c r="G875" s="1"/>
      <c r="H875" s="3">
        <f t="shared" si="52"/>
        <v>0</v>
      </c>
      <c r="I875" s="6">
        <f t="shared" si="53"/>
        <v>0</v>
      </c>
      <c r="J875" s="1" t="b">
        <f t="shared" si="54"/>
        <v>0</v>
      </c>
      <c r="K875" s="1" t="b">
        <f>(Requirements!K892="Normative")</f>
        <v>0</v>
      </c>
      <c r="L875" s="1" t="b">
        <f>(Requirements!L892&lt;&gt;"Non-testable")</f>
        <v>1</v>
      </c>
      <c r="M875" s="1" t="b">
        <f>(VLOOKUP(Requirements!I892,Scope[[Role]:[Description]],2,FALSE)="In")</f>
        <v>0</v>
      </c>
      <c r="N875" s="1">
        <f t="shared" si="55"/>
        <v>0</v>
      </c>
    </row>
    <row r="876" spans="1:14">
      <c r="A876" s="1" t="str">
        <f>Requirements!A893</f>
        <v>MS-WSP_R871</v>
      </c>
      <c r="B876" s="1"/>
      <c r="C876" s="1"/>
      <c r="D876" s="1"/>
      <c r="E876" s="1"/>
      <c r="F876" s="1"/>
      <c r="G876" s="1"/>
      <c r="H876" s="3">
        <f t="shared" si="52"/>
        <v>0</v>
      </c>
      <c r="I876" s="6">
        <f t="shared" si="53"/>
        <v>0</v>
      </c>
      <c r="J876" s="1" t="b">
        <f t="shared" si="54"/>
        <v>0</v>
      </c>
      <c r="K876" s="1" t="b">
        <f>(Requirements!K893="Normative")</f>
        <v>1</v>
      </c>
      <c r="L876" s="1" t="b">
        <f>(Requirements!L893&lt;&gt;"Non-testable")</f>
        <v>1</v>
      </c>
      <c r="M876" s="1" t="b">
        <f>(VLOOKUP(Requirements!I893,Scope[[Role]:[Description]],2,FALSE)="In")</f>
        <v>0</v>
      </c>
      <c r="N876" s="1">
        <f t="shared" si="55"/>
        <v>0</v>
      </c>
    </row>
    <row r="877" spans="1:14">
      <c r="A877" s="1" t="str">
        <f>Requirements!A894</f>
        <v>MS-WSP_R872</v>
      </c>
      <c r="B877" s="1"/>
      <c r="C877" s="1"/>
      <c r="D877" s="1"/>
      <c r="E877" s="1"/>
      <c r="F877" s="1"/>
      <c r="G877" s="1"/>
      <c r="H877" s="3">
        <f t="shared" si="52"/>
        <v>0</v>
      </c>
      <c r="I877" s="6">
        <f t="shared" si="53"/>
        <v>0</v>
      </c>
      <c r="J877" s="1" t="b">
        <f t="shared" si="54"/>
        <v>0</v>
      </c>
      <c r="K877" s="1" t="b">
        <f>(Requirements!K894="Normative")</f>
        <v>1</v>
      </c>
      <c r="L877" s="1" t="b">
        <f>(Requirements!L894&lt;&gt;"Non-testable")</f>
        <v>1</v>
      </c>
      <c r="M877" s="1" t="b">
        <f>(VLOOKUP(Requirements!I894,Scope[[Role]:[Description]],2,FALSE)="In")</f>
        <v>0</v>
      </c>
      <c r="N877" s="1">
        <f t="shared" si="55"/>
        <v>0</v>
      </c>
    </row>
    <row r="878" spans="1:14">
      <c r="A878" s="1" t="str">
        <f>Requirements!A895</f>
        <v>MS-WSP_R873</v>
      </c>
      <c r="B878" s="1"/>
      <c r="C878" s="1"/>
      <c r="D878" s="1"/>
      <c r="E878" s="1"/>
      <c r="F878" s="1"/>
      <c r="G878" s="1"/>
      <c r="H878" s="3">
        <f t="shared" si="52"/>
        <v>0</v>
      </c>
      <c r="I878" s="6">
        <f t="shared" si="53"/>
        <v>0</v>
      </c>
      <c r="J878" s="1" t="b">
        <f t="shared" si="54"/>
        <v>0</v>
      </c>
      <c r="K878" s="1" t="b">
        <f>(Requirements!K895="Normative")</f>
        <v>1</v>
      </c>
      <c r="L878" s="1" t="b">
        <f>(Requirements!L895&lt;&gt;"Non-testable")</f>
        <v>1</v>
      </c>
      <c r="M878" s="1" t="b">
        <f>(VLOOKUP(Requirements!I895,Scope[[Role]:[Description]],2,FALSE)="In")</f>
        <v>0</v>
      </c>
      <c r="N878" s="1">
        <f t="shared" si="55"/>
        <v>0</v>
      </c>
    </row>
    <row r="879" spans="1:14">
      <c r="A879" s="1" t="str">
        <f>Requirements!A896</f>
        <v>MS-WSP_R874</v>
      </c>
      <c r="B879" s="1"/>
      <c r="C879" s="1"/>
      <c r="D879" s="1"/>
      <c r="E879" s="1"/>
      <c r="F879" s="1"/>
      <c r="G879" s="1"/>
      <c r="H879" s="3">
        <f t="shared" si="52"/>
        <v>0</v>
      </c>
      <c r="I879" s="6">
        <f t="shared" si="53"/>
        <v>0</v>
      </c>
      <c r="J879" s="1" t="b">
        <f t="shared" si="54"/>
        <v>0</v>
      </c>
      <c r="K879" s="1" t="b">
        <f>(Requirements!K896="Normative")</f>
        <v>1</v>
      </c>
      <c r="L879" s="1" t="b">
        <f>(Requirements!L896&lt;&gt;"Non-testable")</f>
        <v>1</v>
      </c>
      <c r="M879" s="1" t="b">
        <f>(VLOOKUP(Requirements!I896,Scope[[Role]:[Description]],2,FALSE)="In")</f>
        <v>0</v>
      </c>
      <c r="N879" s="1">
        <f t="shared" si="55"/>
        <v>0</v>
      </c>
    </row>
    <row r="880" spans="1:14">
      <c r="A880" s="1" t="str">
        <f>Requirements!A897</f>
        <v>MS-WSP_R875</v>
      </c>
      <c r="B880" s="1"/>
      <c r="C880" s="1"/>
      <c r="D880" s="1"/>
      <c r="E880" s="1"/>
      <c r="F880" s="1"/>
      <c r="G880" s="1"/>
      <c r="H880" s="3">
        <f t="shared" si="52"/>
        <v>0</v>
      </c>
      <c r="I880" s="6">
        <f t="shared" si="53"/>
        <v>0</v>
      </c>
      <c r="J880" s="1" t="b">
        <f t="shared" si="54"/>
        <v>0</v>
      </c>
      <c r="K880" s="1" t="b">
        <f>(Requirements!K897="Normative")</f>
        <v>0</v>
      </c>
      <c r="L880" s="1" t="b">
        <f>(Requirements!L897&lt;&gt;"Non-testable")</f>
        <v>1</v>
      </c>
      <c r="M880" s="1" t="b">
        <f>(VLOOKUP(Requirements!I897,Scope[[Role]:[Description]],2,FALSE)="In")</f>
        <v>0</v>
      </c>
      <c r="N880" s="1">
        <f t="shared" si="55"/>
        <v>0</v>
      </c>
    </row>
    <row r="881" spans="1:14">
      <c r="A881" s="1" t="str">
        <f>Requirements!A898</f>
        <v>MS-WSP_R876</v>
      </c>
      <c r="B881" s="1"/>
      <c r="C881" s="1"/>
      <c r="D881" s="1"/>
      <c r="E881" s="1"/>
      <c r="F881" s="1"/>
      <c r="G881" s="1"/>
      <c r="H881" s="3">
        <f t="shared" si="52"/>
        <v>0</v>
      </c>
      <c r="I881" s="6">
        <f t="shared" si="53"/>
        <v>0</v>
      </c>
      <c r="J881" s="1" t="b">
        <f t="shared" si="54"/>
        <v>0</v>
      </c>
      <c r="K881" s="1" t="b">
        <f>(Requirements!K898="Normative")</f>
        <v>0</v>
      </c>
      <c r="L881" s="1" t="b">
        <f>(Requirements!L898&lt;&gt;"Non-testable")</f>
        <v>1</v>
      </c>
      <c r="M881" s="1" t="b">
        <f>(VLOOKUP(Requirements!I898,Scope[[Role]:[Description]],2,FALSE)="In")</f>
        <v>0</v>
      </c>
      <c r="N881" s="1">
        <f t="shared" si="55"/>
        <v>0</v>
      </c>
    </row>
    <row r="882" spans="1:14">
      <c r="A882" s="1" t="str">
        <f>Requirements!A899</f>
        <v>MS-WSP_R877</v>
      </c>
      <c r="B882" s="1"/>
      <c r="C882" s="1"/>
      <c r="D882" s="1"/>
      <c r="E882" s="1"/>
      <c r="F882" s="1"/>
      <c r="G882" s="1"/>
      <c r="H882" s="3">
        <f t="shared" si="52"/>
        <v>0</v>
      </c>
      <c r="I882" s="6">
        <f t="shared" si="53"/>
        <v>0</v>
      </c>
      <c r="J882" s="1" t="b">
        <f t="shared" si="54"/>
        <v>0</v>
      </c>
      <c r="K882" s="1" t="b">
        <f>(Requirements!K899="Normative")</f>
        <v>0</v>
      </c>
      <c r="L882" s="1" t="b">
        <f>(Requirements!L899&lt;&gt;"Non-testable")</f>
        <v>1</v>
      </c>
      <c r="M882" s="1" t="b">
        <f>(VLOOKUP(Requirements!I899,Scope[[Role]:[Description]],2,FALSE)="In")</f>
        <v>0</v>
      </c>
      <c r="N882" s="1">
        <f t="shared" si="55"/>
        <v>0</v>
      </c>
    </row>
    <row r="883" spans="1:14">
      <c r="A883" s="1" t="str">
        <f>Requirements!A900</f>
        <v>MS-WSP_R878</v>
      </c>
      <c r="B883" s="1"/>
      <c r="C883" s="1"/>
      <c r="D883" s="1"/>
      <c r="E883" s="1"/>
      <c r="F883" s="1"/>
      <c r="G883" s="1"/>
      <c r="H883" s="3">
        <f t="shared" si="52"/>
        <v>0</v>
      </c>
      <c r="I883" s="6">
        <f t="shared" si="53"/>
        <v>0</v>
      </c>
      <c r="J883" s="1" t="b">
        <f t="shared" si="54"/>
        <v>0</v>
      </c>
      <c r="K883" s="1" t="b">
        <f>(Requirements!K900="Normative")</f>
        <v>1</v>
      </c>
      <c r="L883" s="1" t="b">
        <f>(Requirements!L900&lt;&gt;"Non-testable")</f>
        <v>1</v>
      </c>
      <c r="M883" s="1" t="b">
        <f>(VLOOKUP(Requirements!I900,Scope[[Role]:[Description]],2,FALSE)="In")</f>
        <v>0</v>
      </c>
      <c r="N883" s="1">
        <f t="shared" si="55"/>
        <v>0</v>
      </c>
    </row>
    <row r="884" spans="1:14">
      <c r="A884" s="1" t="str">
        <f>Requirements!A901</f>
        <v>MS-WSP_R879</v>
      </c>
      <c r="B884" s="1"/>
      <c r="C884" s="1"/>
      <c r="D884" s="1"/>
      <c r="E884" s="1"/>
      <c r="F884" s="1"/>
      <c r="G884" s="1"/>
      <c r="H884" s="3">
        <f t="shared" si="52"/>
        <v>0</v>
      </c>
      <c r="I884" s="6">
        <f t="shared" si="53"/>
        <v>0</v>
      </c>
      <c r="J884" s="1" t="b">
        <f t="shared" si="54"/>
        <v>0</v>
      </c>
      <c r="K884" s="1" t="b">
        <f>(Requirements!K901="Normative")</f>
        <v>1</v>
      </c>
      <c r="L884" s="1" t="b">
        <f>(Requirements!L901&lt;&gt;"Non-testable")</f>
        <v>1</v>
      </c>
      <c r="M884" s="1" t="b">
        <f>(VLOOKUP(Requirements!I901,Scope[[Role]:[Description]],2,FALSE)="In")</f>
        <v>0</v>
      </c>
      <c r="N884" s="1">
        <f t="shared" si="55"/>
        <v>0</v>
      </c>
    </row>
    <row r="885" spans="1:14">
      <c r="A885" s="1" t="str">
        <f>Requirements!A902</f>
        <v>MS-WSP_R880</v>
      </c>
      <c r="B885" s="1"/>
      <c r="C885" s="1"/>
      <c r="D885" s="1"/>
      <c r="E885" s="1"/>
      <c r="F885" s="1"/>
      <c r="G885" s="1"/>
      <c r="H885" s="3">
        <f t="shared" si="52"/>
        <v>0</v>
      </c>
      <c r="I885" s="6">
        <f t="shared" si="53"/>
        <v>0</v>
      </c>
      <c r="J885" s="1" t="b">
        <f t="shared" si="54"/>
        <v>0</v>
      </c>
      <c r="K885" s="1" t="b">
        <f>(Requirements!K902="Normative")</f>
        <v>1</v>
      </c>
      <c r="L885" s="1" t="b">
        <f>(Requirements!L902&lt;&gt;"Non-testable")</f>
        <v>1</v>
      </c>
      <c r="M885" s="1" t="b">
        <f>(VLOOKUP(Requirements!I902,Scope[[Role]:[Description]],2,FALSE)="In")</f>
        <v>0</v>
      </c>
      <c r="N885" s="1">
        <f t="shared" si="55"/>
        <v>0</v>
      </c>
    </row>
    <row r="886" spans="1:14">
      <c r="A886" s="1" t="str">
        <f>Requirements!A903</f>
        <v>MS-WSP_R881</v>
      </c>
      <c r="B886" s="1"/>
      <c r="C886" s="1"/>
      <c r="D886" s="1"/>
      <c r="E886" s="1"/>
      <c r="F886" s="1"/>
      <c r="G886" s="1"/>
      <c r="H886" s="3">
        <f t="shared" si="52"/>
        <v>0</v>
      </c>
      <c r="I886" s="6">
        <f t="shared" si="53"/>
        <v>0</v>
      </c>
      <c r="J886" s="1" t="b">
        <f t="shared" si="54"/>
        <v>0</v>
      </c>
      <c r="K886" s="1" t="b">
        <f>(Requirements!K903="Normative")</f>
        <v>1</v>
      </c>
      <c r="L886" s="1" t="b">
        <f>(Requirements!L903&lt;&gt;"Non-testable")</f>
        <v>1</v>
      </c>
      <c r="M886" s="1" t="b">
        <f>(VLOOKUP(Requirements!I903,Scope[[Role]:[Description]],2,FALSE)="In")</f>
        <v>0</v>
      </c>
      <c r="N886" s="1">
        <f t="shared" si="55"/>
        <v>0</v>
      </c>
    </row>
    <row r="887" spans="1:14">
      <c r="A887" s="1" t="str">
        <f>Requirements!A904</f>
        <v>MS-WSP_R882</v>
      </c>
      <c r="B887" s="1"/>
      <c r="C887" s="1"/>
      <c r="D887" s="1"/>
      <c r="E887" s="1"/>
      <c r="F887" s="1"/>
      <c r="G887" s="1"/>
      <c r="H887" s="3">
        <f t="shared" si="52"/>
        <v>0</v>
      </c>
      <c r="I887" s="6">
        <f t="shared" si="53"/>
        <v>0</v>
      </c>
      <c r="J887" s="1" t="b">
        <f t="shared" si="54"/>
        <v>0</v>
      </c>
      <c r="K887" s="1" t="b">
        <f>(Requirements!K904="Normative")</f>
        <v>1</v>
      </c>
      <c r="L887" s="1" t="b">
        <f>(Requirements!L904&lt;&gt;"Non-testable")</f>
        <v>1</v>
      </c>
      <c r="M887" s="1" t="b">
        <f>(VLOOKUP(Requirements!I904,Scope[[Role]:[Description]],2,FALSE)="In")</f>
        <v>0</v>
      </c>
      <c r="N887" s="1">
        <f t="shared" si="55"/>
        <v>0</v>
      </c>
    </row>
    <row r="888" spans="1:14">
      <c r="A888" s="1" t="str">
        <f>Requirements!A905</f>
        <v>MS-WSP_R883</v>
      </c>
      <c r="B888" s="1"/>
      <c r="C888" s="1"/>
      <c r="D888" s="1"/>
      <c r="E888" s="1"/>
      <c r="F888" s="1"/>
      <c r="G888" s="1"/>
      <c r="H888" s="3">
        <f t="shared" si="52"/>
        <v>0</v>
      </c>
      <c r="I888" s="6">
        <f t="shared" si="53"/>
        <v>0</v>
      </c>
      <c r="J888" s="1" t="b">
        <f t="shared" si="54"/>
        <v>0</v>
      </c>
      <c r="K888" s="1" t="b">
        <f>(Requirements!K905="Normative")</f>
        <v>1</v>
      </c>
      <c r="L888" s="1" t="b">
        <f>(Requirements!L905&lt;&gt;"Non-testable")</f>
        <v>1</v>
      </c>
      <c r="M888" s="1" t="b">
        <f>(VLOOKUP(Requirements!I905,Scope[[Role]:[Description]],2,FALSE)="In")</f>
        <v>0</v>
      </c>
      <c r="N888" s="1">
        <f t="shared" si="55"/>
        <v>0</v>
      </c>
    </row>
    <row r="889" spans="1:14">
      <c r="A889" s="1" t="str">
        <f>Requirements!A906</f>
        <v>MS-WSP_R884</v>
      </c>
      <c r="B889" s="1"/>
      <c r="C889" s="1"/>
      <c r="D889" s="1"/>
      <c r="E889" s="1"/>
      <c r="F889" s="1"/>
      <c r="G889" s="1"/>
      <c r="H889" s="3">
        <f t="shared" si="52"/>
        <v>0</v>
      </c>
      <c r="I889" s="6">
        <f t="shared" si="53"/>
        <v>0</v>
      </c>
      <c r="J889" s="1" t="b">
        <f t="shared" si="54"/>
        <v>0</v>
      </c>
      <c r="K889" s="1" t="b">
        <f>(Requirements!K906="Normative")</f>
        <v>1</v>
      </c>
      <c r="L889" s="1" t="b">
        <f>(Requirements!L906&lt;&gt;"Non-testable")</f>
        <v>1</v>
      </c>
      <c r="M889" s="1" t="b">
        <f>(VLOOKUP(Requirements!I906,Scope[[Role]:[Description]],2,FALSE)="In")</f>
        <v>0</v>
      </c>
      <c r="N889" s="1">
        <f t="shared" si="55"/>
        <v>0</v>
      </c>
    </row>
    <row r="890" spans="1:14">
      <c r="A890" s="1" t="str">
        <f>Requirements!A907</f>
        <v>MS-WSP_R885</v>
      </c>
      <c r="B890" s="1"/>
      <c r="C890" s="1"/>
      <c r="D890" s="1"/>
      <c r="E890" s="1"/>
      <c r="F890" s="1"/>
      <c r="G890" s="1"/>
      <c r="H890" s="3">
        <f t="shared" si="52"/>
        <v>0</v>
      </c>
      <c r="I890" s="6">
        <f t="shared" si="53"/>
        <v>0</v>
      </c>
      <c r="J890" s="1" t="b">
        <f t="shared" si="54"/>
        <v>0</v>
      </c>
      <c r="K890" s="1" t="b">
        <f>(Requirements!K907="Normative")</f>
        <v>1</v>
      </c>
      <c r="L890" s="1" t="b">
        <f>(Requirements!L907&lt;&gt;"Non-testable")</f>
        <v>1</v>
      </c>
      <c r="M890" s="1" t="b">
        <f>(VLOOKUP(Requirements!I907,Scope[[Role]:[Description]],2,FALSE)="In")</f>
        <v>0</v>
      </c>
      <c r="N890" s="1">
        <f t="shared" si="55"/>
        <v>0</v>
      </c>
    </row>
    <row r="891" spans="1:14">
      <c r="A891" s="1" t="str">
        <f>Requirements!A908</f>
        <v>MS-WSP_R886</v>
      </c>
      <c r="B891" s="1"/>
      <c r="C891" s="1"/>
      <c r="D891" s="1"/>
      <c r="E891" s="1"/>
      <c r="F891" s="1"/>
      <c r="G891" s="1"/>
      <c r="H891" s="3">
        <f t="shared" si="52"/>
        <v>0</v>
      </c>
      <c r="I891" s="6">
        <f t="shared" si="53"/>
        <v>0</v>
      </c>
      <c r="J891" s="1" t="b">
        <f t="shared" si="54"/>
        <v>0</v>
      </c>
      <c r="K891" s="1" t="b">
        <f>(Requirements!K908="Normative")</f>
        <v>0</v>
      </c>
      <c r="L891" s="1" t="b">
        <f>(Requirements!L908&lt;&gt;"Non-testable")</f>
        <v>1</v>
      </c>
      <c r="M891" s="1" t="b">
        <f>(VLOOKUP(Requirements!I908,Scope[[Role]:[Description]],2,FALSE)="In")</f>
        <v>0</v>
      </c>
      <c r="N891" s="1">
        <f t="shared" si="55"/>
        <v>0</v>
      </c>
    </row>
    <row r="892" spans="1:14">
      <c r="A892" s="1" t="str">
        <f>Requirements!A909</f>
        <v>MS-WSP_R887</v>
      </c>
      <c r="B892" s="1"/>
      <c r="C892" s="1"/>
      <c r="D892" s="1"/>
      <c r="E892" s="1"/>
      <c r="F892" s="1"/>
      <c r="G892" s="1"/>
      <c r="H892" s="3">
        <f t="shared" si="52"/>
        <v>0</v>
      </c>
      <c r="I892" s="6">
        <f t="shared" si="53"/>
        <v>0</v>
      </c>
      <c r="J892" s="1" t="b">
        <f t="shared" si="54"/>
        <v>0</v>
      </c>
      <c r="K892" s="1" t="b">
        <f>(Requirements!K909="Normative")</f>
        <v>0</v>
      </c>
      <c r="L892" s="1" t="b">
        <f>(Requirements!L909&lt;&gt;"Non-testable")</f>
        <v>1</v>
      </c>
      <c r="M892" s="1" t="b">
        <f>(VLOOKUP(Requirements!I909,Scope[[Role]:[Description]],2,FALSE)="In")</f>
        <v>0</v>
      </c>
      <c r="N892" s="1">
        <f t="shared" si="55"/>
        <v>0</v>
      </c>
    </row>
    <row r="893" spans="1:14">
      <c r="A893" s="1" t="str">
        <f>Requirements!A910</f>
        <v>MS-WSP_R888</v>
      </c>
      <c r="B893" s="1"/>
      <c r="C893" s="1"/>
      <c r="D893" s="1"/>
      <c r="E893" s="1"/>
      <c r="F893" s="1"/>
      <c r="G893" s="1"/>
      <c r="H893" s="3">
        <f t="shared" si="52"/>
        <v>0</v>
      </c>
      <c r="I893" s="6">
        <f t="shared" si="53"/>
        <v>0</v>
      </c>
      <c r="J893" s="1" t="b">
        <f t="shared" si="54"/>
        <v>0</v>
      </c>
      <c r="K893" s="1" t="b">
        <f>(Requirements!K910="Normative")</f>
        <v>0</v>
      </c>
      <c r="L893" s="1" t="b">
        <f>(Requirements!L910&lt;&gt;"Non-testable")</f>
        <v>1</v>
      </c>
      <c r="M893" s="1" t="b">
        <f>(VLOOKUP(Requirements!I910,Scope[[Role]:[Description]],2,FALSE)="In")</f>
        <v>0</v>
      </c>
      <c r="N893" s="1">
        <f t="shared" si="55"/>
        <v>0</v>
      </c>
    </row>
    <row r="894" spans="1:14">
      <c r="A894" s="1" t="str">
        <f>Requirements!A911</f>
        <v>MS-WSP_R889</v>
      </c>
      <c r="B894" s="1"/>
      <c r="C894" s="1"/>
      <c r="D894" s="1"/>
      <c r="E894" s="1"/>
      <c r="F894" s="1"/>
      <c r="G894" s="1"/>
      <c r="H894" s="3">
        <f t="shared" si="52"/>
        <v>0</v>
      </c>
      <c r="I894" s="6">
        <f t="shared" si="53"/>
        <v>0</v>
      </c>
      <c r="J894" s="1" t="b">
        <f t="shared" si="54"/>
        <v>0</v>
      </c>
      <c r="K894" s="1" t="b">
        <f>(Requirements!K911="Normative")</f>
        <v>0</v>
      </c>
      <c r="L894" s="1" t="b">
        <f>(Requirements!L911&lt;&gt;"Non-testable")</f>
        <v>1</v>
      </c>
      <c r="M894" s="1" t="b">
        <f>(VLOOKUP(Requirements!I911,Scope[[Role]:[Description]],2,FALSE)="In")</f>
        <v>0</v>
      </c>
      <c r="N894" s="1">
        <f t="shared" si="55"/>
        <v>0</v>
      </c>
    </row>
    <row r="895" spans="1:14">
      <c r="A895" s="1" t="str">
        <f>Requirements!A912</f>
        <v>MS-WSP_R890</v>
      </c>
      <c r="B895" s="1"/>
      <c r="C895" s="1"/>
      <c r="D895" s="1"/>
      <c r="E895" s="1"/>
      <c r="F895" s="1"/>
      <c r="G895" s="1"/>
      <c r="H895" s="3">
        <f t="shared" si="52"/>
        <v>0</v>
      </c>
      <c r="I895" s="6">
        <f t="shared" si="53"/>
        <v>0</v>
      </c>
      <c r="J895" s="1" t="b">
        <f t="shared" si="54"/>
        <v>0</v>
      </c>
      <c r="K895" s="1" t="b">
        <f>(Requirements!K912="Normative")</f>
        <v>0</v>
      </c>
      <c r="L895" s="1" t="b">
        <f>(Requirements!L912&lt;&gt;"Non-testable")</f>
        <v>1</v>
      </c>
      <c r="M895" s="1" t="b">
        <f>(VLOOKUP(Requirements!I912,Scope[[Role]:[Description]],2,FALSE)="In")</f>
        <v>0</v>
      </c>
      <c r="N895" s="1">
        <f t="shared" si="55"/>
        <v>0</v>
      </c>
    </row>
    <row r="896" spans="1:14">
      <c r="A896" s="1" t="str">
        <f>Requirements!A913</f>
        <v>MS-WSP_R891</v>
      </c>
      <c r="B896" s="1"/>
      <c r="C896" s="1"/>
      <c r="D896" s="1"/>
      <c r="E896" s="1"/>
      <c r="F896" s="1"/>
      <c r="G896" s="1"/>
      <c r="H896" s="3">
        <f t="shared" si="52"/>
        <v>0</v>
      </c>
      <c r="I896" s="6">
        <f t="shared" si="53"/>
        <v>0</v>
      </c>
      <c r="J896" s="1" t="b">
        <f t="shared" si="54"/>
        <v>0</v>
      </c>
      <c r="K896" s="1" t="b">
        <f>(Requirements!K913="Normative")</f>
        <v>0</v>
      </c>
      <c r="L896" s="1" t="b">
        <f>(Requirements!L913&lt;&gt;"Non-testable")</f>
        <v>1</v>
      </c>
      <c r="M896" s="1" t="b">
        <f>(VLOOKUP(Requirements!I913,Scope[[Role]:[Description]],2,FALSE)="In")</f>
        <v>0</v>
      </c>
      <c r="N896" s="1">
        <f t="shared" si="55"/>
        <v>0</v>
      </c>
    </row>
    <row r="897" spans="1:14">
      <c r="A897" s="1" t="str">
        <f>Requirements!A914</f>
        <v>MS-WSP_R892</v>
      </c>
      <c r="B897" s="1"/>
      <c r="C897" s="1"/>
      <c r="D897" s="1"/>
      <c r="E897" s="1"/>
      <c r="F897" s="1"/>
      <c r="G897" s="1"/>
      <c r="H897" s="3">
        <f t="shared" si="52"/>
        <v>0</v>
      </c>
      <c r="I897" s="6">
        <f t="shared" si="53"/>
        <v>0</v>
      </c>
      <c r="J897" s="1" t="b">
        <f t="shared" si="54"/>
        <v>0</v>
      </c>
      <c r="K897" s="1" t="b">
        <f>(Requirements!K914="Normative")</f>
        <v>0</v>
      </c>
      <c r="L897" s="1" t="b">
        <f>(Requirements!L914&lt;&gt;"Non-testable")</f>
        <v>1</v>
      </c>
      <c r="M897" s="1" t="b">
        <f>(VLOOKUP(Requirements!I914,Scope[[Role]:[Description]],2,FALSE)="In")</f>
        <v>0</v>
      </c>
      <c r="N897" s="1">
        <f t="shared" si="55"/>
        <v>0</v>
      </c>
    </row>
    <row r="898" spans="1:14">
      <c r="A898" s="1" t="str">
        <f>Requirements!A915</f>
        <v>MS-WSP_R893</v>
      </c>
      <c r="B898" s="1"/>
      <c r="C898" s="1"/>
      <c r="D898" s="1"/>
      <c r="E898" s="1"/>
      <c r="F898" s="1"/>
      <c r="G898" s="1"/>
      <c r="H898" s="3">
        <f t="shared" si="52"/>
        <v>0</v>
      </c>
      <c r="I898" s="6">
        <f t="shared" si="53"/>
        <v>0</v>
      </c>
      <c r="J898" s="1" t="b">
        <f t="shared" si="54"/>
        <v>0</v>
      </c>
      <c r="K898" s="1" t="b">
        <f>(Requirements!K915="Normative")</f>
        <v>0</v>
      </c>
      <c r="L898" s="1" t="b">
        <f>(Requirements!L915&lt;&gt;"Non-testable")</f>
        <v>1</v>
      </c>
      <c r="M898" s="1" t="b">
        <f>(VLOOKUP(Requirements!I915,Scope[[Role]:[Description]],2,FALSE)="In")</f>
        <v>0</v>
      </c>
      <c r="N898" s="1">
        <f t="shared" si="55"/>
        <v>0</v>
      </c>
    </row>
    <row r="899" spans="1:14">
      <c r="A899" s="1" t="str">
        <f>Requirements!A916</f>
        <v>MS-WSP_R894</v>
      </c>
      <c r="B899" s="1"/>
      <c r="C899" s="1"/>
      <c r="D899" s="1"/>
      <c r="E899" s="1"/>
      <c r="F899" s="1"/>
      <c r="G899" s="1"/>
      <c r="H899" s="3">
        <f t="shared" si="52"/>
        <v>0</v>
      </c>
      <c r="I899" s="6">
        <f t="shared" si="53"/>
        <v>0</v>
      </c>
      <c r="J899" s="1" t="b">
        <f t="shared" si="54"/>
        <v>0</v>
      </c>
      <c r="K899" s="1" t="b">
        <f>(Requirements!K916="Normative")</f>
        <v>0</v>
      </c>
      <c r="L899" s="1" t="b">
        <f>(Requirements!L916&lt;&gt;"Non-testable")</f>
        <v>1</v>
      </c>
      <c r="M899" s="1" t="b">
        <f>(VLOOKUP(Requirements!I916,Scope[[Role]:[Description]],2,FALSE)="In")</f>
        <v>0</v>
      </c>
      <c r="N899" s="1">
        <f t="shared" si="55"/>
        <v>0</v>
      </c>
    </row>
    <row r="900" spans="1:14">
      <c r="A900" s="1" t="str">
        <f>Requirements!A917</f>
        <v>MS-WSP_R895</v>
      </c>
      <c r="B900" s="1"/>
      <c r="C900" s="1"/>
      <c r="D900" s="1"/>
      <c r="E900" s="1"/>
      <c r="F900" s="1"/>
      <c r="G900" s="1"/>
      <c r="H900" s="3">
        <f t="shared" si="52"/>
        <v>0</v>
      </c>
      <c r="I900" s="6">
        <f t="shared" si="53"/>
        <v>0</v>
      </c>
      <c r="J900" s="1" t="b">
        <f t="shared" si="54"/>
        <v>0</v>
      </c>
      <c r="K900" s="1" t="b">
        <f>(Requirements!K917="Normative")</f>
        <v>1</v>
      </c>
      <c r="L900" s="1" t="b">
        <f>(Requirements!L917&lt;&gt;"Non-testable")</f>
        <v>1</v>
      </c>
      <c r="M900" s="1" t="b">
        <f>(VLOOKUP(Requirements!I917,Scope[[Role]:[Description]],2,FALSE)="In")</f>
        <v>0</v>
      </c>
      <c r="N900" s="1">
        <f t="shared" si="55"/>
        <v>0</v>
      </c>
    </row>
    <row r="901" spans="1:14">
      <c r="A901" s="1" t="str">
        <f>Requirements!A918</f>
        <v>MS-WSP_R896</v>
      </c>
      <c r="B901" s="1"/>
      <c r="C901" s="1"/>
      <c r="D901" s="1"/>
      <c r="E901" s="1"/>
      <c r="F901" s="1"/>
      <c r="G901" s="1"/>
      <c r="H901" s="3">
        <f t="shared" si="52"/>
        <v>0</v>
      </c>
      <c r="I901" s="6">
        <f t="shared" si="53"/>
        <v>0</v>
      </c>
      <c r="J901" s="1" t="b">
        <f t="shared" si="54"/>
        <v>0</v>
      </c>
      <c r="K901" s="1" t="b">
        <f>(Requirements!K918="Normative")</f>
        <v>1</v>
      </c>
      <c r="L901" s="1" t="b">
        <f>(Requirements!L918&lt;&gt;"Non-testable")</f>
        <v>1</v>
      </c>
      <c r="M901" s="1" t="b">
        <f>(VLOOKUP(Requirements!I918,Scope[[Role]:[Description]],2,FALSE)="In")</f>
        <v>0</v>
      </c>
      <c r="N901" s="1">
        <f t="shared" si="55"/>
        <v>0</v>
      </c>
    </row>
    <row r="902" spans="1:14">
      <c r="A902" s="1" t="str">
        <f>Requirements!A919</f>
        <v>MS-WSP_R897</v>
      </c>
      <c r="B902" s="1"/>
      <c r="C902" s="1"/>
      <c r="D902" s="1"/>
      <c r="E902" s="1"/>
      <c r="F902" s="1"/>
      <c r="G902" s="1"/>
      <c r="H902" s="3">
        <f t="shared" ref="H902:H947" si="56">SUM(B902:G902)</f>
        <v>0</v>
      </c>
      <c r="I902" s="6">
        <f t="shared" si="53"/>
        <v>0</v>
      </c>
      <c r="J902" s="1" t="b">
        <f t="shared" si="54"/>
        <v>0</v>
      </c>
      <c r="K902" s="1" t="b">
        <f>(Requirements!K919="Normative")</f>
        <v>1</v>
      </c>
      <c r="L902" s="1" t="b">
        <f>(Requirements!L919&lt;&gt;"Non-testable")</f>
        <v>1</v>
      </c>
      <c r="M902" s="1" t="b">
        <f>(VLOOKUP(Requirements!I919,Scope[[Role]:[Description]],2,FALSE)="In")</f>
        <v>0</v>
      </c>
      <c r="N902" s="1">
        <f t="shared" si="55"/>
        <v>0</v>
      </c>
    </row>
    <row r="903" spans="1:14">
      <c r="A903" s="1" t="str">
        <f>Requirements!A920</f>
        <v>MS-WSP_R898</v>
      </c>
      <c r="B903" s="1"/>
      <c r="C903" s="1"/>
      <c r="D903" s="1"/>
      <c r="E903" s="1"/>
      <c r="F903" s="1"/>
      <c r="G903" s="1"/>
      <c r="H903" s="3">
        <f t="shared" si="56"/>
        <v>0</v>
      </c>
      <c r="I903" s="6">
        <f t="shared" ref="I903:I947" si="57">IF(H903=0,0,1)</f>
        <v>0</v>
      </c>
      <c r="J903" s="1" t="b">
        <f t="shared" ref="J903:J949" si="58">AND(K903:M903)</f>
        <v>0</v>
      </c>
      <c r="K903" s="1" t="b">
        <f>(Requirements!K920="Normative")</f>
        <v>1</v>
      </c>
      <c r="L903" s="1" t="b">
        <f>(Requirements!L920&lt;&gt;"Non-testable")</f>
        <v>1</v>
      </c>
      <c r="M903" s="1" t="b">
        <f>(VLOOKUP(Requirements!I920,Scope[[Role]:[Description]],2,FALSE)="In")</f>
        <v>0</v>
      </c>
      <c r="N903" s="1">
        <f t="shared" ref="N903:N949" si="59">IF(J903,I903,0)</f>
        <v>0</v>
      </c>
    </row>
    <row r="904" spans="1:14">
      <c r="A904" s="1" t="str">
        <f>Requirements!A921</f>
        <v>MS-WSP_R899</v>
      </c>
      <c r="B904" s="1"/>
      <c r="C904" s="1"/>
      <c r="D904" s="1"/>
      <c r="E904" s="1"/>
      <c r="F904" s="1"/>
      <c r="G904" s="1"/>
      <c r="H904" s="3">
        <f t="shared" si="56"/>
        <v>0</v>
      </c>
      <c r="I904" s="6">
        <f t="shared" si="57"/>
        <v>0</v>
      </c>
      <c r="J904" s="1" t="b">
        <f t="shared" si="58"/>
        <v>0</v>
      </c>
      <c r="K904" s="1" t="b">
        <f>(Requirements!K921="Normative")</f>
        <v>1</v>
      </c>
      <c r="L904" s="1" t="b">
        <f>(Requirements!L921&lt;&gt;"Non-testable")</f>
        <v>1</v>
      </c>
      <c r="M904" s="1" t="b">
        <f>(VLOOKUP(Requirements!I921,Scope[[Role]:[Description]],2,FALSE)="In")</f>
        <v>0</v>
      </c>
      <c r="N904" s="1">
        <f t="shared" si="59"/>
        <v>0</v>
      </c>
    </row>
    <row r="905" spans="1:14">
      <c r="A905" s="1" t="str">
        <f>Requirements!A922</f>
        <v>MS-WSP_R900</v>
      </c>
      <c r="B905" s="1"/>
      <c r="C905" s="1"/>
      <c r="D905" s="1"/>
      <c r="E905" s="1"/>
      <c r="F905" s="1"/>
      <c r="G905" s="1"/>
      <c r="H905" s="3">
        <f t="shared" si="56"/>
        <v>0</v>
      </c>
      <c r="I905" s="6">
        <f t="shared" si="57"/>
        <v>0</v>
      </c>
      <c r="J905" s="1" t="b">
        <f t="shared" si="58"/>
        <v>0</v>
      </c>
      <c r="K905" s="1" t="b">
        <f>(Requirements!K922="Normative")</f>
        <v>1</v>
      </c>
      <c r="L905" s="1" t="b">
        <f>(Requirements!L922&lt;&gt;"Non-testable")</f>
        <v>1</v>
      </c>
      <c r="M905" s="1" t="b">
        <f>(VLOOKUP(Requirements!I922,Scope[[Role]:[Description]],2,FALSE)="In")</f>
        <v>0</v>
      </c>
      <c r="N905" s="1">
        <f t="shared" si="59"/>
        <v>0</v>
      </c>
    </row>
    <row r="906" spans="1:14">
      <c r="A906" s="1" t="str">
        <f>Requirements!A923</f>
        <v>MS-WSP_R901</v>
      </c>
      <c r="B906" s="1"/>
      <c r="C906" s="1"/>
      <c r="D906" s="1"/>
      <c r="E906" s="1"/>
      <c r="F906" s="1"/>
      <c r="G906" s="1"/>
      <c r="H906" s="3">
        <f t="shared" si="56"/>
        <v>0</v>
      </c>
      <c r="I906" s="6">
        <f t="shared" si="57"/>
        <v>0</v>
      </c>
      <c r="J906" s="1" t="b">
        <f t="shared" si="58"/>
        <v>0</v>
      </c>
      <c r="K906" s="1" t="b">
        <f>(Requirements!K923="Normative")</f>
        <v>0</v>
      </c>
      <c r="L906" s="1" t="b">
        <f>(Requirements!L923&lt;&gt;"Non-testable")</f>
        <v>1</v>
      </c>
      <c r="M906" s="1" t="b">
        <f>(VLOOKUP(Requirements!I923,Scope[[Role]:[Description]],2,FALSE)="In")</f>
        <v>0</v>
      </c>
      <c r="N906" s="1">
        <f t="shared" si="59"/>
        <v>0</v>
      </c>
    </row>
    <row r="907" spans="1:14">
      <c r="A907" s="1" t="str">
        <f>Requirements!A924</f>
        <v>MS-WSP_R902</v>
      </c>
      <c r="B907" s="1"/>
      <c r="C907" s="1"/>
      <c r="D907" s="1"/>
      <c r="E907" s="1"/>
      <c r="F907" s="1"/>
      <c r="G907" s="1"/>
      <c r="H907" s="3">
        <f t="shared" si="56"/>
        <v>0</v>
      </c>
      <c r="I907" s="6">
        <f t="shared" si="57"/>
        <v>0</v>
      </c>
      <c r="J907" s="1" t="b">
        <f t="shared" si="58"/>
        <v>0</v>
      </c>
      <c r="K907" s="1" t="b">
        <f>(Requirements!K924="Normative")</f>
        <v>0</v>
      </c>
      <c r="L907" s="1" t="b">
        <f>(Requirements!L924&lt;&gt;"Non-testable")</f>
        <v>1</v>
      </c>
      <c r="M907" s="1" t="b">
        <f>(VLOOKUP(Requirements!I924,Scope[[Role]:[Description]],2,FALSE)="In")</f>
        <v>0</v>
      </c>
      <c r="N907" s="1">
        <f t="shared" si="59"/>
        <v>0</v>
      </c>
    </row>
    <row r="908" spans="1:14">
      <c r="A908" s="1" t="str">
        <f>Requirements!A925</f>
        <v>MS-WSP_R903</v>
      </c>
      <c r="B908" s="1"/>
      <c r="C908" s="1"/>
      <c r="D908" s="1"/>
      <c r="E908" s="1"/>
      <c r="F908" s="1"/>
      <c r="G908" s="1"/>
      <c r="H908" s="3">
        <f t="shared" si="56"/>
        <v>0</v>
      </c>
      <c r="I908" s="6">
        <f t="shared" si="57"/>
        <v>0</v>
      </c>
      <c r="J908" s="1" t="b">
        <f t="shared" si="58"/>
        <v>0</v>
      </c>
      <c r="K908" s="1" t="b">
        <f>(Requirements!K925="Normative")</f>
        <v>1</v>
      </c>
      <c r="L908" s="1" t="b">
        <f>(Requirements!L925&lt;&gt;"Non-testable")</f>
        <v>1</v>
      </c>
      <c r="M908" s="1" t="b">
        <f>(VLOOKUP(Requirements!I925,Scope[[Role]:[Description]],2,FALSE)="In")</f>
        <v>0</v>
      </c>
      <c r="N908" s="1">
        <f t="shared" si="59"/>
        <v>0</v>
      </c>
    </row>
    <row r="909" spans="1:14">
      <c r="A909" s="1" t="str">
        <f>Requirements!A926</f>
        <v>MS-WSP_R904</v>
      </c>
      <c r="B909" s="1">
        <v>1</v>
      </c>
      <c r="C909" s="1">
        <v>1</v>
      </c>
      <c r="D909" s="1">
        <v>1</v>
      </c>
      <c r="E909" s="1"/>
      <c r="F909" s="1"/>
      <c r="G909" s="1"/>
      <c r="H909" s="3">
        <f t="shared" si="56"/>
        <v>3</v>
      </c>
      <c r="I909" s="6">
        <f t="shared" si="57"/>
        <v>1</v>
      </c>
      <c r="J909" s="1" t="b">
        <f t="shared" si="58"/>
        <v>1</v>
      </c>
      <c r="K909" s="1" t="b">
        <f>(Requirements!K926="Normative")</f>
        <v>1</v>
      </c>
      <c r="L909" s="1" t="b">
        <f>(Requirements!L926&lt;&gt;"Non-testable")</f>
        <v>1</v>
      </c>
      <c r="M909" s="1" t="b">
        <f>(VLOOKUP(Requirements!I926,Scope[[Role]:[Description]],2,FALSE)="In")</f>
        <v>1</v>
      </c>
      <c r="N909" s="1">
        <f t="shared" si="59"/>
        <v>1</v>
      </c>
    </row>
    <row r="910" spans="1:14">
      <c r="A910" s="1" t="str">
        <f>Requirements!A927</f>
        <v>MS-WSP_R905</v>
      </c>
      <c r="B910" s="1"/>
      <c r="C910" s="1"/>
      <c r="D910" s="1"/>
      <c r="E910" s="1"/>
      <c r="F910" s="1"/>
      <c r="G910" s="1"/>
      <c r="H910" s="3">
        <f t="shared" si="56"/>
        <v>0</v>
      </c>
      <c r="I910" s="6">
        <f t="shared" si="57"/>
        <v>0</v>
      </c>
      <c r="J910" s="1" t="b">
        <f t="shared" si="58"/>
        <v>0</v>
      </c>
      <c r="K910" s="1" t="b">
        <f>(Requirements!K927="Normative")</f>
        <v>1</v>
      </c>
      <c r="L910" s="1" t="b">
        <f>(Requirements!L927&lt;&gt;"Non-testable")</f>
        <v>1</v>
      </c>
      <c r="M910" s="1" t="b">
        <f>(VLOOKUP(Requirements!I927,Scope[[Role]:[Description]],2,FALSE)="In")</f>
        <v>0</v>
      </c>
      <c r="N910" s="1">
        <f t="shared" si="59"/>
        <v>0</v>
      </c>
    </row>
    <row r="911" spans="1:14">
      <c r="A911" s="1" t="str">
        <f>Requirements!A928</f>
        <v>MS-WSP_R906</v>
      </c>
      <c r="B911" s="1"/>
      <c r="C911" s="1"/>
      <c r="D911" s="1"/>
      <c r="E911" s="1"/>
      <c r="F911" s="1"/>
      <c r="G911" s="1"/>
      <c r="H911" s="3">
        <f t="shared" si="56"/>
        <v>0</v>
      </c>
      <c r="I911" s="6">
        <f t="shared" si="57"/>
        <v>0</v>
      </c>
      <c r="J911" s="1" t="b">
        <f t="shared" si="58"/>
        <v>0</v>
      </c>
      <c r="K911" s="1" t="b">
        <f>(Requirements!K928="Normative")</f>
        <v>1</v>
      </c>
      <c r="L911" s="1" t="b">
        <f>(Requirements!L928&lt;&gt;"Non-testable")</f>
        <v>1</v>
      </c>
      <c r="M911" s="1" t="b">
        <f>(VLOOKUP(Requirements!I928,Scope[[Role]:[Description]],2,FALSE)="In")</f>
        <v>0</v>
      </c>
      <c r="N911" s="1">
        <f t="shared" si="59"/>
        <v>0</v>
      </c>
    </row>
    <row r="912" spans="1:14">
      <c r="A912" s="1" t="str">
        <f>Requirements!A929</f>
        <v>MS-WSP_R907</v>
      </c>
      <c r="B912" s="1">
        <v>1</v>
      </c>
      <c r="C912" s="1">
        <v>1</v>
      </c>
      <c r="D912" s="1"/>
      <c r="E912" s="1"/>
      <c r="F912" s="1"/>
      <c r="G912" s="1"/>
      <c r="H912" s="3">
        <f t="shared" si="56"/>
        <v>2</v>
      </c>
      <c r="I912" s="6">
        <f t="shared" si="57"/>
        <v>1</v>
      </c>
      <c r="J912" s="1" t="b">
        <f t="shared" si="58"/>
        <v>1</v>
      </c>
      <c r="K912" s="1" t="b">
        <f>(Requirements!K929="Normative")</f>
        <v>1</v>
      </c>
      <c r="L912" s="1" t="b">
        <f>(Requirements!L929&lt;&gt;"Non-testable")</f>
        <v>1</v>
      </c>
      <c r="M912" s="1" t="b">
        <f>(VLOOKUP(Requirements!I929,Scope[[Role]:[Description]],2,FALSE)="In")</f>
        <v>1</v>
      </c>
      <c r="N912" s="1">
        <f t="shared" si="59"/>
        <v>1</v>
      </c>
    </row>
    <row r="913" spans="1:14">
      <c r="A913" s="1" t="str">
        <f>Requirements!A930</f>
        <v>MS-WSP_R908</v>
      </c>
      <c r="B913" s="1"/>
      <c r="C913" s="1"/>
      <c r="D913" s="1"/>
      <c r="E913" s="1"/>
      <c r="F913" s="1"/>
      <c r="G913" s="1"/>
      <c r="H913" s="3">
        <f t="shared" si="56"/>
        <v>0</v>
      </c>
      <c r="I913" s="6">
        <f t="shared" si="57"/>
        <v>0</v>
      </c>
      <c r="J913" s="1" t="b">
        <f t="shared" si="58"/>
        <v>0</v>
      </c>
      <c r="K913" s="1" t="b">
        <f>(Requirements!K930="Normative")</f>
        <v>1</v>
      </c>
      <c r="L913" s="1" t="b">
        <f>(Requirements!L930&lt;&gt;"Non-testable")</f>
        <v>1</v>
      </c>
      <c r="M913" s="1" t="b">
        <f>(VLOOKUP(Requirements!I930,Scope[[Role]:[Description]],2,FALSE)="In")</f>
        <v>0</v>
      </c>
      <c r="N913" s="1">
        <f t="shared" si="59"/>
        <v>0</v>
      </c>
    </row>
    <row r="914" spans="1:14">
      <c r="A914" s="1" t="str">
        <f>Requirements!A931</f>
        <v>MS-WSP_R909</v>
      </c>
      <c r="B914" s="1">
        <v>1</v>
      </c>
      <c r="C914" s="1">
        <v>1</v>
      </c>
      <c r="D914" s="1"/>
      <c r="E914" s="1"/>
      <c r="F914" s="1"/>
      <c r="G914" s="1"/>
      <c r="H914" s="3">
        <f t="shared" si="56"/>
        <v>2</v>
      </c>
      <c r="I914" s="6">
        <f t="shared" si="57"/>
        <v>1</v>
      </c>
      <c r="J914" s="1" t="b">
        <f t="shared" si="58"/>
        <v>1</v>
      </c>
      <c r="K914" s="1" t="b">
        <f>(Requirements!K931="Normative")</f>
        <v>1</v>
      </c>
      <c r="L914" s="1" t="b">
        <f>(Requirements!L931&lt;&gt;"Non-testable")</f>
        <v>1</v>
      </c>
      <c r="M914" s="1" t="b">
        <f>(VLOOKUP(Requirements!I931,Scope[[Role]:[Description]],2,FALSE)="In")</f>
        <v>1</v>
      </c>
      <c r="N914" s="1">
        <f t="shared" si="59"/>
        <v>1</v>
      </c>
    </row>
    <row r="915" spans="1:14">
      <c r="A915" s="1" t="str">
        <f>Requirements!A932</f>
        <v>MS-WSP_R910</v>
      </c>
      <c r="B915" s="1"/>
      <c r="C915" s="1"/>
      <c r="D915" s="1"/>
      <c r="E915" s="1"/>
      <c r="F915" s="1"/>
      <c r="G915" s="1"/>
      <c r="H915" s="3">
        <f t="shared" si="56"/>
        <v>0</v>
      </c>
      <c r="I915" s="6">
        <f t="shared" si="57"/>
        <v>0</v>
      </c>
      <c r="J915" s="1" t="b">
        <f t="shared" si="58"/>
        <v>0</v>
      </c>
      <c r="K915" s="1" t="b">
        <f>(Requirements!K932="Normative")</f>
        <v>1</v>
      </c>
      <c r="L915" s="1" t="b">
        <f>(Requirements!L932&lt;&gt;"Non-testable")</f>
        <v>1</v>
      </c>
      <c r="M915" s="1" t="b">
        <f>(VLOOKUP(Requirements!I932,Scope[[Role]:[Description]],2,FALSE)="In")</f>
        <v>0</v>
      </c>
      <c r="N915" s="1">
        <f t="shared" si="59"/>
        <v>0</v>
      </c>
    </row>
    <row r="916" spans="1:14">
      <c r="A916" s="1" t="str">
        <f>Requirements!A933</f>
        <v>MS-WSP_R911</v>
      </c>
      <c r="B916" s="1">
        <v>1</v>
      </c>
      <c r="C916" s="1"/>
      <c r="D916" s="1"/>
      <c r="E916" s="1"/>
      <c r="F916" s="1"/>
      <c r="G916" s="1"/>
      <c r="H916" s="3">
        <f t="shared" si="56"/>
        <v>1</v>
      </c>
      <c r="I916" s="6">
        <f t="shared" si="57"/>
        <v>1</v>
      </c>
      <c r="J916" s="1" t="b">
        <f t="shared" si="58"/>
        <v>1</v>
      </c>
      <c r="K916" s="1" t="b">
        <f>(Requirements!K933="Normative")</f>
        <v>1</v>
      </c>
      <c r="L916" s="1" t="b">
        <f>(Requirements!L933&lt;&gt;"Non-testable")</f>
        <v>1</v>
      </c>
      <c r="M916" s="1" t="b">
        <f>(VLOOKUP(Requirements!I933,Scope[[Role]:[Description]],2,FALSE)="In")</f>
        <v>1</v>
      </c>
      <c r="N916" s="1">
        <f t="shared" si="59"/>
        <v>1</v>
      </c>
    </row>
    <row r="917" spans="1:14">
      <c r="A917" s="1" t="str">
        <f>Requirements!A934</f>
        <v>MS-WSP_R912</v>
      </c>
      <c r="B917" s="1"/>
      <c r="C917" s="1"/>
      <c r="D917" s="1"/>
      <c r="E917" s="1"/>
      <c r="F917" s="1"/>
      <c r="G917" s="1"/>
      <c r="H917" s="3">
        <f t="shared" si="56"/>
        <v>0</v>
      </c>
      <c r="I917" s="6">
        <f t="shared" si="57"/>
        <v>0</v>
      </c>
      <c r="J917" s="1" t="b">
        <f t="shared" si="58"/>
        <v>0</v>
      </c>
      <c r="K917" s="1" t="b">
        <f>(Requirements!K934="Normative")</f>
        <v>1</v>
      </c>
      <c r="L917" s="1" t="b">
        <f>(Requirements!L934&lt;&gt;"Non-testable")</f>
        <v>1</v>
      </c>
      <c r="M917" s="1" t="b">
        <f>(VLOOKUP(Requirements!I934,Scope[[Role]:[Description]],2,FALSE)="In")</f>
        <v>0</v>
      </c>
      <c r="N917" s="1">
        <f t="shared" si="59"/>
        <v>0</v>
      </c>
    </row>
    <row r="918" spans="1:14">
      <c r="A918" s="1" t="str">
        <f>Requirements!A935</f>
        <v>MS-WSP_R913</v>
      </c>
      <c r="B918" s="1"/>
      <c r="C918" s="1">
        <v>1</v>
      </c>
      <c r="D918" s="1"/>
      <c r="E918" s="1"/>
      <c r="F918" s="1"/>
      <c r="G918" s="1"/>
      <c r="H918" s="3">
        <f t="shared" si="56"/>
        <v>1</v>
      </c>
      <c r="I918" s="6">
        <f t="shared" si="57"/>
        <v>1</v>
      </c>
      <c r="J918" s="1" t="b">
        <f t="shared" si="58"/>
        <v>1</v>
      </c>
      <c r="K918" s="1" t="b">
        <f>(Requirements!K935="Normative")</f>
        <v>1</v>
      </c>
      <c r="L918" s="1" t="b">
        <f>(Requirements!L935&lt;&gt;"Non-testable")</f>
        <v>1</v>
      </c>
      <c r="M918" s="1" t="b">
        <f>(VLOOKUP(Requirements!I935,Scope[[Role]:[Description]],2,FALSE)="In")</f>
        <v>1</v>
      </c>
      <c r="N918" s="1">
        <f t="shared" si="59"/>
        <v>1</v>
      </c>
    </row>
    <row r="919" spans="1:14">
      <c r="A919" s="1" t="str">
        <f>Requirements!A936</f>
        <v>MS-WSP_R914</v>
      </c>
      <c r="B919" s="1"/>
      <c r="C919" s="1"/>
      <c r="D919" s="1"/>
      <c r="E919" s="1"/>
      <c r="F919" s="1"/>
      <c r="G919" s="1"/>
      <c r="H919" s="3">
        <f t="shared" si="56"/>
        <v>0</v>
      </c>
      <c r="I919" s="6">
        <f t="shared" si="57"/>
        <v>0</v>
      </c>
      <c r="J919" s="1" t="b">
        <f t="shared" si="58"/>
        <v>0</v>
      </c>
      <c r="K919" s="1" t="b">
        <f>(Requirements!K936="Normative")</f>
        <v>1</v>
      </c>
      <c r="L919" s="1" t="b">
        <f>(Requirements!L936&lt;&gt;"Non-testable")</f>
        <v>1</v>
      </c>
      <c r="M919" s="1" t="b">
        <f>(VLOOKUP(Requirements!I936,Scope[[Role]:[Description]],2,FALSE)="In")</f>
        <v>0</v>
      </c>
      <c r="N919" s="1">
        <f t="shared" si="59"/>
        <v>0</v>
      </c>
    </row>
    <row r="920" spans="1:14">
      <c r="A920" s="1" t="str">
        <f>Requirements!A937</f>
        <v>MS-WSP_R915</v>
      </c>
      <c r="B920" s="1"/>
      <c r="C920" s="1"/>
      <c r="D920" s="1"/>
      <c r="E920" s="1"/>
      <c r="F920" s="1"/>
      <c r="G920" s="1"/>
      <c r="H920" s="3">
        <f t="shared" si="56"/>
        <v>0</v>
      </c>
      <c r="I920" s="6">
        <f t="shared" si="57"/>
        <v>0</v>
      </c>
      <c r="J920" s="1" t="b">
        <f t="shared" si="58"/>
        <v>0</v>
      </c>
      <c r="K920" s="1" t="b">
        <f>(Requirements!K937="Normative")</f>
        <v>1</v>
      </c>
      <c r="L920" s="1" t="b">
        <f>(Requirements!L937&lt;&gt;"Non-testable")</f>
        <v>0</v>
      </c>
      <c r="M920" s="1" t="b">
        <f>(VLOOKUP(Requirements!I937,Scope[[Role]:[Description]],2,FALSE)="In")</f>
        <v>1</v>
      </c>
      <c r="N920" s="1">
        <f t="shared" si="59"/>
        <v>0</v>
      </c>
    </row>
    <row r="921" spans="1:14">
      <c r="A921" s="1" t="str">
        <f>Requirements!A938</f>
        <v>MS-WSP_R916</v>
      </c>
      <c r="B921" s="1"/>
      <c r="C921" s="1"/>
      <c r="D921" s="1"/>
      <c r="E921" s="1"/>
      <c r="F921" s="1"/>
      <c r="G921" s="1"/>
      <c r="H921" s="3">
        <f t="shared" si="56"/>
        <v>0</v>
      </c>
      <c r="I921" s="6">
        <f t="shared" si="57"/>
        <v>0</v>
      </c>
      <c r="J921" s="1" t="b">
        <f t="shared" si="58"/>
        <v>0</v>
      </c>
      <c r="K921" s="1" t="b">
        <f>(Requirements!K938="Normative")</f>
        <v>1</v>
      </c>
      <c r="L921" s="1" t="b">
        <f>(Requirements!L938&lt;&gt;"Non-testable")</f>
        <v>1</v>
      </c>
      <c r="M921" s="1" t="b">
        <f>(VLOOKUP(Requirements!I938,Scope[[Role]:[Description]],2,FALSE)="In")</f>
        <v>0</v>
      </c>
      <c r="N921" s="1">
        <f t="shared" si="59"/>
        <v>0</v>
      </c>
    </row>
    <row r="922" spans="1:14">
      <c r="A922" s="1" t="str">
        <f>Requirements!A939</f>
        <v>MS-WSP_R917</v>
      </c>
      <c r="B922" s="1"/>
      <c r="C922" s="1"/>
      <c r="D922" s="1"/>
      <c r="E922" s="1"/>
      <c r="F922" s="1"/>
      <c r="G922" s="1"/>
      <c r="H922" s="3">
        <f t="shared" si="56"/>
        <v>0</v>
      </c>
      <c r="I922" s="6">
        <f t="shared" si="57"/>
        <v>0</v>
      </c>
      <c r="J922" s="1" t="b">
        <f t="shared" si="58"/>
        <v>0</v>
      </c>
      <c r="K922" s="1" t="b">
        <f>(Requirements!K939="Normative")</f>
        <v>1</v>
      </c>
      <c r="L922" s="1" t="b">
        <f>(Requirements!L939&lt;&gt;"Non-testable")</f>
        <v>0</v>
      </c>
      <c r="M922" s="1" t="b">
        <f>(VLOOKUP(Requirements!I939,Scope[[Role]:[Description]],2,FALSE)="In")</f>
        <v>1</v>
      </c>
      <c r="N922" s="1">
        <f t="shared" si="59"/>
        <v>0</v>
      </c>
    </row>
    <row r="923" spans="1:14">
      <c r="A923" s="1" t="str">
        <f>Requirements!A940</f>
        <v>MS-WSP_R918</v>
      </c>
      <c r="B923" s="1"/>
      <c r="C923" s="1"/>
      <c r="D923" s="1"/>
      <c r="E923" s="1"/>
      <c r="F923" s="1"/>
      <c r="G923" s="1"/>
      <c r="H923" s="3">
        <f t="shared" si="56"/>
        <v>0</v>
      </c>
      <c r="I923" s="6">
        <f t="shared" si="57"/>
        <v>0</v>
      </c>
      <c r="J923" s="1" t="b">
        <f t="shared" si="58"/>
        <v>0</v>
      </c>
      <c r="K923" s="1" t="b">
        <f>(Requirements!K940="Normative")</f>
        <v>1</v>
      </c>
      <c r="L923" s="1" t="b">
        <f>(Requirements!L940&lt;&gt;"Non-testable")</f>
        <v>1</v>
      </c>
      <c r="M923" s="1" t="b">
        <f>(VLOOKUP(Requirements!I940,Scope[[Role]:[Description]],2,FALSE)="In")</f>
        <v>0</v>
      </c>
      <c r="N923" s="1">
        <f t="shared" si="59"/>
        <v>0</v>
      </c>
    </row>
    <row r="924" spans="1:14">
      <c r="A924" s="1" t="str">
        <f>Requirements!A941</f>
        <v>MS-WSP_R919</v>
      </c>
      <c r="B924" s="1">
        <v>1</v>
      </c>
      <c r="C924" s="1"/>
      <c r="D924" s="1"/>
      <c r="E924" s="1"/>
      <c r="F924" s="1"/>
      <c r="G924" s="1"/>
      <c r="H924" s="3">
        <f t="shared" si="56"/>
        <v>1</v>
      </c>
      <c r="I924" s="6">
        <f t="shared" si="57"/>
        <v>1</v>
      </c>
      <c r="J924" s="1" t="b">
        <f t="shared" si="58"/>
        <v>1</v>
      </c>
      <c r="K924" s="1" t="b">
        <f>(Requirements!K941="Normative")</f>
        <v>1</v>
      </c>
      <c r="L924" s="1" t="b">
        <f>(Requirements!L941&lt;&gt;"Non-testable")</f>
        <v>1</v>
      </c>
      <c r="M924" s="1" t="b">
        <f>(VLOOKUP(Requirements!I941,Scope[[Role]:[Description]],2,FALSE)="In")</f>
        <v>1</v>
      </c>
      <c r="N924" s="1">
        <f t="shared" si="59"/>
        <v>1</v>
      </c>
    </row>
    <row r="925" spans="1:14">
      <c r="A925" s="1" t="str">
        <f>Requirements!A942</f>
        <v>MS-WSP_R920</v>
      </c>
      <c r="B925" s="1"/>
      <c r="C925" s="1"/>
      <c r="D925" s="1"/>
      <c r="E925" s="1"/>
      <c r="F925" s="1"/>
      <c r="G925" s="1"/>
      <c r="H925" s="3">
        <f t="shared" si="56"/>
        <v>0</v>
      </c>
      <c r="I925" s="6">
        <f t="shared" si="57"/>
        <v>0</v>
      </c>
      <c r="J925" s="1" t="b">
        <f t="shared" si="58"/>
        <v>0</v>
      </c>
      <c r="K925" s="1" t="b">
        <f>(Requirements!K942="Normative")</f>
        <v>1</v>
      </c>
      <c r="L925" s="1" t="b">
        <f>(Requirements!L942&lt;&gt;"Non-testable")</f>
        <v>1</v>
      </c>
      <c r="M925" s="1" t="b">
        <f>(VLOOKUP(Requirements!I942,Scope[[Role]:[Description]],2,FALSE)="In")</f>
        <v>0</v>
      </c>
      <c r="N925" s="1">
        <f t="shared" si="59"/>
        <v>0</v>
      </c>
    </row>
    <row r="926" spans="1:14">
      <c r="A926" s="1" t="str">
        <f>Requirements!A943</f>
        <v>MS-WSP_R921</v>
      </c>
      <c r="B926" s="1"/>
      <c r="C926" s="1">
        <v>1</v>
      </c>
      <c r="D926" s="1"/>
      <c r="E926" s="1"/>
      <c r="F926" s="1"/>
      <c r="G926" s="1"/>
      <c r="H926" s="3">
        <f t="shared" si="56"/>
        <v>1</v>
      </c>
      <c r="I926" s="6">
        <f t="shared" si="57"/>
        <v>1</v>
      </c>
      <c r="J926" s="1" t="b">
        <f t="shared" si="58"/>
        <v>1</v>
      </c>
      <c r="K926" s="1" t="b">
        <f>(Requirements!K943="Normative")</f>
        <v>1</v>
      </c>
      <c r="L926" s="1" t="b">
        <f>(Requirements!L943&lt;&gt;"Non-testable")</f>
        <v>1</v>
      </c>
      <c r="M926" s="1" t="b">
        <f>(VLOOKUP(Requirements!I943,Scope[[Role]:[Description]],2,FALSE)="In")</f>
        <v>1</v>
      </c>
      <c r="N926" s="1">
        <f t="shared" si="59"/>
        <v>1</v>
      </c>
    </row>
    <row r="927" spans="1:14">
      <c r="A927" s="1" t="str">
        <f>Requirements!A944</f>
        <v>MS-WSP_R922</v>
      </c>
      <c r="B927" s="1"/>
      <c r="C927" s="1"/>
      <c r="D927" s="1"/>
      <c r="E927" s="1"/>
      <c r="F927" s="1"/>
      <c r="G927" s="1"/>
      <c r="H927" s="3">
        <f t="shared" si="56"/>
        <v>0</v>
      </c>
      <c r="I927" s="6">
        <f t="shared" si="57"/>
        <v>0</v>
      </c>
      <c r="J927" s="1" t="b">
        <f t="shared" si="58"/>
        <v>0</v>
      </c>
      <c r="K927" s="1" t="b">
        <f>(Requirements!K944="Normative")</f>
        <v>1</v>
      </c>
      <c r="L927" s="1" t="b">
        <f>(Requirements!L944&lt;&gt;"Non-testable")</f>
        <v>1</v>
      </c>
      <c r="M927" s="1" t="b">
        <f>(VLOOKUP(Requirements!I944,Scope[[Role]:[Description]],2,FALSE)="In")</f>
        <v>0</v>
      </c>
      <c r="N927" s="1">
        <f t="shared" si="59"/>
        <v>0</v>
      </c>
    </row>
    <row r="928" spans="1:14">
      <c r="A928" s="1" t="str">
        <f>Requirements!A945</f>
        <v>MS-WSP_R923</v>
      </c>
      <c r="B928" s="1"/>
      <c r="C928" s="1">
        <v>1</v>
      </c>
      <c r="D928" s="1"/>
      <c r="E928" s="1"/>
      <c r="F928" s="1"/>
      <c r="G928" s="1"/>
      <c r="H928" s="3">
        <f t="shared" si="56"/>
        <v>1</v>
      </c>
      <c r="I928" s="6">
        <f t="shared" si="57"/>
        <v>1</v>
      </c>
      <c r="J928" s="1" t="b">
        <f t="shared" si="58"/>
        <v>1</v>
      </c>
      <c r="K928" s="1" t="b">
        <f>(Requirements!K945="Normative")</f>
        <v>1</v>
      </c>
      <c r="L928" s="1" t="b">
        <f>(Requirements!L945&lt;&gt;"Non-testable")</f>
        <v>1</v>
      </c>
      <c r="M928" s="1" t="b">
        <f>(VLOOKUP(Requirements!I945,Scope[[Role]:[Description]],2,FALSE)="In")</f>
        <v>1</v>
      </c>
      <c r="N928" s="1">
        <f t="shared" si="59"/>
        <v>1</v>
      </c>
    </row>
    <row r="929" spans="1:14">
      <c r="A929" s="1" t="str">
        <f>Requirements!A946</f>
        <v>MS-WSP_R924</v>
      </c>
      <c r="B929" s="1"/>
      <c r="C929" s="1"/>
      <c r="D929" s="1"/>
      <c r="E929" s="1"/>
      <c r="F929" s="1"/>
      <c r="G929" s="1"/>
      <c r="H929" s="3">
        <f t="shared" si="56"/>
        <v>0</v>
      </c>
      <c r="I929" s="6">
        <f t="shared" si="57"/>
        <v>0</v>
      </c>
      <c r="J929" s="1" t="b">
        <f t="shared" si="58"/>
        <v>0</v>
      </c>
      <c r="K929" s="1" t="b">
        <f>(Requirements!K946="Normative")</f>
        <v>1</v>
      </c>
      <c r="L929" s="1" t="b">
        <f>(Requirements!L946&lt;&gt;"Non-testable")</f>
        <v>1</v>
      </c>
      <c r="M929" s="1" t="b">
        <f>(VLOOKUP(Requirements!I946,Scope[[Role]:[Description]],2,FALSE)="In")</f>
        <v>0</v>
      </c>
      <c r="N929" s="1">
        <f t="shared" si="59"/>
        <v>0</v>
      </c>
    </row>
    <row r="930" spans="1:14">
      <c r="A930" s="1" t="str">
        <f>Requirements!A947</f>
        <v>MS-WSP_R925</v>
      </c>
      <c r="B930" s="1"/>
      <c r="C930" s="1"/>
      <c r="D930" s="1">
        <v>1</v>
      </c>
      <c r="E930" s="1"/>
      <c r="F930" s="1"/>
      <c r="G930" s="1"/>
      <c r="H930" s="3">
        <f t="shared" si="56"/>
        <v>1</v>
      </c>
      <c r="I930" s="6">
        <f t="shared" si="57"/>
        <v>1</v>
      </c>
      <c r="J930" s="1" t="b">
        <f t="shared" si="58"/>
        <v>1</v>
      </c>
      <c r="K930" s="1" t="b">
        <f>(Requirements!K947="Normative")</f>
        <v>1</v>
      </c>
      <c r="L930" s="1" t="b">
        <f>(Requirements!L947&lt;&gt;"Non-testable")</f>
        <v>1</v>
      </c>
      <c r="M930" s="1" t="b">
        <f>(VLOOKUP(Requirements!I947,Scope[[Role]:[Description]],2,FALSE)="In")</f>
        <v>1</v>
      </c>
      <c r="N930" s="1">
        <f t="shared" si="59"/>
        <v>1</v>
      </c>
    </row>
    <row r="931" spans="1:14">
      <c r="A931" s="1" t="str">
        <f>Requirements!A948</f>
        <v>MS-WSP_R926</v>
      </c>
      <c r="B931" s="1"/>
      <c r="C931" s="1"/>
      <c r="D931" s="1"/>
      <c r="E931" s="1"/>
      <c r="F931" s="1"/>
      <c r="G931" s="1"/>
      <c r="H931" s="3">
        <f t="shared" si="56"/>
        <v>0</v>
      </c>
      <c r="I931" s="6">
        <f t="shared" si="57"/>
        <v>0</v>
      </c>
      <c r="J931" s="1" t="b">
        <f t="shared" si="58"/>
        <v>0</v>
      </c>
      <c r="K931" s="1" t="b">
        <f>(Requirements!K948="Normative")</f>
        <v>1</v>
      </c>
      <c r="L931" s="1" t="b">
        <f>(Requirements!L948&lt;&gt;"Non-testable")</f>
        <v>1</v>
      </c>
      <c r="M931" s="1" t="b">
        <f>(VLOOKUP(Requirements!I948,Scope[[Role]:[Description]],2,FALSE)="In")</f>
        <v>0</v>
      </c>
      <c r="N931" s="1">
        <f t="shared" si="59"/>
        <v>0</v>
      </c>
    </row>
    <row r="932" spans="1:14">
      <c r="A932" s="1" t="str">
        <f>Requirements!A949</f>
        <v>MS-WSP_R927</v>
      </c>
      <c r="B932" s="1"/>
      <c r="C932" s="1"/>
      <c r="D932" s="1">
        <v>1</v>
      </c>
      <c r="E932" s="1"/>
      <c r="F932" s="1"/>
      <c r="G932" s="1"/>
      <c r="H932" s="3">
        <f t="shared" si="56"/>
        <v>1</v>
      </c>
      <c r="I932" s="6">
        <f t="shared" si="57"/>
        <v>1</v>
      </c>
      <c r="J932" s="1" t="b">
        <f t="shared" si="58"/>
        <v>1</v>
      </c>
      <c r="K932" s="1" t="b">
        <f>(Requirements!K949="Normative")</f>
        <v>1</v>
      </c>
      <c r="L932" s="1" t="b">
        <f>(Requirements!L949&lt;&gt;"Non-testable")</f>
        <v>1</v>
      </c>
      <c r="M932" s="1" t="b">
        <f>(VLOOKUP(Requirements!I949,Scope[[Role]:[Description]],2,FALSE)="In")</f>
        <v>1</v>
      </c>
      <c r="N932" s="1">
        <f t="shared" si="59"/>
        <v>1</v>
      </c>
    </row>
    <row r="933" spans="1:14">
      <c r="A933" s="1" t="str">
        <f>Requirements!A950</f>
        <v>MS-WSP_R928</v>
      </c>
      <c r="B933" s="1"/>
      <c r="C933" s="1"/>
      <c r="D933" s="1"/>
      <c r="E933" s="1"/>
      <c r="F933" s="1"/>
      <c r="G933" s="1"/>
      <c r="H933" s="3">
        <f t="shared" si="56"/>
        <v>0</v>
      </c>
      <c r="I933" s="6">
        <f t="shared" si="57"/>
        <v>0</v>
      </c>
      <c r="J933" s="1" t="b">
        <f t="shared" si="58"/>
        <v>0</v>
      </c>
      <c r="K933" s="1" t="b">
        <f>(Requirements!K950="Normative")</f>
        <v>1</v>
      </c>
      <c r="L933" s="1" t="b">
        <f>(Requirements!L950&lt;&gt;"Non-testable")</f>
        <v>1</v>
      </c>
      <c r="M933" s="1" t="b">
        <f>(VLOOKUP(Requirements!I950,Scope[[Role]:[Description]],2,FALSE)="In")</f>
        <v>0</v>
      </c>
      <c r="N933" s="1">
        <f t="shared" si="59"/>
        <v>0</v>
      </c>
    </row>
    <row r="934" spans="1:14">
      <c r="A934" s="1" t="str">
        <f>Requirements!A951</f>
        <v>MS-WSP_R929</v>
      </c>
      <c r="B934" s="1">
        <v>1</v>
      </c>
      <c r="C934" s="1"/>
      <c r="D934" s="1"/>
      <c r="E934" s="1"/>
      <c r="F934" s="1"/>
      <c r="G934" s="1"/>
      <c r="H934" s="3">
        <f t="shared" si="56"/>
        <v>1</v>
      </c>
      <c r="I934" s="6">
        <f t="shared" si="57"/>
        <v>1</v>
      </c>
      <c r="J934" s="1" t="b">
        <f t="shared" si="58"/>
        <v>1</v>
      </c>
      <c r="K934" s="1" t="b">
        <f>(Requirements!K951="Normative")</f>
        <v>1</v>
      </c>
      <c r="L934" s="1" t="b">
        <f>(Requirements!L951&lt;&gt;"Non-testable")</f>
        <v>1</v>
      </c>
      <c r="M934" s="1" t="b">
        <f>(VLOOKUP(Requirements!I951,Scope[[Role]:[Description]],2,FALSE)="In")</f>
        <v>1</v>
      </c>
      <c r="N934" s="1">
        <f t="shared" si="59"/>
        <v>1</v>
      </c>
    </row>
    <row r="935" spans="1:14">
      <c r="A935" s="1" t="str">
        <f>Requirements!A952</f>
        <v>MS-WSP_R930</v>
      </c>
      <c r="B935" s="1"/>
      <c r="C935" s="1"/>
      <c r="D935" s="1"/>
      <c r="E935" s="1"/>
      <c r="F935" s="1"/>
      <c r="G935" s="1"/>
      <c r="H935" s="3">
        <f t="shared" si="56"/>
        <v>0</v>
      </c>
      <c r="I935" s="6">
        <f t="shared" si="57"/>
        <v>0</v>
      </c>
      <c r="J935" s="1" t="b">
        <f t="shared" si="58"/>
        <v>0</v>
      </c>
      <c r="K935" s="1" t="b">
        <f>(Requirements!K952="Normative")</f>
        <v>1</v>
      </c>
      <c r="L935" s="1" t="b">
        <f>(Requirements!L952&lt;&gt;"Non-testable")</f>
        <v>1</v>
      </c>
      <c r="M935" s="1" t="b">
        <f>(VLOOKUP(Requirements!I952,Scope[[Role]:[Description]],2,FALSE)="In")</f>
        <v>0</v>
      </c>
      <c r="N935" s="1">
        <f t="shared" si="59"/>
        <v>0</v>
      </c>
    </row>
    <row r="936" spans="1:14">
      <c r="A936" s="1" t="str">
        <f>Requirements!A953</f>
        <v>MS-WSP_R931</v>
      </c>
      <c r="B936" s="1"/>
      <c r="C936" s="1"/>
      <c r="D936" s="1"/>
      <c r="E936" s="1"/>
      <c r="F936" s="1"/>
      <c r="G936" s="1"/>
      <c r="H936" s="3">
        <f t="shared" si="56"/>
        <v>0</v>
      </c>
      <c r="I936" s="6">
        <f t="shared" si="57"/>
        <v>0</v>
      </c>
      <c r="J936" s="1" t="b">
        <f t="shared" si="58"/>
        <v>0</v>
      </c>
      <c r="K936" s="1" t="b">
        <f>(Requirements!K953="Normative")</f>
        <v>1</v>
      </c>
      <c r="L936" s="1" t="b">
        <f>(Requirements!L953&lt;&gt;"Non-testable")</f>
        <v>0</v>
      </c>
      <c r="M936" s="1" t="b">
        <f>(VLOOKUP(Requirements!I953,Scope[[Role]:[Description]],2,FALSE)="In")</f>
        <v>1</v>
      </c>
      <c r="N936" s="1">
        <f t="shared" si="59"/>
        <v>0</v>
      </c>
    </row>
    <row r="937" spans="1:14">
      <c r="A937" s="1" t="str">
        <f>Requirements!A954</f>
        <v>MS-WSP_R932</v>
      </c>
      <c r="B937" s="1"/>
      <c r="C937" s="1"/>
      <c r="D937" s="1"/>
      <c r="E937" s="1"/>
      <c r="F937" s="1"/>
      <c r="G937" s="1"/>
      <c r="H937" s="3">
        <f t="shared" si="56"/>
        <v>0</v>
      </c>
      <c r="I937" s="6">
        <f t="shared" si="57"/>
        <v>0</v>
      </c>
      <c r="J937" s="1" t="b">
        <f t="shared" si="58"/>
        <v>0</v>
      </c>
      <c r="K937" s="1" t="b">
        <f>(Requirements!K954="Normative")</f>
        <v>1</v>
      </c>
      <c r="L937" s="1" t="b">
        <f>(Requirements!L954&lt;&gt;"Non-testable")</f>
        <v>1</v>
      </c>
      <c r="M937" s="1" t="b">
        <f>(VLOOKUP(Requirements!I954,Scope[[Role]:[Description]],2,FALSE)="In")</f>
        <v>0</v>
      </c>
      <c r="N937" s="1">
        <f t="shared" si="59"/>
        <v>0</v>
      </c>
    </row>
    <row r="938" spans="1:14">
      <c r="A938" s="1" t="str">
        <f>Requirements!A955</f>
        <v>MS-WSP_R933</v>
      </c>
      <c r="B938" s="1"/>
      <c r="C938" s="1">
        <v>1</v>
      </c>
      <c r="D938" s="1"/>
      <c r="E938" s="1"/>
      <c r="F938" s="1"/>
      <c r="G938" s="1"/>
      <c r="H938" s="3">
        <f t="shared" si="56"/>
        <v>1</v>
      </c>
      <c r="I938" s="6">
        <f t="shared" si="57"/>
        <v>1</v>
      </c>
      <c r="J938" s="1" t="b">
        <f t="shared" si="58"/>
        <v>1</v>
      </c>
      <c r="K938" s="1" t="b">
        <f>(Requirements!K955="Normative")</f>
        <v>1</v>
      </c>
      <c r="L938" s="1" t="b">
        <f>(Requirements!L955&lt;&gt;"Non-testable")</f>
        <v>1</v>
      </c>
      <c r="M938" s="1" t="b">
        <f>(VLOOKUP(Requirements!I955,Scope[[Role]:[Description]],2,FALSE)="In")</f>
        <v>1</v>
      </c>
      <c r="N938" s="1">
        <f t="shared" si="59"/>
        <v>1</v>
      </c>
    </row>
    <row r="939" spans="1:14">
      <c r="A939" s="1" t="str">
        <f>Requirements!A956</f>
        <v>MS-WSP_R934</v>
      </c>
      <c r="B939" s="1"/>
      <c r="C939" s="1"/>
      <c r="D939" s="1"/>
      <c r="E939" s="1"/>
      <c r="F939" s="1"/>
      <c r="G939" s="1"/>
      <c r="H939" s="3">
        <f t="shared" si="56"/>
        <v>0</v>
      </c>
      <c r="I939" s="6">
        <f t="shared" si="57"/>
        <v>0</v>
      </c>
      <c r="J939" s="1" t="b">
        <f t="shared" si="58"/>
        <v>0</v>
      </c>
      <c r="K939" s="1" t="b">
        <f>(Requirements!K956="Normative")</f>
        <v>1</v>
      </c>
      <c r="L939" s="1" t="b">
        <f>(Requirements!L956&lt;&gt;"Non-testable")</f>
        <v>1</v>
      </c>
      <c r="M939" s="1" t="b">
        <f>(VLOOKUP(Requirements!I956,Scope[[Role]:[Description]],2,FALSE)="In")</f>
        <v>0</v>
      </c>
      <c r="N939" s="1">
        <f t="shared" si="59"/>
        <v>0</v>
      </c>
    </row>
    <row r="940" spans="1:14">
      <c r="A940" s="1" t="str">
        <f>Requirements!A957</f>
        <v>MS-WSP_R935</v>
      </c>
      <c r="B940" s="1"/>
      <c r="C940" s="1"/>
      <c r="D940" s="1"/>
      <c r="E940" s="1"/>
      <c r="F940" s="1"/>
      <c r="G940" s="1"/>
      <c r="H940" s="3">
        <f t="shared" si="56"/>
        <v>0</v>
      </c>
      <c r="I940" s="6">
        <f t="shared" si="57"/>
        <v>0</v>
      </c>
      <c r="J940" s="1" t="b">
        <f t="shared" si="58"/>
        <v>0</v>
      </c>
      <c r="K940" s="1" t="b">
        <f>(Requirements!K957="Normative")</f>
        <v>1</v>
      </c>
      <c r="L940" s="1" t="b">
        <f>(Requirements!L957&lt;&gt;"Non-testable")</f>
        <v>0</v>
      </c>
      <c r="M940" s="1" t="b">
        <f>(VLOOKUP(Requirements!I957,Scope[[Role]:[Description]],2,FALSE)="In")</f>
        <v>1</v>
      </c>
      <c r="N940" s="1">
        <f t="shared" si="59"/>
        <v>0</v>
      </c>
    </row>
    <row r="941" spans="1:14">
      <c r="A941" s="1" t="str">
        <f>Requirements!A958</f>
        <v>MS-WSP_R936</v>
      </c>
      <c r="B941" s="1"/>
      <c r="C941" s="1"/>
      <c r="D941" s="1"/>
      <c r="E941" s="1"/>
      <c r="F941" s="1"/>
      <c r="G941" s="1"/>
      <c r="H941" s="3">
        <f t="shared" si="56"/>
        <v>0</v>
      </c>
      <c r="I941" s="6">
        <f t="shared" si="57"/>
        <v>0</v>
      </c>
      <c r="J941" s="1" t="b">
        <f t="shared" si="58"/>
        <v>0</v>
      </c>
      <c r="K941" s="1" t="b">
        <f>(Requirements!K958="Normative")</f>
        <v>1</v>
      </c>
      <c r="L941" s="1" t="b">
        <f>(Requirements!L958&lt;&gt;"Non-testable")</f>
        <v>1</v>
      </c>
      <c r="M941" s="1" t="b">
        <f>(VLOOKUP(Requirements!I958,Scope[[Role]:[Description]],2,FALSE)="In")</f>
        <v>0</v>
      </c>
      <c r="N941" s="1">
        <f t="shared" si="59"/>
        <v>0</v>
      </c>
    </row>
    <row r="942" spans="1:14">
      <c r="A942" s="1" t="str">
        <f>Requirements!A959</f>
        <v>MS-WSP_R937</v>
      </c>
      <c r="B942" s="1"/>
      <c r="C942" s="1"/>
      <c r="D942" s="1"/>
      <c r="E942" s="1"/>
      <c r="F942" s="1"/>
      <c r="G942" s="1"/>
      <c r="H942" s="3">
        <f t="shared" si="56"/>
        <v>0</v>
      </c>
      <c r="I942" s="6">
        <f t="shared" si="57"/>
        <v>0</v>
      </c>
      <c r="J942" s="1" t="b">
        <f t="shared" si="58"/>
        <v>0</v>
      </c>
      <c r="K942" s="1" t="b">
        <f>(Requirements!K959="Normative")</f>
        <v>1</v>
      </c>
      <c r="L942" s="1" t="b">
        <f>(Requirements!L959&lt;&gt;"Non-testable")</f>
        <v>0</v>
      </c>
      <c r="M942" s="1" t="b">
        <f>(VLOOKUP(Requirements!I959,Scope[[Role]:[Description]],2,FALSE)="In")</f>
        <v>1</v>
      </c>
      <c r="N942" s="1">
        <f t="shared" si="59"/>
        <v>0</v>
      </c>
    </row>
    <row r="943" spans="1:14">
      <c r="A943" s="1" t="str">
        <f>Requirements!A960</f>
        <v>MS-WSP_R938</v>
      </c>
      <c r="B943" s="1">
        <v>1</v>
      </c>
      <c r="C943" s="1">
        <v>1</v>
      </c>
      <c r="D943" s="1">
        <v>1</v>
      </c>
      <c r="E943" s="1"/>
      <c r="F943" s="1"/>
      <c r="G943" s="1"/>
      <c r="H943" s="3">
        <f t="shared" si="56"/>
        <v>3</v>
      </c>
      <c r="I943" s="6">
        <f t="shared" si="57"/>
        <v>1</v>
      </c>
      <c r="J943" s="1" t="b">
        <f t="shared" si="58"/>
        <v>1</v>
      </c>
      <c r="K943" s="1" t="b">
        <f>(Requirements!K960="Normative")</f>
        <v>1</v>
      </c>
      <c r="L943" s="1" t="b">
        <f>(Requirements!L960&lt;&gt;"Non-testable")</f>
        <v>1</v>
      </c>
      <c r="M943" s="1" t="b">
        <f>(VLOOKUP(Requirements!I960,Scope[[Role]:[Description]],2,FALSE)="In")</f>
        <v>1</v>
      </c>
      <c r="N943" s="1">
        <f t="shared" si="59"/>
        <v>1</v>
      </c>
    </row>
    <row r="944" spans="1:14">
      <c r="A944" s="1" t="str">
        <f>Requirements!A961</f>
        <v>MS-WSP_R939</v>
      </c>
      <c r="B944" s="1"/>
      <c r="C944" s="1"/>
      <c r="D944" s="1"/>
      <c r="E944" s="1"/>
      <c r="F944" s="1"/>
      <c r="G944" s="1"/>
      <c r="H944" s="3">
        <f t="shared" si="56"/>
        <v>0</v>
      </c>
      <c r="I944" s="6">
        <f t="shared" si="57"/>
        <v>0</v>
      </c>
      <c r="J944" s="1" t="b">
        <f t="shared" si="58"/>
        <v>1</v>
      </c>
      <c r="K944" s="1" t="b">
        <f>(Requirements!K961="Normative")</f>
        <v>1</v>
      </c>
      <c r="L944" s="1" t="b">
        <f>(Requirements!L961&lt;&gt;"Non-testable")</f>
        <v>1</v>
      </c>
      <c r="M944" s="1" t="b">
        <f>(VLOOKUP(Requirements!I961,Scope[[Role]:[Description]],2,FALSE)="In")</f>
        <v>1</v>
      </c>
      <c r="N944" s="1">
        <f t="shared" si="59"/>
        <v>0</v>
      </c>
    </row>
    <row r="945" spans="1:14">
      <c r="A945" s="1" t="str">
        <f>Requirements!A962</f>
        <v>MS-WSP_R940</v>
      </c>
      <c r="B945" s="1">
        <v>1</v>
      </c>
      <c r="C945" s="1">
        <v>1</v>
      </c>
      <c r="D945" s="1">
        <v>1</v>
      </c>
      <c r="E945" s="1"/>
      <c r="F945" s="1"/>
      <c r="G945" s="1"/>
      <c r="H945" s="3">
        <f t="shared" si="56"/>
        <v>3</v>
      </c>
      <c r="I945" s="6">
        <f t="shared" si="57"/>
        <v>1</v>
      </c>
      <c r="J945" s="1" t="b">
        <f t="shared" si="58"/>
        <v>1</v>
      </c>
      <c r="K945" s="1" t="b">
        <f>(Requirements!K962="Normative")</f>
        <v>1</v>
      </c>
      <c r="L945" s="1" t="b">
        <f>(Requirements!L962&lt;&gt;"Non-testable")</f>
        <v>1</v>
      </c>
      <c r="M945" s="1" t="b">
        <f>(VLOOKUP(Requirements!I962,Scope[[Role]:[Description]],2,FALSE)="In")</f>
        <v>1</v>
      </c>
      <c r="N945" s="1">
        <f t="shared" si="59"/>
        <v>1</v>
      </c>
    </row>
    <row r="946" spans="1:14">
      <c r="A946" s="1" t="str">
        <f>Requirements!A963</f>
        <v>MS-WSP_R941</v>
      </c>
      <c r="B946" s="1"/>
      <c r="C946" s="1"/>
      <c r="D946" s="1"/>
      <c r="E946" s="1"/>
      <c r="F946" s="1"/>
      <c r="G946" s="1"/>
      <c r="H946" s="3">
        <f t="shared" si="56"/>
        <v>0</v>
      </c>
      <c r="I946" s="6">
        <f t="shared" si="57"/>
        <v>0</v>
      </c>
      <c r="J946" s="1" t="b">
        <f t="shared" si="58"/>
        <v>1</v>
      </c>
      <c r="K946" s="1" t="b">
        <f>(Requirements!K963="Normative")</f>
        <v>1</v>
      </c>
      <c r="L946" s="1" t="b">
        <f>(Requirements!L963&lt;&gt;"Non-testable")</f>
        <v>1</v>
      </c>
      <c r="M946" s="1" t="b">
        <f>(VLOOKUP(Requirements!I963,Scope[[Role]:[Description]],2,FALSE)="In")</f>
        <v>1</v>
      </c>
      <c r="N946" s="1">
        <f t="shared" si="59"/>
        <v>0</v>
      </c>
    </row>
    <row r="947" spans="1:14">
      <c r="A947" s="1" t="str">
        <f>Requirements!A964</f>
        <v>MS-WSP_R942</v>
      </c>
      <c r="B947" s="1"/>
      <c r="C947" s="1"/>
      <c r="D947" s="1">
        <v>1</v>
      </c>
      <c r="E947" s="1"/>
      <c r="F947" s="1"/>
      <c r="G947" s="1"/>
      <c r="H947" s="3">
        <f t="shared" si="56"/>
        <v>1</v>
      </c>
      <c r="I947" s="6">
        <f t="shared" si="57"/>
        <v>1</v>
      </c>
      <c r="J947" s="1" t="b">
        <f t="shared" si="58"/>
        <v>1</v>
      </c>
      <c r="K947" s="1" t="b">
        <f>(Requirements!K964="Normative")</f>
        <v>1</v>
      </c>
      <c r="L947" s="1" t="b">
        <f>(Requirements!L964&lt;&gt;"Non-testable")</f>
        <v>1</v>
      </c>
      <c r="M947" s="1" t="b">
        <f>(VLOOKUP(Requirements!I964,Scope[[Role]:[Description]],2,FALSE)="In")</f>
        <v>1</v>
      </c>
      <c r="N947" s="1">
        <f t="shared" si="59"/>
        <v>1</v>
      </c>
    </row>
    <row r="948" spans="1:14">
      <c r="A948" s="1" t="str">
        <f>Requirements!A965</f>
        <v>MS-WSP_R943</v>
      </c>
      <c r="B948" s="1">
        <v>1</v>
      </c>
      <c r="C948" s="1"/>
      <c r="D948" s="1"/>
      <c r="E948" s="1"/>
      <c r="F948" s="1"/>
      <c r="G948" s="1"/>
      <c r="H948" s="3">
        <f t="shared" ref="H948:H949" si="60">SUM(B948:G948)</f>
        <v>1</v>
      </c>
      <c r="I948" s="6">
        <f t="shared" ref="I948:I949" si="61">IF(H948=0,0,1)</f>
        <v>1</v>
      </c>
      <c r="J948" s="1" t="b">
        <f t="shared" si="58"/>
        <v>1</v>
      </c>
      <c r="K948" s="1" t="b">
        <f>(Requirements!K965="Normative")</f>
        <v>1</v>
      </c>
      <c r="L948" s="1" t="b">
        <f>(Requirements!L965&lt;&gt;"Non-testable")</f>
        <v>1</v>
      </c>
      <c r="M948" s="1" t="b">
        <f>(VLOOKUP(Requirements!I965,Scope[[Role]:[Description]],2,FALSE)="In")</f>
        <v>1</v>
      </c>
      <c r="N948" s="1">
        <f t="shared" si="59"/>
        <v>1</v>
      </c>
    </row>
    <row r="949" spans="1:14">
      <c r="A949" s="1" t="str">
        <f>Requirements!A966</f>
        <v>MS-WSP_R944</v>
      </c>
      <c r="B949" s="1">
        <v>1</v>
      </c>
      <c r="C949" s="1"/>
      <c r="D949" s="1"/>
      <c r="E949" s="1"/>
      <c r="F949" s="1"/>
      <c r="G949" s="1"/>
      <c r="H949" s="3">
        <f t="shared" si="60"/>
        <v>1</v>
      </c>
      <c r="I949" s="6">
        <f t="shared" si="61"/>
        <v>1</v>
      </c>
      <c r="J949" s="1" t="b">
        <f t="shared" si="58"/>
        <v>1</v>
      </c>
      <c r="K949" s="1" t="b">
        <f>(Requirements!K966="Normative")</f>
        <v>1</v>
      </c>
      <c r="L949" s="1" t="b">
        <f>(Requirements!L966&lt;&gt;"Non-testable")</f>
        <v>1</v>
      </c>
      <c r="M949" s="1" t="b">
        <f>(VLOOKUP(Requirements!I966,Scope[[Role]:[Description]],2,FALSE)="In")</f>
        <v>1</v>
      </c>
      <c r="N949" s="1">
        <f t="shared" si="59"/>
        <v>1</v>
      </c>
    </row>
    <row r="950" spans="1:14">
      <c r="A950" s="1"/>
      <c r="I950" s="60"/>
      <c r="J950" s="60">
        <f>COUNTIF(J6:J949,TRUE)</f>
        <v>299</v>
      </c>
      <c r="N950" s="60">
        <f>SUM(N6:N949)</f>
        <v>228</v>
      </c>
    </row>
    <row r="951" spans="1:14">
      <c r="A951" s="1"/>
    </row>
    <row r="952" spans="1:14">
      <c r="A952" s="1"/>
      <c r="D952" s="32" t="s">
        <v>31</v>
      </c>
      <c r="E952" s="16">
        <f>SUMIF(J6:J949,TRUE,I6:I949)</f>
        <v>228</v>
      </c>
      <c r="F952">
        <v>300</v>
      </c>
      <c r="G952" t="s">
        <v>114</v>
      </c>
      <c r="J952">
        <f>SUM(I6:I949)</f>
        <v>229</v>
      </c>
      <c r="K952" t="s">
        <v>120</v>
      </c>
    </row>
    <row r="953" spans="1:14">
      <c r="A953" s="1"/>
      <c r="F953" s="89">
        <v>0.76329999999999998</v>
      </c>
    </row>
    <row r="954" spans="1:14">
      <c r="A954" s="1"/>
    </row>
    <row r="955" spans="1:14">
      <c r="A955" s="1"/>
    </row>
    <row r="956" spans="1:14">
      <c r="A956" s="1"/>
    </row>
    <row r="957" spans="1:14">
      <c r="A957" s="1"/>
    </row>
    <row r="958" spans="1:14">
      <c r="A958" s="1"/>
    </row>
    <row r="959" spans="1:14">
      <c r="A959" s="1"/>
    </row>
    <row r="960" spans="1:14">
      <c r="A960" s="1"/>
    </row>
    <row r="961" spans="1:1">
      <c r="A961" s="1"/>
    </row>
    <row r="962" spans="1:1">
      <c r="A962" s="1"/>
    </row>
    <row r="963" spans="1:1">
      <c r="A963" s="1"/>
    </row>
    <row r="964" spans="1:1">
      <c r="A964" s="1"/>
    </row>
    <row r="965" spans="1:1">
      <c r="A965" s="1"/>
    </row>
    <row r="966" spans="1:1">
      <c r="A966" s="1"/>
    </row>
    <row r="967" spans="1:1">
      <c r="A967" s="1"/>
    </row>
    <row r="968" spans="1:1">
      <c r="A968" s="1"/>
    </row>
    <row r="969" spans="1:1">
      <c r="A969" s="1"/>
    </row>
    <row r="970" spans="1:1">
      <c r="A970" s="1"/>
    </row>
    <row r="971" spans="1:1">
      <c r="A971" s="1"/>
    </row>
    <row r="972" spans="1:1">
      <c r="A972" s="1"/>
    </row>
    <row r="973" spans="1:1">
      <c r="A973" s="1"/>
    </row>
    <row r="974" spans="1:1">
      <c r="A974" s="1"/>
    </row>
    <row r="975" spans="1:1">
      <c r="A975" s="1"/>
    </row>
    <row r="976" spans="1:1">
      <c r="A976" s="1"/>
    </row>
    <row r="977" spans="1:1">
      <c r="A977" s="1"/>
    </row>
    <row r="978" spans="1:1">
      <c r="A978" s="1"/>
    </row>
    <row r="979" spans="1:1">
      <c r="A979" s="1"/>
    </row>
    <row r="980" spans="1:1">
      <c r="A980" s="1"/>
    </row>
    <row r="981" spans="1:1">
      <c r="A981" s="1"/>
    </row>
    <row r="982" spans="1:1">
      <c r="A982" s="1"/>
    </row>
    <row r="983" spans="1:1">
      <c r="A983" s="1"/>
    </row>
    <row r="984" spans="1:1">
      <c r="A984" s="1"/>
    </row>
    <row r="985" spans="1:1">
      <c r="A985" s="1"/>
    </row>
    <row r="986" spans="1:1">
      <c r="A986" s="1"/>
    </row>
    <row r="987" spans="1:1">
      <c r="A987" s="1"/>
    </row>
    <row r="988" spans="1:1">
      <c r="A988" s="1"/>
    </row>
    <row r="989" spans="1:1">
      <c r="A989" s="1"/>
    </row>
    <row r="990" spans="1:1">
      <c r="A990" s="1"/>
    </row>
    <row r="991" spans="1:1">
      <c r="A991" s="1"/>
    </row>
    <row r="992" spans="1:1">
      <c r="A992" s="1"/>
    </row>
    <row r="993" spans="1:1">
      <c r="A993" s="1"/>
    </row>
    <row r="994" spans="1:1">
      <c r="A994" s="1"/>
    </row>
    <row r="995" spans="1:1">
      <c r="A995" s="1"/>
    </row>
    <row r="996" spans="1:1">
      <c r="A996" s="1"/>
    </row>
    <row r="997" spans="1:1">
      <c r="A997" s="1"/>
    </row>
    <row r="998" spans="1:1">
      <c r="A998" s="1"/>
    </row>
    <row r="999" spans="1:1">
      <c r="A999" s="1"/>
    </row>
    <row r="1000" spans="1:1">
      <c r="A1000" s="1"/>
    </row>
    <row r="1001" spans="1:1">
      <c r="A1001" s="1"/>
    </row>
    <row r="1002" spans="1:1">
      <c r="A1002" s="1"/>
    </row>
    <row r="1003" spans="1:1">
      <c r="A1003" s="1"/>
    </row>
    <row r="1004" spans="1:1">
      <c r="A1004" s="1"/>
    </row>
    <row r="1005" spans="1:1">
      <c r="A1005" s="1"/>
    </row>
    <row r="1006" spans="1:1">
      <c r="A1006" s="1"/>
    </row>
    <row r="1007" spans="1:1">
      <c r="A1007" s="1"/>
    </row>
    <row r="1008" spans="1:1">
      <c r="A1008" s="1"/>
    </row>
    <row r="1009" spans="1:1">
      <c r="A1009" s="1"/>
    </row>
    <row r="1010" spans="1:1">
      <c r="A1010" s="1"/>
    </row>
    <row r="1011" spans="1:1">
      <c r="A1011" s="1"/>
    </row>
    <row r="1012" spans="1:1">
      <c r="A1012" s="1"/>
    </row>
    <row r="1013" spans="1:1">
      <c r="A1013" s="1"/>
    </row>
    <row r="1014" spans="1:1">
      <c r="A1014" s="1"/>
    </row>
    <row r="1015" spans="1:1">
      <c r="A1015" s="1"/>
    </row>
    <row r="1016" spans="1:1">
      <c r="A1016" s="1"/>
    </row>
    <row r="1017" spans="1:1">
      <c r="A1017" s="1"/>
    </row>
    <row r="1018" spans="1:1">
      <c r="A1018" s="1"/>
    </row>
    <row r="1019" spans="1:1">
      <c r="A1019" s="1"/>
    </row>
    <row r="1020" spans="1:1">
      <c r="A1020" s="1"/>
    </row>
    <row r="1021" spans="1:1">
      <c r="A1021" s="1"/>
    </row>
    <row r="1022" spans="1:1">
      <c r="A1022" s="1"/>
    </row>
    <row r="1023" spans="1:1">
      <c r="A1023" s="1"/>
    </row>
    <row r="1024" spans="1:1">
      <c r="A1024" s="1"/>
    </row>
    <row r="1025" spans="1:1">
      <c r="A1025" s="1"/>
    </row>
    <row r="1026" spans="1:1">
      <c r="A1026" s="1"/>
    </row>
    <row r="1027" spans="1:1">
      <c r="A1027" s="1"/>
    </row>
    <row r="1028" spans="1:1">
      <c r="A1028" s="1"/>
    </row>
    <row r="1029" spans="1:1">
      <c r="A1029" s="1"/>
    </row>
    <row r="1030" spans="1:1">
      <c r="A1030" s="1"/>
    </row>
    <row r="1031" spans="1:1">
      <c r="A1031" s="1"/>
    </row>
    <row r="1032" spans="1:1">
      <c r="A1032" s="1"/>
    </row>
    <row r="1033" spans="1:1">
      <c r="A1033" s="1"/>
    </row>
    <row r="1034" spans="1:1">
      <c r="A1034" s="1"/>
    </row>
    <row r="1035" spans="1:1">
      <c r="A1035" s="1"/>
    </row>
    <row r="1036" spans="1:1">
      <c r="A1036" s="1"/>
    </row>
    <row r="1037" spans="1:1">
      <c r="A1037" s="1"/>
    </row>
    <row r="1038" spans="1:1">
      <c r="A1038" s="1"/>
    </row>
    <row r="1039" spans="1:1">
      <c r="A1039" s="1"/>
    </row>
    <row r="1040" spans="1:1">
      <c r="A1040" s="1"/>
    </row>
    <row r="1041" spans="1:1">
      <c r="A1041" s="1"/>
    </row>
    <row r="1042" spans="1:1">
      <c r="A1042" s="1"/>
    </row>
    <row r="1043" spans="1:1">
      <c r="A1043" s="1"/>
    </row>
    <row r="1044" spans="1:1">
      <c r="A1044" s="1"/>
    </row>
    <row r="1045" spans="1:1">
      <c r="A1045" s="1"/>
    </row>
    <row r="1046" spans="1:1">
      <c r="A1046" s="1"/>
    </row>
    <row r="1047" spans="1:1">
      <c r="A1047" s="1"/>
    </row>
    <row r="1048" spans="1:1">
      <c r="A1048" s="1"/>
    </row>
    <row r="1049" spans="1:1">
      <c r="A1049" s="1"/>
    </row>
  </sheetData>
  <mergeCells count="2">
    <mergeCell ref="A1:I1"/>
    <mergeCell ref="A3:F3"/>
  </mergeCells>
  <phoneticPr fontId="11" type="noConversion"/>
  <conditionalFormatting sqref="A7:A17 A953:A1049 A20:A951">
    <cfRule type="expression" dxfId="4" priority="3">
      <formula>$J7</formula>
    </cfRule>
  </conditionalFormatting>
  <conditionalFormatting sqref="J6:J950">
    <cfRule type="cellIs" dxfId="3" priority="2" operator="equal">
      <formula>TRUE</formula>
    </cfRule>
  </conditionalFormatting>
  <conditionalFormatting sqref="A18:A19">
    <cfRule type="expression" dxfId="2" priority="10">
      <formula>#REF!</formula>
    </cfRule>
  </conditionalFormatting>
  <conditionalFormatting sqref="A6:A949">
    <cfRule type="expression" dxfId="1" priority="11">
      <formula>$J$6</formula>
    </cfRule>
  </conditionalFormatting>
  <conditionalFormatting sqref="A952">
    <cfRule type="expression" dxfId="0" priority="13">
      <formula>$E952</formula>
    </cfRule>
  </conditionalFormatting>
  <dataValidations count="1">
    <dataValidation type="list" allowBlank="1" showInputMessage="1" showErrorMessage="1" sqref="B4:G4">
      <formula1>"Traditional,Manual,Model-based"</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3"/>
  <dimension ref="A1:A2"/>
  <sheetViews>
    <sheetView workbookViewId="0">
      <selection activeCell="A2" sqref="A2"/>
    </sheetView>
  </sheetViews>
  <sheetFormatPr defaultRowHeight="15"/>
  <sheetData>
    <row r="1" spans="1:1">
      <c r="A1" s="7" t="s">
        <v>4</v>
      </c>
    </row>
    <row r="2" spans="1:1">
      <c r="A2" s="7"/>
    </row>
  </sheetData>
  <phoneticPr fontId="1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03"/>
  <sheetViews>
    <sheetView workbookViewId="0"/>
  </sheetViews>
  <sheetFormatPr defaultRowHeight="15"/>
  <cols>
    <col min="1" max="1" width="110.42578125" customWidth="1"/>
  </cols>
  <sheetData>
    <row r="1" spans="1:1" ht="20.25">
      <c r="A1" s="8" t="s">
        <v>11</v>
      </c>
    </row>
    <row r="2" spans="1:1">
      <c r="A2" s="51" t="s">
        <v>123</v>
      </c>
    </row>
    <row r="3" spans="1:1">
      <c r="A3" s="51" t="s">
        <v>126</v>
      </c>
    </row>
    <row r="4" spans="1:1" ht="30">
      <c r="A4" s="51" t="s">
        <v>143</v>
      </c>
    </row>
    <row r="5" spans="1:1">
      <c r="A5" s="51" t="s">
        <v>144</v>
      </c>
    </row>
    <row r="6" spans="1:1">
      <c r="A6" s="10"/>
    </row>
    <row r="7" spans="1:1">
      <c r="A7" s="10"/>
    </row>
    <row r="8" spans="1:1">
      <c r="A8" s="9" t="s">
        <v>13</v>
      </c>
    </row>
    <row r="9" spans="1:1">
      <c r="A9" s="10" t="s">
        <v>14</v>
      </c>
    </row>
    <row r="10" spans="1:1" ht="26.25">
      <c r="A10" s="9" t="s">
        <v>15</v>
      </c>
    </row>
    <row r="11" spans="1:1" ht="26.25">
      <c r="A11" s="9" t="s">
        <v>16</v>
      </c>
    </row>
    <row r="12" spans="1:1" ht="26.25">
      <c r="A12" s="9" t="s">
        <v>17</v>
      </c>
    </row>
    <row r="13" spans="1:1">
      <c r="A13" s="9" t="s">
        <v>18</v>
      </c>
    </row>
    <row r="14" spans="1:1">
      <c r="A14" s="9" t="s">
        <v>19</v>
      </c>
    </row>
    <row r="16" spans="1:1" ht="51.75">
      <c r="A16" s="11" t="s">
        <v>145</v>
      </c>
    </row>
    <row r="17" spans="1:1">
      <c r="A17" s="12"/>
    </row>
    <row r="18" spans="1:1" ht="26.25">
      <c r="A18" s="10" t="s">
        <v>12</v>
      </c>
    </row>
    <row r="19" spans="1:1" ht="16.5" customHeight="1">
      <c r="A19" s="56" t="s">
        <v>20</v>
      </c>
    </row>
    <row r="20" spans="1:1" ht="30">
      <c r="A20" s="31" t="s">
        <v>70</v>
      </c>
    </row>
    <row r="21" spans="1:1">
      <c r="A21" s="13" t="s">
        <v>127</v>
      </c>
    </row>
    <row r="22" spans="1:1" ht="15.75" customHeight="1">
      <c r="A22" s="54" t="s">
        <v>128</v>
      </c>
    </row>
    <row r="23" spans="1:1">
      <c r="A23" s="55" t="s">
        <v>129</v>
      </c>
    </row>
    <row r="24" spans="1:1">
      <c r="A24" s="55"/>
    </row>
    <row r="25" spans="1:1">
      <c r="A25" s="55"/>
    </row>
    <row r="26" spans="1:1">
      <c r="A26" s="55"/>
    </row>
    <row r="27" spans="1:1">
      <c r="A27" s="42" t="s">
        <v>80</v>
      </c>
    </row>
    <row r="28" spans="1:1" ht="30">
      <c r="A28" s="43" t="s">
        <v>81</v>
      </c>
    </row>
    <row r="29" spans="1:1" ht="30">
      <c r="A29" s="43" t="s">
        <v>91</v>
      </c>
    </row>
    <row r="30" spans="1:1">
      <c r="A30" s="43" t="s">
        <v>82</v>
      </c>
    </row>
    <row r="31" spans="1:1">
      <c r="A31" s="43"/>
    </row>
    <row r="32" spans="1:1">
      <c r="A32" s="42" t="s">
        <v>83</v>
      </c>
    </row>
    <row r="33" spans="1:1" ht="12.75" customHeight="1">
      <c r="A33" s="43" t="s">
        <v>84</v>
      </c>
    </row>
    <row r="34" spans="1:1">
      <c r="A34" s="43" t="s">
        <v>85</v>
      </c>
    </row>
    <row r="35" spans="1:1">
      <c r="A35" s="43" t="s">
        <v>132</v>
      </c>
    </row>
    <row r="36" spans="1:1">
      <c r="A36" s="43" t="s">
        <v>133</v>
      </c>
    </row>
    <row r="37" spans="1:1">
      <c r="A37" s="43"/>
    </row>
    <row r="38" spans="1:1">
      <c r="A38" s="42" t="s">
        <v>86</v>
      </c>
    </row>
    <row r="39" spans="1:1" ht="30">
      <c r="A39" s="43" t="s">
        <v>87</v>
      </c>
    </row>
    <row r="40" spans="1:1">
      <c r="A40" s="43" t="s">
        <v>88</v>
      </c>
    </row>
    <row r="41" spans="1:1">
      <c r="A41" s="43" t="s">
        <v>89</v>
      </c>
    </row>
    <row r="42" spans="1:1">
      <c r="A42" s="43"/>
    </row>
    <row r="43" spans="1:1">
      <c r="A43" s="43" t="s">
        <v>104</v>
      </c>
    </row>
    <row r="44" spans="1:1" ht="30">
      <c r="A44" s="59" t="s">
        <v>138</v>
      </c>
    </row>
    <row r="45" spans="1:1">
      <c r="A45" s="43" t="s">
        <v>77</v>
      </c>
    </row>
    <row r="46" spans="1:1" ht="45">
      <c r="A46" s="44" t="s">
        <v>134</v>
      </c>
    </row>
    <row r="47" spans="1:1">
      <c r="A47" s="43"/>
    </row>
    <row r="48" spans="1:1">
      <c r="A48" s="43" t="s">
        <v>105</v>
      </c>
    </row>
    <row r="49" spans="1:1" ht="30">
      <c r="A49" s="44" t="s">
        <v>137</v>
      </c>
    </row>
    <row r="50" spans="1:1">
      <c r="A50" s="43" t="s">
        <v>78</v>
      </c>
    </row>
    <row r="51" spans="1:1" ht="45">
      <c r="A51" s="44" t="s">
        <v>135</v>
      </c>
    </row>
    <row r="52" spans="1:1">
      <c r="A52" s="37"/>
    </row>
    <row r="53" spans="1:1">
      <c r="A53" s="7" t="s">
        <v>106</v>
      </c>
    </row>
    <row r="54" spans="1:1" ht="30">
      <c r="A54" s="52" t="s">
        <v>140</v>
      </c>
    </row>
    <row r="55" spans="1:1">
      <c r="A55" s="37" t="s">
        <v>76</v>
      </c>
    </row>
    <row r="56" spans="1:1" ht="30">
      <c r="A56" s="52" t="s">
        <v>136</v>
      </c>
    </row>
    <row r="57" spans="1:1" ht="45">
      <c r="A57" s="44" t="s">
        <v>139</v>
      </c>
    </row>
    <row r="58" spans="1:1">
      <c r="A58" s="37"/>
    </row>
    <row r="59" spans="1:1">
      <c r="A59" s="42" t="s">
        <v>75</v>
      </c>
    </row>
    <row r="60" spans="1:1" ht="45">
      <c r="A60" s="33" t="s">
        <v>90</v>
      </c>
    </row>
    <row r="61" spans="1:1">
      <c r="A61" s="33"/>
    </row>
    <row r="62" spans="1:1">
      <c r="A62" s="7" t="s">
        <v>43</v>
      </c>
    </row>
    <row r="63" spans="1:1" ht="75">
      <c r="A63" s="52" t="s">
        <v>131</v>
      </c>
    </row>
    <row r="64" spans="1:1" ht="31.5">
      <c r="A64" s="58" t="s">
        <v>130</v>
      </c>
    </row>
    <row r="65" spans="1:1">
      <c r="A65" s="37"/>
    </row>
    <row r="66" spans="1:1">
      <c r="A66" s="7" t="s">
        <v>68</v>
      </c>
    </row>
    <row r="67" spans="1:1">
      <c r="A67" s="33" t="s">
        <v>69</v>
      </c>
    </row>
    <row r="68" spans="1:1">
      <c r="A68" s="33"/>
    </row>
    <row r="69" spans="1:1">
      <c r="A69" s="7" t="s">
        <v>47</v>
      </c>
    </row>
    <row r="70" spans="1:1">
      <c r="A70" s="57" t="s">
        <v>115</v>
      </c>
    </row>
    <row r="71" spans="1:1" ht="30">
      <c r="A71" s="33" t="s">
        <v>21</v>
      </c>
    </row>
    <row r="72" spans="1:1">
      <c r="A72" s="37" t="s">
        <v>22</v>
      </c>
    </row>
    <row r="73" spans="1:1">
      <c r="A73" s="37"/>
    </row>
    <row r="74" spans="1:1">
      <c r="A74" s="7" t="s">
        <v>74</v>
      </c>
    </row>
    <row r="75" spans="1:1">
      <c r="A75" s="37" t="s">
        <v>94</v>
      </c>
    </row>
    <row r="76" spans="1:1" ht="30">
      <c r="A76" s="33" t="s">
        <v>95</v>
      </c>
    </row>
    <row r="77" spans="1:1">
      <c r="A77" s="37"/>
    </row>
    <row r="78" spans="1:1" ht="16.5" customHeight="1">
      <c r="A78" s="7" t="s">
        <v>44</v>
      </c>
    </row>
    <row r="79" spans="1:1" ht="136.5" customHeight="1">
      <c r="A79" s="52" t="s">
        <v>141</v>
      </c>
    </row>
    <row r="80" spans="1:1">
      <c r="A80" s="37"/>
    </row>
    <row r="81" spans="1:1">
      <c r="A81" s="7" t="s">
        <v>45</v>
      </c>
    </row>
    <row r="82" spans="1:1" ht="75">
      <c r="A82" s="52" t="s">
        <v>125</v>
      </c>
    </row>
    <row r="83" spans="1:1">
      <c r="A83" s="37"/>
    </row>
    <row r="84" spans="1:1">
      <c r="A84" s="7" t="s">
        <v>46</v>
      </c>
    </row>
    <row r="85" spans="1:1" ht="45">
      <c r="A85" s="33" t="s">
        <v>49</v>
      </c>
    </row>
    <row r="86" spans="1:1">
      <c r="A86" s="37"/>
    </row>
    <row r="87" spans="1:1">
      <c r="A87" s="37"/>
    </row>
    <row r="88" spans="1:1">
      <c r="A88" s="37"/>
    </row>
    <row r="89" spans="1:1">
      <c r="A89" s="37"/>
    </row>
    <row r="90" spans="1:1">
      <c r="A90" s="37"/>
    </row>
    <row r="91" spans="1:1">
      <c r="A91" s="37"/>
    </row>
    <row r="92" spans="1:1">
      <c r="A92" s="37"/>
    </row>
    <row r="93" spans="1:1">
      <c r="A93" s="37"/>
    </row>
    <row r="94" spans="1:1">
      <c r="A94" s="37"/>
    </row>
    <row r="95" spans="1:1">
      <c r="A95" s="37"/>
    </row>
    <row r="96" spans="1:1">
      <c r="A96" s="37"/>
    </row>
    <row r="97" spans="1:1">
      <c r="A97" s="37"/>
    </row>
    <row r="98" spans="1:1">
      <c r="A98" s="37"/>
    </row>
    <row r="99" spans="1:1">
      <c r="A99" s="37"/>
    </row>
    <row r="100" spans="1:1">
      <c r="A100" s="37"/>
    </row>
    <row r="101" spans="1:1">
      <c r="A101" s="37"/>
    </row>
    <row r="102" spans="1:1">
      <c r="A102" s="37"/>
    </row>
    <row r="103" spans="1:1">
      <c r="A103" s="37"/>
    </row>
  </sheetData>
  <phoneticPr fontId="11" type="noConversion"/>
  <hyperlinks>
    <hyperlink ref="A23" r:id="rId1"/>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2.xml><?xml version="1.0" encoding="utf-8"?>
<ds:datastoreItem xmlns:ds="http://schemas.openxmlformats.org/officeDocument/2006/customXml" ds:itemID="{923F65C5-DEAB-400B-AA1F-124F40EE10AC}">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Requirements</vt:lpstr>
      <vt:lpstr>ScenarioReq Traceability Matrix</vt:lpstr>
      <vt:lpstr>Blocking Issues</vt:lpstr>
      <vt:lpstr>Usage</vt:lpstr>
      <vt:lpstr>Requirements!Print_Titles</vt:lpstr>
    </vt:vector>
  </TitlesOfParts>
  <Company>Microsoft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v-lavg</cp:lastModifiedBy>
  <cp:lastPrinted>2008-06-30T18:09:10Z</cp:lastPrinted>
  <dcterms:created xsi:type="dcterms:W3CDTF">2007-05-18T07:57:53Z</dcterms:created>
  <dcterms:modified xsi:type="dcterms:W3CDTF">2008-09-28T14:46:42Z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ies>
</file>