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penSource\WindowsProtocolTestSuites\TestSuites\MS-SMB\docs\"/>
    </mc:Choice>
  </mc:AlternateContent>
  <bookViews>
    <workbookView xWindow="-15" yWindow="0" windowWidth="15405" windowHeight="6960" tabRatio="570" activeTab="2"/>
  </bookViews>
  <sheets>
    <sheet name="Requirements" sheetId="2" r:id="rId1"/>
    <sheet name="ScenarioReq Traceability Matrix" sheetId="4" r:id="rId2"/>
    <sheet name="Usage" sheetId="6" r:id="rId3"/>
  </sheets>
  <functionGroups builtInGroupCount="18"/>
  <definedNames>
    <definedName name="_xlnm._FilterDatabase" localSheetId="0" hidden="1">Requirements!$A$21:$K$2082</definedName>
    <definedName name="_xlnm._FilterDatabase" localSheetId="1" hidden="1">'ScenarioReq Traceability Matrix'!$A$19:$T$36</definedName>
    <definedName name="ExtensionList">Requirements!#REF!</definedName>
    <definedName name="_xlnm.Print_Titles" localSheetId="0">Requirements!$A:$A,Requirements!$21:$21</definedName>
    <definedName name="ScopeList">Requirements!#REF!</definedName>
  </definedNames>
  <calcPr calcId="152511"/>
</workbook>
</file>

<file path=xl/calcChain.xml><?xml version="1.0" encoding="utf-8"?>
<calcChain xmlns="http://schemas.openxmlformats.org/spreadsheetml/2006/main">
  <c r="M2081" i="4" l="1"/>
  <c r="L2081" i="4"/>
  <c r="K2081" i="4"/>
  <c r="J2081" i="4"/>
  <c r="I2081" i="4"/>
  <c r="H2081" i="4"/>
  <c r="G2081" i="4"/>
  <c r="F2081" i="4"/>
  <c r="E2081" i="4"/>
  <c r="D2081" i="4"/>
  <c r="C2081" i="4"/>
  <c r="B2081" i="4"/>
  <c r="S2080" i="4"/>
  <c r="R2080" i="4"/>
  <c r="Q2080" i="4"/>
  <c r="N2080" i="4"/>
  <c r="O2080" i="4" s="1"/>
  <c r="A2080" i="4"/>
  <c r="S2079" i="4"/>
  <c r="R2079" i="4"/>
  <c r="Q2079" i="4"/>
  <c r="P2079" i="4" s="1"/>
  <c r="T2079" i="4" s="1"/>
  <c r="O2079" i="4"/>
  <c r="N2079" i="4"/>
  <c r="A2079" i="4"/>
  <c r="S2078" i="4"/>
  <c r="R2078" i="4"/>
  <c r="Q2078" i="4"/>
  <c r="N2078" i="4"/>
  <c r="O2078" i="4" s="1"/>
  <c r="A2078" i="4"/>
  <c r="S2077" i="4"/>
  <c r="R2077" i="4"/>
  <c r="Q2077" i="4"/>
  <c r="P2077" i="4" s="1"/>
  <c r="T2077" i="4" s="1"/>
  <c r="O2077" i="4"/>
  <c r="N2077" i="4"/>
  <c r="A2077" i="4"/>
  <c r="S2076" i="4"/>
  <c r="R2076" i="4"/>
  <c r="Q2076" i="4"/>
  <c r="N2076" i="4"/>
  <c r="O2076" i="4" s="1"/>
  <c r="A2076" i="4"/>
  <c r="S2075" i="4"/>
  <c r="R2075" i="4"/>
  <c r="Q2075" i="4"/>
  <c r="P2075" i="4" s="1"/>
  <c r="T2075" i="4" s="1"/>
  <c r="O2075" i="4"/>
  <c r="N2075" i="4"/>
  <c r="A2075" i="4"/>
  <c r="S2074" i="4"/>
  <c r="R2074" i="4"/>
  <c r="Q2074" i="4"/>
  <c r="N2074" i="4"/>
  <c r="O2074" i="4" s="1"/>
  <c r="A2074" i="4"/>
  <c r="S2073" i="4"/>
  <c r="R2073" i="4"/>
  <c r="Q2073" i="4"/>
  <c r="P2073" i="4" s="1"/>
  <c r="T2073" i="4" s="1"/>
  <c r="O2073" i="4"/>
  <c r="N2073" i="4"/>
  <c r="A2073" i="4"/>
  <c r="S2072" i="4"/>
  <c r="R2072" i="4"/>
  <c r="Q2072" i="4"/>
  <c r="N2072" i="4"/>
  <c r="O2072" i="4" s="1"/>
  <c r="A2072" i="4"/>
  <c r="S2071" i="4"/>
  <c r="R2071" i="4"/>
  <c r="Q2071" i="4"/>
  <c r="P2071" i="4" s="1"/>
  <c r="T2071" i="4" s="1"/>
  <c r="O2071" i="4"/>
  <c r="N2071" i="4"/>
  <c r="A2071" i="4"/>
  <c r="S2070" i="4"/>
  <c r="R2070" i="4"/>
  <c r="Q2070" i="4"/>
  <c r="N2070" i="4"/>
  <c r="O2070" i="4" s="1"/>
  <c r="A2070" i="4"/>
  <c r="S2069" i="4"/>
  <c r="R2069" i="4"/>
  <c r="Q2069" i="4"/>
  <c r="P2069" i="4" s="1"/>
  <c r="T2069" i="4" s="1"/>
  <c r="O2069" i="4"/>
  <c r="N2069" i="4"/>
  <c r="A2069" i="4"/>
  <c r="S2068" i="4"/>
  <c r="R2068" i="4"/>
  <c r="Q2068" i="4"/>
  <c r="N2068" i="4"/>
  <c r="O2068" i="4" s="1"/>
  <c r="A2068" i="4"/>
  <c r="S2067" i="4"/>
  <c r="R2067" i="4"/>
  <c r="Q2067" i="4"/>
  <c r="P2067" i="4" s="1"/>
  <c r="T2067" i="4" s="1"/>
  <c r="O2067" i="4"/>
  <c r="N2067" i="4"/>
  <c r="A2067" i="4"/>
  <c r="S2066" i="4"/>
  <c r="R2066" i="4"/>
  <c r="Q2066" i="4"/>
  <c r="N2066" i="4"/>
  <c r="O2066" i="4" s="1"/>
  <c r="A2066" i="4"/>
  <c r="S2065" i="4"/>
  <c r="R2065" i="4"/>
  <c r="Q2065" i="4"/>
  <c r="P2065" i="4" s="1"/>
  <c r="T2065" i="4" s="1"/>
  <c r="O2065" i="4"/>
  <c r="N2065" i="4"/>
  <c r="A2065" i="4"/>
  <c r="S2064" i="4"/>
  <c r="R2064" i="4"/>
  <c r="Q2064" i="4"/>
  <c r="N2064" i="4"/>
  <c r="O2064" i="4" s="1"/>
  <c r="A2064" i="4"/>
  <c r="S2063" i="4"/>
  <c r="R2063" i="4"/>
  <c r="Q2063" i="4"/>
  <c r="P2063" i="4" s="1"/>
  <c r="T2063" i="4" s="1"/>
  <c r="O2063" i="4"/>
  <c r="N2063" i="4"/>
  <c r="A2063" i="4"/>
  <c r="S2062" i="4"/>
  <c r="R2062" i="4"/>
  <c r="Q2062" i="4"/>
  <c r="N2062" i="4"/>
  <c r="O2062" i="4" s="1"/>
  <c r="A2062" i="4"/>
  <c r="S2061" i="4"/>
  <c r="R2061" i="4"/>
  <c r="Q2061" i="4"/>
  <c r="P2061" i="4" s="1"/>
  <c r="T2061" i="4" s="1"/>
  <c r="O2061" i="4"/>
  <c r="N2061" i="4"/>
  <c r="A2061" i="4"/>
  <c r="S2060" i="4"/>
  <c r="R2060" i="4"/>
  <c r="Q2060" i="4"/>
  <c r="N2060" i="4"/>
  <c r="O2060" i="4" s="1"/>
  <c r="A2060" i="4"/>
  <c r="S2059" i="4"/>
  <c r="R2059" i="4"/>
  <c r="Q2059" i="4"/>
  <c r="P2059" i="4" s="1"/>
  <c r="T2059" i="4" s="1"/>
  <c r="O2059" i="4"/>
  <c r="N2059" i="4"/>
  <c r="A2059" i="4"/>
  <c r="S2058" i="4"/>
  <c r="R2058" i="4"/>
  <c r="Q2058" i="4"/>
  <c r="N2058" i="4"/>
  <c r="O2058" i="4" s="1"/>
  <c r="A2058" i="4"/>
  <c r="S2057" i="4"/>
  <c r="R2057" i="4"/>
  <c r="Q2057" i="4"/>
  <c r="P2057" i="4" s="1"/>
  <c r="T2057" i="4" s="1"/>
  <c r="O2057" i="4"/>
  <c r="N2057" i="4"/>
  <c r="A2057" i="4"/>
  <c r="S2056" i="4"/>
  <c r="R2056" i="4"/>
  <c r="Q2056" i="4"/>
  <c r="N2056" i="4"/>
  <c r="O2056" i="4" s="1"/>
  <c r="A2056" i="4"/>
  <c r="S2055" i="4"/>
  <c r="R2055" i="4"/>
  <c r="Q2055" i="4"/>
  <c r="P2055" i="4" s="1"/>
  <c r="T2055" i="4" s="1"/>
  <c r="O2055" i="4"/>
  <c r="N2055" i="4"/>
  <c r="A2055" i="4"/>
  <c r="S2054" i="4"/>
  <c r="R2054" i="4"/>
  <c r="Q2054" i="4"/>
  <c r="N2054" i="4"/>
  <c r="O2054" i="4" s="1"/>
  <c r="A2054" i="4"/>
  <c r="S2053" i="4"/>
  <c r="R2053" i="4"/>
  <c r="Q2053" i="4"/>
  <c r="P2053" i="4" s="1"/>
  <c r="T2053" i="4" s="1"/>
  <c r="O2053" i="4"/>
  <c r="N2053" i="4"/>
  <c r="A2053" i="4"/>
  <c r="S2052" i="4"/>
  <c r="R2052" i="4"/>
  <c r="Q2052" i="4"/>
  <c r="N2052" i="4"/>
  <c r="O2052" i="4" s="1"/>
  <c r="A2052" i="4"/>
  <c r="S2051" i="4"/>
  <c r="R2051" i="4"/>
  <c r="Q2051" i="4"/>
  <c r="P2051" i="4" s="1"/>
  <c r="T2051" i="4" s="1"/>
  <c r="O2051" i="4"/>
  <c r="N2051" i="4"/>
  <c r="A2051" i="4"/>
  <c r="S2050" i="4"/>
  <c r="R2050" i="4"/>
  <c r="Q2050" i="4"/>
  <c r="N2050" i="4"/>
  <c r="O2050" i="4" s="1"/>
  <c r="A2050" i="4"/>
  <c r="S2049" i="4"/>
  <c r="R2049" i="4"/>
  <c r="Q2049" i="4"/>
  <c r="P2049" i="4" s="1"/>
  <c r="T2049" i="4" s="1"/>
  <c r="O2049" i="4"/>
  <c r="N2049" i="4"/>
  <c r="A2049" i="4"/>
  <c r="S2048" i="4"/>
  <c r="R2048" i="4"/>
  <c r="Q2048" i="4"/>
  <c r="N2048" i="4"/>
  <c r="O2048" i="4" s="1"/>
  <c r="A2048" i="4"/>
  <c r="S2047" i="4"/>
  <c r="R2047" i="4"/>
  <c r="Q2047" i="4"/>
  <c r="P2047" i="4" s="1"/>
  <c r="T2047" i="4" s="1"/>
  <c r="O2047" i="4"/>
  <c r="N2047" i="4"/>
  <c r="A2047" i="4"/>
  <c r="S2046" i="4"/>
  <c r="R2046" i="4"/>
  <c r="Q2046" i="4"/>
  <c r="N2046" i="4"/>
  <c r="O2046" i="4" s="1"/>
  <c r="A2046" i="4"/>
  <c r="S2045" i="4"/>
  <c r="R2045" i="4"/>
  <c r="Q2045" i="4"/>
  <c r="P2045" i="4" s="1"/>
  <c r="T2045" i="4" s="1"/>
  <c r="O2045" i="4"/>
  <c r="N2045" i="4"/>
  <c r="A2045" i="4"/>
  <c r="S2044" i="4"/>
  <c r="R2044" i="4"/>
  <c r="Q2044" i="4"/>
  <c r="N2044" i="4"/>
  <c r="O2044" i="4" s="1"/>
  <c r="A2044" i="4"/>
  <c r="S2043" i="4"/>
  <c r="R2043" i="4"/>
  <c r="Q2043" i="4"/>
  <c r="P2043" i="4" s="1"/>
  <c r="T2043" i="4" s="1"/>
  <c r="O2043" i="4"/>
  <c r="N2043" i="4"/>
  <c r="A2043" i="4"/>
  <c r="S2042" i="4"/>
  <c r="R2042" i="4"/>
  <c r="Q2042" i="4"/>
  <c r="N2042" i="4"/>
  <c r="O2042" i="4" s="1"/>
  <c r="A2042" i="4"/>
  <c r="S2041" i="4"/>
  <c r="R2041" i="4"/>
  <c r="Q2041" i="4"/>
  <c r="P2041" i="4" s="1"/>
  <c r="T2041" i="4" s="1"/>
  <c r="O2041" i="4"/>
  <c r="N2041" i="4"/>
  <c r="A2041" i="4"/>
  <c r="S2040" i="4"/>
  <c r="R2040" i="4"/>
  <c r="Q2040" i="4"/>
  <c r="N2040" i="4"/>
  <c r="O2040" i="4" s="1"/>
  <c r="A2040" i="4"/>
  <c r="S2039" i="4"/>
  <c r="R2039" i="4"/>
  <c r="Q2039" i="4"/>
  <c r="P2039" i="4" s="1"/>
  <c r="N2039" i="4"/>
  <c r="O2039" i="4" s="1"/>
  <c r="A2039" i="4"/>
  <c r="S2038" i="4"/>
  <c r="R2038" i="4"/>
  <c r="Q2038" i="4"/>
  <c r="P2038" i="4" s="1"/>
  <c r="T2038" i="4" s="1"/>
  <c r="N2038" i="4"/>
  <c r="O2038" i="4" s="1"/>
  <c r="A2038" i="4"/>
  <c r="S2037" i="4"/>
  <c r="R2037" i="4"/>
  <c r="Q2037" i="4"/>
  <c r="P2037" i="4"/>
  <c r="T2037" i="4" s="1"/>
  <c r="N2037" i="4"/>
  <c r="O2037" i="4" s="1"/>
  <c r="A2037" i="4"/>
  <c r="S2036" i="4"/>
  <c r="R2036" i="4"/>
  <c r="Q2036" i="4"/>
  <c r="P2036" i="4" s="1"/>
  <c r="T2036" i="4" s="1"/>
  <c r="N2036" i="4"/>
  <c r="O2036" i="4" s="1"/>
  <c r="A2036" i="4"/>
  <c r="S2035" i="4"/>
  <c r="R2035" i="4"/>
  <c r="Q2035" i="4"/>
  <c r="P2035" i="4"/>
  <c r="T2035" i="4" s="1"/>
  <c r="N2035" i="4"/>
  <c r="O2035" i="4" s="1"/>
  <c r="A2035" i="4"/>
  <c r="S2034" i="4"/>
  <c r="R2034" i="4"/>
  <c r="Q2034" i="4"/>
  <c r="P2034" i="4" s="1"/>
  <c r="T2034" i="4" s="1"/>
  <c r="N2034" i="4"/>
  <c r="O2034" i="4" s="1"/>
  <c r="A2034" i="4"/>
  <c r="S2033" i="4"/>
  <c r="R2033" i="4"/>
  <c r="Q2033" i="4"/>
  <c r="P2033" i="4"/>
  <c r="T2033" i="4" s="1"/>
  <c r="N2033" i="4"/>
  <c r="O2033" i="4" s="1"/>
  <c r="A2033" i="4"/>
  <c r="S2032" i="4"/>
  <c r="R2032" i="4"/>
  <c r="Q2032" i="4"/>
  <c r="P2032" i="4" s="1"/>
  <c r="T2032" i="4" s="1"/>
  <c r="N2032" i="4"/>
  <c r="O2032" i="4" s="1"/>
  <c r="A2032" i="4"/>
  <c r="S2031" i="4"/>
  <c r="R2031" i="4"/>
  <c r="Q2031" i="4"/>
  <c r="P2031" i="4"/>
  <c r="T2031" i="4" s="1"/>
  <c r="N2031" i="4"/>
  <c r="O2031" i="4" s="1"/>
  <c r="A2031" i="4"/>
  <c r="S2030" i="4"/>
  <c r="R2030" i="4"/>
  <c r="Q2030" i="4"/>
  <c r="P2030" i="4" s="1"/>
  <c r="T2030" i="4" s="1"/>
  <c r="N2030" i="4"/>
  <c r="O2030" i="4" s="1"/>
  <c r="A2030" i="4"/>
  <c r="S2029" i="4"/>
  <c r="R2029" i="4"/>
  <c r="Q2029" i="4"/>
  <c r="P2029" i="4"/>
  <c r="T2029" i="4" s="1"/>
  <c r="N2029" i="4"/>
  <c r="O2029" i="4" s="1"/>
  <c r="A2029" i="4"/>
  <c r="S2028" i="4"/>
  <c r="R2028" i="4"/>
  <c r="Q2028" i="4"/>
  <c r="P2028" i="4" s="1"/>
  <c r="T2028" i="4" s="1"/>
  <c r="N2028" i="4"/>
  <c r="O2028" i="4" s="1"/>
  <c r="A2028" i="4"/>
  <c r="S2027" i="4"/>
  <c r="R2027" i="4"/>
  <c r="Q2027" i="4"/>
  <c r="P2027" i="4"/>
  <c r="T2027" i="4" s="1"/>
  <c r="N2027" i="4"/>
  <c r="O2027" i="4" s="1"/>
  <c r="A2027" i="4"/>
  <c r="S2026" i="4"/>
  <c r="R2026" i="4"/>
  <c r="Q2026" i="4"/>
  <c r="P2026" i="4" s="1"/>
  <c r="T2026" i="4" s="1"/>
  <c r="N2026" i="4"/>
  <c r="O2026" i="4" s="1"/>
  <c r="A2026" i="4"/>
  <c r="S2025" i="4"/>
  <c r="R2025" i="4"/>
  <c r="Q2025" i="4"/>
  <c r="P2025" i="4"/>
  <c r="T2025" i="4" s="1"/>
  <c r="N2025" i="4"/>
  <c r="O2025" i="4" s="1"/>
  <c r="A2025" i="4"/>
  <c r="S2024" i="4"/>
  <c r="R2024" i="4"/>
  <c r="Q2024" i="4"/>
  <c r="P2024" i="4" s="1"/>
  <c r="T2024" i="4" s="1"/>
  <c r="N2024" i="4"/>
  <c r="O2024" i="4" s="1"/>
  <c r="A2024" i="4"/>
  <c r="S2023" i="4"/>
  <c r="R2023" i="4"/>
  <c r="Q2023" i="4"/>
  <c r="P2023" i="4"/>
  <c r="T2023" i="4" s="1"/>
  <c r="N2023" i="4"/>
  <c r="O2023" i="4" s="1"/>
  <c r="A2023" i="4"/>
  <c r="S2022" i="4"/>
  <c r="R2022" i="4"/>
  <c r="Q2022" i="4"/>
  <c r="P2022" i="4" s="1"/>
  <c r="T2022" i="4" s="1"/>
  <c r="N2022" i="4"/>
  <c r="O2022" i="4" s="1"/>
  <c r="A2022" i="4"/>
  <c r="S2021" i="4"/>
  <c r="R2021" i="4"/>
  <c r="Q2021" i="4"/>
  <c r="P2021" i="4"/>
  <c r="T2021" i="4" s="1"/>
  <c r="N2021" i="4"/>
  <c r="O2021" i="4" s="1"/>
  <c r="A2021" i="4"/>
  <c r="S2020" i="4"/>
  <c r="R2020" i="4"/>
  <c r="Q2020" i="4"/>
  <c r="P2020" i="4" s="1"/>
  <c r="T2020" i="4" s="1"/>
  <c r="N2020" i="4"/>
  <c r="O2020" i="4" s="1"/>
  <c r="A2020" i="4"/>
  <c r="S2019" i="4"/>
  <c r="R2019" i="4"/>
  <c r="Q2019" i="4"/>
  <c r="P2019" i="4"/>
  <c r="T2019" i="4" s="1"/>
  <c r="N2019" i="4"/>
  <c r="O2019" i="4" s="1"/>
  <c r="A2019" i="4"/>
  <c r="S2018" i="4"/>
  <c r="R2018" i="4"/>
  <c r="Q2018" i="4"/>
  <c r="P2018" i="4" s="1"/>
  <c r="T2018" i="4" s="1"/>
  <c r="N2018" i="4"/>
  <c r="O2018" i="4" s="1"/>
  <c r="A2018" i="4"/>
  <c r="S2017" i="4"/>
  <c r="R2017" i="4"/>
  <c r="Q2017" i="4"/>
  <c r="P2017" i="4"/>
  <c r="T2017" i="4" s="1"/>
  <c r="N2017" i="4"/>
  <c r="O2017" i="4" s="1"/>
  <c r="A2017" i="4"/>
  <c r="S2016" i="4"/>
  <c r="R2016" i="4"/>
  <c r="P2016" i="4" s="1"/>
  <c r="T2016" i="4" s="1"/>
  <c r="Q2016" i="4"/>
  <c r="N2016" i="4"/>
  <c r="O2016" i="4" s="1"/>
  <c r="A2016" i="4"/>
  <c r="S2015" i="4"/>
  <c r="R2015" i="4"/>
  <c r="Q2015" i="4"/>
  <c r="P2015" i="4"/>
  <c r="T2015" i="4" s="1"/>
  <c r="N2015" i="4"/>
  <c r="O2015" i="4" s="1"/>
  <c r="A2015" i="4"/>
  <c r="S2014" i="4"/>
  <c r="R2014" i="4"/>
  <c r="P2014" i="4" s="1"/>
  <c r="T2014" i="4" s="1"/>
  <c r="Q2014" i="4"/>
  <c r="N2014" i="4"/>
  <c r="O2014" i="4" s="1"/>
  <c r="A2014" i="4"/>
  <c r="S2013" i="4"/>
  <c r="R2013" i="4"/>
  <c r="Q2013" i="4"/>
  <c r="P2013" i="4"/>
  <c r="T2013" i="4" s="1"/>
  <c r="N2013" i="4"/>
  <c r="O2013" i="4" s="1"/>
  <c r="A2013" i="4"/>
  <c r="S2012" i="4"/>
  <c r="R2012" i="4"/>
  <c r="P2012" i="4" s="1"/>
  <c r="T2012" i="4" s="1"/>
  <c r="Q2012" i="4"/>
  <c r="N2012" i="4"/>
  <c r="O2012" i="4" s="1"/>
  <c r="A2012" i="4"/>
  <c r="S2011" i="4"/>
  <c r="R2011" i="4"/>
  <c r="Q2011" i="4"/>
  <c r="P2011" i="4"/>
  <c r="T2011" i="4" s="1"/>
  <c r="N2011" i="4"/>
  <c r="O2011" i="4" s="1"/>
  <c r="A2011" i="4"/>
  <c r="S2010" i="4"/>
  <c r="R2010" i="4"/>
  <c r="P2010" i="4" s="1"/>
  <c r="T2010" i="4" s="1"/>
  <c r="Q2010" i="4"/>
  <c r="N2010" i="4"/>
  <c r="O2010" i="4" s="1"/>
  <c r="A2010" i="4"/>
  <c r="S2009" i="4"/>
  <c r="R2009" i="4"/>
  <c r="Q2009" i="4"/>
  <c r="P2009" i="4"/>
  <c r="T2009" i="4" s="1"/>
  <c r="N2009" i="4"/>
  <c r="O2009" i="4" s="1"/>
  <c r="A2009" i="4"/>
  <c r="S2008" i="4"/>
  <c r="R2008" i="4"/>
  <c r="P2008" i="4" s="1"/>
  <c r="T2008" i="4" s="1"/>
  <c r="Q2008" i="4"/>
  <c r="N2008" i="4"/>
  <c r="O2008" i="4" s="1"/>
  <c r="A2008" i="4"/>
  <c r="S2007" i="4"/>
  <c r="R2007" i="4"/>
  <c r="Q2007" i="4"/>
  <c r="P2007" i="4"/>
  <c r="T2007" i="4" s="1"/>
  <c r="N2007" i="4"/>
  <c r="O2007" i="4" s="1"/>
  <c r="A2007" i="4"/>
  <c r="S2006" i="4"/>
  <c r="R2006" i="4"/>
  <c r="P2006" i="4" s="1"/>
  <c r="T2006" i="4" s="1"/>
  <c r="Q2006" i="4"/>
  <c r="N2006" i="4"/>
  <c r="O2006" i="4" s="1"/>
  <c r="A2006" i="4"/>
  <c r="S2005" i="4"/>
  <c r="R2005" i="4"/>
  <c r="Q2005" i="4"/>
  <c r="P2005" i="4"/>
  <c r="T2005" i="4" s="1"/>
  <c r="N2005" i="4"/>
  <c r="O2005" i="4" s="1"/>
  <c r="A2005" i="4"/>
  <c r="S2004" i="4"/>
  <c r="R2004" i="4"/>
  <c r="P2004" i="4" s="1"/>
  <c r="T2004" i="4" s="1"/>
  <c r="Q2004" i="4"/>
  <c r="N2004" i="4"/>
  <c r="O2004" i="4" s="1"/>
  <c r="A2004" i="4"/>
  <c r="S2003" i="4"/>
  <c r="R2003" i="4"/>
  <c r="Q2003" i="4"/>
  <c r="P2003" i="4"/>
  <c r="T2003" i="4" s="1"/>
  <c r="N2003" i="4"/>
  <c r="O2003" i="4" s="1"/>
  <c r="A2003" i="4"/>
  <c r="S2002" i="4"/>
  <c r="R2002" i="4"/>
  <c r="P2002" i="4" s="1"/>
  <c r="T2002" i="4" s="1"/>
  <c r="Q2002" i="4"/>
  <c r="N2002" i="4"/>
  <c r="O2002" i="4" s="1"/>
  <c r="A2002" i="4"/>
  <c r="S2001" i="4"/>
  <c r="R2001" i="4"/>
  <c r="Q2001" i="4"/>
  <c r="P2001" i="4"/>
  <c r="T2001" i="4" s="1"/>
  <c r="N2001" i="4"/>
  <c r="O2001" i="4" s="1"/>
  <c r="A2001" i="4"/>
  <c r="S2000" i="4"/>
  <c r="R2000" i="4"/>
  <c r="Q2000" i="4"/>
  <c r="N2000" i="4"/>
  <c r="O2000" i="4" s="1"/>
  <c r="A2000" i="4"/>
  <c r="S1999" i="4"/>
  <c r="R1999" i="4"/>
  <c r="Q1999" i="4"/>
  <c r="N1999" i="4"/>
  <c r="O1999" i="4" s="1"/>
  <c r="A1999" i="4"/>
  <c r="S1998" i="4"/>
  <c r="R1998" i="4"/>
  <c r="Q1998" i="4"/>
  <c r="P1998" i="4" s="1"/>
  <c r="N1998" i="4"/>
  <c r="O1998" i="4" s="1"/>
  <c r="A1998" i="4"/>
  <c r="S1997" i="4"/>
  <c r="R1997" i="4"/>
  <c r="Q1997" i="4"/>
  <c r="N1997" i="4"/>
  <c r="O1997" i="4" s="1"/>
  <c r="A1997" i="4"/>
  <c r="S1996" i="4"/>
  <c r="R1996" i="4"/>
  <c r="Q1996" i="4"/>
  <c r="P1996" i="4" s="1"/>
  <c r="N1996" i="4"/>
  <c r="O1996" i="4" s="1"/>
  <c r="A1996" i="4"/>
  <c r="S1995" i="4"/>
  <c r="R1995" i="4"/>
  <c r="Q1995" i="4"/>
  <c r="N1995" i="4"/>
  <c r="O1995" i="4" s="1"/>
  <c r="A1995" i="4"/>
  <c r="S1994" i="4"/>
  <c r="R1994" i="4"/>
  <c r="Q1994" i="4"/>
  <c r="P1994" i="4" s="1"/>
  <c r="N1994" i="4"/>
  <c r="O1994" i="4" s="1"/>
  <c r="A1994" i="4"/>
  <c r="S1993" i="4"/>
  <c r="R1993" i="4"/>
  <c r="Q1993" i="4"/>
  <c r="N1993" i="4"/>
  <c r="O1993" i="4" s="1"/>
  <c r="A1993" i="4"/>
  <c r="S1992" i="4"/>
  <c r="R1992" i="4"/>
  <c r="Q1992" i="4"/>
  <c r="P1992" i="4" s="1"/>
  <c r="N1992" i="4"/>
  <c r="O1992" i="4" s="1"/>
  <c r="A1992" i="4"/>
  <c r="S1991" i="4"/>
  <c r="R1991" i="4"/>
  <c r="Q1991" i="4"/>
  <c r="N1991" i="4"/>
  <c r="O1991" i="4" s="1"/>
  <c r="A1991" i="4"/>
  <c r="S1990" i="4"/>
  <c r="R1990" i="4"/>
  <c r="Q1990" i="4"/>
  <c r="P1990" i="4" s="1"/>
  <c r="N1990" i="4"/>
  <c r="O1990" i="4" s="1"/>
  <c r="A1990" i="4"/>
  <c r="S1989" i="4"/>
  <c r="R1989" i="4"/>
  <c r="Q1989" i="4"/>
  <c r="N1989" i="4"/>
  <c r="O1989" i="4" s="1"/>
  <c r="A1989" i="4"/>
  <c r="S1988" i="4"/>
  <c r="R1988" i="4"/>
  <c r="Q1988" i="4"/>
  <c r="P1988" i="4" s="1"/>
  <c r="N1988" i="4"/>
  <c r="O1988" i="4" s="1"/>
  <c r="A1988" i="4"/>
  <c r="S1987" i="4"/>
  <c r="R1987" i="4"/>
  <c r="Q1987" i="4"/>
  <c r="N1987" i="4"/>
  <c r="O1987" i="4" s="1"/>
  <c r="A1987" i="4"/>
  <c r="S1986" i="4"/>
  <c r="R1986" i="4"/>
  <c r="Q1986" i="4"/>
  <c r="P1986" i="4" s="1"/>
  <c r="N1986" i="4"/>
  <c r="O1986" i="4" s="1"/>
  <c r="A1986" i="4"/>
  <c r="S1985" i="4"/>
  <c r="R1985" i="4"/>
  <c r="Q1985" i="4"/>
  <c r="N1985" i="4"/>
  <c r="O1985" i="4" s="1"/>
  <c r="A1985" i="4"/>
  <c r="S1984" i="4"/>
  <c r="R1984" i="4"/>
  <c r="Q1984" i="4"/>
  <c r="P1984" i="4" s="1"/>
  <c r="N1984" i="4"/>
  <c r="O1984" i="4" s="1"/>
  <c r="A1984" i="4"/>
  <c r="S1983" i="4"/>
  <c r="R1983" i="4"/>
  <c r="Q1983" i="4"/>
  <c r="N1983" i="4"/>
  <c r="O1983" i="4" s="1"/>
  <c r="A1983" i="4"/>
  <c r="S1982" i="4"/>
  <c r="R1982" i="4"/>
  <c r="Q1982" i="4"/>
  <c r="P1982" i="4" s="1"/>
  <c r="N1982" i="4"/>
  <c r="O1982" i="4" s="1"/>
  <c r="A1982" i="4"/>
  <c r="S1981" i="4"/>
  <c r="R1981" i="4"/>
  <c r="Q1981" i="4"/>
  <c r="N1981" i="4"/>
  <c r="O1981" i="4" s="1"/>
  <c r="A1981" i="4"/>
  <c r="S1980" i="4"/>
  <c r="R1980" i="4"/>
  <c r="Q1980" i="4"/>
  <c r="P1980" i="4" s="1"/>
  <c r="N1980" i="4"/>
  <c r="O1980" i="4" s="1"/>
  <c r="A1980" i="4"/>
  <c r="S1979" i="4"/>
  <c r="R1979" i="4"/>
  <c r="Q1979" i="4"/>
  <c r="N1979" i="4"/>
  <c r="O1979" i="4" s="1"/>
  <c r="A1979" i="4"/>
  <c r="S1978" i="4"/>
  <c r="R1978" i="4"/>
  <c r="Q1978" i="4"/>
  <c r="P1978" i="4" s="1"/>
  <c r="N1978" i="4"/>
  <c r="O1978" i="4" s="1"/>
  <c r="A1978" i="4"/>
  <c r="S1977" i="4"/>
  <c r="R1977" i="4"/>
  <c r="P1977" i="4" s="1"/>
  <c r="T1977" i="4" s="1"/>
  <c r="Q1977" i="4"/>
  <c r="N1977" i="4"/>
  <c r="O1977" i="4" s="1"/>
  <c r="A1977" i="4"/>
  <c r="S1976" i="4"/>
  <c r="R1976" i="4"/>
  <c r="Q1976" i="4"/>
  <c r="P1976" i="4"/>
  <c r="T1976" i="4" s="1"/>
  <c r="N1976" i="4"/>
  <c r="O1976" i="4" s="1"/>
  <c r="A1976" i="4"/>
  <c r="S1975" i="4"/>
  <c r="R1975" i="4"/>
  <c r="P1975" i="4" s="1"/>
  <c r="T1975" i="4" s="1"/>
  <c r="Q1975" i="4"/>
  <c r="N1975" i="4"/>
  <c r="O1975" i="4" s="1"/>
  <c r="A1975" i="4"/>
  <c r="S1974" i="4"/>
  <c r="R1974" i="4"/>
  <c r="Q1974" i="4"/>
  <c r="P1974" i="4"/>
  <c r="T1974" i="4" s="1"/>
  <c r="N1974" i="4"/>
  <c r="O1974" i="4" s="1"/>
  <c r="A1974" i="4"/>
  <c r="S1973" i="4"/>
  <c r="R1973" i="4"/>
  <c r="P1973" i="4" s="1"/>
  <c r="T1973" i="4" s="1"/>
  <c r="Q1973" i="4"/>
  <c r="N1973" i="4"/>
  <c r="O1973" i="4" s="1"/>
  <c r="A1973" i="4"/>
  <c r="S1972" i="4"/>
  <c r="R1972" i="4"/>
  <c r="Q1972" i="4"/>
  <c r="P1972" i="4"/>
  <c r="T1972" i="4" s="1"/>
  <c r="N1972" i="4"/>
  <c r="O1972" i="4" s="1"/>
  <c r="A1972" i="4"/>
  <c r="S1971" i="4"/>
  <c r="R1971" i="4"/>
  <c r="P1971" i="4" s="1"/>
  <c r="T1971" i="4" s="1"/>
  <c r="Q1971" i="4"/>
  <c r="N1971" i="4"/>
  <c r="O1971" i="4" s="1"/>
  <c r="A1971" i="4"/>
  <c r="S1970" i="4"/>
  <c r="R1970" i="4"/>
  <c r="Q1970" i="4"/>
  <c r="P1970" i="4"/>
  <c r="T1970" i="4" s="1"/>
  <c r="N1970" i="4"/>
  <c r="O1970" i="4" s="1"/>
  <c r="A1970" i="4"/>
  <c r="S1969" i="4"/>
  <c r="R1969" i="4"/>
  <c r="P1969" i="4" s="1"/>
  <c r="T1969" i="4" s="1"/>
  <c r="Q1969" i="4"/>
  <c r="N1969" i="4"/>
  <c r="O1969" i="4" s="1"/>
  <c r="A1969" i="4"/>
  <c r="S1968" i="4"/>
  <c r="R1968" i="4"/>
  <c r="Q1968" i="4"/>
  <c r="P1968" i="4"/>
  <c r="T1968" i="4" s="1"/>
  <c r="N1968" i="4"/>
  <c r="O1968" i="4" s="1"/>
  <c r="A1968" i="4"/>
  <c r="S1967" i="4"/>
  <c r="R1967" i="4"/>
  <c r="P1967" i="4" s="1"/>
  <c r="T1967" i="4" s="1"/>
  <c r="Q1967" i="4"/>
  <c r="N1967" i="4"/>
  <c r="O1967" i="4" s="1"/>
  <c r="A1967" i="4"/>
  <c r="S1966" i="4"/>
  <c r="R1966" i="4"/>
  <c r="Q1966" i="4"/>
  <c r="P1966" i="4"/>
  <c r="T1966" i="4" s="1"/>
  <c r="N1966" i="4"/>
  <c r="O1966" i="4" s="1"/>
  <c r="A1966" i="4"/>
  <c r="S1965" i="4"/>
  <c r="R1965" i="4"/>
  <c r="P1965" i="4" s="1"/>
  <c r="T1965" i="4" s="1"/>
  <c r="Q1965" i="4"/>
  <c r="N1965" i="4"/>
  <c r="O1965" i="4" s="1"/>
  <c r="A1965" i="4"/>
  <c r="S1964" i="4"/>
  <c r="R1964" i="4"/>
  <c r="Q1964" i="4"/>
  <c r="P1964" i="4"/>
  <c r="T1964" i="4" s="1"/>
  <c r="N1964" i="4"/>
  <c r="O1964" i="4" s="1"/>
  <c r="A1964" i="4"/>
  <c r="S1963" i="4"/>
  <c r="R1963" i="4"/>
  <c r="P1963" i="4" s="1"/>
  <c r="T1963" i="4" s="1"/>
  <c r="Q1963" i="4"/>
  <c r="N1963" i="4"/>
  <c r="O1963" i="4" s="1"/>
  <c r="A1963" i="4"/>
  <c r="S1962" i="4"/>
  <c r="R1962" i="4"/>
  <c r="Q1962" i="4"/>
  <c r="P1962" i="4"/>
  <c r="T1962" i="4" s="1"/>
  <c r="N1962" i="4"/>
  <c r="O1962" i="4" s="1"/>
  <c r="A1962" i="4"/>
  <c r="S1961" i="4"/>
  <c r="R1961" i="4"/>
  <c r="P1961" i="4" s="1"/>
  <c r="T1961" i="4" s="1"/>
  <c r="Q1961" i="4"/>
  <c r="N1961" i="4"/>
  <c r="O1961" i="4" s="1"/>
  <c r="A1961" i="4"/>
  <c r="S1960" i="4"/>
  <c r="R1960" i="4"/>
  <c r="Q1960" i="4"/>
  <c r="P1960" i="4"/>
  <c r="T1960" i="4" s="1"/>
  <c r="N1960" i="4"/>
  <c r="O1960" i="4" s="1"/>
  <c r="A1960" i="4"/>
  <c r="S1959" i="4"/>
  <c r="R1959" i="4"/>
  <c r="P1959" i="4" s="1"/>
  <c r="T1959" i="4" s="1"/>
  <c r="Q1959" i="4"/>
  <c r="N1959" i="4"/>
  <c r="O1959" i="4" s="1"/>
  <c r="A1959" i="4"/>
  <c r="S1958" i="4"/>
  <c r="R1958" i="4"/>
  <c r="Q1958" i="4"/>
  <c r="P1958" i="4"/>
  <c r="T1958" i="4" s="1"/>
  <c r="N1958" i="4"/>
  <c r="O1958" i="4" s="1"/>
  <c r="A1958" i="4"/>
  <c r="S1957" i="4"/>
  <c r="R1957" i="4"/>
  <c r="P1957" i="4" s="1"/>
  <c r="T1957" i="4" s="1"/>
  <c r="Q1957" i="4"/>
  <c r="N1957" i="4"/>
  <c r="O1957" i="4" s="1"/>
  <c r="A1957" i="4"/>
  <c r="S1956" i="4"/>
  <c r="R1956" i="4"/>
  <c r="Q1956" i="4"/>
  <c r="O1956" i="4"/>
  <c r="N1956" i="4"/>
  <c r="A1956" i="4"/>
  <c r="S1955" i="4"/>
  <c r="R1955" i="4"/>
  <c r="Q1955" i="4"/>
  <c r="O1955" i="4"/>
  <c r="N1955" i="4"/>
  <c r="A1955" i="4"/>
  <c r="S1954" i="4"/>
  <c r="R1954" i="4"/>
  <c r="Q1954" i="4"/>
  <c r="O1954" i="4"/>
  <c r="N1954" i="4"/>
  <c r="A1954" i="4"/>
  <c r="S1953" i="4"/>
  <c r="R1953" i="4"/>
  <c r="Q1953" i="4"/>
  <c r="O1953" i="4"/>
  <c r="N1953" i="4"/>
  <c r="A1953" i="4"/>
  <c r="S1952" i="4"/>
  <c r="R1952" i="4"/>
  <c r="Q1952" i="4"/>
  <c r="O1952" i="4"/>
  <c r="N1952" i="4"/>
  <c r="A1952" i="4"/>
  <c r="S1951" i="4"/>
  <c r="R1951" i="4"/>
  <c r="Q1951" i="4"/>
  <c r="O1951" i="4"/>
  <c r="N1951" i="4"/>
  <c r="A1951" i="4"/>
  <c r="S1950" i="4"/>
  <c r="R1950" i="4"/>
  <c r="Q1950" i="4"/>
  <c r="O1950" i="4"/>
  <c r="N1950" i="4"/>
  <c r="A1950" i="4"/>
  <c r="S1949" i="4"/>
  <c r="R1949" i="4"/>
  <c r="Q1949" i="4"/>
  <c r="O1949" i="4"/>
  <c r="N1949" i="4"/>
  <c r="A1949" i="4"/>
  <c r="S1948" i="4"/>
  <c r="R1948" i="4"/>
  <c r="Q1948" i="4"/>
  <c r="O1948" i="4"/>
  <c r="N1948" i="4"/>
  <c r="A1948" i="4"/>
  <c r="S1947" i="4"/>
  <c r="R1947" i="4"/>
  <c r="Q1947" i="4"/>
  <c r="O1947" i="4"/>
  <c r="N1947" i="4"/>
  <c r="A1947" i="4"/>
  <c r="S1946" i="4"/>
  <c r="R1946" i="4"/>
  <c r="Q1946" i="4"/>
  <c r="O1946" i="4"/>
  <c r="N1946" i="4"/>
  <c r="A1946" i="4"/>
  <c r="S1945" i="4"/>
  <c r="R1945" i="4"/>
  <c r="Q1945" i="4"/>
  <c r="O1945" i="4"/>
  <c r="N1945" i="4"/>
  <c r="A1945" i="4"/>
  <c r="S1944" i="4"/>
  <c r="R1944" i="4"/>
  <c r="Q1944" i="4"/>
  <c r="O1944" i="4"/>
  <c r="N1944" i="4"/>
  <c r="A1944" i="4"/>
  <c r="S1943" i="4"/>
  <c r="R1943" i="4"/>
  <c r="Q1943" i="4"/>
  <c r="O1943" i="4"/>
  <c r="N1943" i="4"/>
  <c r="A1943" i="4"/>
  <c r="S1942" i="4"/>
  <c r="R1942" i="4"/>
  <c r="Q1942" i="4"/>
  <c r="O1942" i="4"/>
  <c r="N1942" i="4"/>
  <c r="A1942" i="4"/>
  <c r="S1941" i="4"/>
  <c r="R1941" i="4"/>
  <c r="Q1941" i="4"/>
  <c r="O1941" i="4"/>
  <c r="N1941" i="4"/>
  <c r="A1941" i="4"/>
  <c r="S1940" i="4"/>
  <c r="R1940" i="4"/>
  <c r="Q1940" i="4"/>
  <c r="O1940" i="4"/>
  <c r="N1940" i="4"/>
  <c r="A1940" i="4"/>
  <c r="S1939" i="4"/>
  <c r="R1939" i="4"/>
  <c r="Q1939" i="4"/>
  <c r="O1939" i="4"/>
  <c r="N1939" i="4"/>
  <c r="A1939" i="4"/>
  <c r="S1938" i="4"/>
  <c r="R1938" i="4"/>
  <c r="Q1938" i="4"/>
  <c r="O1938" i="4"/>
  <c r="N1938" i="4"/>
  <c r="A1938" i="4"/>
  <c r="S1937" i="4"/>
  <c r="R1937" i="4"/>
  <c r="Q1937" i="4"/>
  <c r="O1937" i="4"/>
  <c r="N1937" i="4"/>
  <c r="A1937" i="4"/>
  <c r="S1936" i="4"/>
  <c r="R1936" i="4"/>
  <c r="Q1936" i="4"/>
  <c r="O1936" i="4"/>
  <c r="N1936" i="4"/>
  <c r="A1936" i="4"/>
  <c r="S1935" i="4"/>
  <c r="R1935" i="4"/>
  <c r="Q1935" i="4"/>
  <c r="O1935" i="4"/>
  <c r="N1935" i="4"/>
  <c r="A1935" i="4"/>
  <c r="S1934" i="4"/>
  <c r="R1934" i="4"/>
  <c r="Q1934" i="4"/>
  <c r="O1934" i="4"/>
  <c r="N1934" i="4"/>
  <c r="A1934" i="4"/>
  <c r="S1933" i="4"/>
  <c r="R1933" i="4"/>
  <c r="Q1933" i="4"/>
  <c r="O1933" i="4"/>
  <c r="N1933" i="4"/>
  <c r="A1933" i="4"/>
  <c r="S1932" i="4"/>
  <c r="R1932" i="4"/>
  <c r="Q1932" i="4"/>
  <c r="O1932" i="4"/>
  <c r="N1932" i="4"/>
  <c r="A1932" i="4"/>
  <c r="S1931" i="4"/>
  <c r="R1931" i="4"/>
  <c r="Q1931" i="4"/>
  <c r="O1931" i="4"/>
  <c r="N1931" i="4"/>
  <c r="A1931" i="4"/>
  <c r="S1930" i="4"/>
  <c r="R1930" i="4"/>
  <c r="Q1930" i="4"/>
  <c r="O1930" i="4"/>
  <c r="N1930" i="4"/>
  <c r="A1930" i="4"/>
  <c r="S1929" i="4"/>
  <c r="R1929" i="4"/>
  <c r="Q1929" i="4"/>
  <c r="O1929" i="4"/>
  <c r="N1929" i="4"/>
  <c r="A1929" i="4"/>
  <c r="S1928" i="4"/>
  <c r="R1928" i="4"/>
  <c r="Q1928" i="4"/>
  <c r="O1928" i="4"/>
  <c r="N1928" i="4"/>
  <c r="A1928" i="4"/>
  <c r="S1927" i="4"/>
  <c r="R1927" i="4"/>
  <c r="Q1927" i="4"/>
  <c r="O1927" i="4"/>
  <c r="N1927" i="4"/>
  <c r="A1927" i="4"/>
  <c r="S1926" i="4"/>
  <c r="R1926" i="4"/>
  <c r="Q1926" i="4"/>
  <c r="O1926" i="4"/>
  <c r="N1926" i="4"/>
  <c r="A1926" i="4"/>
  <c r="S1925" i="4"/>
  <c r="R1925" i="4"/>
  <c r="Q1925" i="4"/>
  <c r="O1925" i="4"/>
  <c r="N1925" i="4"/>
  <c r="A1925" i="4"/>
  <c r="S1924" i="4"/>
  <c r="R1924" i="4"/>
  <c r="Q1924" i="4"/>
  <c r="O1924" i="4"/>
  <c r="N1924" i="4"/>
  <c r="A1924" i="4"/>
  <c r="S1923" i="4"/>
  <c r="R1923" i="4"/>
  <c r="Q1923" i="4"/>
  <c r="O1923" i="4"/>
  <c r="N1923" i="4"/>
  <c r="A1923" i="4"/>
  <c r="S1922" i="4"/>
  <c r="R1922" i="4"/>
  <c r="Q1922" i="4"/>
  <c r="O1922" i="4"/>
  <c r="N1922" i="4"/>
  <c r="A1922" i="4"/>
  <c r="S1921" i="4"/>
  <c r="R1921" i="4"/>
  <c r="Q1921" i="4"/>
  <c r="O1921" i="4"/>
  <c r="N1921" i="4"/>
  <c r="A1921" i="4"/>
  <c r="S1920" i="4"/>
  <c r="R1920" i="4"/>
  <c r="Q1920" i="4"/>
  <c r="O1920" i="4"/>
  <c r="N1920" i="4"/>
  <c r="A1920" i="4"/>
  <c r="S1919" i="4"/>
  <c r="R1919" i="4"/>
  <c r="Q1919" i="4"/>
  <c r="O1919" i="4"/>
  <c r="N1919" i="4"/>
  <c r="A1919" i="4"/>
  <c r="S1918" i="4"/>
  <c r="R1918" i="4"/>
  <c r="Q1918" i="4"/>
  <c r="O1918" i="4"/>
  <c r="N1918" i="4"/>
  <c r="A1918" i="4"/>
  <c r="S1917" i="4"/>
  <c r="R1917" i="4"/>
  <c r="Q1917" i="4"/>
  <c r="O1917" i="4"/>
  <c r="N1917" i="4"/>
  <c r="A1917" i="4"/>
  <c r="S1916" i="4"/>
  <c r="R1916" i="4"/>
  <c r="Q1916" i="4"/>
  <c r="O1916" i="4"/>
  <c r="N1916" i="4"/>
  <c r="A1916" i="4"/>
  <c r="S1915" i="4"/>
  <c r="R1915" i="4"/>
  <c r="Q1915" i="4"/>
  <c r="O1915" i="4"/>
  <c r="N1915" i="4"/>
  <c r="A1915" i="4"/>
  <c r="S1914" i="4"/>
  <c r="R1914" i="4"/>
  <c r="Q1914" i="4"/>
  <c r="O1914" i="4"/>
  <c r="N1914" i="4"/>
  <c r="A1914" i="4"/>
  <c r="S1913" i="4"/>
  <c r="R1913" i="4"/>
  <c r="Q1913" i="4"/>
  <c r="O1913" i="4"/>
  <c r="N1913" i="4"/>
  <c r="A1913" i="4"/>
  <c r="S1912" i="4"/>
  <c r="R1912" i="4"/>
  <c r="Q1912" i="4"/>
  <c r="O1912" i="4"/>
  <c r="N1912" i="4"/>
  <c r="A1912" i="4"/>
  <c r="S1911" i="4"/>
  <c r="R1911" i="4"/>
  <c r="Q1911" i="4"/>
  <c r="O1911" i="4"/>
  <c r="N1911" i="4"/>
  <c r="A1911" i="4"/>
  <c r="S1910" i="4"/>
  <c r="R1910" i="4"/>
  <c r="Q1910" i="4"/>
  <c r="O1910" i="4"/>
  <c r="N1910" i="4"/>
  <c r="A1910" i="4"/>
  <c r="S1909" i="4"/>
  <c r="R1909" i="4"/>
  <c r="Q1909" i="4"/>
  <c r="O1909" i="4"/>
  <c r="N1909" i="4"/>
  <c r="A1909" i="4"/>
  <c r="S1908" i="4"/>
  <c r="R1908" i="4"/>
  <c r="Q1908" i="4"/>
  <c r="O1908" i="4"/>
  <c r="N1908" i="4"/>
  <c r="A1908" i="4"/>
  <c r="S1907" i="4"/>
  <c r="R1907" i="4"/>
  <c r="Q1907" i="4"/>
  <c r="O1907" i="4"/>
  <c r="N1907" i="4"/>
  <c r="A1907" i="4"/>
  <c r="S1906" i="4"/>
  <c r="R1906" i="4"/>
  <c r="Q1906" i="4"/>
  <c r="O1906" i="4"/>
  <c r="N1906" i="4"/>
  <c r="A1906" i="4"/>
  <c r="S1905" i="4"/>
  <c r="R1905" i="4"/>
  <c r="Q1905" i="4"/>
  <c r="O1905" i="4"/>
  <c r="N1905" i="4"/>
  <c r="A1905" i="4"/>
  <c r="S1904" i="4"/>
  <c r="R1904" i="4"/>
  <c r="Q1904" i="4"/>
  <c r="O1904" i="4"/>
  <c r="N1904" i="4"/>
  <c r="A1904" i="4"/>
  <c r="S1903" i="4"/>
  <c r="R1903" i="4"/>
  <c r="Q1903" i="4"/>
  <c r="O1903" i="4"/>
  <c r="N1903" i="4"/>
  <c r="A1903" i="4"/>
  <c r="S1902" i="4"/>
  <c r="R1902" i="4"/>
  <c r="Q1902" i="4"/>
  <c r="O1902" i="4"/>
  <c r="N1902" i="4"/>
  <c r="A1902" i="4"/>
  <c r="S1901" i="4"/>
  <c r="R1901" i="4"/>
  <c r="Q1901" i="4"/>
  <c r="O1901" i="4"/>
  <c r="N1901" i="4"/>
  <c r="A1901" i="4"/>
  <c r="S1900" i="4"/>
  <c r="R1900" i="4"/>
  <c r="Q1900" i="4"/>
  <c r="O1900" i="4"/>
  <c r="N1900" i="4"/>
  <c r="A1900" i="4"/>
  <c r="S1899" i="4"/>
  <c r="R1899" i="4"/>
  <c r="Q1899" i="4"/>
  <c r="O1899" i="4"/>
  <c r="N1899" i="4"/>
  <c r="A1899" i="4"/>
  <c r="S1898" i="4"/>
  <c r="R1898" i="4"/>
  <c r="Q1898" i="4"/>
  <c r="O1898" i="4"/>
  <c r="N1898" i="4"/>
  <c r="A1898" i="4"/>
  <c r="S1897" i="4"/>
  <c r="R1897" i="4"/>
  <c r="Q1897" i="4"/>
  <c r="O1897" i="4"/>
  <c r="N1897" i="4"/>
  <c r="A1897" i="4"/>
  <c r="S1896" i="4"/>
  <c r="R1896" i="4"/>
  <c r="Q1896" i="4"/>
  <c r="O1896" i="4"/>
  <c r="N1896" i="4"/>
  <c r="A1896" i="4"/>
  <c r="S1895" i="4"/>
  <c r="R1895" i="4"/>
  <c r="Q1895" i="4"/>
  <c r="O1895" i="4"/>
  <c r="N1895" i="4"/>
  <c r="A1895" i="4"/>
  <c r="S1894" i="4"/>
  <c r="R1894" i="4"/>
  <c r="Q1894" i="4"/>
  <c r="O1894" i="4"/>
  <c r="N1894" i="4"/>
  <c r="A1894" i="4"/>
  <c r="S1893" i="4"/>
  <c r="R1893" i="4"/>
  <c r="Q1893" i="4"/>
  <c r="O1893" i="4"/>
  <c r="N1893" i="4"/>
  <c r="A1893" i="4"/>
  <c r="S1892" i="4"/>
  <c r="R1892" i="4"/>
  <c r="Q1892" i="4"/>
  <c r="O1892" i="4"/>
  <c r="N1892" i="4"/>
  <c r="A1892" i="4"/>
  <c r="S1891" i="4"/>
  <c r="R1891" i="4"/>
  <c r="Q1891" i="4"/>
  <c r="O1891" i="4"/>
  <c r="N1891" i="4"/>
  <c r="A1891" i="4"/>
  <c r="S1890" i="4"/>
  <c r="R1890" i="4"/>
  <c r="Q1890" i="4"/>
  <c r="O1890" i="4"/>
  <c r="N1890" i="4"/>
  <c r="A1890" i="4"/>
  <c r="S1889" i="4"/>
  <c r="R1889" i="4"/>
  <c r="Q1889" i="4"/>
  <c r="O1889" i="4"/>
  <c r="N1889" i="4"/>
  <c r="A1889" i="4"/>
  <c r="S1888" i="4"/>
  <c r="R1888" i="4"/>
  <c r="Q1888" i="4"/>
  <c r="O1888" i="4"/>
  <c r="N1888" i="4"/>
  <c r="A1888" i="4"/>
  <c r="S1887" i="4"/>
  <c r="R1887" i="4"/>
  <c r="Q1887" i="4"/>
  <c r="O1887" i="4"/>
  <c r="N1887" i="4"/>
  <c r="A1887" i="4"/>
  <c r="S1886" i="4"/>
  <c r="R1886" i="4"/>
  <c r="Q1886" i="4"/>
  <c r="O1886" i="4"/>
  <c r="N1886" i="4"/>
  <c r="A1886" i="4"/>
  <c r="S1885" i="4"/>
  <c r="R1885" i="4"/>
  <c r="Q1885" i="4"/>
  <c r="O1885" i="4"/>
  <c r="N1885" i="4"/>
  <c r="A1885" i="4"/>
  <c r="S1884" i="4"/>
  <c r="R1884" i="4"/>
  <c r="Q1884" i="4"/>
  <c r="O1884" i="4"/>
  <c r="N1884" i="4"/>
  <c r="A1884" i="4"/>
  <c r="S1883" i="4"/>
  <c r="R1883" i="4"/>
  <c r="Q1883" i="4"/>
  <c r="N1883" i="4"/>
  <c r="O1883" i="4" s="1"/>
  <c r="A1883" i="4"/>
  <c r="S1882" i="4"/>
  <c r="R1882" i="4"/>
  <c r="Q1882" i="4"/>
  <c r="N1882" i="4"/>
  <c r="O1882" i="4" s="1"/>
  <c r="A1882" i="4"/>
  <c r="S1881" i="4"/>
  <c r="R1881" i="4"/>
  <c r="Q1881" i="4"/>
  <c r="N1881" i="4"/>
  <c r="O1881" i="4" s="1"/>
  <c r="A1881" i="4"/>
  <c r="S1880" i="4"/>
  <c r="R1880" i="4"/>
  <c r="Q1880" i="4"/>
  <c r="P1880" i="4" s="1"/>
  <c r="T1880" i="4" s="1"/>
  <c r="N1880" i="4"/>
  <c r="O1880" i="4" s="1"/>
  <c r="A1880" i="4"/>
  <c r="S1879" i="4"/>
  <c r="R1879" i="4"/>
  <c r="Q1879" i="4"/>
  <c r="N1879" i="4"/>
  <c r="O1879" i="4" s="1"/>
  <c r="A1879" i="4"/>
  <c r="S1878" i="4"/>
  <c r="R1878" i="4"/>
  <c r="Q1878" i="4"/>
  <c r="N1878" i="4"/>
  <c r="O1878" i="4" s="1"/>
  <c r="A1878" i="4"/>
  <c r="S1877" i="4"/>
  <c r="R1877" i="4"/>
  <c r="Q1877" i="4"/>
  <c r="N1877" i="4"/>
  <c r="O1877" i="4" s="1"/>
  <c r="A1877" i="4"/>
  <c r="S1876" i="4"/>
  <c r="R1876" i="4"/>
  <c r="Q1876" i="4"/>
  <c r="P1876" i="4" s="1"/>
  <c r="T1876" i="4" s="1"/>
  <c r="N1876" i="4"/>
  <c r="O1876" i="4" s="1"/>
  <c r="A1876" i="4"/>
  <c r="S1875" i="4"/>
  <c r="R1875" i="4"/>
  <c r="Q1875" i="4"/>
  <c r="N1875" i="4"/>
  <c r="O1875" i="4" s="1"/>
  <c r="A1875" i="4"/>
  <c r="S1874" i="4"/>
  <c r="R1874" i="4"/>
  <c r="Q1874" i="4"/>
  <c r="N1874" i="4"/>
  <c r="O1874" i="4" s="1"/>
  <c r="A1874" i="4"/>
  <c r="S1873" i="4"/>
  <c r="R1873" i="4"/>
  <c r="Q1873" i="4"/>
  <c r="N1873" i="4"/>
  <c r="O1873" i="4" s="1"/>
  <c r="A1873" i="4"/>
  <c r="S1872" i="4"/>
  <c r="R1872" i="4"/>
  <c r="Q1872" i="4"/>
  <c r="P1872" i="4" s="1"/>
  <c r="T1872" i="4" s="1"/>
  <c r="N1872" i="4"/>
  <c r="O1872" i="4" s="1"/>
  <c r="A1872" i="4"/>
  <c r="S1871" i="4"/>
  <c r="R1871" i="4"/>
  <c r="Q1871" i="4"/>
  <c r="N1871" i="4"/>
  <c r="O1871" i="4" s="1"/>
  <c r="A1871" i="4"/>
  <c r="S1870" i="4"/>
  <c r="R1870" i="4"/>
  <c r="Q1870" i="4"/>
  <c r="N1870" i="4"/>
  <c r="O1870" i="4" s="1"/>
  <c r="A1870" i="4"/>
  <c r="S1869" i="4"/>
  <c r="R1869" i="4"/>
  <c r="Q1869" i="4"/>
  <c r="N1869" i="4"/>
  <c r="O1869" i="4" s="1"/>
  <c r="A1869" i="4"/>
  <c r="S1868" i="4"/>
  <c r="R1868" i="4"/>
  <c r="Q1868" i="4"/>
  <c r="P1868" i="4" s="1"/>
  <c r="T1868" i="4" s="1"/>
  <c r="N1868" i="4"/>
  <c r="O1868" i="4" s="1"/>
  <c r="A1868" i="4"/>
  <c r="S1867" i="4"/>
  <c r="R1867" i="4"/>
  <c r="Q1867" i="4"/>
  <c r="N1867" i="4"/>
  <c r="O1867" i="4" s="1"/>
  <c r="A1867" i="4"/>
  <c r="S1866" i="4"/>
  <c r="R1866" i="4"/>
  <c r="Q1866" i="4"/>
  <c r="N1866" i="4"/>
  <c r="O1866" i="4" s="1"/>
  <c r="A1866" i="4"/>
  <c r="S1865" i="4"/>
  <c r="R1865" i="4"/>
  <c r="Q1865" i="4"/>
  <c r="N1865" i="4"/>
  <c r="O1865" i="4" s="1"/>
  <c r="A1865" i="4"/>
  <c r="S1864" i="4"/>
  <c r="R1864" i="4"/>
  <c r="Q1864" i="4"/>
  <c r="P1864" i="4" s="1"/>
  <c r="T1864" i="4" s="1"/>
  <c r="N1864" i="4"/>
  <c r="O1864" i="4" s="1"/>
  <c r="A1864" i="4"/>
  <c r="S1863" i="4"/>
  <c r="R1863" i="4"/>
  <c r="Q1863" i="4"/>
  <c r="N1863" i="4"/>
  <c r="O1863" i="4" s="1"/>
  <c r="A1863" i="4"/>
  <c r="S1862" i="4"/>
  <c r="R1862" i="4"/>
  <c r="Q1862" i="4"/>
  <c r="N1862" i="4"/>
  <c r="O1862" i="4" s="1"/>
  <c r="A1862" i="4"/>
  <c r="S1861" i="4"/>
  <c r="R1861" i="4"/>
  <c r="Q1861" i="4"/>
  <c r="N1861" i="4"/>
  <c r="O1861" i="4" s="1"/>
  <c r="A1861" i="4"/>
  <c r="S1860" i="4"/>
  <c r="R1860" i="4"/>
  <c r="Q1860" i="4"/>
  <c r="P1860" i="4" s="1"/>
  <c r="T1860" i="4" s="1"/>
  <c r="N1860" i="4"/>
  <c r="O1860" i="4" s="1"/>
  <c r="A1860" i="4"/>
  <c r="S1859" i="4"/>
  <c r="R1859" i="4"/>
  <c r="Q1859" i="4"/>
  <c r="N1859" i="4"/>
  <c r="O1859" i="4" s="1"/>
  <c r="A1859" i="4"/>
  <c r="S1858" i="4"/>
  <c r="R1858" i="4"/>
  <c r="Q1858" i="4"/>
  <c r="N1858" i="4"/>
  <c r="O1858" i="4" s="1"/>
  <c r="A1858" i="4"/>
  <c r="S1857" i="4"/>
  <c r="R1857" i="4"/>
  <c r="Q1857" i="4"/>
  <c r="N1857" i="4"/>
  <c r="O1857" i="4" s="1"/>
  <c r="A1857" i="4"/>
  <c r="S1856" i="4"/>
  <c r="R1856" i="4"/>
  <c r="Q1856" i="4"/>
  <c r="P1856" i="4" s="1"/>
  <c r="T1856" i="4" s="1"/>
  <c r="N1856" i="4"/>
  <c r="O1856" i="4" s="1"/>
  <c r="A1856" i="4"/>
  <c r="S1855" i="4"/>
  <c r="R1855" i="4"/>
  <c r="Q1855" i="4"/>
  <c r="N1855" i="4"/>
  <c r="O1855" i="4" s="1"/>
  <c r="A1855" i="4"/>
  <c r="S1854" i="4"/>
  <c r="R1854" i="4"/>
  <c r="Q1854" i="4"/>
  <c r="N1854" i="4"/>
  <c r="O1854" i="4" s="1"/>
  <c r="A1854" i="4"/>
  <c r="S1853" i="4"/>
  <c r="R1853" i="4"/>
  <c r="Q1853" i="4"/>
  <c r="N1853" i="4"/>
  <c r="O1853" i="4" s="1"/>
  <c r="A1853" i="4"/>
  <c r="S1852" i="4"/>
  <c r="R1852" i="4"/>
  <c r="Q1852" i="4"/>
  <c r="P1852" i="4" s="1"/>
  <c r="T1852" i="4" s="1"/>
  <c r="N1852" i="4"/>
  <c r="O1852" i="4" s="1"/>
  <c r="A1852" i="4"/>
  <c r="S1851" i="4"/>
  <c r="R1851" i="4"/>
  <c r="Q1851" i="4"/>
  <c r="N1851" i="4"/>
  <c r="O1851" i="4" s="1"/>
  <c r="A1851" i="4"/>
  <c r="S1850" i="4"/>
  <c r="R1850" i="4"/>
  <c r="Q1850" i="4"/>
  <c r="N1850" i="4"/>
  <c r="O1850" i="4" s="1"/>
  <c r="A1850" i="4"/>
  <c r="S1849" i="4"/>
  <c r="R1849" i="4"/>
  <c r="Q1849" i="4"/>
  <c r="N1849" i="4"/>
  <c r="O1849" i="4" s="1"/>
  <c r="A1849" i="4"/>
  <c r="S1848" i="4"/>
  <c r="R1848" i="4"/>
  <c r="Q1848" i="4"/>
  <c r="P1848" i="4" s="1"/>
  <c r="T1848" i="4" s="1"/>
  <c r="N1848" i="4"/>
  <c r="O1848" i="4" s="1"/>
  <c r="A1848" i="4"/>
  <c r="S1847" i="4"/>
  <c r="R1847" i="4"/>
  <c r="Q1847" i="4"/>
  <c r="N1847" i="4"/>
  <c r="O1847" i="4" s="1"/>
  <c r="A1847" i="4"/>
  <c r="S1846" i="4"/>
  <c r="R1846" i="4"/>
  <c r="Q1846" i="4"/>
  <c r="N1846" i="4"/>
  <c r="O1846" i="4" s="1"/>
  <c r="A1846" i="4"/>
  <c r="S1845" i="4"/>
  <c r="R1845" i="4"/>
  <c r="Q1845" i="4"/>
  <c r="N1845" i="4"/>
  <c r="O1845" i="4" s="1"/>
  <c r="A1845" i="4"/>
  <c r="S1844" i="4"/>
  <c r="R1844" i="4"/>
  <c r="Q1844" i="4"/>
  <c r="P1844" i="4" s="1"/>
  <c r="T1844" i="4" s="1"/>
  <c r="N1844" i="4"/>
  <c r="O1844" i="4" s="1"/>
  <c r="A1844" i="4"/>
  <c r="S1843" i="4"/>
  <c r="R1843" i="4"/>
  <c r="Q1843" i="4"/>
  <c r="N1843" i="4"/>
  <c r="O1843" i="4" s="1"/>
  <c r="A1843" i="4"/>
  <c r="S1842" i="4"/>
  <c r="R1842" i="4"/>
  <c r="Q1842" i="4"/>
  <c r="N1842" i="4"/>
  <c r="O1842" i="4" s="1"/>
  <c r="A1842" i="4"/>
  <c r="S1841" i="4"/>
  <c r="R1841" i="4"/>
  <c r="Q1841" i="4"/>
  <c r="N1841" i="4"/>
  <c r="O1841" i="4" s="1"/>
  <c r="A1841" i="4"/>
  <c r="S1840" i="4"/>
  <c r="R1840" i="4"/>
  <c r="Q1840" i="4"/>
  <c r="P1840" i="4" s="1"/>
  <c r="T1840" i="4" s="1"/>
  <c r="N1840" i="4"/>
  <c r="O1840" i="4" s="1"/>
  <c r="A1840" i="4"/>
  <c r="S1839" i="4"/>
  <c r="R1839" i="4"/>
  <c r="Q1839" i="4"/>
  <c r="N1839" i="4"/>
  <c r="O1839" i="4" s="1"/>
  <c r="A1839" i="4"/>
  <c r="S1838" i="4"/>
  <c r="R1838" i="4"/>
  <c r="Q1838" i="4"/>
  <c r="N1838" i="4"/>
  <c r="O1838" i="4" s="1"/>
  <c r="A1838" i="4"/>
  <c r="S1837" i="4"/>
  <c r="R1837" i="4"/>
  <c r="Q1837" i="4"/>
  <c r="N1837" i="4"/>
  <c r="O1837" i="4" s="1"/>
  <c r="A1837" i="4"/>
  <c r="S1836" i="4"/>
  <c r="R1836" i="4"/>
  <c r="Q1836" i="4"/>
  <c r="P1836" i="4" s="1"/>
  <c r="T1836" i="4" s="1"/>
  <c r="N1836" i="4"/>
  <c r="O1836" i="4" s="1"/>
  <c r="A1836" i="4"/>
  <c r="S1835" i="4"/>
  <c r="R1835" i="4"/>
  <c r="Q1835" i="4"/>
  <c r="N1835" i="4"/>
  <c r="O1835" i="4" s="1"/>
  <c r="A1835" i="4"/>
  <c r="S1834" i="4"/>
  <c r="R1834" i="4"/>
  <c r="Q1834" i="4"/>
  <c r="N1834" i="4"/>
  <c r="O1834" i="4" s="1"/>
  <c r="A1834" i="4"/>
  <c r="S1833" i="4"/>
  <c r="R1833" i="4"/>
  <c r="Q1833" i="4"/>
  <c r="N1833" i="4"/>
  <c r="O1833" i="4" s="1"/>
  <c r="A1833" i="4"/>
  <c r="S1832" i="4"/>
  <c r="R1832" i="4"/>
  <c r="Q1832" i="4"/>
  <c r="P1832" i="4" s="1"/>
  <c r="T1832" i="4" s="1"/>
  <c r="N1832" i="4"/>
  <c r="O1832" i="4" s="1"/>
  <c r="A1832" i="4"/>
  <c r="S1831" i="4"/>
  <c r="R1831" i="4"/>
  <c r="Q1831" i="4"/>
  <c r="N1831" i="4"/>
  <c r="O1831" i="4" s="1"/>
  <c r="A1831" i="4"/>
  <c r="S1830" i="4"/>
  <c r="R1830" i="4"/>
  <c r="Q1830" i="4"/>
  <c r="N1830" i="4"/>
  <c r="O1830" i="4" s="1"/>
  <c r="A1830" i="4"/>
  <c r="S1829" i="4"/>
  <c r="R1829" i="4"/>
  <c r="Q1829" i="4"/>
  <c r="O1829" i="4"/>
  <c r="N1829" i="4"/>
  <c r="A1829" i="4"/>
  <c r="S1828" i="4"/>
  <c r="R1828" i="4"/>
  <c r="Q1828" i="4"/>
  <c r="O1828" i="4"/>
  <c r="N1828" i="4"/>
  <c r="A1828" i="4"/>
  <c r="S1827" i="4"/>
  <c r="R1827" i="4"/>
  <c r="Q1827" i="4"/>
  <c r="O1827" i="4"/>
  <c r="N1827" i="4"/>
  <c r="A1827" i="4"/>
  <c r="S1826" i="4"/>
  <c r="R1826" i="4"/>
  <c r="Q1826" i="4"/>
  <c r="O1826" i="4"/>
  <c r="N1826" i="4"/>
  <c r="A1826" i="4"/>
  <c r="S1825" i="4"/>
  <c r="R1825" i="4"/>
  <c r="Q1825" i="4"/>
  <c r="O1825" i="4"/>
  <c r="N1825" i="4"/>
  <c r="A1825" i="4"/>
  <c r="S1824" i="4"/>
  <c r="R1824" i="4"/>
  <c r="Q1824" i="4"/>
  <c r="O1824" i="4"/>
  <c r="N1824" i="4"/>
  <c r="A1824" i="4"/>
  <c r="S1823" i="4"/>
  <c r="R1823" i="4"/>
  <c r="Q1823" i="4"/>
  <c r="O1823" i="4"/>
  <c r="N1823" i="4"/>
  <c r="A1823" i="4"/>
  <c r="S1822" i="4"/>
  <c r="R1822" i="4"/>
  <c r="Q1822" i="4"/>
  <c r="O1822" i="4"/>
  <c r="N1822" i="4"/>
  <c r="A1822" i="4"/>
  <c r="S1821" i="4"/>
  <c r="R1821" i="4"/>
  <c r="Q1821" i="4"/>
  <c r="O1821" i="4"/>
  <c r="N1821" i="4"/>
  <c r="A1821" i="4"/>
  <c r="S1820" i="4"/>
  <c r="R1820" i="4"/>
  <c r="Q1820" i="4"/>
  <c r="O1820" i="4"/>
  <c r="N1820" i="4"/>
  <c r="A1820" i="4"/>
  <c r="S1819" i="4"/>
  <c r="R1819" i="4"/>
  <c r="Q1819" i="4"/>
  <c r="O1819" i="4"/>
  <c r="N1819" i="4"/>
  <c r="A1819" i="4"/>
  <c r="S1818" i="4"/>
  <c r="R1818" i="4"/>
  <c r="Q1818" i="4"/>
  <c r="O1818" i="4"/>
  <c r="N1818" i="4"/>
  <c r="A1818" i="4"/>
  <c r="S1817" i="4"/>
  <c r="R1817" i="4"/>
  <c r="Q1817" i="4"/>
  <c r="O1817" i="4"/>
  <c r="N1817" i="4"/>
  <c r="A1817" i="4"/>
  <c r="S1816" i="4"/>
  <c r="R1816" i="4"/>
  <c r="Q1816" i="4"/>
  <c r="O1816" i="4"/>
  <c r="N1816" i="4"/>
  <c r="A1816" i="4"/>
  <c r="S1815" i="4"/>
  <c r="R1815" i="4"/>
  <c r="Q1815" i="4"/>
  <c r="O1815" i="4"/>
  <c r="N1815" i="4"/>
  <c r="A1815" i="4"/>
  <c r="S1814" i="4"/>
  <c r="R1814" i="4"/>
  <c r="Q1814" i="4"/>
  <c r="O1814" i="4"/>
  <c r="N1814" i="4"/>
  <c r="A1814" i="4"/>
  <c r="S1813" i="4"/>
  <c r="R1813" i="4"/>
  <c r="Q1813" i="4"/>
  <c r="O1813" i="4"/>
  <c r="N1813" i="4"/>
  <c r="A1813" i="4"/>
  <c r="S1812" i="4"/>
  <c r="R1812" i="4"/>
  <c r="Q1812" i="4"/>
  <c r="O1812" i="4"/>
  <c r="N1812" i="4"/>
  <c r="A1812" i="4"/>
  <c r="S1811" i="4"/>
  <c r="R1811" i="4"/>
  <c r="Q1811" i="4"/>
  <c r="O1811" i="4"/>
  <c r="N1811" i="4"/>
  <c r="A1811" i="4"/>
  <c r="S1810" i="4"/>
  <c r="R1810" i="4"/>
  <c r="Q1810" i="4"/>
  <c r="O1810" i="4"/>
  <c r="N1810" i="4"/>
  <c r="A1810" i="4"/>
  <c r="S1809" i="4"/>
  <c r="R1809" i="4"/>
  <c r="Q1809" i="4"/>
  <c r="O1809" i="4"/>
  <c r="N1809" i="4"/>
  <c r="A1809" i="4"/>
  <c r="S1808" i="4"/>
  <c r="R1808" i="4"/>
  <c r="Q1808" i="4"/>
  <c r="O1808" i="4"/>
  <c r="N1808" i="4"/>
  <c r="A1808" i="4"/>
  <c r="S1807" i="4"/>
  <c r="R1807" i="4"/>
  <c r="Q1807" i="4"/>
  <c r="O1807" i="4"/>
  <c r="N1807" i="4"/>
  <c r="A1807" i="4"/>
  <c r="S1806" i="4"/>
  <c r="R1806" i="4"/>
  <c r="Q1806" i="4"/>
  <c r="O1806" i="4"/>
  <c r="N1806" i="4"/>
  <c r="A1806" i="4"/>
  <c r="S1805" i="4"/>
  <c r="R1805" i="4"/>
  <c r="Q1805" i="4"/>
  <c r="O1805" i="4"/>
  <c r="N1805" i="4"/>
  <c r="A1805" i="4"/>
  <c r="S1804" i="4"/>
  <c r="R1804" i="4"/>
  <c r="Q1804" i="4"/>
  <c r="O1804" i="4"/>
  <c r="N1804" i="4"/>
  <c r="A1804" i="4"/>
  <c r="S1803" i="4"/>
  <c r="R1803" i="4"/>
  <c r="Q1803" i="4"/>
  <c r="O1803" i="4"/>
  <c r="N1803" i="4"/>
  <c r="A1803" i="4"/>
  <c r="S1802" i="4"/>
  <c r="R1802" i="4"/>
  <c r="Q1802" i="4"/>
  <c r="O1802" i="4"/>
  <c r="N1802" i="4"/>
  <c r="A1802" i="4"/>
  <c r="S1801" i="4"/>
  <c r="R1801" i="4"/>
  <c r="Q1801" i="4"/>
  <c r="O1801" i="4"/>
  <c r="N1801" i="4"/>
  <c r="A1801" i="4"/>
  <c r="S1800" i="4"/>
  <c r="R1800" i="4"/>
  <c r="Q1800" i="4"/>
  <c r="O1800" i="4"/>
  <c r="N1800" i="4"/>
  <c r="A1800" i="4"/>
  <c r="S1799" i="4"/>
  <c r="R1799" i="4"/>
  <c r="Q1799" i="4"/>
  <c r="O1799" i="4"/>
  <c r="N1799" i="4"/>
  <c r="A1799" i="4"/>
  <c r="S1798" i="4"/>
  <c r="R1798" i="4"/>
  <c r="Q1798" i="4"/>
  <c r="O1798" i="4"/>
  <c r="N1798" i="4"/>
  <c r="A1798" i="4"/>
  <c r="S1797" i="4"/>
  <c r="R1797" i="4"/>
  <c r="Q1797" i="4"/>
  <c r="O1797" i="4"/>
  <c r="N1797" i="4"/>
  <c r="A1797" i="4"/>
  <c r="S1796" i="4"/>
  <c r="R1796" i="4"/>
  <c r="Q1796" i="4"/>
  <c r="O1796" i="4"/>
  <c r="N1796" i="4"/>
  <c r="A1796" i="4"/>
  <c r="S1795" i="4"/>
  <c r="R1795" i="4"/>
  <c r="Q1795" i="4"/>
  <c r="O1795" i="4"/>
  <c r="N1795" i="4"/>
  <c r="A1795" i="4"/>
  <c r="S1794" i="4"/>
  <c r="R1794" i="4"/>
  <c r="Q1794" i="4"/>
  <c r="O1794" i="4"/>
  <c r="N1794" i="4"/>
  <c r="A1794" i="4"/>
  <c r="S1793" i="4"/>
  <c r="R1793" i="4"/>
  <c r="Q1793" i="4"/>
  <c r="O1793" i="4"/>
  <c r="N1793" i="4"/>
  <c r="A1793" i="4"/>
  <c r="S1792" i="4"/>
  <c r="R1792" i="4"/>
  <c r="Q1792" i="4"/>
  <c r="O1792" i="4"/>
  <c r="N1792" i="4"/>
  <c r="A1792" i="4"/>
  <c r="S1791" i="4"/>
  <c r="R1791" i="4"/>
  <c r="Q1791" i="4"/>
  <c r="O1791" i="4"/>
  <c r="N1791" i="4"/>
  <c r="A1791" i="4"/>
  <c r="S1790" i="4"/>
  <c r="R1790" i="4"/>
  <c r="Q1790" i="4"/>
  <c r="O1790" i="4"/>
  <c r="N1790" i="4"/>
  <c r="A1790" i="4"/>
  <c r="S1789" i="4"/>
  <c r="R1789" i="4"/>
  <c r="Q1789" i="4"/>
  <c r="O1789" i="4"/>
  <c r="N1789" i="4"/>
  <c r="A1789" i="4"/>
  <c r="S1788" i="4"/>
  <c r="R1788" i="4"/>
  <c r="Q1788" i="4"/>
  <c r="O1788" i="4"/>
  <c r="N1788" i="4"/>
  <c r="A1788" i="4"/>
  <c r="S1787" i="4"/>
  <c r="R1787" i="4"/>
  <c r="Q1787" i="4"/>
  <c r="O1787" i="4"/>
  <c r="N1787" i="4"/>
  <c r="A1787" i="4"/>
  <c r="S1786" i="4"/>
  <c r="R1786" i="4"/>
  <c r="Q1786" i="4"/>
  <c r="O1786" i="4"/>
  <c r="N1786" i="4"/>
  <c r="A1786" i="4"/>
  <c r="S1785" i="4"/>
  <c r="R1785" i="4"/>
  <c r="Q1785" i="4"/>
  <c r="O1785" i="4"/>
  <c r="N1785" i="4"/>
  <c r="A1785" i="4"/>
  <c r="S1784" i="4"/>
  <c r="R1784" i="4"/>
  <c r="Q1784" i="4"/>
  <c r="O1784" i="4"/>
  <c r="N1784" i="4"/>
  <c r="A1784" i="4"/>
  <c r="S1783" i="4"/>
  <c r="R1783" i="4"/>
  <c r="Q1783" i="4"/>
  <c r="O1783" i="4"/>
  <c r="N1783" i="4"/>
  <c r="A1783" i="4"/>
  <c r="S1782" i="4"/>
  <c r="R1782" i="4"/>
  <c r="Q1782" i="4"/>
  <c r="O1782" i="4"/>
  <c r="N1782" i="4"/>
  <c r="A1782" i="4"/>
  <c r="S1781" i="4"/>
  <c r="R1781" i="4"/>
  <c r="Q1781" i="4"/>
  <c r="O1781" i="4"/>
  <c r="N1781" i="4"/>
  <c r="A1781" i="4"/>
  <c r="S1780" i="4"/>
  <c r="R1780" i="4"/>
  <c r="Q1780" i="4"/>
  <c r="O1780" i="4"/>
  <c r="N1780" i="4"/>
  <c r="A1780" i="4"/>
  <c r="S1779" i="4"/>
  <c r="R1779" i="4"/>
  <c r="Q1779" i="4"/>
  <c r="O1779" i="4"/>
  <c r="N1779" i="4"/>
  <c r="A1779" i="4"/>
  <c r="S1778" i="4"/>
  <c r="R1778" i="4"/>
  <c r="Q1778" i="4"/>
  <c r="O1778" i="4"/>
  <c r="N1778" i="4"/>
  <c r="A1778" i="4"/>
  <c r="S1777" i="4"/>
  <c r="R1777" i="4"/>
  <c r="Q1777" i="4"/>
  <c r="O1777" i="4"/>
  <c r="N1777" i="4"/>
  <c r="A1777" i="4"/>
  <c r="S1776" i="4"/>
  <c r="R1776" i="4"/>
  <c r="Q1776" i="4"/>
  <c r="O1776" i="4"/>
  <c r="N1776" i="4"/>
  <c r="A1776" i="4"/>
  <c r="S1775" i="4"/>
  <c r="R1775" i="4"/>
  <c r="Q1775" i="4"/>
  <c r="O1775" i="4"/>
  <c r="N1775" i="4"/>
  <c r="A1775" i="4"/>
  <c r="S1774" i="4"/>
  <c r="R1774" i="4"/>
  <c r="Q1774" i="4"/>
  <c r="O1774" i="4"/>
  <c r="N1774" i="4"/>
  <c r="A1774" i="4"/>
  <c r="S1773" i="4"/>
  <c r="R1773" i="4"/>
  <c r="Q1773" i="4"/>
  <c r="O1773" i="4"/>
  <c r="N1773" i="4"/>
  <c r="A1773" i="4"/>
  <c r="S1772" i="4"/>
  <c r="R1772" i="4"/>
  <c r="Q1772" i="4"/>
  <c r="O1772" i="4"/>
  <c r="N1772" i="4"/>
  <c r="A1772" i="4"/>
  <c r="S1771" i="4"/>
  <c r="R1771" i="4"/>
  <c r="Q1771" i="4"/>
  <c r="O1771" i="4"/>
  <c r="N1771" i="4"/>
  <c r="A1771" i="4"/>
  <c r="S1770" i="4"/>
  <c r="R1770" i="4"/>
  <c r="Q1770" i="4"/>
  <c r="O1770" i="4"/>
  <c r="N1770" i="4"/>
  <c r="A1770" i="4"/>
  <c r="S1769" i="4"/>
  <c r="R1769" i="4"/>
  <c r="Q1769" i="4"/>
  <c r="O1769" i="4"/>
  <c r="N1769" i="4"/>
  <c r="A1769" i="4"/>
  <c r="S1768" i="4"/>
  <c r="R1768" i="4"/>
  <c r="Q1768" i="4"/>
  <c r="O1768" i="4"/>
  <c r="N1768" i="4"/>
  <c r="A1768" i="4"/>
  <c r="S1767" i="4"/>
  <c r="R1767" i="4"/>
  <c r="Q1767" i="4"/>
  <c r="O1767" i="4"/>
  <c r="N1767" i="4"/>
  <c r="A1767" i="4"/>
  <c r="S1766" i="4"/>
  <c r="R1766" i="4"/>
  <c r="Q1766" i="4"/>
  <c r="O1766" i="4"/>
  <c r="N1766" i="4"/>
  <c r="A1766" i="4"/>
  <c r="S1765" i="4"/>
  <c r="R1765" i="4"/>
  <c r="Q1765" i="4"/>
  <c r="O1765" i="4"/>
  <c r="N1765" i="4"/>
  <c r="A1765" i="4"/>
  <c r="S1764" i="4"/>
  <c r="R1764" i="4"/>
  <c r="Q1764" i="4"/>
  <c r="O1764" i="4"/>
  <c r="N1764" i="4"/>
  <c r="A1764" i="4"/>
  <c r="S1763" i="4"/>
  <c r="R1763" i="4"/>
  <c r="Q1763" i="4"/>
  <c r="O1763" i="4"/>
  <c r="N1763" i="4"/>
  <c r="A1763" i="4"/>
  <c r="S1762" i="4"/>
  <c r="R1762" i="4"/>
  <c r="Q1762" i="4"/>
  <c r="O1762" i="4"/>
  <c r="N1762" i="4"/>
  <c r="A1762" i="4"/>
  <c r="S1761" i="4"/>
  <c r="R1761" i="4"/>
  <c r="Q1761" i="4"/>
  <c r="O1761" i="4"/>
  <c r="N1761" i="4"/>
  <c r="A1761" i="4"/>
  <c r="S1760" i="4"/>
  <c r="R1760" i="4"/>
  <c r="Q1760" i="4"/>
  <c r="O1760" i="4"/>
  <c r="N1760" i="4"/>
  <c r="A1760" i="4"/>
  <c r="S1759" i="4"/>
  <c r="R1759" i="4"/>
  <c r="Q1759" i="4"/>
  <c r="O1759" i="4"/>
  <c r="N1759" i="4"/>
  <c r="A1759" i="4"/>
  <c r="S1758" i="4"/>
  <c r="R1758" i="4"/>
  <c r="Q1758" i="4"/>
  <c r="O1758" i="4"/>
  <c r="N1758" i="4"/>
  <c r="A1758" i="4"/>
  <c r="S1757" i="4"/>
  <c r="R1757" i="4"/>
  <c r="Q1757" i="4"/>
  <c r="O1757" i="4"/>
  <c r="N1757" i="4"/>
  <c r="A1757" i="4"/>
  <c r="S1756" i="4"/>
  <c r="R1756" i="4"/>
  <c r="Q1756" i="4"/>
  <c r="O1756" i="4"/>
  <c r="N1756" i="4"/>
  <c r="A1756" i="4"/>
  <c r="S1755" i="4"/>
  <c r="R1755" i="4"/>
  <c r="Q1755" i="4"/>
  <c r="O1755" i="4"/>
  <c r="N1755" i="4"/>
  <c r="A1755" i="4"/>
  <c r="S1754" i="4"/>
  <c r="R1754" i="4"/>
  <c r="Q1754" i="4"/>
  <c r="O1754" i="4"/>
  <c r="N1754" i="4"/>
  <c r="A1754" i="4"/>
  <c r="S1753" i="4"/>
  <c r="R1753" i="4"/>
  <c r="Q1753" i="4"/>
  <c r="O1753" i="4"/>
  <c r="N1753" i="4"/>
  <c r="A1753" i="4"/>
  <c r="S1752" i="4"/>
  <c r="R1752" i="4"/>
  <c r="Q1752" i="4"/>
  <c r="O1752" i="4"/>
  <c r="N1752" i="4"/>
  <c r="A1752" i="4"/>
  <c r="S1751" i="4"/>
  <c r="R1751" i="4"/>
  <c r="Q1751" i="4"/>
  <c r="O1751" i="4"/>
  <c r="N1751" i="4"/>
  <c r="A1751" i="4"/>
  <c r="S1750" i="4"/>
  <c r="R1750" i="4"/>
  <c r="Q1750" i="4"/>
  <c r="O1750" i="4"/>
  <c r="N1750" i="4"/>
  <c r="A1750" i="4"/>
  <c r="S1749" i="4"/>
  <c r="R1749" i="4"/>
  <c r="Q1749" i="4"/>
  <c r="O1749" i="4"/>
  <c r="N1749" i="4"/>
  <c r="A1749" i="4"/>
  <c r="S1748" i="4"/>
  <c r="R1748" i="4"/>
  <c r="Q1748" i="4"/>
  <c r="O1748" i="4"/>
  <c r="N1748" i="4"/>
  <c r="A1748" i="4"/>
  <c r="S1747" i="4"/>
  <c r="R1747" i="4"/>
  <c r="Q1747" i="4"/>
  <c r="O1747" i="4"/>
  <c r="N1747" i="4"/>
  <c r="A1747" i="4"/>
  <c r="S1746" i="4"/>
  <c r="R1746" i="4"/>
  <c r="Q1746" i="4"/>
  <c r="O1746" i="4"/>
  <c r="N1746" i="4"/>
  <c r="A1746" i="4"/>
  <c r="S1745" i="4"/>
  <c r="R1745" i="4"/>
  <c r="Q1745" i="4"/>
  <c r="O1745" i="4"/>
  <c r="N1745" i="4"/>
  <c r="A1745" i="4"/>
  <c r="S1744" i="4"/>
  <c r="R1744" i="4"/>
  <c r="Q1744" i="4"/>
  <c r="O1744" i="4"/>
  <c r="N1744" i="4"/>
  <c r="A1744" i="4"/>
  <c r="S1743" i="4"/>
  <c r="R1743" i="4"/>
  <c r="Q1743" i="4"/>
  <c r="O1743" i="4"/>
  <c r="N1743" i="4"/>
  <c r="A1743" i="4"/>
  <c r="S1742" i="4"/>
  <c r="R1742" i="4"/>
  <c r="Q1742" i="4"/>
  <c r="O1742" i="4"/>
  <c r="N1742" i="4"/>
  <c r="A1742" i="4"/>
  <c r="S1741" i="4"/>
  <c r="R1741" i="4"/>
  <c r="Q1741" i="4"/>
  <c r="O1741" i="4"/>
  <c r="N1741" i="4"/>
  <c r="A1741" i="4"/>
  <c r="S1740" i="4"/>
  <c r="R1740" i="4"/>
  <c r="Q1740" i="4"/>
  <c r="O1740" i="4"/>
  <c r="N1740" i="4"/>
  <c r="A1740" i="4"/>
  <c r="S1739" i="4"/>
  <c r="R1739" i="4"/>
  <c r="Q1739" i="4"/>
  <c r="O1739" i="4"/>
  <c r="N1739" i="4"/>
  <c r="A1739" i="4"/>
  <c r="S1738" i="4"/>
  <c r="R1738" i="4"/>
  <c r="Q1738" i="4"/>
  <c r="O1738" i="4"/>
  <c r="N1738" i="4"/>
  <c r="A1738" i="4"/>
  <c r="S1737" i="4"/>
  <c r="R1737" i="4"/>
  <c r="Q1737" i="4"/>
  <c r="O1737" i="4"/>
  <c r="N1737" i="4"/>
  <c r="A1737" i="4"/>
  <c r="S1736" i="4"/>
  <c r="R1736" i="4"/>
  <c r="Q1736" i="4"/>
  <c r="O1736" i="4"/>
  <c r="N1736" i="4"/>
  <c r="A1736" i="4"/>
  <c r="S1735" i="4"/>
  <c r="R1735" i="4"/>
  <c r="Q1735" i="4"/>
  <c r="O1735" i="4"/>
  <c r="N1735" i="4"/>
  <c r="A1735" i="4"/>
  <c r="S1734" i="4"/>
  <c r="R1734" i="4"/>
  <c r="Q1734" i="4"/>
  <c r="O1734" i="4"/>
  <c r="N1734" i="4"/>
  <c r="A1734" i="4"/>
  <c r="S1733" i="4"/>
  <c r="R1733" i="4"/>
  <c r="Q1733" i="4"/>
  <c r="O1733" i="4"/>
  <c r="N1733" i="4"/>
  <c r="A1733" i="4"/>
  <c r="S1732" i="4"/>
  <c r="R1732" i="4"/>
  <c r="Q1732" i="4"/>
  <c r="O1732" i="4"/>
  <c r="N1732" i="4"/>
  <c r="A1732" i="4"/>
  <c r="S1731" i="4"/>
  <c r="R1731" i="4"/>
  <c r="Q1731" i="4"/>
  <c r="O1731" i="4"/>
  <c r="N1731" i="4"/>
  <c r="A1731" i="4"/>
  <c r="S1730" i="4"/>
  <c r="R1730" i="4"/>
  <c r="Q1730" i="4"/>
  <c r="O1730" i="4"/>
  <c r="N1730" i="4"/>
  <c r="A1730" i="4"/>
  <c r="S1729" i="4"/>
  <c r="R1729" i="4"/>
  <c r="Q1729" i="4"/>
  <c r="O1729" i="4"/>
  <c r="N1729" i="4"/>
  <c r="A1729" i="4"/>
  <c r="S1728" i="4"/>
  <c r="R1728" i="4"/>
  <c r="Q1728" i="4"/>
  <c r="O1728" i="4"/>
  <c r="N1728" i="4"/>
  <c r="A1728" i="4"/>
  <c r="S1727" i="4"/>
  <c r="R1727" i="4"/>
  <c r="Q1727" i="4"/>
  <c r="O1727" i="4"/>
  <c r="N1727" i="4"/>
  <c r="A1727" i="4"/>
  <c r="S1726" i="4"/>
  <c r="R1726" i="4"/>
  <c r="Q1726" i="4"/>
  <c r="O1726" i="4"/>
  <c r="N1726" i="4"/>
  <c r="A1726" i="4"/>
  <c r="S1725" i="4"/>
  <c r="R1725" i="4"/>
  <c r="Q1725" i="4"/>
  <c r="O1725" i="4"/>
  <c r="N1725" i="4"/>
  <c r="A1725" i="4"/>
  <c r="S1724" i="4"/>
  <c r="R1724" i="4"/>
  <c r="Q1724" i="4"/>
  <c r="O1724" i="4"/>
  <c r="N1724" i="4"/>
  <c r="A1724" i="4"/>
  <c r="S1723" i="4"/>
  <c r="R1723" i="4"/>
  <c r="Q1723" i="4"/>
  <c r="O1723" i="4"/>
  <c r="N1723" i="4"/>
  <c r="A1723" i="4"/>
  <c r="S1722" i="4"/>
  <c r="R1722" i="4"/>
  <c r="Q1722" i="4"/>
  <c r="O1722" i="4"/>
  <c r="N1722" i="4"/>
  <c r="A1722" i="4"/>
  <c r="S1721" i="4"/>
  <c r="R1721" i="4"/>
  <c r="Q1721" i="4"/>
  <c r="O1721" i="4"/>
  <c r="N1721" i="4"/>
  <c r="A1721" i="4"/>
  <c r="S1720" i="4"/>
  <c r="R1720" i="4"/>
  <c r="Q1720" i="4"/>
  <c r="O1720" i="4"/>
  <c r="N1720" i="4"/>
  <c r="A1720" i="4"/>
  <c r="S1719" i="4"/>
  <c r="R1719" i="4"/>
  <c r="Q1719" i="4"/>
  <c r="O1719" i="4"/>
  <c r="N1719" i="4"/>
  <c r="A1719" i="4"/>
  <c r="S1718" i="4"/>
  <c r="R1718" i="4"/>
  <c r="Q1718" i="4"/>
  <c r="O1718" i="4"/>
  <c r="N1718" i="4"/>
  <c r="A1718" i="4"/>
  <c r="S1717" i="4"/>
  <c r="R1717" i="4"/>
  <c r="Q1717" i="4"/>
  <c r="O1717" i="4"/>
  <c r="N1717" i="4"/>
  <c r="A1717" i="4"/>
  <c r="S1716" i="4"/>
  <c r="R1716" i="4"/>
  <c r="Q1716" i="4"/>
  <c r="O1716" i="4"/>
  <c r="N1716" i="4"/>
  <c r="A1716" i="4"/>
  <c r="S1715" i="4"/>
  <c r="R1715" i="4"/>
  <c r="Q1715" i="4"/>
  <c r="O1715" i="4"/>
  <c r="N1715" i="4"/>
  <c r="A1715" i="4"/>
  <c r="S1714" i="4"/>
  <c r="R1714" i="4"/>
  <c r="Q1714" i="4"/>
  <c r="O1714" i="4"/>
  <c r="N1714" i="4"/>
  <c r="A1714" i="4"/>
  <c r="S1713" i="4"/>
  <c r="R1713" i="4"/>
  <c r="Q1713" i="4"/>
  <c r="O1713" i="4"/>
  <c r="N1713" i="4"/>
  <c r="A1713" i="4"/>
  <c r="S1712" i="4"/>
  <c r="R1712" i="4"/>
  <c r="Q1712" i="4"/>
  <c r="O1712" i="4"/>
  <c r="N1712" i="4"/>
  <c r="A1712" i="4"/>
  <c r="S1711" i="4"/>
  <c r="R1711" i="4"/>
  <c r="Q1711" i="4"/>
  <c r="O1711" i="4"/>
  <c r="N1711" i="4"/>
  <c r="A1711" i="4"/>
  <c r="S1710" i="4"/>
  <c r="R1710" i="4"/>
  <c r="Q1710" i="4"/>
  <c r="O1710" i="4"/>
  <c r="N1710" i="4"/>
  <c r="A1710" i="4"/>
  <c r="S1709" i="4"/>
  <c r="R1709" i="4"/>
  <c r="Q1709" i="4"/>
  <c r="O1709" i="4"/>
  <c r="N1709" i="4"/>
  <c r="A1709" i="4"/>
  <c r="S1708" i="4"/>
  <c r="R1708" i="4"/>
  <c r="Q1708" i="4"/>
  <c r="O1708" i="4"/>
  <c r="N1708" i="4"/>
  <c r="A1708" i="4"/>
  <c r="S1707" i="4"/>
  <c r="R1707" i="4"/>
  <c r="Q1707" i="4"/>
  <c r="O1707" i="4"/>
  <c r="N1707" i="4"/>
  <c r="A1707" i="4"/>
  <c r="S1706" i="4"/>
  <c r="R1706" i="4"/>
  <c r="Q1706" i="4"/>
  <c r="O1706" i="4"/>
  <c r="N1706" i="4"/>
  <c r="A1706" i="4"/>
  <c r="S1705" i="4"/>
  <c r="R1705" i="4"/>
  <c r="Q1705" i="4"/>
  <c r="O1705" i="4"/>
  <c r="N1705" i="4"/>
  <c r="A1705" i="4"/>
  <c r="S1704" i="4"/>
  <c r="R1704" i="4"/>
  <c r="Q1704" i="4"/>
  <c r="O1704" i="4"/>
  <c r="N1704" i="4"/>
  <c r="A1704" i="4"/>
  <c r="S1703" i="4"/>
  <c r="R1703" i="4"/>
  <c r="Q1703" i="4"/>
  <c r="O1703" i="4"/>
  <c r="N1703" i="4"/>
  <c r="A1703" i="4"/>
  <c r="S1702" i="4"/>
  <c r="R1702" i="4"/>
  <c r="Q1702" i="4"/>
  <c r="O1702" i="4"/>
  <c r="N1702" i="4"/>
  <c r="A1702" i="4"/>
  <c r="S1701" i="4"/>
  <c r="R1701" i="4"/>
  <c r="Q1701" i="4"/>
  <c r="O1701" i="4"/>
  <c r="N1701" i="4"/>
  <c r="A1701" i="4"/>
  <c r="S1700" i="4"/>
  <c r="R1700" i="4"/>
  <c r="Q1700" i="4"/>
  <c r="O1700" i="4"/>
  <c r="N1700" i="4"/>
  <c r="A1700" i="4"/>
  <c r="S1699" i="4"/>
  <c r="R1699" i="4"/>
  <c r="Q1699" i="4"/>
  <c r="O1699" i="4"/>
  <c r="N1699" i="4"/>
  <c r="A1699" i="4"/>
  <c r="S1698" i="4"/>
  <c r="R1698" i="4"/>
  <c r="Q1698" i="4"/>
  <c r="O1698" i="4"/>
  <c r="N1698" i="4"/>
  <c r="A1698" i="4"/>
  <c r="S1697" i="4"/>
  <c r="R1697" i="4"/>
  <c r="Q1697" i="4"/>
  <c r="O1697" i="4"/>
  <c r="N1697" i="4"/>
  <c r="A1697" i="4"/>
  <c r="S1696" i="4"/>
  <c r="R1696" i="4"/>
  <c r="Q1696" i="4"/>
  <c r="O1696" i="4"/>
  <c r="N1696" i="4"/>
  <c r="A1696" i="4"/>
  <c r="S1695" i="4"/>
  <c r="R1695" i="4"/>
  <c r="Q1695" i="4"/>
  <c r="O1695" i="4"/>
  <c r="N1695" i="4"/>
  <c r="A1695" i="4"/>
  <c r="S1694" i="4"/>
  <c r="R1694" i="4"/>
  <c r="Q1694" i="4"/>
  <c r="O1694" i="4"/>
  <c r="N1694" i="4"/>
  <c r="A1694" i="4"/>
  <c r="S1693" i="4"/>
  <c r="R1693" i="4"/>
  <c r="Q1693" i="4"/>
  <c r="O1693" i="4"/>
  <c r="N1693" i="4"/>
  <c r="A1693" i="4"/>
  <c r="S1692" i="4"/>
  <c r="R1692" i="4"/>
  <c r="Q1692" i="4"/>
  <c r="O1692" i="4"/>
  <c r="N1692" i="4"/>
  <c r="A1692" i="4"/>
  <c r="S1691" i="4"/>
  <c r="R1691" i="4"/>
  <c r="Q1691" i="4"/>
  <c r="O1691" i="4"/>
  <c r="N1691" i="4"/>
  <c r="A1691" i="4"/>
  <c r="S1690" i="4"/>
  <c r="R1690" i="4"/>
  <c r="Q1690" i="4"/>
  <c r="O1690" i="4"/>
  <c r="N1690" i="4"/>
  <c r="A1690" i="4"/>
  <c r="S1689" i="4"/>
  <c r="R1689" i="4"/>
  <c r="Q1689" i="4"/>
  <c r="O1689" i="4"/>
  <c r="N1689" i="4"/>
  <c r="A1689" i="4"/>
  <c r="S1688" i="4"/>
  <c r="R1688" i="4"/>
  <c r="Q1688" i="4"/>
  <c r="O1688" i="4"/>
  <c r="N1688" i="4"/>
  <c r="A1688" i="4"/>
  <c r="S1687" i="4"/>
  <c r="R1687" i="4"/>
  <c r="Q1687" i="4"/>
  <c r="O1687" i="4"/>
  <c r="N1687" i="4"/>
  <c r="A1687" i="4"/>
  <c r="S1686" i="4"/>
  <c r="R1686" i="4"/>
  <c r="Q1686" i="4"/>
  <c r="O1686" i="4"/>
  <c r="N1686" i="4"/>
  <c r="A1686" i="4"/>
  <c r="S1685" i="4"/>
  <c r="R1685" i="4"/>
  <c r="Q1685" i="4"/>
  <c r="O1685" i="4"/>
  <c r="N1685" i="4"/>
  <c r="A1685" i="4"/>
  <c r="S1684" i="4"/>
  <c r="R1684" i="4"/>
  <c r="Q1684" i="4"/>
  <c r="O1684" i="4"/>
  <c r="N1684" i="4"/>
  <c r="A1684" i="4"/>
  <c r="S1683" i="4"/>
  <c r="R1683" i="4"/>
  <c r="Q1683" i="4"/>
  <c r="O1683" i="4"/>
  <c r="N1683" i="4"/>
  <c r="A1683" i="4"/>
  <c r="S1682" i="4"/>
  <c r="R1682" i="4"/>
  <c r="Q1682" i="4"/>
  <c r="O1682" i="4"/>
  <c r="N1682" i="4"/>
  <c r="A1682" i="4"/>
  <c r="S1681" i="4"/>
  <c r="R1681" i="4"/>
  <c r="Q1681" i="4"/>
  <c r="O1681" i="4"/>
  <c r="N1681" i="4"/>
  <c r="A1681" i="4"/>
  <c r="S1680" i="4"/>
  <c r="R1680" i="4"/>
  <c r="Q1680" i="4"/>
  <c r="O1680" i="4"/>
  <c r="N1680" i="4"/>
  <c r="A1680" i="4"/>
  <c r="S1679" i="4"/>
  <c r="R1679" i="4"/>
  <c r="Q1679" i="4"/>
  <c r="O1679" i="4"/>
  <c r="N1679" i="4"/>
  <c r="A1679" i="4"/>
  <c r="S1678" i="4"/>
  <c r="R1678" i="4"/>
  <c r="Q1678" i="4"/>
  <c r="O1678" i="4"/>
  <c r="N1678" i="4"/>
  <c r="A1678" i="4"/>
  <c r="S1677" i="4"/>
  <c r="R1677" i="4"/>
  <c r="Q1677" i="4"/>
  <c r="O1677" i="4"/>
  <c r="N1677" i="4"/>
  <c r="A1677" i="4"/>
  <c r="S1676" i="4"/>
  <c r="R1676" i="4"/>
  <c r="Q1676" i="4"/>
  <c r="O1676" i="4"/>
  <c r="N1676" i="4"/>
  <c r="A1676" i="4"/>
  <c r="S1675" i="4"/>
  <c r="R1675" i="4"/>
  <c r="Q1675" i="4"/>
  <c r="O1675" i="4"/>
  <c r="N1675" i="4"/>
  <c r="A1675" i="4"/>
  <c r="S1674" i="4"/>
  <c r="R1674" i="4"/>
  <c r="Q1674" i="4"/>
  <c r="N1674" i="4"/>
  <c r="O1674" i="4" s="1"/>
  <c r="A1674" i="4"/>
  <c r="S1673" i="4"/>
  <c r="R1673" i="4"/>
  <c r="Q1673" i="4"/>
  <c r="P1673" i="4" s="1"/>
  <c r="N1673" i="4"/>
  <c r="O1673" i="4" s="1"/>
  <c r="A1673" i="4"/>
  <c r="S1672" i="4"/>
  <c r="R1672" i="4"/>
  <c r="Q1672" i="4"/>
  <c r="N1672" i="4"/>
  <c r="O1672" i="4" s="1"/>
  <c r="A1672" i="4"/>
  <c r="S1671" i="4"/>
  <c r="R1671" i="4"/>
  <c r="Q1671" i="4"/>
  <c r="P1671" i="4" s="1"/>
  <c r="T1671" i="4" s="1"/>
  <c r="N1671" i="4"/>
  <c r="O1671" i="4" s="1"/>
  <c r="A1671" i="4"/>
  <c r="S1670" i="4"/>
  <c r="R1670" i="4"/>
  <c r="Q1670" i="4"/>
  <c r="N1670" i="4"/>
  <c r="O1670" i="4" s="1"/>
  <c r="A1670" i="4"/>
  <c r="S1669" i="4"/>
  <c r="R1669" i="4"/>
  <c r="Q1669" i="4"/>
  <c r="P1669" i="4" s="1"/>
  <c r="T1669" i="4" s="1"/>
  <c r="N1669" i="4"/>
  <c r="O1669" i="4" s="1"/>
  <c r="A1669" i="4"/>
  <c r="S1668" i="4"/>
  <c r="R1668" i="4"/>
  <c r="Q1668" i="4"/>
  <c r="N1668" i="4"/>
  <c r="O1668" i="4" s="1"/>
  <c r="A1668" i="4"/>
  <c r="S1667" i="4"/>
  <c r="R1667" i="4"/>
  <c r="Q1667" i="4"/>
  <c r="P1667" i="4" s="1"/>
  <c r="T1667" i="4" s="1"/>
  <c r="N1667" i="4"/>
  <c r="O1667" i="4" s="1"/>
  <c r="A1667" i="4"/>
  <c r="S1666" i="4"/>
  <c r="R1666" i="4"/>
  <c r="Q1666" i="4"/>
  <c r="N1666" i="4"/>
  <c r="O1666" i="4" s="1"/>
  <c r="A1666" i="4"/>
  <c r="S1665" i="4"/>
  <c r="R1665" i="4"/>
  <c r="Q1665" i="4"/>
  <c r="P1665" i="4" s="1"/>
  <c r="T1665" i="4" s="1"/>
  <c r="N1665" i="4"/>
  <c r="O1665" i="4" s="1"/>
  <c r="A1665" i="4"/>
  <c r="S1664" i="4"/>
  <c r="R1664" i="4"/>
  <c r="Q1664" i="4"/>
  <c r="N1664" i="4"/>
  <c r="O1664" i="4" s="1"/>
  <c r="A1664" i="4"/>
  <c r="S1663" i="4"/>
  <c r="R1663" i="4"/>
  <c r="Q1663" i="4"/>
  <c r="P1663" i="4" s="1"/>
  <c r="T1663" i="4" s="1"/>
  <c r="N1663" i="4"/>
  <c r="O1663" i="4" s="1"/>
  <c r="A1663" i="4"/>
  <c r="S1662" i="4"/>
  <c r="R1662" i="4"/>
  <c r="Q1662" i="4"/>
  <c r="N1662" i="4"/>
  <c r="O1662" i="4" s="1"/>
  <c r="A1662" i="4"/>
  <c r="S1661" i="4"/>
  <c r="R1661" i="4"/>
  <c r="Q1661" i="4"/>
  <c r="P1661" i="4" s="1"/>
  <c r="N1661" i="4"/>
  <c r="O1661" i="4" s="1"/>
  <c r="A1661" i="4"/>
  <c r="S1660" i="4"/>
  <c r="R1660" i="4"/>
  <c r="Q1660" i="4"/>
  <c r="N1660" i="4"/>
  <c r="O1660" i="4" s="1"/>
  <c r="A1660" i="4"/>
  <c r="S1659" i="4"/>
  <c r="R1659" i="4"/>
  <c r="Q1659" i="4"/>
  <c r="P1659" i="4" s="1"/>
  <c r="N1659" i="4"/>
  <c r="O1659" i="4" s="1"/>
  <c r="A1659" i="4"/>
  <c r="S1658" i="4"/>
  <c r="R1658" i="4"/>
  <c r="Q1658" i="4"/>
  <c r="N1658" i="4"/>
  <c r="O1658" i="4" s="1"/>
  <c r="A1658" i="4"/>
  <c r="S1657" i="4"/>
  <c r="R1657" i="4"/>
  <c r="Q1657" i="4"/>
  <c r="P1657" i="4" s="1"/>
  <c r="T1657" i="4" s="1"/>
  <c r="N1657" i="4"/>
  <c r="O1657" i="4" s="1"/>
  <c r="A1657" i="4"/>
  <c r="S1656" i="4"/>
  <c r="R1656" i="4"/>
  <c r="Q1656" i="4"/>
  <c r="N1656" i="4"/>
  <c r="O1656" i="4" s="1"/>
  <c r="A1656" i="4"/>
  <c r="S1655" i="4"/>
  <c r="R1655" i="4"/>
  <c r="Q1655" i="4"/>
  <c r="P1655" i="4" s="1"/>
  <c r="T1655" i="4" s="1"/>
  <c r="N1655" i="4"/>
  <c r="O1655" i="4" s="1"/>
  <c r="A1655" i="4"/>
  <c r="S1654" i="4"/>
  <c r="R1654" i="4"/>
  <c r="Q1654" i="4"/>
  <c r="N1654" i="4"/>
  <c r="O1654" i="4" s="1"/>
  <c r="A1654" i="4"/>
  <c r="S1653" i="4"/>
  <c r="R1653" i="4"/>
  <c r="Q1653" i="4"/>
  <c r="P1653" i="4" s="1"/>
  <c r="N1653" i="4"/>
  <c r="O1653" i="4" s="1"/>
  <c r="A1653" i="4"/>
  <c r="S1652" i="4"/>
  <c r="R1652" i="4"/>
  <c r="Q1652" i="4"/>
  <c r="N1652" i="4"/>
  <c r="O1652" i="4" s="1"/>
  <c r="A1652" i="4"/>
  <c r="S1651" i="4"/>
  <c r="R1651" i="4"/>
  <c r="Q1651" i="4"/>
  <c r="P1651" i="4" s="1"/>
  <c r="N1651" i="4"/>
  <c r="O1651" i="4" s="1"/>
  <c r="A1651" i="4"/>
  <c r="S1650" i="4"/>
  <c r="R1650" i="4"/>
  <c r="Q1650" i="4"/>
  <c r="N1650" i="4"/>
  <c r="O1650" i="4" s="1"/>
  <c r="A1650" i="4"/>
  <c r="S1649" i="4"/>
  <c r="R1649" i="4"/>
  <c r="Q1649" i="4"/>
  <c r="P1649" i="4" s="1"/>
  <c r="T1649" i="4" s="1"/>
  <c r="N1649" i="4"/>
  <c r="O1649" i="4" s="1"/>
  <c r="A1649" i="4"/>
  <c r="S1648" i="4"/>
  <c r="R1648" i="4"/>
  <c r="Q1648" i="4"/>
  <c r="N1648" i="4"/>
  <c r="O1648" i="4" s="1"/>
  <c r="A1648" i="4"/>
  <c r="S1647" i="4"/>
  <c r="R1647" i="4"/>
  <c r="Q1647" i="4"/>
  <c r="P1647" i="4" s="1"/>
  <c r="T1647" i="4" s="1"/>
  <c r="N1647" i="4"/>
  <c r="O1647" i="4" s="1"/>
  <c r="A1647" i="4"/>
  <c r="S1646" i="4"/>
  <c r="R1646" i="4"/>
  <c r="Q1646" i="4"/>
  <c r="N1646" i="4"/>
  <c r="O1646" i="4" s="1"/>
  <c r="A1646" i="4"/>
  <c r="S1645" i="4"/>
  <c r="R1645" i="4"/>
  <c r="Q1645" i="4"/>
  <c r="P1645" i="4" s="1"/>
  <c r="N1645" i="4"/>
  <c r="O1645" i="4" s="1"/>
  <c r="A1645" i="4"/>
  <c r="S1644" i="4"/>
  <c r="R1644" i="4"/>
  <c r="Q1644" i="4"/>
  <c r="N1644" i="4"/>
  <c r="O1644" i="4" s="1"/>
  <c r="A1644" i="4"/>
  <c r="S1643" i="4"/>
  <c r="R1643" i="4"/>
  <c r="Q1643" i="4"/>
  <c r="P1643" i="4" s="1"/>
  <c r="N1643" i="4"/>
  <c r="O1643" i="4" s="1"/>
  <c r="A1643" i="4"/>
  <c r="S1642" i="4"/>
  <c r="R1642" i="4"/>
  <c r="Q1642" i="4"/>
  <c r="N1642" i="4"/>
  <c r="O1642" i="4" s="1"/>
  <c r="A1642" i="4"/>
  <c r="S1641" i="4"/>
  <c r="R1641" i="4"/>
  <c r="Q1641" i="4"/>
  <c r="P1641" i="4" s="1"/>
  <c r="N1641" i="4"/>
  <c r="O1641" i="4" s="1"/>
  <c r="A1641" i="4"/>
  <c r="S1640" i="4"/>
  <c r="R1640" i="4"/>
  <c r="Q1640" i="4"/>
  <c r="N1640" i="4"/>
  <c r="O1640" i="4" s="1"/>
  <c r="A1640" i="4"/>
  <c r="S1639" i="4"/>
  <c r="R1639" i="4"/>
  <c r="Q1639" i="4"/>
  <c r="P1639" i="4" s="1"/>
  <c r="T1639" i="4" s="1"/>
  <c r="N1639" i="4"/>
  <c r="O1639" i="4" s="1"/>
  <c r="A1639" i="4"/>
  <c r="S1638" i="4"/>
  <c r="R1638" i="4"/>
  <c r="Q1638" i="4"/>
  <c r="N1638" i="4"/>
  <c r="O1638" i="4" s="1"/>
  <c r="A1638" i="4"/>
  <c r="S1637" i="4"/>
  <c r="R1637" i="4"/>
  <c r="Q1637" i="4"/>
  <c r="P1637" i="4" s="1"/>
  <c r="T1637" i="4" s="1"/>
  <c r="N1637" i="4"/>
  <c r="O1637" i="4" s="1"/>
  <c r="A1637" i="4"/>
  <c r="S1636" i="4"/>
  <c r="R1636" i="4"/>
  <c r="Q1636" i="4"/>
  <c r="N1636" i="4"/>
  <c r="O1636" i="4" s="1"/>
  <c r="A1636" i="4"/>
  <c r="S1635" i="4"/>
  <c r="R1635" i="4"/>
  <c r="Q1635" i="4"/>
  <c r="P1635" i="4" s="1"/>
  <c r="T1635" i="4" s="1"/>
  <c r="N1635" i="4"/>
  <c r="O1635" i="4" s="1"/>
  <c r="A1635" i="4"/>
  <c r="S1634" i="4"/>
  <c r="R1634" i="4"/>
  <c r="Q1634" i="4"/>
  <c r="N1634" i="4"/>
  <c r="O1634" i="4" s="1"/>
  <c r="A1634" i="4"/>
  <c r="S1633" i="4"/>
  <c r="R1633" i="4"/>
  <c r="Q1633" i="4"/>
  <c r="P1633" i="4" s="1"/>
  <c r="N1633" i="4"/>
  <c r="O1633" i="4" s="1"/>
  <c r="A1633" i="4"/>
  <c r="S1632" i="4"/>
  <c r="R1632" i="4"/>
  <c r="Q1632" i="4"/>
  <c r="N1632" i="4"/>
  <c r="O1632" i="4" s="1"/>
  <c r="A1632" i="4"/>
  <c r="S1631" i="4"/>
  <c r="R1631" i="4"/>
  <c r="Q1631" i="4"/>
  <c r="P1631" i="4" s="1"/>
  <c r="T1631" i="4" s="1"/>
  <c r="N1631" i="4"/>
  <c r="O1631" i="4" s="1"/>
  <c r="A1631" i="4"/>
  <c r="S1630" i="4"/>
  <c r="R1630" i="4"/>
  <c r="Q1630" i="4"/>
  <c r="N1630" i="4"/>
  <c r="O1630" i="4" s="1"/>
  <c r="A1630" i="4"/>
  <c r="S1629" i="4"/>
  <c r="R1629" i="4"/>
  <c r="Q1629" i="4"/>
  <c r="P1629" i="4" s="1"/>
  <c r="T1629" i="4" s="1"/>
  <c r="N1629" i="4"/>
  <c r="O1629" i="4" s="1"/>
  <c r="A1629" i="4"/>
  <c r="S1628" i="4"/>
  <c r="R1628" i="4"/>
  <c r="Q1628" i="4"/>
  <c r="N1628" i="4"/>
  <c r="O1628" i="4" s="1"/>
  <c r="A1628" i="4"/>
  <c r="S1627" i="4"/>
  <c r="R1627" i="4"/>
  <c r="Q1627" i="4"/>
  <c r="P1627" i="4" s="1"/>
  <c r="T1627" i="4" s="1"/>
  <c r="N1627" i="4"/>
  <c r="O1627" i="4" s="1"/>
  <c r="A1627" i="4"/>
  <c r="S1626" i="4"/>
  <c r="R1626" i="4"/>
  <c r="Q1626" i="4"/>
  <c r="N1626" i="4"/>
  <c r="O1626" i="4" s="1"/>
  <c r="A1626" i="4"/>
  <c r="S1625" i="4"/>
  <c r="R1625" i="4"/>
  <c r="Q1625" i="4"/>
  <c r="P1625" i="4" s="1"/>
  <c r="T1625" i="4" s="1"/>
  <c r="N1625" i="4"/>
  <c r="O1625" i="4" s="1"/>
  <c r="A1625" i="4"/>
  <c r="S1624" i="4"/>
  <c r="R1624" i="4"/>
  <c r="Q1624" i="4"/>
  <c r="N1624" i="4"/>
  <c r="O1624" i="4" s="1"/>
  <c r="A1624" i="4"/>
  <c r="S1623" i="4"/>
  <c r="R1623" i="4"/>
  <c r="Q1623" i="4"/>
  <c r="P1623" i="4" s="1"/>
  <c r="T1623" i="4" s="1"/>
  <c r="N1623" i="4"/>
  <c r="O1623" i="4" s="1"/>
  <c r="A1623" i="4"/>
  <c r="S1622" i="4"/>
  <c r="R1622" i="4"/>
  <c r="Q1622" i="4"/>
  <c r="N1622" i="4"/>
  <c r="O1622" i="4" s="1"/>
  <c r="A1622" i="4"/>
  <c r="S1621" i="4"/>
  <c r="R1621" i="4"/>
  <c r="Q1621" i="4"/>
  <c r="P1621" i="4" s="1"/>
  <c r="T1621" i="4" s="1"/>
  <c r="N1621" i="4"/>
  <c r="O1621" i="4" s="1"/>
  <c r="A1621" i="4"/>
  <c r="S1620" i="4"/>
  <c r="R1620" i="4"/>
  <c r="Q1620" i="4"/>
  <c r="N1620" i="4"/>
  <c r="O1620" i="4" s="1"/>
  <c r="A1620" i="4"/>
  <c r="S1619" i="4"/>
  <c r="R1619" i="4"/>
  <c r="Q1619" i="4"/>
  <c r="P1619" i="4" s="1"/>
  <c r="T1619" i="4" s="1"/>
  <c r="N1619" i="4"/>
  <c r="O1619" i="4" s="1"/>
  <c r="A1619" i="4"/>
  <c r="S1618" i="4"/>
  <c r="R1618" i="4"/>
  <c r="Q1618" i="4"/>
  <c r="N1618" i="4"/>
  <c r="O1618" i="4" s="1"/>
  <c r="A1618" i="4"/>
  <c r="S1617" i="4"/>
  <c r="R1617" i="4"/>
  <c r="Q1617" i="4"/>
  <c r="P1617" i="4" s="1"/>
  <c r="N1617" i="4"/>
  <c r="O1617" i="4" s="1"/>
  <c r="A1617" i="4"/>
  <c r="S1616" i="4"/>
  <c r="R1616" i="4"/>
  <c r="Q1616" i="4"/>
  <c r="N1616" i="4"/>
  <c r="O1616" i="4" s="1"/>
  <c r="A1616" i="4"/>
  <c r="S1615" i="4"/>
  <c r="R1615" i="4"/>
  <c r="Q1615" i="4"/>
  <c r="P1615" i="4" s="1"/>
  <c r="T1615" i="4" s="1"/>
  <c r="N1615" i="4"/>
  <c r="O1615" i="4" s="1"/>
  <c r="A1615" i="4"/>
  <c r="S1614" i="4"/>
  <c r="R1614" i="4"/>
  <c r="Q1614" i="4"/>
  <c r="N1614" i="4"/>
  <c r="O1614" i="4" s="1"/>
  <c r="A1614" i="4"/>
  <c r="S1613" i="4"/>
  <c r="R1613" i="4"/>
  <c r="Q1613" i="4"/>
  <c r="P1613" i="4" s="1"/>
  <c r="N1613" i="4"/>
  <c r="O1613" i="4" s="1"/>
  <c r="A1613" i="4"/>
  <c r="S1612" i="4"/>
  <c r="R1612" i="4"/>
  <c r="Q1612" i="4"/>
  <c r="N1612" i="4"/>
  <c r="O1612" i="4" s="1"/>
  <c r="A1612" i="4"/>
  <c r="S1611" i="4"/>
  <c r="R1611" i="4"/>
  <c r="Q1611" i="4"/>
  <c r="P1611" i="4" s="1"/>
  <c r="T1611" i="4" s="1"/>
  <c r="N1611" i="4"/>
  <c r="O1611" i="4" s="1"/>
  <c r="A1611" i="4"/>
  <c r="S1610" i="4"/>
  <c r="R1610" i="4"/>
  <c r="Q1610" i="4"/>
  <c r="N1610" i="4"/>
  <c r="O1610" i="4" s="1"/>
  <c r="A1610" i="4"/>
  <c r="S1609" i="4"/>
  <c r="R1609" i="4"/>
  <c r="Q1609" i="4"/>
  <c r="P1609" i="4" s="1"/>
  <c r="T1609" i="4" s="1"/>
  <c r="N1609" i="4"/>
  <c r="O1609" i="4" s="1"/>
  <c r="A1609" i="4"/>
  <c r="S1608" i="4"/>
  <c r="R1608" i="4"/>
  <c r="Q1608" i="4"/>
  <c r="N1608" i="4"/>
  <c r="O1608" i="4" s="1"/>
  <c r="A1608" i="4"/>
  <c r="S1607" i="4"/>
  <c r="R1607" i="4"/>
  <c r="Q1607" i="4"/>
  <c r="P1607" i="4" s="1"/>
  <c r="T1607" i="4" s="1"/>
  <c r="N1607" i="4"/>
  <c r="O1607" i="4" s="1"/>
  <c r="A1607" i="4"/>
  <c r="S1606" i="4"/>
  <c r="R1606" i="4"/>
  <c r="Q1606" i="4"/>
  <c r="N1606" i="4"/>
  <c r="O1606" i="4" s="1"/>
  <c r="A1606" i="4"/>
  <c r="S1605" i="4"/>
  <c r="R1605" i="4"/>
  <c r="Q1605" i="4"/>
  <c r="P1605" i="4" s="1"/>
  <c r="T1605" i="4" s="1"/>
  <c r="N1605" i="4"/>
  <c r="O1605" i="4" s="1"/>
  <c r="A1605" i="4"/>
  <c r="S1604" i="4"/>
  <c r="R1604" i="4"/>
  <c r="Q1604" i="4"/>
  <c r="N1604" i="4"/>
  <c r="O1604" i="4" s="1"/>
  <c r="A1604" i="4"/>
  <c r="S1603" i="4"/>
  <c r="R1603" i="4"/>
  <c r="Q1603" i="4"/>
  <c r="P1603" i="4" s="1"/>
  <c r="T1603" i="4" s="1"/>
  <c r="N1603" i="4"/>
  <c r="O1603" i="4" s="1"/>
  <c r="A1603" i="4"/>
  <c r="S1602" i="4"/>
  <c r="R1602" i="4"/>
  <c r="Q1602" i="4"/>
  <c r="N1602" i="4"/>
  <c r="O1602" i="4" s="1"/>
  <c r="A1602" i="4"/>
  <c r="S1601" i="4"/>
  <c r="R1601" i="4"/>
  <c r="Q1601" i="4"/>
  <c r="P1601" i="4"/>
  <c r="T1601" i="4" s="1"/>
  <c r="N1601" i="4"/>
  <c r="O1601" i="4" s="1"/>
  <c r="A1601" i="4"/>
  <c r="S1600" i="4"/>
  <c r="R1600" i="4"/>
  <c r="Q1600" i="4"/>
  <c r="N1600" i="4"/>
  <c r="O1600" i="4" s="1"/>
  <c r="A1600" i="4"/>
  <c r="S1599" i="4"/>
  <c r="R1599" i="4"/>
  <c r="Q1599" i="4"/>
  <c r="P1599" i="4"/>
  <c r="T1599" i="4" s="1"/>
  <c r="N1599" i="4"/>
  <c r="O1599" i="4" s="1"/>
  <c r="A1599" i="4"/>
  <c r="S1598" i="4"/>
  <c r="R1598" i="4"/>
  <c r="Q1598" i="4"/>
  <c r="P1598" i="4" s="1"/>
  <c r="T1598" i="4" s="1"/>
  <c r="N1598" i="4"/>
  <c r="O1598" i="4" s="1"/>
  <c r="A1598" i="4"/>
  <c r="S1597" i="4"/>
  <c r="R1597" i="4"/>
  <c r="Q1597" i="4"/>
  <c r="P1597" i="4"/>
  <c r="T1597" i="4" s="1"/>
  <c r="N1597" i="4"/>
  <c r="O1597" i="4" s="1"/>
  <c r="A1597" i="4"/>
  <c r="S1596" i="4"/>
  <c r="R1596" i="4"/>
  <c r="Q1596" i="4"/>
  <c r="P1596" i="4" s="1"/>
  <c r="T1596" i="4" s="1"/>
  <c r="N1596" i="4"/>
  <c r="O1596" i="4" s="1"/>
  <c r="A1596" i="4"/>
  <c r="S1595" i="4"/>
  <c r="R1595" i="4"/>
  <c r="Q1595" i="4"/>
  <c r="P1595" i="4"/>
  <c r="T1595" i="4" s="1"/>
  <c r="N1595" i="4"/>
  <c r="O1595" i="4" s="1"/>
  <c r="A1595" i="4"/>
  <c r="S1594" i="4"/>
  <c r="R1594" i="4"/>
  <c r="Q1594" i="4"/>
  <c r="N1594" i="4"/>
  <c r="O1594" i="4" s="1"/>
  <c r="A1594" i="4"/>
  <c r="S1593" i="4"/>
  <c r="R1593" i="4"/>
  <c r="Q1593" i="4"/>
  <c r="P1593" i="4"/>
  <c r="T1593" i="4" s="1"/>
  <c r="N1593" i="4"/>
  <c r="O1593" i="4" s="1"/>
  <c r="A1593" i="4"/>
  <c r="S1592" i="4"/>
  <c r="R1592" i="4"/>
  <c r="Q1592" i="4"/>
  <c r="N1592" i="4"/>
  <c r="O1592" i="4" s="1"/>
  <c r="A1592" i="4"/>
  <c r="S1591" i="4"/>
  <c r="R1591" i="4"/>
  <c r="Q1591" i="4"/>
  <c r="P1591" i="4"/>
  <c r="T1591" i="4" s="1"/>
  <c r="N1591" i="4"/>
  <c r="O1591" i="4" s="1"/>
  <c r="A1591" i="4"/>
  <c r="S1590" i="4"/>
  <c r="R1590" i="4"/>
  <c r="P1590" i="4" s="1"/>
  <c r="T1590" i="4" s="1"/>
  <c r="Q1590" i="4"/>
  <c r="N1590" i="4"/>
  <c r="O1590" i="4" s="1"/>
  <c r="A1590" i="4"/>
  <c r="S1589" i="4"/>
  <c r="R1589" i="4"/>
  <c r="Q1589" i="4"/>
  <c r="P1589" i="4"/>
  <c r="T1589" i="4" s="1"/>
  <c r="N1589" i="4"/>
  <c r="O1589" i="4" s="1"/>
  <c r="A1589" i="4"/>
  <c r="S1588" i="4"/>
  <c r="R1588" i="4"/>
  <c r="P1588" i="4" s="1"/>
  <c r="T1588" i="4" s="1"/>
  <c r="Q1588" i="4"/>
  <c r="N1588" i="4"/>
  <c r="O1588" i="4" s="1"/>
  <c r="A1588" i="4"/>
  <c r="S1587" i="4"/>
  <c r="R1587" i="4"/>
  <c r="Q1587" i="4"/>
  <c r="P1587" i="4"/>
  <c r="T1587" i="4" s="1"/>
  <c r="N1587" i="4"/>
  <c r="O1587" i="4" s="1"/>
  <c r="A1587" i="4"/>
  <c r="S1586" i="4"/>
  <c r="R1586" i="4"/>
  <c r="P1586" i="4" s="1"/>
  <c r="T1586" i="4" s="1"/>
  <c r="Q1586" i="4"/>
  <c r="N1586" i="4"/>
  <c r="O1586" i="4" s="1"/>
  <c r="A1586" i="4"/>
  <c r="S1585" i="4"/>
  <c r="R1585" i="4"/>
  <c r="Q1585" i="4"/>
  <c r="P1585" i="4"/>
  <c r="T1585" i="4" s="1"/>
  <c r="N1585" i="4"/>
  <c r="O1585" i="4" s="1"/>
  <c r="A1585" i="4"/>
  <c r="S1584" i="4"/>
  <c r="R1584" i="4"/>
  <c r="P1584" i="4" s="1"/>
  <c r="T1584" i="4" s="1"/>
  <c r="Q1584" i="4"/>
  <c r="N1584" i="4"/>
  <c r="O1584" i="4" s="1"/>
  <c r="A1584" i="4"/>
  <c r="S1583" i="4"/>
  <c r="R1583" i="4"/>
  <c r="Q1583" i="4"/>
  <c r="P1583" i="4"/>
  <c r="T1583" i="4" s="1"/>
  <c r="N1583" i="4"/>
  <c r="O1583" i="4" s="1"/>
  <c r="A1583" i="4"/>
  <c r="S1582" i="4"/>
  <c r="R1582" i="4"/>
  <c r="P1582" i="4" s="1"/>
  <c r="T1582" i="4" s="1"/>
  <c r="Q1582" i="4"/>
  <c r="N1582" i="4"/>
  <c r="O1582" i="4" s="1"/>
  <c r="A1582" i="4"/>
  <c r="S1581" i="4"/>
  <c r="R1581" i="4"/>
  <c r="Q1581" i="4"/>
  <c r="P1581" i="4"/>
  <c r="T1581" i="4" s="1"/>
  <c r="N1581" i="4"/>
  <c r="O1581" i="4" s="1"/>
  <c r="A1581" i="4"/>
  <c r="S1580" i="4"/>
  <c r="R1580" i="4"/>
  <c r="P1580" i="4" s="1"/>
  <c r="T1580" i="4" s="1"/>
  <c r="Q1580" i="4"/>
  <c r="N1580" i="4"/>
  <c r="O1580" i="4" s="1"/>
  <c r="A1580" i="4"/>
  <c r="S1579" i="4"/>
  <c r="R1579" i="4"/>
  <c r="Q1579" i="4"/>
  <c r="P1579" i="4"/>
  <c r="T1579" i="4" s="1"/>
  <c r="N1579" i="4"/>
  <c r="O1579" i="4" s="1"/>
  <c r="A1579" i="4"/>
  <c r="S1578" i="4"/>
  <c r="R1578" i="4"/>
  <c r="P1578" i="4" s="1"/>
  <c r="T1578" i="4" s="1"/>
  <c r="Q1578" i="4"/>
  <c r="N1578" i="4"/>
  <c r="O1578" i="4" s="1"/>
  <c r="A1578" i="4"/>
  <c r="S1577" i="4"/>
  <c r="R1577" i="4"/>
  <c r="Q1577" i="4"/>
  <c r="P1577" i="4"/>
  <c r="T1577" i="4" s="1"/>
  <c r="N1577" i="4"/>
  <c r="O1577" i="4" s="1"/>
  <c r="A1577" i="4"/>
  <c r="S1576" i="4"/>
  <c r="R1576" i="4"/>
  <c r="P1576" i="4" s="1"/>
  <c r="T1576" i="4" s="1"/>
  <c r="Q1576" i="4"/>
  <c r="N1576" i="4"/>
  <c r="O1576" i="4" s="1"/>
  <c r="A1576" i="4"/>
  <c r="S1575" i="4"/>
  <c r="R1575" i="4"/>
  <c r="Q1575" i="4"/>
  <c r="P1575" i="4"/>
  <c r="T1575" i="4" s="1"/>
  <c r="N1575" i="4"/>
  <c r="O1575" i="4" s="1"/>
  <c r="A1575" i="4"/>
  <c r="S1574" i="4"/>
  <c r="R1574" i="4"/>
  <c r="P1574" i="4" s="1"/>
  <c r="T1574" i="4" s="1"/>
  <c r="Q1574" i="4"/>
  <c r="N1574" i="4"/>
  <c r="O1574" i="4" s="1"/>
  <c r="A1574" i="4"/>
  <c r="S1573" i="4"/>
  <c r="R1573" i="4"/>
  <c r="Q1573" i="4"/>
  <c r="P1573" i="4"/>
  <c r="T1573" i="4" s="1"/>
  <c r="N1573" i="4"/>
  <c r="O1573" i="4" s="1"/>
  <c r="A1573" i="4"/>
  <c r="S1572" i="4"/>
  <c r="R1572" i="4"/>
  <c r="P1572" i="4" s="1"/>
  <c r="T1572" i="4" s="1"/>
  <c r="Q1572" i="4"/>
  <c r="N1572" i="4"/>
  <c r="O1572" i="4" s="1"/>
  <c r="A1572" i="4"/>
  <c r="S1571" i="4"/>
  <c r="R1571" i="4"/>
  <c r="Q1571" i="4"/>
  <c r="P1571" i="4"/>
  <c r="T1571" i="4" s="1"/>
  <c r="N1571" i="4"/>
  <c r="O1571" i="4" s="1"/>
  <c r="A1571" i="4"/>
  <c r="S1570" i="4"/>
  <c r="R1570" i="4"/>
  <c r="P1570" i="4" s="1"/>
  <c r="T1570" i="4" s="1"/>
  <c r="Q1570" i="4"/>
  <c r="N1570" i="4"/>
  <c r="O1570" i="4" s="1"/>
  <c r="A1570" i="4"/>
  <c r="S1569" i="4"/>
  <c r="R1569" i="4"/>
  <c r="Q1569" i="4"/>
  <c r="P1569" i="4"/>
  <c r="T1569" i="4" s="1"/>
  <c r="N1569" i="4"/>
  <c r="O1569" i="4" s="1"/>
  <c r="A1569" i="4"/>
  <c r="S1568" i="4"/>
  <c r="R1568" i="4"/>
  <c r="P1568" i="4" s="1"/>
  <c r="T1568" i="4" s="1"/>
  <c r="Q1568" i="4"/>
  <c r="N1568" i="4"/>
  <c r="O1568" i="4" s="1"/>
  <c r="A1568" i="4"/>
  <c r="S1567" i="4"/>
  <c r="R1567" i="4"/>
  <c r="Q1567" i="4"/>
  <c r="P1567" i="4"/>
  <c r="T1567" i="4" s="1"/>
  <c r="N1567" i="4"/>
  <c r="O1567" i="4" s="1"/>
  <c r="A1567" i="4"/>
  <c r="S1566" i="4"/>
  <c r="R1566" i="4"/>
  <c r="P1566" i="4" s="1"/>
  <c r="T1566" i="4" s="1"/>
  <c r="Q1566" i="4"/>
  <c r="N1566" i="4"/>
  <c r="O1566" i="4" s="1"/>
  <c r="A1566" i="4"/>
  <c r="S1565" i="4"/>
  <c r="R1565" i="4"/>
  <c r="Q1565" i="4"/>
  <c r="P1565" i="4"/>
  <c r="T1565" i="4" s="1"/>
  <c r="N1565" i="4"/>
  <c r="O1565" i="4" s="1"/>
  <c r="A1565" i="4"/>
  <c r="S1564" i="4"/>
  <c r="R1564" i="4"/>
  <c r="P1564" i="4" s="1"/>
  <c r="T1564" i="4" s="1"/>
  <c r="Q1564" i="4"/>
  <c r="N1564" i="4"/>
  <c r="O1564" i="4" s="1"/>
  <c r="A1564" i="4"/>
  <c r="S1563" i="4"/>
  <c r="R1563" i="4"/>
  <c r="Q1563" i="4"/>
  <c r="P1563" i="4"/>
  <c r="T1563" i="4" s="1"/>
  <c r="N1563" i="4"/>
  <c r="O1563" i="4" s="1"/>
  <c r="A1563" i="4"/>
  <c r="S1562" i="4"/>
  <c r="R1562" i="4"/>
  <c r="P1562" i="4" s="1"/>
  <c r="T1562" i="4" s="1"/>
  <c r="Q1562" i="4"/>
  <c r="N1562" i="4"/>
  <c r="O1562" i="4" s="1"/>
  <c r="A1562" i="4"/>
  <c r="S1561" i="4"/>
  <c r="R1561" i="4"/>
  <c r="Q1561" i="4"/>
  <c r="P1561" i="4"/>
  <c r="T1561" i="4" s="1"/>
  <c r="N1561" i="4"/>
  <c r="O1561" i="4" s="1"/>
  <c r="A1561" i="4"/>
  <c r="S1560" i="4"/>
  <c r="R1560" i="4"/>
  <c r="P1560" i="4" s="1"/>
  <c r="T1560" i="4" s="1"/>
  <c r="Q1560" i="4"/>
  <c r="N1560" i="4"/>
  <c r="O1560" i="4" s="1"/>
  <c r="A1560" i="4"/>
  <c r="S1559" i="4"/>
  <c r="R1559" i="4"/>
  <c r="Q1559" i="4"/>
  <c r="P1559" i="4"/>
  <c r="T1559" i="4" s="1"/>
  <c r="N1559" i="4"/>
  <c r="O1559" i="4" s="1"/>
  <c r="A1559" i="4"/>
  <c r="S1558" i="4"/>
  <c r="R1558" i="4"/>
  <c r="P1558" i="4" s="1"/>
  <c r="T1558" i="4" s="1"/>
  <c r="Q1558" i="4"/>
  <c r="N1558" i="4"/>
  <c r="O1558" i="4" s="1"/>
  <c r="A1558" i="4"/>
  <c r="S1557" i="4"/>
  <c r="R1557" i="4"/>
  <c r="Q1557" i="4"/>
  <c r="P1557" i="4"/>
  <c r="T1557" i="4" s="1"/>
  <c r="N1557" i="4"/>
  <c r="O1557" i="4" s="1"/>
  <c r="A1557" i="4"/>
  <c r="S1556" i="4"/>
  <c r="R1556" i="4"/>
  <c r="P1556" i="4" s="1"/>
  <c r="T1556" i="4" s="1"/>
  <c r="Q1556" i="4"/>
  <c r="N1556" i="4"/>
  <c r="O1556" i="4" s="1"/>
  <c r="A1556" i="4"/>
  <c r="S1555" i="4"/>
  <c r="R1555" i="4"/>
  <c r="Q1555" i="4"/>
  <c r="P1555" i="4"/>
  <c r="T1555" i="4" s="1"/>
  <c r="N1555" i="4"/>
  <c r="O1555" i="4" s="1"/>
  <c r="A1555" i="4"/>
  <c r="S1554" i="4"/>
  <c r="R1554" i="4"/>
  <c r="P1554" i="4" s="1"/>
  <c r="T1554" i="4" s="1"/>
  <c r="Q1554" i="4"/>
  <c r="N1554" i="4"/>
  <c r="O1554" i="4" s="1"/>
  <c r="A1554" i="4"/>
  <c r="S1553" i="4"/>
  <c r="R1553" i="4"/>
  <c r="Q1553" i="4"/>
  <c r="P1553" i="4"/>
  <c r="T1553" i="4" s="1"/>
  <c r="N1553" i="4"/>
  <c r="O1553" i="4" s="1"/>
  <c r="A1553" i="4"/>
  <c r="S1552" i="4"/>
  <c r="R1552" i="4"/>
  <c r="P1552" i="4" s="1"/>
  <c r="T1552" i="4" s="1"/>
  <c r="Q1552" i="4"/>
  <c r="N1552" i="4"/>
  <c r="O1552" i="4" s="1"/>
  <c r="A1552" i="4"/>
  <c r="S1551" i="4"/>
  <c r="R1551" i="4"/>
  <c r="Q1551" i="4"/>
  <c r="P1551" i="4"/>
  <c r="T1551" i="4" s="1"/>
  <c r="N1551" i="4"/>
  <c r="O1551" i="4" s="1"/>
  <c r="A1551" i="4"/>
  <c r="S1550" i="4"/>
  <c r="R1550" i="4"/>
  <c r="P1550" i="4" s="1"/>
  <c r="T1550" i="4" s="1"/>
  <c r="Q1550" i="4"/>
  <c r="N1550" i="4"/>
  <c r="O1550" i="4" s="1"/>
  <c r="A1550" i="4"/>
  <c r="S1549" i="4"/>
  <c r="R1549" i="4"/>
  <c r="Q1549" i="4"/>
  <c r="P1549" i="4"/>
  <c r="T1549" i="4" s="1"/>
  <c r="N1549" i="4"/>
  <c r="O1549" i="4" s="1"/>
  <c r="A1549" i="4"/>
  <c r="S1548" i="4"/>
  <c r="R1548" i="4"/>
  <c r="P1548" i="4" s="1"/>
  <c r="T1548" i="4" s="1"/>
  <c r="Q1548" i="4"/>
  <c r="N1548" i="4"/>
  <c r="O1548" i="4" s="1"/>
  <c r="A1548" i="4"/>
  <c r="S1547" i="4"/>
  <c r="R1547" i="4"/>
  <c r="Q1547" i="4"/>
  <c r="P1547" i="4"/>
  <c r="T1547" i="4" s="1"/>
  <c r="N1547" i="4"/>
  <c r="O1547" i="4" s="1"/>
  <c r="A1547" i="4"/>
  <c r="S1546" i="4"/>
  <c r="R1546" i="4"/>
  <c r="P1546" i="4" s="1"/>
  <c r="T1546" i="4" s="1"/>
  <c r="Q1546" i="4"/>
  <c r="N1546" i="4"/>
  <c r="O1546" i="4" s="1"/>
  <c r="A1546" i="4"/>
  <c r="S1545" i="4"/>
  <c r="R1545" i="4"/>
  <c r="Q1545" i="4"/>
  <c r="P1545" i="4"/>
  <c r="T1545" i="4" s="1"/>
  <c r="N1545" i="4"/>
  <c r="O1545" i="4" s="1"/>
  <c r="A1545" i="4"/>
  <c r="S1544" i="4"/>
  <c r="R1544" i="4"/>
  <c r="P1544" i="4" s="1"/>
  <c r="T1544" i="4" s="1"/>
  <c r="Q1544" i="4"/>
  <c r="N1544" i="4"/>
  <c r="O1544" i="4" s="1"/>
  <c r="A1544" i="4"/>
  <c r="S1543" i="4"/>
  <c r="R1543" i="4"/>
  <c r="Q1543" i="4"/>
  <c r="P1543" i="4"/>
  <c r="T1543" i="4" s="1"/>
  <c r="N1543" i="4"/>
  <c r="O1543" i="4" s="1"/>
  <c r="A1543" i="4"/>
  <c r="S1542" i="4"/>
  <c r="R1542" i="4"/>
  <c r="P1542" i="4" s="1"/>
  <c r="T1542" i="4" s="1"/>
  <c r="Q1542" i="4"/>
  <c r="N1542" i="4"/>
  <c r="O1542" i="4" s="1"/>
  <c r="A1542" i="4"/>
  <c r="S1541" i="4"/>
  <c r="R1541" i="4"/>
  <c r="Q1541" i="4"/>
  <c r="P1541" i="4"/>
  <c r="T1541" i="4" s="1"/>
  <c r="N1541" i="4"/>
  <c r="O1541" i="4" s="1"/>
  <c r="A1541" i="4"/>
  <c r="S1540" i="4"/>
  <c r="R1540" i="4"/>
  <c r="P1540" i="4" s="1"/>
  <c r="T1540" i="4" s="1"/>
  <c r="Q1540" i="4"/>
  <c r="N1540" i="4"/>
  <c r="O1540" i="4" s="1"/>
  <c r="A1540" i="4"/>
  <c r="S1539" i="4"/>
  <c r="R1539" i="4"/>
  <c r="Q1539" i="4"/>
  <c r="P1539" i="4"/>
  <c r="T1539" i="4" s="1"/>
  <c r="N1539" i="4"/>
  <c r="O1539" i="4" s="1"/>
  <c r="A1539" i="4"/>
  <c r="S1538" i="4"/>
  <c r="R1538" i="4"/>
  <c r="P1538" i="4" s="1"/>
  <c r="T1538" i="4" s="1"/>
  <c r="Q1538" i="4"/>
  <c r="N1538" i="4"/>
  <c r="O1538" i="4" s="1"/>
  <c r="A1538" i="4"/>
  <c r="S1537" i="4"/>
  <c r="R1537" i="4"/>
  <c r="Q1537" i="4"/>
  <c r="P1537" i="4"/>
  <c r="T1537" i="4" s="1"/>
  <c r="N1537" i="4"/>
  <c r="O1537" i="4" s="1"/>
  <c r="A1537" i="4"/>
  <c r="S1536" i="4"/>
  <c r="R1536" i="4"/>
  <c r="P1536" i="4" s="1"/>
  <c r="T1536" i="4" s="1"/>
  <c r="Q1536" i="4"/>
  <c r="N1536" i="4"/>
  <c r="O1536" i="4" s="1"/>
  <c r="A1536" i="4"/>
  <c r="S1535" i="4"/>
  <c r="R1535" i="4"/>
  <c r="Q1535" i="4"/>
  <c r="P1535" i="4"/>
  <c r="T1535" i="4" s="1"/>
  <c r="N1535" i="4"/>
  <c r="O1535" i="4" s="1"/>
  <c r="A1535" i="4"/>
  <c r="S1534" i="4"/>
  <c r="R1534" i="4"/>
  <c r="P1534" i="4" s="1"/>
  <c r="T1534" i="4" s="1"/>
  <c r="Q1534" i="4"/>
  <c r="N1534" i="4"/>
  <c r="O1534" i="4" s="1"/>
  <c r="A1534" i="4"/>
  <c r="S1533" i="4"/>
  <c r="R1533" i="4"/>
  <c r="Q1533" i="4"/>
  <c r="P1533" i="4"/>
  <c r="T1533" i="4" s="1"/>
  <c r="N1533" i="4"/>
  <c r="O1533" i="4" s="1"/>
  <c r="A1533" i="4"/>
  <c r="S1532" i="4"/>
  <c r="R1532" i="4"/>
  <c r="P1532" i="4" s="1"/>
  <c r="T1532" i="4" s="1"/>
  <c r="Q1532" i="4"/>
  <c r="N1532" i="4"/>
  <c r="O1532" i="4" s="1"/>
  <c r="A1532" i="4"/>
  <c r="S1531" i="4"/>
  <c r="R1531" i="4"/>
  <c r="Q1531" i="4"/>
  <c r="P1531" i="4"/>
  <c r="T1531" i="4" s="1"/>
  <c r="N1531" i="4"/>
  <c r="O1531" i="4" s="1"/>
  <c r="A1531" i="4"/>
  <c r="S1530" i="4"/>
  <c r="R1530" i="4"/>
  <c r="P1530" i="4" s="1"/>
  <c r="T1530" i="4" s="1"/>
  <c r="Q1530" i="4"/>
  <c r="N1530" i="4"/>
  <c r="O1530" i="4" s="1"/>
  <c r="A1530" i="4"/>
  <c r="S1529" i="4"/>
  <c r="R1529" i="4"/>
  <c r="Q1529" i="4"/>
  <c r="P1529" i="4"/>
  <c r="T1529" i="4" s="1"/>
  <c r="N1529" i="4"/>
  <c r="O1529" i="4" s="1"/>
  <c r="A1529" i="4"/>
  <c r="S1528" i="4"/>
  <c r="R1528" i="4"/>
  <c r="P1528" i="4" s="1"/>
  <c r="T1528" i="4" s="1"/>
  <c r="Q1528" i="4"/>
  <c r="N1528" i="4"/>
  <c r="O1528" i="4" s="1"/>
  <c r="A1528" i="4"/>
  <c r="S1527" i="4"/>
  <c r="R1527" i="4"/>
  <c r="Q1527" i="4"/>
  <c r="P1527" i="4"/>
  <c r="T1527" i="4" s="1"/>
  <c r="N1527" i="4"/>
  <c r="O1527" i="4" s="1"/>
  <c r="A1527" i="4"/>
  <c r="S1526" i="4"/>
  <c r="R1526" i="4"/>
  <c r="P1526" i="4" s="1"/>
  <c r="T1526" i="4" s="1"/>
  <c r="Q1526" i="4"/>
  <c r="N1526" i="4"/>
  <c r="O1526" i="4" s="1"/>
  <c r="A1526" i="4"/>
  <c r="S1525" i="4"/>
  <c r="R1525" i="4"/>
  <c r="Q1525" i="4"/>
  <c r="P1525" i="4"/>
  <c r="T1525" i="4" s="1"/>
  <c r="N1525" i="4"/>
  <c r="O1525" i="4" s="1"/>
  <c r="A1525" i="4"/>
  <c r="S1524" i="4"/>
  <c r="R1524" i="4"/>
  <c r="P1524" i="4" s="1"/>
  <c r="T1524" i="4" s="1"/>
  <c r="Q1524" i="4"/>
  <c r="N1524" i="4"/>
  <c r="O1524" i="4" s="1"/>
  <c r="A1524" i="4"/>
  <c r="S1523" i="4"/>
  <c r="R1523" i="4"/>
  <c r="Q1523" i="4"/>
  <c r="P1523" i="4"/>
  <c r="T1523" i="4" s="1"/>
  <c r="N1523" i="4"/>
  <c r="O1523" i="4" s="1"/>
  <c r="A1523" i="4"/>
  <c r="S1522" i="4"/>
  <c r="R1522" i="4"/>
  <c r="P1522" i="4" s="1"/>
  <c r="T1522" i="4" s="1"/>
  <c r="Q1522" i="4"/>
  <c r="N1522" i="4"/>
  <c r="O1522" i="4" s="1"/>
  <c r="A1522" i="4"/>
  <c r="S1521" i="4"/>
  <c r="R1521" i="4"/>
  <c r="Q1521" i="4"/>
  <c r="P1521" i="4"/>
  <c r="T1521" i="4" s="1"/>
  <c r="N1521" i="4"/>
  <c r="O1521" i="4" s="1"/>
  <c r="A1521" i="4"/>
  <c r="S1520" i="4"/>
  <c r="R1520" i="4"/>
  <c r="P1520" i="4" s="1"/>
  <c r="T1520" i="4" s="1"/>
  <c r="Q1520" i="4"/>
  <c r="N1520" i="4"/>
  <c r="O1520" i="4" s="1"/>
  <c r="A1520" i="4"/>
  <c r="S1519" i="4"/>
  <c r="R1519" i="4"/>
  <c r="Q1519" i="4"/>
  <c r="P1519" i="4"/>
  <c r="T1519" i="4" s="1"/>
  <c r="N1519" i="4"/>
  <c r="O1519" i="4" s="1"/>
  <c r="A1519" i="4"/>
  <c r="S1518" i="4"/>
  <c r="R1518" i="4"/>
  <c r="P1518" i="4" s="1"/>
  <c r="T1518" i="4" s="1"/>
  <c r="Q1518" i="4"/>
  <c r="N1518" i="4"/>
  <c r="O1518" i="4" s="1"/>
  <c r="A1518" i="4"/>
  <c r="S1517" i="4"/>
  <c r="R1517" i="4"/>
  <c r="Q1517" i="4"/>
  <c r="P1517" i="4"/>
  <c r="T1517" i="4" s="1"/>
  <c r="N1517" i="4"/>
  <c r="O1517" i="4" s="1"/>
  <c r="A1517" i="4"/>
  <c r="S1516" i="4"/>
  <c r="R1516" i="4"/>
  <c r="P1516" i="4" s="1"/>
  <c r="T1516" i="4" s="1"/>
  <c r="Q1516" i="4"/>
  <c r="N1516" i="4"/>
  <c r="O1516" i="4" s="1"/>
  <c r="A1516" i="4"/>
  <c r="S1515" i="4"/>
  <c r="R1515" i="4"/>
  <c r="Q1515" i="4"/>
  <c r="P1515" i="4"/>
  <c r="T1515" i="4" s="1"/>
  <c r="N1515" i="4"/>
  <c r="O1515" i="4" s="1"/>
  <c r="A1515" i="4"/>
  <c r="S1514" i="4"/>
  <c r="R1514" i="4"/>
  <c r="P1514" i="4" s="1"/>
  <c r="T1514" i="4" s="1"/>
  <c r="Q1514" i="4"/>
  <c r="N1514" i="4"/>
  <c r="O1514" i="4" s="1"/>
  <c r="A1514" i="4"/>
  <c r="S1513" i="4"/>
  <c r="R1513" i="4"/>
  <c r="Q1513" i="4"/>
  <c r="P1513" i="4"/>
  <c r="T1513" i="4" s="1"/>
  <c r="N1513" i="4"/>
  <c r="O1513" i="4" s="1"/>
  <c r="A1513" i="4"/>
  <c r="S1512" i="4"/>
  <c r="R1512" i="4"/>
  <c r="P1512" i="4" s="1"/>
  <c r="T1512" i="4" s="1"/>
  <c r="Q1512" i="4"/>
  <c r="N1512" i="4"/>
  <c r="O1512" i="4" s="1"/>
  <c r="A1512" i="4"/>
  <c r="S1511" i="4"/>
  <c r="R1511" i="4"/>
  <c r="Q1511" i="4"/>
  <c r="P1511" i="4"/>
  <c r="T1511" i="4" s="1"/>
  <c r="N1511" i="4"/>
  <c r="O1511" i="4" s="1"/>
  <c r="A1511" i="4"/>
  <c r="S1510" i="4"/>
  <c r="R1510" i="4"/>
  <c r="P1510" i="4" s="1"/>
  <c r="T1510" i="4" s="1"/>
  <c r="Q1510" i="4"/>
  <c r="N1510" i="4"/>
  <c r="O1510" i="4" s="1"/>
  <c r="A1510" i="4"/>
  <c r="S1509" i="4"/>
  <c r="R1509" i="4"/>
  <c r="Q1509" i="4"/>
  <c r="P1509" i="4"/>
  <c r="T1509" i="4" s="1"/>
  <c r="N1509" i="4"/>
  <c r="O1509" i="4" s="1"/>
  <c r="A1509" i="4"/>
  <c r="S1508" i="4"/>
  <c r="R1508" i="4"/>
  <c r="P1508" i="4" s="1"/>
  <c r="T1508" i="4" s="1"/>
  <c r="Q1508" i="4"/>
  <c r="N1508" i="4"/>
  <c r="O1508" i="4" s="1"/>
  <c r="A1508" i="4"/>
  <c r="S1507" i="4"/>
  <c r="R1507" i="4"/>
  <c r="Q1507" i="4"/>
  <c r="P1507" i="4"/>
  <c r="T1507" i="4" s="1"/>
  <c r="N1507" i="4"/>
  <c r="O1507" i="4" s="1"/>
  <c r="A1507" i="4"/>
  <c r="S1506" i="4"/>
  <c r="R1506" i="4"/>
  <c r="P1506" i="4" s="1"/>
  <c r="T1506" i="4" s="1"/>
  <c r="Q1506" i="4"/>
  <c r="N1506" i="4"/>
  <c r="O1506" i="4" s="1"/>
  <c r="A1506" i="4"/>
  <c r="S1505" i="4"/>
  <c r="R1505" i="4"/>
  <c r="Q1505" i="4"/>
  <c r="P1505" i="4"/>
  <c r="T1505" i="4" s="1"/>
  <c r="N1505" i="4"/>
  <c r="O1505" i="4" s="1"/>
  <c r="A1505" i="4"/>
  <c r="S1504" i="4"/>
  <c r="R1504" i="4"/>
  <c r="Q1504" i="4"/>
  <c r="N1504" i="4"/>
  <c r="O1504" i="4" s="1"/>
  <c r="A1504" i="4"/>
  <c r="S1503" i="4"/>
  <c r="R1503" i="4"/>
  <c r="Q1503" i="4"/>
  <c r="P1503" i="4"/>
  <c r="T1503" i="4" s="1"/>
  <c r="N1503" i="4"/>
  <c r="O1503" i="4" s="1"/>
  <c r="A1503" i="4"/>
  <c r="S1502" i="4"/>
  <c r="R1502" i="4"/>
  <c r="Q1502" i="4"/>
  <c r="P1502" i="4" s="1"/>
  <c r="T1502" i="4" s="1"/>
  <c r="N1502" i="4"/>
  <c r="O1502" i="4" s="1"/>
  <c r="A1502" i="4"/>
  <c r="S1501" i="4"/>
  <c r="R1501" i="4"/>
  <c r="Q1501" i="4"/>
  <c r="P1501" i="4"/>
  <c r="T1501" i="4" s="1"/>
  <c r="N1501" i="4"/>
  <c r="O1501" i="4" s="1"/>
  <c r="A1501" i="4"/>
  <c r="S1500" i="4"/>
  <c r="R1500" i="4"/>
  <c r="Q1500" i="4"/>
  <c r="N1500" i="4"/>
  <c r="O1500" i="4" s="1"/>
  <c r="A1500" i="4"/>
  <c r="S1499" i="4"/>
  <c r="R1499" i="4"/>
  <c r="Q1499" i="4"/>
  <c r="P1499" i="4"/>
  <c r="T1499" i="4" s="1"/>
  <c r="N1499" i="4"/>
  <c r="O1499" i="4" s="1"/>
  <c r="A1499" i="4"/>
  <c r="S1498" i="4"/>
  <c r="R1498" i="4"/>
  <c r="Q1498" i="4"/>
  <c r="P1498" i="4" s="1"/>
  <c r="T1498" i="4" s="1"/>
  <c r="N1498" i="4"/>
  <c r="O1498" i="4" s="1"/>
  <c r="A1498" i="4"/>
  <c r="S1497" i="4"/>
  <c r="R1497" i="4"/>
  <c r="Q1497" i="4"/>
  <c r="P1497" i="4"/>
  <c r="T1497" i="4" s="1"/>
  <c r="N1497" i="4"/>
  <c r="O1497" i="4" s="1"/>
  <c r="A1497" i="4"/>
  <c r="S1496" i="4"/>
  <c r="R1496" i="4"/>
  <c r="Q1496" i="4"/>
  <c r="N1496" i="4"/>
  <c r="O1496" i="4" s="1"/>
  <c r="A1496" i="4"/>
  <c r="S1495" i="4"/>
  <c r="R1495" i="4"/>
  <c r="Q1495" i="4"/>
  <c r="P1495" i="4"/>
  <c r="T1495" i="4" s="1"/>
  <c r="N1495" i="4"/>
  <c r="O1495" i="4" s="1"/>
  <c r="A1495" i="4"/>
  <c r="S1494" i="4"/>
  <c r="R1494" i="4"/>
  <c r="Q1494" i="4"/>
  <c r="P1494" i="4" s="1"/>
  <c r="T1494" i="4" s="1"/>
  <c r="N1494" i="4"/>
  <c r="O1494" i="4" s="1"/>
  <c r="A1494" i="4"/>
  <c r="S1493" i="4"/>
  <c r="R1493" i="4"/>
  <c r="Q1493" i="4"/>
  <c r="P1493" i="4"/>
  <c r="T1493" i="4" s="1"/>
  <c r="N1493" i="4"/>
  <c r="O1493" i="4" s="1"/>
  <c r="A1493" i="4"/>
  <c r="S1492" i="4"/>
  <c r="R1492" i="4"/>
  <c r="Q1492" i="4"/>
  <c r="N1492" i="4"/>
  <c r="O1492" i="4" s="1"/>
  <c r="A1492" i="4"/>
  <c r="S1491" i="4"/>
  <c r="R1491" i="4"/>
  <c r="Q1491" i="4"/>
  <c r="P1491" i="4"/>
  <c r="T1491" i="4" s="1"/>
  <c r="N1491" i="4"/>
  <c r="O1491" i="4" s="1"/>
  <c r="A1491" i="4"/>
  <c r="S1490" i="4"/>
  <c r="R1490" i="4"/>
  <c r="Q1490" i="4"/>
  <c r="P1490" i="4" s="1"/>
  <c r="T1490" i="4" s="1"/>
  <c r="N1490" i="4"/>
  <c r="O1490" i="4" s="1"/>
  <c r="A1490" i="4"/>
  <c r="S1489" i="4"/>
  <c r="R1489" i="4"/>
  <c r="Q1489" i="4"/>
  <c r="P1489" i="4"/>
  <c r="T1489" i="4" s="1"/>
  <c r="N1489" i="4"/>
  <c r="O1489" i="4" s="1"/>
  <c r="A1489" i="4"/>
  <c r="S1488" i="4"/>
  <c r="R1488" i="4"/>
  <c r="Q1488" i="4"/>
  <c r="N1488" i="4"/>
  <c r="O1488" i="4" s="1"/>
  <c r="A1488" i="4"/>
  <c r="S1487" i="4"/>
  <c r="R1487" i="4"/>
  <c r="Q1487" i="4"/>
  <c r="P1487" i="4"/>
  <c r="T1487" i="4" s="1"/>
  <c r="N1487" i="4"/>
  <c r="O1487" i="4" s="1"/>
  <c r="A1487" i="4"/>
  <c r="S1486" i="4"/>
  <c r="R1486" i="4"/>
  <c r="Q1486" i="4"/>
  <c r="P1486" i="4" s="1"/>
  <c r="T1486" i="4" s="1"/>
  <c r="N1486" i="4"/>
  <c r="O1486" i="4" s="1"/>
  <c r="A1486" i="4"/>
  <c r="S1485" i="4"/>
  <c r="R1485" i="4"/>
  <c r="Q1485" i="4"/>
  <c r="P1485" i="4"/>
  <c r="T1485" i="4" s="1"/>
  <c r="N1485" i="4"/>
  <c r="O1485" i="4" s="1"/>
  <c r="A1485" i="4"/>
  <c r="S1484" i="4"/>
  <c r="R1484" i="4"/>
  <c r="Q1484" i="4"/>
  <c r="N1484" i="4"/>
  <c r="O1484" i="4" s="1"/>
  <c r="A1484" i="4"/>
  <c r="S1483" i="4"/>
  <c r="R1483" i="4"/>
  <c r="Q1483" i="4"/>
  <c r="P1483" i="4"/>
  <c r="T1483" i="4" s="1"/>
  <c r="N1483" i="4"/>
  <c r="O1483" i="4" s="1"/>
  <c r="A1483" i="4"/>
  <c r="S1482" i="4"/>
  <c r="R1482" i="4"/>
  <c r="Q1482" i="4"/>
  <c r="P1482" i="4" s="1"/>
  <c r="T1482" i="4" s="1"/>
  <c r="N1482" i="4"/>
  <c r="O1482" i="4" s="1"/>
  <c r="A1482" i="4"/>
  <c r="S1481" i="4"/>
  <c r="R1481" i="4"/>
  <c r="Q1481" i="4"/>
  <c r="P1481" i="4"/>
  <c r="T1481" i="4" s="1"/>
  <c r="N1481" i="4"/>
  <c r="O1481" i="4" s="1"/>
  <c r="A1481" i="4"/>
  <c r="S1480" i="4"/>
  <c r="R1480" i="4"/>
  <c r="Q1480" i="4"/>
  <c r="N1480" i="4"/>
  <c r="O1480" i="4" s="1"/>
  <c r="A1480" i="4"/>
  <c r="S1479" i="4"/>
  <c r="R1479" i="4"/>
  <c r="Q1479" i="4"/>
  <c r="P1479" i="4"/>
  <c r="T1479" i="4" s="1"/>
  <c r="N1479" i="4"/>
  <c r="O1479" i="4" s="1"/>
  <c r="A1479" i="4"/>
  <c r="S1478" i="4"/>
  <c r="R1478" i="4"/>
  <c r="Q1478" i="4"/>
  <c r="P1478" i="4" s="1"/>
  <c r="T1478" i="4" s="1"/>
  <c r="N1478" i="4"/>
  <c r="O1478" i="4" s="1"/>
  <c r="A1478" i="4"/>
  <c r="S1477" i="4"/>
  <c r="R1477" i="4"/>
  <c r="Q1477" i="4"/>
  <c r="P1477" i="4"/>
  <c r="T1477" i="4" s="1"/>
  <c r="N1477" i="4"/>
  <c r="O1477" i="4" s="1"/>
  <c r="A1477" i="4"/>
  <c r="S1476" i="4"/>
  <c r="R1476" i="4"/>
  <c r="Q1476" i="4"/>
  <c r="N1476" i="4"/>
  <c r="O1476" i="4" s="1"/>
  <c r="A1476" i="4"/>
  <c r="S1475" i="4"/>
  <c r="R1475" i="4"/>
  <c r="Q1475" i="4"/>
  <c r="P1475" i="4"/>
  <c r="T1475" i="4" s="1"/>
  <c r="N1475" i="4"/>
  <c r="O1475" i="4" s="1"/>
  <c r="A1475" i="4"/>
  <c r="S1474" i="4"/>
  <c r="R1474" i="4"/>
  <c r="Q1474" i="4"/>
  <c r="P1474" i="4" s="1"/>
  <c r="T1474" i="4" s="1"/>
  <c r="N1474" i="4"/>
  <c r="O1474" i="4" s="1"/>
  <c r="A1474" i="4"/>
  <c r="S1473" i="4"/>
  <c r="R1473" i="4"/>
  <c r="Q1473" i="4"/>
  <c r="P1473" i="4"/>
  <c r="T1473" i="4" s="1"/>
  <c r="N1473" i="4"/>
  <c r="O1473" i="4" s="1"/>
  <c r="A1473" i="4"/>
  <c r="S1472" i="4"/>
  <c r="R1472" i="4"/>
  <c r="Q1472" i="4"/>
  <c r="N1472" i="4"/>
  <c r="O1472" i="4" s="1"/>
  <c r="A1472" i="4"/>
  <c r="S1471" i="4"/>
  <c r="R1471" i="4"/>
  <c r="Q1471" i="4"/>
  <c r="P1471" i="4"/>
  <c r="T1471" i="4" s="1"/>
  <c r="N1471" i="4"/>
  <c r="O1471" i="4" s="1"/>
  <c r="A1471" i="4"/>
  <c r="S1470" i="4"/>
  <c r="R1470" i="4"/>
  <c r="Q1470" i="4"/>
  <c r="P1470" i="4" s="1"/>
  <c r="T1470" i="4" s="1"/>
  <c r="N1470" i="4"/>
  <c r="O1470" i="4" s="1"/>
  <c r="A1470" i="4"/>
  <c r="S1469" i="4"/>
  <c r="R1469" i="4"/>
  <c r="Q1469" i="4"/>
  <c r="N1469" i="4"/>
  <c r="O1469" i="4" s="1"/>
  <c r="A1469" i="4"/>
  <c r="S1468" i="4"/>
  <c r="R1468" i="4"/>
  <c r="Q1468" i="4"/>
  <c r="P1468" i="4" s="1"/>
  <c r="T1468" i="4" s="1"/>
  <c r="O1468" i="4"/>
  <c r="N1468" i="4"/>
  <c r="A1468" i="4"/>
  <c r="S1467" i="4"/>
  <c r="R1467" i="4"/>
  <c r="Q1467" i="4"/>
  <c r="N1467" i="4"/>
  <c r="O1467" i="4" s="1"/>
  <c r="A1467" i="4"/>
  <c r="S1466" i="4"/>
  <c r="R1466" i="4"/>
  <c r="Q1466" i="4"/>
  <c r="P1466" i="4" s="1"/>
  <c r="T1466" i="4" s="1"/>
  <c r="O1466" i="4"/>
  <c r="N1466" i="4"/>
  <c r="A1466" i="4"/>
  <c r="S1465" i="4"/>
  <c r="R1465" i="4"/>
  <c r="Q1465" i="4"/>
  <c r="N1465" i="4"/>
  <c r="O1465" i="4" s="1"/>
  <c r="A1465" i="4"/>
  <c r="S1464" i="4"/>
  <c r="R1464" i="4"/>
  <c r="Q1464" i="4"/>
  <c r="P1464" i="4" s="1"/>
  <c r="T1464" i="4" s="1"/>
  <c r="O1464" i="4"/>
  <c r="N1464" i="4"/>
  <c r="A1464" i="4"/>
  <c r="S1463" i="4"/>
  <c r="R1463" i="4"/>
  <c r="Q1463" i="4"/>
  <c r="N1463" i="4"/>
  <c r="O1463" i="4" s="1"/>
  <c r="A1463" i="4"/>
  <c r="S1462" i="4"/>
  <c r="R1462" i="4"/>
  <c r="Q1462" i="4"/>
  <c r="P1462" i="4" s="1"/>
  <c r="T1462" i="4" s="1"/>
  <c r="O1462" i="4"/>
  <c r="N1462" i="4"/>
  <c r="A1462" i="4"/>
  <c r="S1461" i="4"/>
  <c r="R1461" i="4"/>
  <c r="Q1461" i="4"/>
  <c r="N1461" i="4"/>
  <c r="O1461" i="4" s="1"/>
  <c r="A1461" i="4"/>
  <c r="S1460" i="4"/>
  <c r="R1460" i="4"/>
  <c r="Q1460" i="4"/>
  <c r="P1460" i="4" s="1"/>
  <c r="T1460" i="4" s="1"/>
  <c r="O1460" i="4"/>
  <c r="N1460" i="4"/>
  <c r="A1460" i="4"/>
  <c r="S1459" i="4"/>
  <c r="R1459" i="4"/>
  <c r="Q1459" i="4"/>
  <c r="N1459" i="4"/>
  <c r="O1459" i="4" s="1"/>
  <c r="A1459" i="4"/>
  <c r="S1458" i="4"/>
  <c r="R1458" i="4"/>
  <c r="Q1458" i="4"/>
  <c r="P1458" i="4" s="1"/>
  <c r="T1458" i="4" s="1"/>
  <c r="O1458" i="4"/>
  <c r="N1458" i="4"/>
  <c r="A1458" i="4"/>
  <c r="S1457" i="4"/>
  <c r="R1457" i="4"/>
  <c r="Q1457" i="4"/>
  <c r="N1457" i="4"/>
  <c r="O1457" i="4" s="1"/>
  <c r="A1457" i="4"/>
  <c r="S1456" i="4"/>
  <c r="R1456" i="4"/>
  <c r="Q1456" i="4"/>
  <c r="P1456" i="4" s="1"/>
  <c r="T1456" i="4" s="1"/>
  <c r="O1456" i="4"/>
  <c r="N1456" i="4"/>
  <c r="A1456" i="4"/>
  <c r="S1455" i="4"/>
  <c r="R1455" i="4"/>
  <c r="Q1455" i="4"/>
  <c r="N1455" i="4"/>
  <c r="O1455" i="4" s="1"/>
  <c r="A1455" i="4"/>
  <c r="S1454" i="4"/>
  <c r="R1454" i="4"/>
  <c r="Q1454" i="4"/>
  <c r="P1454" i="4" s="1"/>
  <c r="T1454" i="4" s="1"/>
  <c r="O1454" i="4"/>
  <c r="N1454" i="4"/>
  <c r="A1454" i="4"/>
  <c r="S1453" i="4"/>
  <c r="R1453" i="4"/>
  <c r="Q1453" i="4"/>
  <c r="N1453" i="4"/>
  <c r="O1453" i="4" s="1"/>
  <c r="A1453" i="4"/>
  <c r="S1452" i="4"/>
  <c r="R1452" i="4"/>
  <c r="Q1452" i="4"/>
  <c r="P1452" i="4" s="1"/>
  <c r="T1452" i="4" s="1"/>
  <c r="O1452" i="4"/>
  <c r="N1452" i="4"/>
  <c r="A1452" i="4"/>
  <c r="S1451" i="4"/>
  <c r="R1451" i="4"/>
  <c r="Q1451" i="4"/>
  <c r="N1451" i="4"/>
  <c r="O1451" i="4" s="1"/>
  <c r="A1451" i="4"/>
  <c r="S1450" i="4"/>
  <c r="R1450" i="4"/>
  <c r="Q1450" i="4"/>
  <c r="P1450" i="4" s="1"/>
  <c r="T1450" i="4" s="1"/>
  <c r="O1450" i="4"/>
  <c r="N1450" i="4"/>
  <c r="A1450" i="4"/>
  <c r="S1449" i="4"/>
  <c r="R1449" i="4"/>
  <c r="Q1449" i="4"/>
  <c r="N1449" i="4"/>
  <c r="O1449" i="4" s="1"/>
  <c r="A1449" i="4"/>
  <c r="S1448" i="4"/>
  <c r="R1448" i="4"/>
  <c r="Q1448" i="4"/>
  <c r="P1448" i="4" s="1"/>
  <c r="T1448" i="4" s="1"/>
  <c r="O1448" i="4"/>
  <c r="N1448" i="4"/>
  <c r="A1448" i="4"/>
  <c r="S1447" i="4"/>
  <c r="R1447" i="4"/>
  <c r="Q1447" i="4"/>
  <c r="N1447" i="4"/>
  <c r="O1447" i="4" s="1"/>
  <c r="A1447" i="4"/>
  <c r="S1446" i="4"/>
  <c r="R1446" i="4"/>
  <c r="Q1446" i="4"/>
  <c r="P1446" i="4" s="1"/>
  <c r="T1446" i="4" s="1"/>
  <c r="O1446" i="4"/>
  <c r="N1446" i="4"/>
  <c r="A1446" i="4"/>
  <c r="S1445" i="4"/>
  <c r="R1445" i="4"/>
  <c r="Q1445" i="4"/>
  <c r="N1445" i="4"/>
  <c r="O1445" i="4" s="1"/>
  <c r="A1445" i="4"/>
  <c r="S1444" i="4"/>
  <c r="R1444" i="4"/>
  <c r="Q1444" i="4"/>
  <c r="P1444" i="4" s="1"/>
  <c r="T1444" i="4" s="1"/>
  <c r="O1444" i="4"/>
  <c r="N1444" i="4"/>
  <c r="A1444" i="4"/>
  <c r="S1443" i="4"/>
  <c r="R1443" i="4"/>
  <c r="Q1443" i="4"/>
  <c r="N1443" i="4"/>
  <c r="O1443" i="4" s="1"/>
  <c r="A1443" i="4"/>
  <c r="S1442" i="4"/>
  <c r="R1442" i="4"/>
  <c r="Q1442" i="4"/>
  <c r="P1442" i="4" s="1"/>
  <c r="T1442" i="4" s="1"/>
  <c r="O1442" i="4"/>
  <c r="N1442" i="4"/>
  <c r="A1442" i="4"/>
  <c r="S1441" i="4"/>
  <c r="R1441" i="4"/>
  <c r="Q1441" i="4"/>
  <c r="N1441" i="4"/>
  <c r="O1441" i="4" s="1"/>
  <c r="A1441" i="4"/>
  <c r="S1440" i="4"/>
  <c r="R1440" i="4"/>
  <c r="Q1440" i="4"/>
  <c r="P1440" i="4" s="1"/>
  <c r="T1440" i="4" s="1"/>
  <c r="O1440" i="4"/>
  <c r="N1440" i="4"/>
  <c r="A1440" i="4"/>
  <c r="S1439" i="4"/>
  <c r="R1439" i="4"/>
  <c r="Q1439" i="4"/>
  <c r="N1439" i="4"/>
  <c r="O1439" i="4" s="1"/>
  <c r="A1439" i="4"/>
  <c r="S1438" i="4"/>
  <c r="R1438" i="4"/>
  <c r="Q1438" i="4"/>
  <c r="P1438" i="4" s="1"/>
  <c r="T1438" i="4" s="1"/>
  <c r="O1438" i="4"/>
  <c r="N1438" i="4"/>
  <c r="A1438" i="4"/>
  <c r="S1437" i="4"/>
  <c r="R1437" i="4"/>
  <c r="Q1437" i="4"/>
  <c r="N1437" i="4"/>
  <c r="O1437" i="4" s="1"/>
  <c r="A1437" i="4"/>
  <c r="S1436" i="4"/>
  <c r="R1436" i="4"/>
  <c r="Q1436" i="4"/>
  <c r="P1436" i="4" s="1"/>
  <c r="T1436" i="4" s="1"/>
  <c r="O1436" i="4"/>
  <c r="N1436" i="4"/>
  <c r="A1436" i="4"/>
  <c r="S1435" i="4"/>
  <c r="R1435" i="4"/>
  <c r="Q1435" i="4"/>
  <c r="N1435" i="4"/>
  <c r="O1435" i="4" s="1"/>
  <c r="A1435" i="4"/>
  <c r="S1434" i="4"/>
  <c r="R1434" i="4"/>
  <c r="Q1434" i="4"/>
  <c r="P1434" i="4" s="1"/>
  <c r="T1434" i="4" s="1"/>
  <c r="O1434" i="4"/>
  <c r="N1434" i="4"/>
  <c r="A1434" i="4"/>
  <c r="S1433" i="4"/>
  <c r="R1433" i="4"/>
  <c r="Q1433" i="4"/>
  <c r="N1433" i="4"/>
  <c r="O1433" i="4" s="1"/>
  <c r="A1433" i="4"/>
  <c r="S1432" i="4"/>
  <c r="R1432" i="4"/>
  <c r="Q1432" i="4"/>
  <c r="P1432" i="4" s="1"/>
  <c r="T1432" i="4" s="1"/>
  <c r="O1432" i="4"/>
  <c r="N1432" i="4"/>
  <c r="A1432" i="4"/>
  <c r="S1431" i="4"/>
  <c r="R1431" i="4"/>
  <c r="Q1431" i="4"/>
  <c r="N1431" i="4"/>
  <c r="O1431" i="4" s="1"/>
  <c r="A1431" i="4"/>
  <c r="S1430" i="4"/>
  <c r="R1430" i="4"/>
  <c r="Q1430" i="4"/>
  <c r="P1430" i="4" s="1"/>
  <c r="T1430" i="4" s="1"/>
  <c r="O1430" i="4"/>
  <c r="N1430" i="4"/>
  <c r="A1430" i="4"/>
  <c r="S1429" i="4"/>
  <c r="R1429" i="4"/>
  <c r="Q1429" i="4"/>
  <c r="N1429" i="4"/>
  <c r="O1429" i="4" s="1"/>
  <c r="A1429" i="4"/>
  <c r="S1428" i="4"/>
  <c r="R1428" i="4"/>
  <c r="Q1428" i="4"/>
  <c r="P1428" i="4" s="1"/>
  <c r="T1428" i="4" s="1"/>
  <c r="O1428" i="4"/>
  <c r="N1428" i="4"/>
  <c r="A1428" i="4"/>
  <c r="S1427" i="4"/>
  <c r="R1427" i="4"/>
  <c r="Q1427" i="4"/>
  <c r="N1427" i="4"/>
  <c r="O1427" i="4" s="1"/>
  <c r="A1427" i="4"/>
  <c r="S1426" i="4"/>
  <c r="R1426" i="4"/>
  <c r="Q1426" i="4"/>
  <c r="P1426" i="4" s="1"/>
  <c r="T1426" i="4" s="1"/>
  <c r="O1426" i="4"/>
  <c r="N1426" i="4"/>
  <c r="A1426" i="4"/>
  <c r="S1425" i="4"/>
  <c r="R1425" i="4"/>
  <c r="Q1425" i="4"/>
  <c r="N1425" i="4"/>
  <c r="O1425" i="4" s="1"/>
  <c r="A1425" i="4"/>
  <c r="S1424" i="4"/>
  <c r="R1424" i="4"/>
  <c r="Q1424" i="4"/>
  <c r="P1424" i="4" s="1"/>
  <c r="T1424" i="4" s="1"/>
  <c r="O1424" i="4"/>
  <c r="N1424" i="4"/>
  <c r="A1424" i="4"/>
  <c r="S1423" i="4"/>
  <c r="R1423" i="4"/>
  <c r="Q1423" i="4"/>
  <c r="N1423" i="4"/>
  <c r="O1423" i="4" s="1"/>
  <c r="A1423" i="4"/>
  <c r="S1422" i="4"/>
  <c r="R1422" i="4"/>
  <c r="Q1422" i="4"/>
  <c r="P1422" i="4" s="1"/>
  <c r="T1422" i="4" s="1"/>
  <c r="O1422" i="4"/>
  <c r="N1422" i="4"/>
  <c r="A1422" i="4"/>
  <c r="S1421" i="4"/>
  <c r="R1421" i="4"/>
  <c r="Q1421" i="4"/>
  <c r="N1421" i="4"/>
  <c r="O1421" i="4" s="1"/>
  <c r="A1421" i="4"/>
  <c r="S1420" i="4"/>
  <c r="R1420" i="4"/>
  <c r="Q1420" i="4"/>
  <c r="P1420" i="4" s="1"/>
  <c r="T1420" i="4" s="1"/>
  <c r="O1420" i="4"/>
  <c r="N1420" i="4"/>
  <c r="A1420" i="4"/>
  <c r="S1419" i="4"/>
  <c r="R1419" i="4"/>
  <c r="Q1419" i="4"/>
  <c r="N1419" i="4"/>
  <c r="O1419" i="4" s="1"/>
  <c r="A1419" i="4"/>
  <c r="S1418" i="4"/>
  <c r="R1418" i="4"/>
  <c r="Q1418" i="4"/>
  <c r="P1418" i="4" s="1"/>
  <c r="N1418" i="4"/>
  <c r="O1418" i="4" s="1"/>
  <c r="A1418" i="4"/>
  <c r="S1417" i="4"/>
  <c r="R1417" i="4"/>
  <c r="Q1417" i="4"/>
  <c r="N1417" i="4"/>
  <c r="O1417" i="4" s="1"/>
  <c r="A1417" i="4"/>
  <c r="S1416" i="4"/>
  <c r="R1416" i="4"/>
  <c r="Q1416" i="4"/>
  <c r="P1416" i="4" s="1"/>
  <c r="T1416" i="4" s="1"/>
  <c r="N1416" i="4"/>
  <c r="O1416" i="4" s="1"/>
  <c r="A1416" i="4"/>
  <c r="S1415" i="4"/>
  <c r="R1415" i="4"/>
  <c r="Q1415" i="4"/>
  <c r="N1415" i="4"/>
  <c r="O1415" i="4" s="1"/>
  <c r="A1415" i="4"/>
  <c r="S1414" i="4"/>
  <c r="R1414" i="4"/>
  <c r="Q1414" i="4"/>
  <c r="P1414" i="4" s="1"/>
  <c r="T1414" i="4" s="1"/>
  <c r="N1414" i="4"/>
  <c r="O1414" i="4" s="1"/>
  <c r="A1414" i="4"/>
  <c r="S1413" i="4"/>
  <c r="R1413" i="4"/>
  <c r="Q1413" i="4"/>
  <c r="N1413" i="4"/>
  <c r="O1413" i="4" s="1"/>
  <c r="A1413" i="4"/>
  <c r="S1412" i="4"/>
  <c r="R1412" i="4"/>
  <c r="Q1412" i="4"/>
  <c r="P1412" i="4" s="1"/>
  <c r="N1412" i="4"/>
  <c r="O1412" i="4" s="1"/>
  <c r="A1412" i="4"/>
  <c r="S1411" i="4"/>
  <c r="R1411" i="4"/>
  <c r="Q1411" i="4"/>
  <c r="N1411" i="4"/>
  <c r="O1411" i="4" s="1"/>
  <c r="A1411" i="4"/>
  <c r="S1410" i="4"/>
  <c r="R1410" i="4"/>
  <c r="Q1410" i="4"/>
  <c r="P1410" i="4" s="1"/>
  <c r="T1410" i="4" s="1"/>
  <c r="N1410" i="4"/>
  <c r="O1410" i="4" s="1"/>
  <c r="A1410" i="4"/>
  <c r="S1409" i="4"/>
  <c r="R1409" i="4"/>
  <c r="Q1409" i="4"/>
  <c r="N1409" i="4"/>
  <c r="O1409" i="4" s="1"/>
  <c r="A1409" i="4"/>
  <c r="S1408" i="4"/>
  <c r="R1408" i="4"/>
  <c r="Q1408" i="4"/>
  <c r="P1408" i="4" s="1"/>
  <c r="T1408" i="4" s="1"/>
  <c r="O1408" i="4"/>
  <c r="N1408" i="4"/>
  <c r="A1408" i="4"/>
  <c r="S1407" i="4"/>
  <c r="R1407" i="4"/>
  <c r="Q1407" i="4"/>
  <c r="N1407" i="4"/>
  <c r="O1407" i="4" s="1"/>
  <c r="A1407" i="4"/>
  <c r="S1406" i="4"/>
  <c r="R1406" i="4"/>
  <c r="Q1406" i="4"/>
  <c r="P1406" i="4" s="1"/>
  <c r="T1406" i="4" s="1"/>
  <c r="O1406" i="4"/>
  <c r="N1406" i="4"/>
  <c r="A1406" i="4"/>
  <c r="S1405" i="4"/>
  <c r="R1405" i="4"/>
  <c r="Q1405" i="4"/>
  <c r="N1405" i="4"/>
  <c r="O1405" i="4" s="1"/>
  <c r="A1405" i="4"/>
  <c r="S1404" i="4"/>
  <c r="R1404" i="4"/>
  <c r="Q1404" i="4"/>
  <c r="P1404" i="4" s="1"/>
  <c r="T1404" i="4" s="1"/>
  <c r="O1404" i="4"/>
  <c r="N1404" i="4"/>
  <c r="A1404" i="4"/>
  <c r="S1403" i="4"/>
  <c r="R1403" i="4"/>
  <c r="Q1403" i="4"/>
  <c r="N1403" i="4"/>
  <c r="O1403" i="4" s="1"/>
  <c r="A1403" i="4"/>
  <c r="S1402" i="4"/>
  <c r="R1402" i="4"/>
  <c r="Q1402" i="4"/>
  <c r="P1402" i="4" s="1"/>
  <c r="T1402" i="4" s="1"/>
  <c r="O1402" i="4"/>
  <c r="N1402" i="4"/>
  <c r="A1402" i="4"/>
  <c r="S1401" i="4"/>
  <c r="R1401" i="4"/>
  <c r="Q1401" i="4"/>
  <c r="N1401" i="4"/>
  <c r="O1401" i="4" s="1"/>
  <c r="A1401" i="4"/>
  <c r="S1400" i="4"/>
  <c r="R1400" i="4"/>
  <c r="Q1400" i="4"/>
  <c r="P1400" i="4" s="1"/>
  <c r="T1400" i="4" s="1"/>
  <c r="O1400" i="4"/>
  <c r="N1400" i="4"/>
  <c r="A1400" i="4"/>
  <c r="S1399" i="4"/>
  <c r="R1399" i="4"/>
  <c r="Q1399" i="4"/>
  <c r="N1399" i="4"/>
  <c r="O1399" i="4" s="1"/>
  <c r="A1399" i="4"/>
  <c r="S1398" i="4"/>
  <c r="R1398" i="4"/>
  <c r="Q1398" i="4"/>
  <c r="P1398" i="4" s="1"/>
  <c r="T1398" i="4" s="1"/>
  <c r="O1398" i="4"/>
  <c r="N1398" i="4"/>
  <c r="A1398" i="4"/>
  <c r="S1397" i="4"/>
  <c r="R1397" i="4"/>
  <c r="Q1397" i="4"/>
  <c r="N1397" i="4"/>
  <c r="O1397" i="4" s="1"/>
  <c r="A1397" i="4"/>
  <c r="S1396" i="4"/>
  <c r="R1396" i="4"/>
  <c r="Q1396" i="4"/>
  <c r="P1396" i="4" s="1"/>
  <c r="T1396" i="4" s="1"/>
  <c r="O1396" i="4"/>
  <c r="N1396" i="4"/>
  <c r="A1396" i="4"/>
  <c r="S1395" i="4"/>
  <c r="R1395" i="4"/>
  <c r="Q1395" i="4"/>
  <c r="N1395" i="4"/>
  <c r="O1395" i="4" s="1"/>
  <c r="A1395" i="4"/>
  <c r="S1394" i="4"/>
  <c r="R1394" i="4"/>
  <c r="Q1394" i="4"/>
  <c r="P1394" i="4" s="1"/>
  <c r="T1394" i="4" s="1"/>
  <c r="O1394" i="4"/>
  <c r="N1394" i="4"/>
  <c r="A1394" i="4"/>
  <c r="S1393" i="4"/>
  <c r="R1393" i="4"/>
  <c r="Q1393" i="4"/>
  <c r="N1393" i="4"/>
  <c r="O1393" i="4" s="1"/>
  <c r="A1393" i="4"/>
  <c r="S1392" i="4"/>
  <c r="R1392" i="4"/>
  <c r="Q1392" i="4"/>
  <c r="P1392" i="4" s="1"/>
  <c r="T1392" i="4" s="1"/>
  <c r="N1392" i="4"/>
  <c r="O1392" i="4" s="1"/>
  <c r="A1392" i="4"/>
  <c r="S1391" i="4"/>
  <c r="R1391" i="4"/>
  <c r="Q1391" i="4"/>
  <c r="N1391" i="4"/>
  <c r="O1391" i="4" s="1"/>
  <c r="A1391" i="4"/>
  <c r="S1390" i="4"/>
  <c r="R1390" i="4"/>
  <c r="Q1390" i="4"/>
  <c r="P1390" i="4" s="1"/>
  <c r="T1390" i="4" s="1"/>
  <c r="N1390" i="4"/>
  <c r="O1390" i="4" s="1"/>
  <c r="A1390" i="4"/>
  <c r="S1389" i="4"/>
  <c r="R1389" i="4"/>
  <c r="Q1389" i="4"/>
  <c r="N1389" i="4"/>
  <c r="O1389" i="4" s="1"/>
  <c r="A1389" i="4"/>
  <c r="S1388" i="4"/>
  <c r="R1388" i="4"/>
  <c r="Q1388" i="4"/>
  <c r="P1388" i="4" s="1"/>
  <c r="N1388" i="4"/>
  <c r="O1388" i="4" s="1"/>
  <c r="A1388" i="4"/>
  <c r="S1387" i="4"/>
  <c r="R1387" i="4"/>
  <c r="Q1387" i="4"/>
  <c r="N1387" i="4"/>
  <c r="O1387" i="4" s="1"/>
  <c r="A1387" i="4"/>
  <c r="S1386" i="4"/>
  <c r="R1386" i="4"/>
  <c r="Q1386" i="4"/>
  <c r="P1386" i="4" s="1"/>
  <c r="N1386" i="4"/>
  <c r="O1386" i="4" s="1"/>
  <c r="A1386" i="4"/>
  <c r="S1385" i="4"/>
  <c r="R1385" i="4"/>
  <c r="Q1385" i="4"/>
  <c r="N1385" i="4"/>
  <c r="O1385" i="4" s="1"/>
  <c r="A1385" i="4"/>
  <c r="S1384" i="4"/>
  <c r="R1384" i="4"/>
  <c r="Q1384" i="4"/>
  <c r="P1384" i="4" s="1"/>
  <c r="T1384" i="4" s="1"/>
  <c r="N1384" i="4"/>
  <c r="O1384" i="4" s="1"/>
  <c r="A1384" i="4"/>
  <c r="S1383" i="4"/>
  <c r="R1383" i="4"/>
  <c r="Q1383" i="4"/>
  <c r="N1383" i="4"/>
  <c r="O1383" i="4" s="1"/>
  <c r="A1383" i="4"/>
  <c r="S1382" i="4"/>
  <c r="R1382" i="4"/>
  <c r="Q1382" i="4"/>
  <c r="P1382" i="4" s="1"/>
  <c r="N1382" i="4"/>
  <c r="O1382" i="4" s="1"/>
  <c r="A1382" i="4"/>
  <c r="S1381" i="4"/>
  <c r="R1381" i="4"/>
  <c r="Q1381" i="4"/>
  <c r="N1381" i="4"/>
  <c r="O1381" i="4" s="1"/>
  <c r="A1381" i="4"/>
  <c r="S1380" i="4"/>
  <c r="R1380" i="4"/>
  <c r="Q1380" i="4"/>
  <c r="P1380" i="4" s="1"/>
  <c r="N1380" i="4"/>
  <c r="O1380" i="4" s="1"/>
  <c r="A1380" i="4"/>
  <c r="S1379" i="4"/>
  <c r="R1379" i="4"/>
  <c r="Q1379" i="4"/>
  <c r="N1379" i="4"/>
  <c r="O1379" i="4" s="1"/>
  <c r="A1379" i="4"/>
  <c r="S1378" i="4"/>
  <c r="R1378" i="4"/>
  <c r="Q1378" i="4"/>
  <c r="P1378" i="4" s="1"/>
  <c r="T1378" i="4" s="1"/>
  <c r="O1378" i="4"/>
  <c r="N1378" i="4"/>
  <c r="A1378" i="4"/>
  <c r="S1377" i="4"/>
  <c r="R1377" i="4"/>
  <c r="Q1377" i="4"/>
  <c r="N1377" i="4"/>
  <c r="O1377" i="4" s="1"/>
  <c r="A1377" i="4"/>
  <c r="S1376" i="4"/>
  <c r="R1376" i="4"/>
  <c r="Q1376" i="4"/>
  <c r="P1376" i="4" s="1"/>
  <c r="T1376" i="4" s="1"/>
  <c r="O1376" i="4"/>
  <c r="N1376" i="4"/>
  <c r="A1376" i="4"/>
  <c r="S1375" i="4"/>
  <c r="R1375" i="4"/>
  <c r="Q1375" i="4"/>
  <c r="N1375" i="4"/>
  <c r="O1375" i="4" s="1"/>
  <c r="A1375" i="4"/>
  <c r="S1374" i="4"/>
  <c r="R1374" i="4"/>
  <c r="Q1374" i="4"/>
  <c r="P1374" i="4" s="1"/>
  <c r="T1374" i="4" s="1"/>
  <c r="O1374" i="4"/>
  <c r="N1374" i="4"/>
  <c r="A1374" i="4"/>
  <c r="S1373" i="4"/>
  <c r="R1373" i="4"/>
  <c r="Q1373" i="4"/>
  <c r="N1373" i="4"/>
  <c r="O1373" i="4" s="1"/>
  <c r="A1373" i="4"/>
  <c r="S1372" i="4"/>
  <c r="R1372" i="4"/>
  <c r="Q1372" i="4"/>
  <c r="P1372" i="4" s="1"/>
  <c r="T1372" i="4" s="1"/>
  <c r="O1372" i="4"/>
  <c r="N1372" i="4"/>
  <c r="A1372" i="4"/>
  <c r="S1371" i="4"/>
  <c r="R1371" i="4"/>
  <c r="Q1371" i="4"/>
  <c r="N1371" i="4"/>
  <c r="O1371" i="4" s="1"/>
  <c r="A1371" i="4"/>
  <c r="S1370" i="4"/>
  <c r="R1370" i="4"/>
  <c r="Q1370" i="4"/>
  <c r="P1370" i="4" s="1"/>
  <c r="T1370" i="4" s="1"/>
  <c r="N1370" i="4"/>
  <c r="O1370" i="4" s="1"/>
  <c r="A1370" i="4"/>
  <c r="S1369" i="4"/>
  <c r="R1369" i="4"/>
  <c r="Q1369" i="4"/>
  <c r="N1369" i="4"/>
  <c r="O1369" i="4" s="1"/>
  <c r="A1369" i="4"/>
  <c r="S1368" i="4"/>
  <c r="R1368" i="4"/>
  <c r="Q1368" i="4"/>
  <c r="P1368" i="4" s="1"/>
  <c r="T1368" i="4" s="1"/>
  <c r="N1368" i="4"/>
  <c r="O1368" i="4" s="1"/>
  <c r="A1368" i="4"/>
  <c r="S1367" i="4"/>
  <c r="R1367" i="4"/>
  <c r="Q1367" i="4"/>
  <c r="N1367" i="4"/>
  <c r="O1367" i="4" s="1"/>
  <c r="A1367" i="4"/>
  <c r="S1366" i="4"/>
  <c r="R1366" i="4"/>
  <c r="Q1366" i="4"/>
  <c r="P1366" i="4" s="1"/>
  <c r="T1366" i="4" s="1"/>
  <c r="O1366" i="4"/>
  <c r="N1366" i="4"/>
  <c r="A1366" i="4"/>
  <c r="S1365" i="4"/>
  <c r="R1365" i="4"/>
  <c r="Q1365" i="4"/>
  <c r="N1365" i="4"/>
  <c r="O1365" i="4" s="1"/>
  <c r="A1365" i="4"/>
  <c r="S1364" i="4"/>
  <c r="R1364" i="4"/>
  <c r="Q1364" i="4"/>
  <c r="P1364" i="4" s="1"/>
  <c r="T1364" i="4" s="1"/>
  <c r="O1364" i="4"/>
  <c r="N1364" i="4"/>
  <c r="A1364" i="4"/>
  <c r="S1363" i="4"/>
  <c r="R1363" i="4"/>
  <c r="Q1363" i="4"/>
  <c r="N1363" i="4"/>
  <c r="O1363" i="4" s="1"/>
  <c r="A1363" i="4"/>
  <c r="S1362" i="4"/>
  <c r="R1362" i="4"/>
  <c r="Q1362" i="4"/>
  <c r="P1362" i="4" s="1"/>
  <c r="T1362" i="4" s="1"/>
  <c r="O1362" i="4"/>
  <c r="N1362" i="4"/>
  <c r="A1362" i="4"/>
  <c r="S1361" i="4"/>
  <c r="R1361" i="4"/>
  <c r="Q1361" i="4"/>
  <c r="N1361" i="4"/>
  <c r="O1361" i="4" s="1"/>
  <c r="A1361" i="4"/>
  <c r="S1360" i="4"/>
  <c r="R1360" i="4"/>
  <c r="Q1360" i="4"/>
  <c r="P1360" i="4" s="1"/>
  <c r="T1360" i="4" s="1"/>
  <c r="N1360" i="4"/>
  <c r="O1360" i="4" s="1"/>
  <c r="A1360" i="4"/>
  <c r="S1359" i="4"/>
  <c r="R1359" i="4"/>
  <c r="Q1359" i="4"/>
  <c r="N1359" i="4"/>
  <c r="O1359" i="4" s="1"/>
  <c r="A1359" i="4"/>
  <c r="S1358" i="4"/>
  <c r="R1358" i="4"/>
  <c r="Q1358" i="4"/>
  <c r="P1358" i="4" s="1"/>
  <c r="T1358" i="4" s="1"/>
  <c r="N1358" i="4"/>
  <c r="O1358" i="4" s="1"/>
  <c r="A1358" i="4"/>
  <c r="S1357" i="4"/>
  <c r="R1357" i="4"/>
  <c r="Q1357" i="4"/>
  <c r="N1357" i="4"/>
  <c r="O1357" i="4" s="1"/>
  <c r="A1357" i="4"/>
  <c r="S1356" i="4"/>
  <c r="R1356" i="4"/>
  <c r="Q1356" i="4"/>
  <c r="P1356" i="4" s="1"/>
  <c r="T1356" i="4" s="1"/>
  <c r="N1356" i="4"/>
  <c r="O1356" i="4" s="1"/>
  <c r="A1356" i="4"/>
  <c r="S1355" i="4"/>
  <c r="R1355" i="4"/>
  <c r="Q1355" i="4"/>
  <c r="N1355" i="4"/>
  <c r="O1355" i="4" s="1"/>
  <c r="A1355" i="4"/>
  <c r="S1354" i="4"/>
  <c r="R1354" i="4"/>
  <c r="Q1354" i="4"/>
  <c r="P1354" i="4" s="1"/>
  <c r="T1354" i="4" s="1"/>
  <c r="N1354" i="4"/>
  <c r="O1354" i="4" s="1"/>
  <c r="A1354" i="4"/>
  <c r="S1353" i="4"/>
  <c r="R1353" i="4"/>
  <c r="Q1353" i="4"/>
  <c r="N1353" i="4"/>
  <c r="O1353" i="4" s="1"/>
  <c r="A1353" i="4"/>
  <c r="S1352" i="4"/>
  <c r="R1352" i="4"/>
  <c r="Q1352" i="4"/>
  <c r="P1352" i="4" s="1"/>
  <c r="T1352" i="4" s="1"/>
  <c r="N1352" i="4"/>
  <c r="O1352" i="4" s="1"/>
  <c r="A1352" i="4"/>
  <c r="S1351" i="4"/>
  <c r="R1351" i="4"/>
  <c r="Q1351" i="4"/>
  <c r="N1351" i="4"/>
  <c r="O1351" i="4" s="1"/>
  <c r="A1351" i="4"/>
  <c r="S1350" i="4"/>
  <c r="R1350" i="4"/>
  <c r="Q1350" i="4"/>
  <c r="P1350" i="4" s="1"/>
  <c r="T1350" i="4" s="1"/>
  <c r="N1350" i="4"/>
  <c r="O1350" i="4" s="1"/>
  <c r="A1350" i="4"/>
  <c r="S1349" i="4"/>
  <c r="R1349" i="4"/>
  <c r="Q1349" i="4"/>
  <c r="N1349" i="4"/>
  <c r="O1349" i="4" s="1"/>
  <c r="A1349" i="4"/>
  <c r="S1348" i="4"/>
  <c r="R1348" i="4"/>
  <c r="Q1348" i="4"/>
  <c r="P1348" i="4" s="1"/>
  <c r="T1348" i="4" s="1"/>
  <c r="N1348" i="4"/>
  <c r="O1348" i="4" s="1"/>
  <c r="A1348" i="4"/>
  <c r="S1347" i="4"/>
  <c r="R1347" i="4"/>
  <c r="Q1347" i="4"/>
  <c r="N1347" i="4"/>
  <c r="O1347" i="4" s="1"/>
  <c r="A1347" i="4"/>
  <c r="S1346" i="4"/>
  <c r="R1346" i="4"/>
  <c r="Q1346" i="4"/>
  <c r="P1346" i="4" s="1"/>
  <c r="T1346" i="4" s="1"/>
  <c r="N1346" i="4"/>
  <c r="O1346" i="4" s="1"/>
  <c r="A1346" i="4"/>
  <c r="S1345" i="4"/>
  <c r="R1345" i="4"/>
  <c r="Q1345" i="4"/>
  <c r="N1345" i="4"/>
  <c r="O1345" i="4" s="1"/>
  <c r="A1345" i="4"/>
  <c r="S1344" i="4"/>
  <c r="R1344" i="4"/>
  <c r="Q1344" i="4"/>
  <c r="P1344" i="4" s="1"/>
  <c r="T1344" i="4" s="1"/>
  <c r="N1344" i="4"/>
  <c r="O1344" i="4" s="1"/>
  <c r="A1344" i="4"/>
  <c r="S1343" i="4"/>
  <c r="R1343" i="4"/>
  <c r="Q1343" i="4"/>
  <c r="N1343" i="4"/>
  <c r="O1343" i="4" s="1"/>
  <c r="A1343" i="4"/>
  <c r="S1342" i="4"/>
  <c r="R1342" i="4"/>
  <c r="Q1342" i="4"/>
  <c r="P1342" i="4" s="1"/>
  <c r="T1342" i="4" s="1"/>
  <c r="N1342" i="4"/>
  <c r="O1342" i="4" s="1"/>
  <c r="A1342" i="4"/>
  <c r="S1341" i="4"/>
  <c r="R1341" i="4"/>
  <c r="Q1341" i="4"/>
  <c r="N1341" i="4"/>
  <c r="O1341" i="4" s="1"/>
  <c r="A1341" i="4"/>
  <c r="S1340" i="4"/>
  <c r="R1340" i="4"/>
  <c r="Q1340" i="4"/>
  <c r="P1340" i="4" s="1"/>
  <c r="T1340" i="4" s="1"/>
  <c r="O1340" i="4"/>
  <c r="N1340" i="4"/>
  <c r="A1340" i="4"/>
  <c r="S1339" i="4"/>
  <c r="R1339" i="4"/>
  <c r="Q1339" i="4"/>
  <c r="N1339" i="4"/>
  <c r="O1339" i="4" s="1"/>
  <c r="A1339" i="4"/>
  <c r="S1338" i="4"/>
  <c r="R1338" i="4"/>
  <c r="Q1338" i="4"/>
  <c r="P1338" i="4" s="1"/>
  <c r="T1338" i="4" s="1"/>
  <c r="O1338" i="4"/>
  <c r="N1338" i="4"/>
  <c r="A1338" i="4"/>
  <c r="S1337" i="4"/>
  <c r="R1337" i="4"/>
  <c r="Q1337" i="4"/>
  <c r="N1337" i="4"/>
  <c r="O1337" i="4" s="1"/>
  <c r="A1337" i="4"/>
  <c r="S1336" i="4"/>
  <c r="R1336" i="4"/>
  <c r="Q1336" i="4"/>
  <c r="P1336" i="4" s="1"/>
  <c r="T1336" i="4" s="1"/>
  <c r="O1336" i="4"/>
  <c r="N1336" i="4"/>
  <c r="A1336" i="4"/>
  <c r="S1335" i="4"/>
  <c r="R1335" i="4"/>
  <c r="Q1335" i="4"/>
  <c r="N1335" i="4"/>
  <c r="O1335" i="4" s="1"/>
  <c r="A1335" i="4"/>
  <c r="S1334" i="4"/>
  <c r="R1334" i="4"/>
  <c r="Q1334" i="4"/>
  <c r="P1334" i="4" s="1"/>
  <c r="T1334" i="4" s="1"/>
  <c r="O1334" i="4"/>
  <c r="N1334" i="4"/>
  <c r="A1334" i="4"/>
  <c r="S1333" i="4"/>
  <c r="R1333" i="4"/>
  <c r="Q1333" i="4"/>
  <c r="N1333" i="4"/>
  <c r="O1333" i="4" s="1"/>
  <c r="A1333" i="4"/>
  <c r="S1332" i="4"/>
  <c r="R1332" i="4"/>
  <c r="Q1332" i="4"/>
  <c r="P1332" i="4" s="1"/>
  <c r="T1332" i="4" s="1"/>
  <c r="O1332" i="4"/>
  <c r="N1332" i="4"/>
  <c r="A1332" i="4"/>
  <c r="S1331" i="4"/>
  <c r="R1331" i="4"/>
  <c r="Q1331" i="4"/>
  <c r="N1331" i="4"/>
  <c r="O1331" i="4" s="1"/>
  <c r="A1331" i="4"/>
  <c r="S1330" i="4"/>
  <c r="R1330" i="4"/>
  <c r="Q1330" i="4"/>
  <c r="P1330" i="4" s="1"/>
  <c r="T1330" i="4" s="1"/>
  <c r="O1330" i="4"/>
  <c r="N1330" i="4"/>
  <c r="A1330" i="4"/>
  <c r="S1329" i="4"/>
  <c r="R1329" i="4"/>
  <c r="Q1329" i="4"/>
  <c r="N1329" i="4"/>
  <c r="O1329" i="4" s="1"/>
  <c r="A1329" i="4"/>
  <c r="S1328" i="4"/>
  <c r="R1328" i="4"/>
  <c r="Q1328" i="4"/>
  <c r="P1328" i="4" s="1"/>
  <c r="T1328" i="4" s="1"/>
  <c r="O1328" i="4"/>
  <c r="N1328" i="4"/>
  <c r="A1328" i="4"/>
  <c r="S1327" i="4"/>
  <c r="R1327" i="4"/>
  <c r="Q1327" i="4"/>
  <c r="N1327" i="4"/>
  <c r="O1327" i="4" s="1"/>
  <c r="A1327" i="4"/>
  <c r="S1326" i="4"/>
  <c r="R1326" i="4"/>
  <c r="Q1326" i="4"/>
  <c r="P1326" i="4" s="1"/>
  <c r="T1326" i="4" s="1"/>
  <c r="O1326" i="4"/>
  <c r="N1326" i="4"/>
  <c r="A1326" i="4"/>
  <c r="S1325" i="4"/>
  <c r="R1325" i="4"/>
  <c r="Q1325" i="4"/>
  <c r="N1325" i="4"/>
  <c r="O1325" i="4" s="1"/>
  <c r="A1325" i="4"/>
  <c r="S1324" i="4"/>
  <c r="R1324" i="4"/>
  <c r="Q1324" i="4"/>
  <c r="P1324" i="4" s="1"/>
  <c r="T1324" i="4" s="1"/>
  <c r="O1324" i="4"/>
  <c r="N1324" i="4"/>
  <c r="A1324" i="4"/>
  <c r="S1323" i="4"/>
  <c r="R1323" i="4"/>
  <c r="Q1323" i="4"/>
  <c r="N1323" i="4"/>
  <c r="O1323" i="4" s="1"/>
  <c r="A1323" i="4"/>
  <c r="S1322" i="4"/>
  <c r="R1322" i="4"/>
  <c r="Q1322" i="4"/>
  <c r="P1322" i="4" s="1"/>
  <c r="T1322" i="4" s="1"/>
  <c r="N1322" i="4"/>
  <c r="O1322" i="4" s="1"/>
  <c r="A1322" i="4"/>
  <c r="S1321" i="4"/>
  <c r="R1321" i="4"/>
  <c r="Q1321" i="4"/>
  <c r="N1321" i="4"/>
  <c r="O1321" i="4" s="1"/>
  <c r="A1321" i="4"/>
  <c r="S1320" i="4"/>
  <c r="R1320" i="4"/>
  <c r="Q1320" i="4"/>
  <c r="P1320" i="4" s="1"/>
  <c r="T1320" i="4" s="1"/>
  <c r="N1320" i="4"/>
  <c r="O1320" i="4" s="1"/>
  <c r="A1320" i="4"/>
  <c r="S1319" i="4"/>
  <c r="R1319" i="4"/>
  <c r="Q1319" i="4"/>
  <c r="N1319" i="4"/>
  <c r="O1319" i="4" s="1"/>
  <c r="A1319" i="4"/>
  <c r="S1318" i="4"/>
  <c r="R1318" i="4"/>
  <c r="Q1318" i="4"/>
  <c r="P1318" i="4" s="1"/>
  <c r="T1318" i="4" s="1"/>
  <c r="N1318" i="4"/>
  <c r="O1318" i="4" s="1"/>
  <c r="A1318" i="4"/>
  <c r="S1317" i="4"/>
  <c r="R1317" i="4"/>
  <c r="Q1317" i="4"/>
  <c r="N1317" i="4"/>
  <c r="O1317" i="4" s="1"/>
  <c r="A1317" i="4"/>
  <c r="S1316" i="4"/>
  <c r="R1316" i="4"/>
  <c r="Q1316" i="4"/>
  <c r="P1316" i="4" s="1"/>
  <c r="T1316" i="4" s="1"/>
  <c r="O1316" i="4"/>
  <c r="N1316" i="4"/>
  <c r="A1316" i="4"/>
  <c r="S1315" i="4"/>
  <c r="R1315" i="4"/>
  <c r="Q1315" i="4"/>
  <c r="N1315" i="4"/>
  <c r="O1315" i="4" s="1"/>
  <c r="A1315" i="4"/>
  <c r="S1314" i="4"/>
  <c r="R1314" i="4"/>
  <c r="Q1314" i="4"/>
  <c r="P1314" i="4" s="1"/>
  <c r="T1314" i="4" s="1"/>
  <c r="N1314" i="4"/>
  <c r="O1314" i="4" s="1"/>
  <c r="A1314" i="4"/>
  <c r="S1313" i="4"/>
  <c r="R1313" i="4"/>
  <c r="Q1313" i="4"/>
  <c r="O1313" i="4"/>
  <c r="N1313" i="4"/>
  <c r="A1313" i="4"/>
  <c r="S1312" i="4"/>
  <c r="R1312" i="4"/>
  <c r="Q1312" i="4"/>
  <c r="N1312" i="4"/>
  <c r="O1312" i="4" s="1"/>
  <c r="A1312" i="4"/>
  <c r="S1311" i="4"/>
  <c r="R1311" i="4"/>
  <c r="Q1311" i="4"/>
  <c r="N1311" i="4"/>
  <c r="O1311" i="4" s="1"/>
  <c r="A1311" i="4"/>
  <c r="S1310" i="4"/>
  <c r="R1310" i="4"/>
  <c r="Q1310" i="4"/>
  <c r="P1310" i="4" s="1"/>
  <c r="T1310" i="4" s="1"/>
  <c r="O1310" i="4"/>
  <c r="N1310" i="4"/>
  <c r="A1310" i="4"/>
  <c r="S1309" i="4"/>
  <c r="R1309" i="4"/>
  <c r="Q1309" i="4"/>
  <c r="N1309" i="4"/>
  <c r="O1309" i="4" s="1"/>
  <c r="A1309" i="4"/>
  <c r="S1308" i="4"/>
  <c r="R1308" i="4"/>
  <c r="Q1308" i="4"/>
  <c r="P1308" i="4" s="1"/>
  <c r="T1308" i="4" s="1"/>
  <c r="O1308" i="4"/>
  <c r="N1308" i="4"/>
  <c r="A1308" i="4"/>
  <c r="S1307" i="4"/>
  <c r="R1307" i="4"/>
  <c r="Q1307" i="4"/>
  <c r="N1307" i="4"/>
  <c r="O1307" i="4" s="1"/>
  <c r="A1307" i="4"/>
  <c r="S1306" i="4"/>
  <c r="R1306" i="4"/>
  <c r="Q1306" i="4"/>
  <c r="P1306" i="4" s="1"/>
  <c r="T1306" i="4" s="1"/>
  <c r="O1306" i="4"/>
  <c r="N1306" i="4"/>
  <c r="A1306" i="4"/>
  <c r="S1305" i="4"/>
  <c r="R1305" i="4"/>
  <c r="Q1305" i="4"/>
  <c r="N1305" i="4"/>
  <c r="O1305" i="4" s="1"/>
  <c r="A1305" i="4"/>
  <c r="S1304" i="4"/>
  <c r="R1304" i="4"/>
  <c r="Q1304" i="4"/>
  <c r="P1304" i="4" s="1"/>
  <c r="T1304" i="4" s="1"/>
  <c r="O1304" i="4"/>
  <c r="N1304" i="4"/>
  <c r="A1304" i="4"/>
  <c r="S1303" i="4"/>
  <c r="R1303" i="4"/>
  <c r="Q1303" i="4"/>
  <c r="N1303" i="4"/>
  <c r="O1303" i="4" s="1"/>
  <c r="A1303" i="4"/>
  <c r="S1302" i="4"/>
  <c r="R1302" i="4"/>
  <c r="Q1302" i="4"/>
  <c r="P1302" i="4" s="1"/>
  <c r="T1302" i="4" s="1"/>
  <c r="O1302" i="4"/>
  <c r="N1302" i="4"/>
  <c r="A1302" i="4"/>
  <c r="S1301" i="4"/>
  <c r="R1301" i="4"/>
  <c r="Q1301" i="4"/>
  <c r="N1301" i="4"/>
  <c r="O1301" i="4" s="1"/>
  <c r="A1301" i="4"/>
  <c r="S1300" i="4"/>
  <c r="R1300" i="4"/>
  <c r="Q1300" i="4"/>
  <c r="P1300" i="4" s="1"/>
  <c r="T1300" i="4" s="1"/>
  <c r="O1300" i="4"/>
  <c r="N1300" i="4"/>
  <c r="A1300" i="4"/>
  <c r="S1299" i="4"/>
  <c r="R1299" i="4"/>
  <c r="Q1299" i="4"/>
  <c r="N1299" i="4"/>
  <c r="O1299" i="4" s="1"/>
  <c r="A1299" i="4"/>
  <c r="S1298" i="4"/>
  <c r="R1298" i="4"/>
  <c r="Q1298" i="4"/>
  <c r="P1298" i="4" s="1"/>
  <c r="T1298" i="4" s="1"/>
  <c r="O1298" i="4"/>
  <c r="N1298" i="4"/>
  <c r="A1298" i="4"/>
  <c r="S1297" i="4"/>
  <c r="R1297" i="4"/>
  <c r="Q1297" i="4"/>
  <c r="N1297" i="4"/>
  <c r="O1297" i="4" s="1"/>
  <c r="A1297" i="4"/>
  <c r="S1296" i="4"/>
  <c r="R1296" i="4"/>
  <c r="Q1296" i="4"/>
  <c r="P1296" i="4" s="1"/>
  <c r="T1296" i="4" s="1"/>
  <c r="O1296" i="4"/>
  <c r="N1296" i="4"/>
  <c r="A1296" i="4"/>
  <c r="S1295" i="4"/>
  <c r="R1295" i="4"/>
  <c r="Q1295" i="4"/>
  <c r="N1295" i="4"/>
  <c r="O1295" i="4" s="1"/>
  <c r="A1295" i="4"/>
  <c r="S1294" i="4"/>
  <c r="R1294" i="4"/>
  <c r="Q1294" i="4"/>
  <c r="P1294" i="4" s="1"/>
  <c r="T1294" i="4" s="1"/>
  <c r="N1294" i="4"/>
  <c r="O1294" i="4" s="1"/>
  <c r="A1294" i="4"/>
  <c r="S1293" i="4"/>
  <c r="R1293" i="4"/>
  <c r="Q1293" i="4"/>
  <c r="N1293" i="4"/>
  <c r="O1293" i="4" s="1"/>
  <c r="A1293" i="4"/>
  <c r="S1292" i="4"/>
  <c r="R1292" i="4"/>
  <c r="Q1292" i="4"/>
  <c r="P1292" i="4" s="1"/>
  <c r="T1292" i="4" s="1"/>
  <c r="O1292" i="4"/>
  <c r="N1292" i="4"/>
  <c r="A1292" i="4"/>
  <c r="S1291" i="4"/>
  <c r="R1291" i="4"/>
  <c r="Q1291" i="4"/>
  <c r="N1291" i="4"/>
  <c r="O1291" i="4" s="1"/>
  <c r="A1291" i="4"/>
  <c r="S1290" i="4"/>
  <c r="R1290" i="4"/>
  <c r="Q1290" i="4"/>
  <c r="P1290" i="4" s="1"/>
  <c r="T1290" i="4" s="1"/>
  <c r="O1290" i="4"/>
  <c r="N1290" i="4"/>
  <c r="A1290" i="4"/>
  <c r="S1289" i="4"/>
  <c r="R1289" i="4"/>
  <c r="Q1289" i="4"/>
  <c r="N1289" i="4"/>
  <c r="O1289" i="4" s="1"/>
  <c r="A1289" i="4"/>
  <c r="S1288" i="4"/>
  <c r="R1288" i="4"/>
  <c r="Q1288" i="4"/>
  <c r="P1288" i="4" s="1"/>
  <c r="T1288" i="4" s="1"/>
  <c r="O1288" i="4"/>
  <c r="N1288" i="4"/>
  <c r="A1288" i="4"/>
  <c r="S1287" i="4"/>
  <c r="R1287" i="4"/>
  <c r="Q1287" i="4"/>
  <c r="N1287" i="4"/>
  <c r="O1287" i="4" s="1"/>
  <c r="A1287" i="4"/>
  <c r="S1286" i="4"/>
  <c r="R1286" i="4"/>
  <c r="Q1286" i="4"/>
  <c r="P1286" i="4" s="1"/>
  <c r="T1286" i="4" s="1"/>
  <c r="O1286" i="4"/>
  <c r="N1286" i="4"/>
  <c r="A1286" i="4"/>
  <c r="S1285" i="4"/>
  <c r="R1285" i="4"/>
  <c r="Q1285" i="4"/>
  <c r="N1285" i="4"/>
  <c r="O1285" i="4" s="1"/>
  <c r="A1285" i="4"/>
  <c r="S1284" i="4"/>
  <c r="R1284" i="4"/>
  <c r="Q1284" i="4"/>
  <c r="P1284" i="4" s="1"/>
  <c r="T1284" i="4" s="1"/>
  <c r="O1284" i="4"/>
  <c r="N1284" i="4"/>
  <c r="A1284" i="4"/>
  <c r="S1283" i="4"/>
  <c r="R1283" i="4"/>
  <c r="Q1283" i="4"/>
  <c r="N1283" i="4"/>
  <c r="O1283" i="4" s="1"/>
  <c r="A1283" i="4"/>
  <c r="S1282" i="4"/>
  <c r="R1282" i="4"/>
  <c r="Q1282" i="4"/>
  <c r="P1282" i="4" s="1"/>
  <c r="T1282" i="4" s="1"/>
  <c r="O1282" i="4"/>
  <c r="N1282" i="4"/>
  <c r="A1282" i="4"/>
  <c r="S1281" i="4"/>
  <c r="R1281" i="4"/>
  <c r="Q1281" i="4"/>
  <c r="N1281" i="4"/>
  <c r="O1281" i="4" s="1"/>
  <c r="A1281" i="4"/>
  <c r="S1280" i="4"/>
  <c r="R1280" i="4"/>
  <c r="Q1280" i="4"/>
  <c r="P1280" i="4" s="1"/>
  <c r="T1280" i="4" s="1"/>
  <c r="O1280" i="4"/>
  <c r="N1280" i="4"/>
  <c r="A1280" i="4"/>
  <c r="S1279" i="4"/>
  <c r="R1279" i="4"/>
  <c r="Q1279" i="4"/>
  <c r="N1279" i="4"/>
  <c r="O1279" i="4" s="1"/>
  <c r="A1279" i="4"/>
  <c r="S1278" i="4"/>
  <c r="R1278" i="4"/>
  <c r="Q1278" i="4"/>
  <c r="P1278" i="4" s="1"/>
  <c r="T1278" i="4" s="1"/>
  <c r="O1278" i="4"/>
  <c r="N1278" i="4"/>
  <c r="A1278" i="4"/>
  <c r="S1277" i="4"/>
  <c r="R1277" i="4"/>
  <c r="Q1277" i="4"/>
  <c r="N1277" i="4"/>
  <c r="O1277" i="4" s="1"/>
  <c r="A1277" i="4"/>
  <c r="S1276" i="4"/>
  <c r="R1276" i="4"/>
  <c r="Q1276" i="4"/>
  <c r="P1276" i="4" s="1"/>
  <c r="T1276" i="4" s="1"/>
  <c r="O1276" i="4"/>
  <c r="N1276" i="4"/>
  <c r="A1276" i="4"/>
  <c r="S1275" i="4"/>
  <c r="R1275" i="4"/>
  <c r="Q1275" i="4"/>
  <c r="N1275" i="4"/>
  <c r="O1275" i="4" s="1"/>
  <c r="A1275" i="4"/>
  <c r="S1274" i="4"/>
  <c r="R1274" i="4"/>
  <c r="Q1274" i="4"/>
  <c r="P1274" i="4" s="1"/>
  <c r="O1274" i="4"/>
  <c r="N1274" i="4"/>
  <c r="A1274" i="4"/>
  <c r="S1273" i="4"/>
  <c r="R1273" i="4"/>
  <c r="Q1273" i="4"/>
  <c r="N1273" i="4"/>
  <c r="O1273" i="4" s="1"/>
  <c r="A1273" i="4"/>
  <c r="S1272" i="4"/>
  <c r="R1272" i="4"/>
  <c r="Q1272" i="4"/>
  <c r="P1272" i="4" s="1"/>
  <c r="O1272" i="4"/>
  <c r="N1272" i="4"/>
  <c r="A1272" i="4"/>
  <c r="S1271" i="4"/>
  <c r="R1271" i="4"/>
  <c r="Q1271" i="4"/>
  <c r="N1271" i="4"/>
  <c r="O1271" i="4" s="1"/>
  <c r="A1271" i="4"/>
  <c r="S1270" i="4"/>
  <c r="R1270" i="4"/>
  <c r="Q1270" i="4"/>
  <c r="P1270" i="4" s="1"/>
  <c r="O1270" i="4"/>
  <c r="N1270" i="4"/>
  <c r="A1270" i="4"/>
  <c r="S1269" i="4"/>
  <c r="R1269" i="4"/>
  <c r="Q1269" i="4"/>
  <c r="N1269" i="4"/>
  <c r="O1269" i="4" s="1"/>
  <c r="A1269" i="4"/>
  <c r="S1268" i="4"/>
  <c r="R1268" i="4"/>
  <c r="Q1268" i="4"/>
  <c r="P1268" i="4" s="1"/>
  <c r="O1268" i="4"/>
  <c r="N1268" i="4"/>
  <c r="A1268" i="4"/>
  <c r="S1267" i="4"/>
  <c r="R1267" i="4"/>
  <c r="Q1267" i="4"/>
  <c r="N1267" i="4"/>
  <c r="O1267" i="4" s="1"/>
  <c r="A1267" i="4"/>
  <c r="S1266" i="4"/>
  <c r="R1266" i="4"/>
  <c r="Q1266" i="4"/>
  <c r="P1266" i="4" s="1"/>
  <c r="T1266" i="4" s="1"/>
  <c r="O1266" i="4"/>
  <c r="N1266" i="4"/>
  <c r="A1266" i="4"/>
  <c r="S1265" i="4"/>
  <c r="R1265" i="4"/>
  <c r="Q1265" i="4"/>
  <c r="N1265" i="4"/>
  <c r="O1265" i="4" s="1"/>
  <c r="A1265" i="4"/>
  <c r="S1264" i="4"/>
  <c r="R1264" i="4"/>
  <c r="Q1264" i="4"/>
  <c r="P1264" i="4" s="1"/>
  <c r="O1264" i="4"/>
  <c r="N1264" i="4"/>
  <c r="A1264" i="4"/>
  <c r="S1263" i="4"/>
  <c r="R1263" i="4"/>
  <c r="Q1263" i="4"/>
  <c r="N1263" i="4"/>
  <c r="O1263" i="4" s="1"/>
  <c r="A1263" i="4"/>
  <c r="S1262" i="4"/>
  <c r="R1262" i="4"/>
  <c r="Q1262" i="4"/>
  <c r="P1262" i="4" s="1"/>
  <c r="O1262" i="4"/>
  <c r="N1262" i="4"/>
  <c r="A1262" i="4"/>
  <c r="S1261" i="4"/>
  <c r="R1261" i="4"/>
  <c r="Q1261" i="4"/>
  <c r="N1261" i="4"/>
  <c r="O1261" i="4" s="1"/>
  <c r="A1261" i="4"/>
  <c r="S1260" i="4"/>
  <c r="R1260" i="4"/>
  <c r="Q1260" i="4"/>
  <c r="P1260" i="4" s="1"/>
  <c r="O1260" i="4"/>
  <c r="N1260" i="4"/>
  <c r="A1260" i="4"/>
  <c r="S1259" i="4"/>
  <c r="R1259" i="4"/>
  <c r="Q1259" i="4"/>
  <c r="N1259" i="4"/>
  <c r="O1259" i="4" s="1"/>
  <c r="A1259" i="4"/>
  <c r="S1258" i="4"/>
  <c r="R1258" i="4"/>
  <c r="Q1258" i="4"/>
  <c r="P1258" i="4" s="1"/>
  <c r="O1258" i="4"/>
  <c r="N1258" i="4"/>
  <c r="A1258" i="4"/>
  <c r="S1257" i="4"/>
  <c r="R1257" i="4"/>
  <c r="Q1257" i="4"/>
  <c r="N1257" i="4"/>
  <c r="O1257" i="4" s="1"/>
  <c r="A1257" i="4"/>
  <c r="S1256" i="4"/>
  <c r="R1256" i="4"/>
  <c r="Q1256" i="4"/>
  <c r="P1256" i="4" s="1"/>
  <c r="O1256" i="4"/>
  <c r="N1256" i="4"/>
  <c r="A1256" i="4"/>
  <c r="S1255" i="4"/>
  <c r="R1255" i="4"/>
  <c r="Q1255" i="4"/>
  <c r="N1255" i="4"/>
  <c r="O1255" i="4" s="1"/>
  <c r="A1255" i="4"/>
  <c r="S1254" i="4"/>
  <c r="R1254" i="4"/>
  <c r="Q1254" i="4"/>
  <c r="P1254" i="4" s="1"/>
  <c r="O1254" i="4"/>
  <c r="N1254" i="4"/>
  <c r="A1254" i="4"/>
  <c r="S1253" i="4"/>
  <c r="R1253" i="4"/>
  <c r="Q1253" i="4"/>
  <c r="N1253" i="4"/>
  <c r="O1253" i="4" s="1"/>
  <c r="A1253" i="4"/>
  <c r="S1252" i="4"/>
  <c r="R1252" i="4"/>
  <c r="Q1252" i="4"/>
  <c r="P1252" i="4" s="1"/>
  <c r="O1252" i="4"/>
  <c r="N1252" i="4"/>
  <c r="A1252" i="4"/>
  <c r="S1251" i="4"/>
  <c r="R1251" i="4"/>
  <c r="Q1251" i="4"/>
  <c r="N1251" i="4"/>
  <c r="O1251" i="4" s="1"/>
  <c r="A1251" i="4"/>
  <c r="S1250" i="4"/>
  <c r="R1250" i="4"/>
  <c r="Q1250" i="4"/>
  <c r="P1250" i="4" s="1"/>
  <c r="O1250" i="4"/>
  <c r="N1250" i="4"/>
  <c r="A1250" i="4"/>
  <c r="S1249" i="4"/>
  <c r="R1249" i="4"/>
  <c r="Q1249" i="4"/>
  <c r="N1249" i="4"/>
  <c r="O1249" i="4" s="1"/>
  <c r="A1249" i="4"/>
  <c r="S1248" i="4"/>
  <c r="R1248" i="4"/>
  <c r="Q1248" i="4"/>
  <c r="P1248" i="4" s="1"/>
  <c r="O1248" i="4"/>
  <c r="N1248" i="4"/>
  <c r="A1248" i="4"/>
  <c r="S1247" i="4"/>
  <c r="R1247" i="4"/>
  <c r="Q1247" i="4"/>
  <c r="N1247" i="4"/>
  <c r="O1247" i="4" s="1"/>
  <c r="A1247" i="4"/>
  <c r="S1246" i="4"/>
  <c r="R1246" i="4"/>
  <c r="Q1246" i="4"/>
  <c r="P1246" i="4" s="1"/>
  <c r="O1246" i="4"/>
  <c r="N1246" i="4"/>
  <c r="A1246" i="4"/>
  <c r="S1245" i="4"/>
  <c r="R1245" i="4"/>
  <c r="Q1245" i="4"/>
  <c r="N1245" i="4"/>
  <c r="O1245" i="4" s="1"/>
  <c r="A1245" i="4"/>
  <c r="S1244" i="4"/>
  <c r="R1244" i="4"/>
  <c r="Q1244" i="4"/>
  <c r="P1244" i="4" s="1"/>
  <c r="O1244" i="4"/>
  <c r="N1244" i="4"/>
  <c r="A1244" i="4"/>
  <c r="S1243" i="4"/>
  <c r="R1243" i="4"/>
  <c r="Q1243" i="4"/>
  <c r="N1243" i="4"/>
  <c r="O1243" i="4" s="1"/>
  <c r="A1243" i="4"/>
  <c r="S1242" i="4"/>
  <c r="R1242" i="4"/>
  <c r="Q1242" i="4"/>
  <c r="P1242" i="4" s="1"/>
  <c r="O1242" i="4"/>
  <c r="N1242" i="4"/>
  <c r="A1242" i="4"/>
  <c r="S1241" i="4"/>
  <c r="R1241" i="4"/>
  <c r="Q1241" i="4"/>
  <c r="N1241" i="4"/>
  <c r="O1241" i="4" s="1"/>
  <c r="A1241" i="4"/>
  <c r="S1240" i="4"/>
  <c r="R1240" i="4"/>
  <c r="Q1240" i="4"/>
  <c r="P1240" i="4" s="1"/>
  <c r="O1240" i="4"/>
  <c r="N1240" i="4"/>
  <c r="A1240" i="4"/>
  <c r="S1239" i="4"/>
  <c r="R1239" i="4"/>
  <c r="Q1239" i="4"/>
  <c r="N1239" i="4"/>
  <c r="O1239" i="4" s="1"/>
  <c r="A1239" i="4"/>
  <c r="S1238" i="4"/>
  <c r="R1238" i="4"/>
  <c r="Q1238" i="4"/>
  <c r="P1238" i="4" s="1"/>
  <c r="O1238" i="4"/>
  <c r="N1238" i="4"/>
  <c r="A1238" i="4"/>
  <c r="S1237" i="4"/>
  <c r="R1237" i="4"/>
  <c r="Q1237" i="4"/>
  <c r="N1237" i="4"/>
  <c r="O1237" i="4" s="1"/>
  <c r="A1237" i="4"/>
  <c r="S1236" i="4"/>
  <c r="R1236" i="4"/>
  <c r="Q1236" i="4"/>
  <c r="P1236" i="4" s="1"/>
  <c r="O1236" i="4"/>
  <c r="N1236" i="4"/>
  <c r="A1236" i="4"/>
  <c r="S1235" i="4"/>
  <c r="R1235" i="4"/>
  <c r="Q1235" i="4"/>
  <c r="N1235" i="4"/>
  <c r="O1235" i="4" s="1"/>
  <c r="A1235" i="4"/>
  <c r="S1234" i="4"/>
  <c r="R1234" i="4"/>
  <c r="Q1234" i="4"/>
  <c r="P1234" i="4" s="1"/>
  <c r="O1234" i="4"/>
  <c r="N1234" i="4"/>
  <c r="A1234" i="4"/>
  <c r="S1233" i="4"/>
  <c r="R1233" i="4"/>
  <c r="Q1233" i="4"/>
  <c r="N1233" i="4"/>
  <c r="O1233" i="4" s="1"/>
  <c r="A1233" i="4"/>
  <c r="S1232" i="4"/>
  <c r="R1232" i="4"/>
  <c r="Q1232" i="4"/>
  <c r="P1232" i="4" s="1"/>
  <c r="O1232" i="4"/>
  <c r="N1232" i="4"/>
  <c r="A1232" i="4"/>
  <c r="S1231" i="4"/>
  <c r="R1231" i="4"/>
  <c r="Q1231" i="4"/>
  <c r="N1231" i="4"/>
  <c r="O1231" i="4" s="1"/>
  <c r="A1231" i="4"/>
  <c r="S1230" i="4"/>
  <c r="R1230" i="4"/>
  <c r="Q1230" i="4"/>
  <c r="P1230" i="4" s="1"/>
  <c r="O1230" i="4"/>
  <c r="N1230" i="4"/>
  <c r="A1230" i="4"/>
  <c r="S1229" i="4"/>
  <c r="R1229" i="4"/>
  <c r="Q1229" i="4"/>
  <c r="N1229" i="4"/>
  <c r="O1229" i="4" s="1"/>
  <c r="A1229" i="4"/>
  <c r="S1228" i="4"/>
  <c r="R1228" i="4"/>
  <c r="Q1228" i="4"/>
  <c r="P1228" i="4" s="1"/>
  <c r="O1228" i="4"/>
  <c r="N1228" i="4"/>
  <c r="A1228" i="4"/>
  <c r="S1227" i="4"/>
  <c r="R1227" i="4"/>
  <c r="Q1227" i="4"/>
  <c r="N1227" i="4"/>
  <c r="O1227" i="4" s="1"/>
  <c r="A1227" i="4"/>
  <c r="S1226" i="4"/>
  <c r="R1226" i="4"/>
  <c r="Q1226" i="4"/>
  <c r="P1226" i="4" s="1"/>
  <c r="O1226" i="4"/>
  <c r="N1226" i="4"/>
  <c r="A1226" i="4"/>
  <c r="S1225" i="4"/>
  <c r="R1225" i="4"/>
  <c r="Q1225" i="4"/>
  <c r="N1225" i="4"/>
  <c r="O1225" i="4" s="1"/>
  <c r="A1225" i="4"/>
  <c r="S1224" i="4"/>
  <c r="R1224" i="4"/>
  <c r="Q1224" i="4"/>
  <c r="P1224" i="4" s="1"/>
  <c r="O1224" i="4"/>
  <c r="N1224" i="4"/>
  <c r="A1224" i="4"/>
  <c r="S1223" i="4"/>
  <c r="R1223" i="4"/>
  <c r="Q1223" i="4"/>
  <c r="N1223" i="4"/>
  <c r="O1223" i="4" s="1"/>
  <c r="A1223" i="4"/>
  <c r="S1222" i="4"/>
  <c r="R1222" i="4"/>
  <c r="Q1222" i="4"/>
  <c r="P1222" i="4" s="1"/>
  <c r="T1222" i="4" s="1"/>
  <c r="O1222" i="4"/>
  <c r="N1222" i="4"/>
  <c r="A1222" i="4"/>
  <c r="S1221" i="4"/>
  <c r="R1221" i="4"/>
  <c r="Q1221" i="4"/>
  <c r="N1221" i="4"/>
  <c r="O1221" i="4" s="1"/>
  <c r="A1221" i="4"/>
  <c r="S1220" i="4"/>
  <c r="R1220" i="4"/>
  <c r="Q1220" i="4"/>
  <c r="P1220" i="4" s="1"/>
  <c r="O1220" i="4"/>
  <c r="N1220" i="4"/>
  <c r="A1220" i="4"/>
  <c r="S1219" i="4"/>
  <c r="R1219" i="4"/>
  <c r="Q1219" i="4"/>
  <c r="N1219" i="4"/>
  <c r="O1219" i="4" s="1"/>
  <c r="A1219" i="4"/>
  <c r="S1218" i="4"/>
  <c r="R1218" i="4"/>
  <c r="Q1218" i="4"/>
  <c r="P1218" i="4" s="1"/>
  <c r="O1218" i="4"/>
  <c r="N1218" i="4"/>
  <c r="A1218" i="4"/>
  <c r="S1217" i="4"/>
  <c r="R1217" i="4"/>
  <c r="Q1217" i="4"/>
  <c r="N1217" i="4"/>
  <c r="O1217" i="4" s="1"/>
  <c r="A1217" i="4"/>
  <c r="S1216" i="4"/>
  <c r="R1216" i="4"/>
  <c r="Q1216" i="4"/>
  <c r="P1216" i="4" s="1"/>
  <c r="O1216" i="4"/>
  <c r="N1216" i="4"/>
  <c r="A1216" i="4"/>
  <c r="S1215" i="4"/>
  <c r="R1215" i="4"/>
  <c r="Q1215" i="4"/>
  <c r="N1215" i="4"/>
  <c r="O1215" i="4" s="1"/>
  <c r="A1215" i="4"/>
  <c r="S1214" i="4"/>
  <c r="R1214" i="4"/>
  <c r="Q1214" i="4"/>
  <c r="P1214" i="4" s="1"/>
  <c r="O1214" i="4"/>
  <c r="N1214" i="4"/>
  <c r="A1214" i="4"/>
  <c r="S1213" i="4"/>
  <c r="R1213" i="4"/>
  <c r="Q1213" i="4"/>
  <c r="N1213" i="4"/>
  <c r="O1213" i="4" s="1"/>
  <c r="A1213" i="4"/>
  <c r="S1212" i="4"/>
  <c r="R1212" i="4"/>
  <c r="Q1212" i="4"/>
  <c r="P1212" i="4" s="1"/>
  <c r="O1212" i="4"/>
  <c r="N1212" i="4"/>
  <c r="A1212" i="4"/>
  <c r="S1211" i="4"/>
  <c r="R1211" i="4"/>
  <c r="Q1211" i="4"/>
  <c r="N1211" i="4"/>
  <c r="O1211" i="4" s="1"/>
  <c r="A1211" i="4"/>
  <c r="S1210" i="4"/>
  <c r="R1210" i="4"/>
  <c r="Q1210" i="4"/>
  <c r="P1210" i="4" s="1"/>
  <c r="T1210" i="4" s="1"/>
  <c r="O1210" i="4"/>
  <c r="N1210" i="4"/>
  <c r="A1210" i="4"/>
  <c r="S1209" i="4"/>
  <c r="R1209" i="4"/>
  <c r="Q1209" i="4"/>
  <c r="N1209" i="4"/>
  <c r="O1209" i="4" s="1"/>
  <c r="A1209" i="4"/>
  <c r="S1208" i="4"/>
  <c r="R1208" i="4"/>
  <c r="Q1208" i="4"/>
  <c r="P1208" i="4" s="1"/>
  <c r="O1208" i="4"/>
  <c r="N1208" i="4"/>
  <c r="A1208" i="4"/>
  <c r="S1207" i="4"/>
  <c r="R1207" i="4"/>
  <c r="Q1207" i="4"/>
  <c r="N1207" i="4"/>
  <c r="O1207" i="4" s="1"/>
  <c r="A1207" i="4"/>
  <c r="S1206" i="4"/>
  <c r="R1206" i="4"/>
  <c r="Q1206" i="4"/>
  <c r="P1206" i="4" s="1"/>
  <c r="T1206" i="4" s="1"/>
  <c r="O1206" i="4"/>
  <c r="N1206" i="4"/>
  <c r="A1206" i="4"/>
  <c r="S1205" i="4"/>
  <c r="R1205" i="4"/>
  <c r="Q1205" i="4"/>
  <c r="N1205" i="4"/>
  <c r="O1205" i="4" s="1"/>
  <c r="A1205" i="4"/>
  <c r="S1204" i="4"/>
  <c r="R1204" i="4"/>
  <c r="Q1204" i="4"/>
  <c r="P1204" i="4" s="1"/>
  <c r="T1204" i="4" s="1"/>
  <c r="O1204" i="4"/>
  <c r="N1204" i="4"/>
  <c r="A1204" i="4"/>
  <c r="S1203" i="4"/>
  <c r="R1203" i="4"/>
  <c r="Q1203" i="4"/>
  <c r="N1203" i="4"/>
  <c r="O1203" i="4" s="1"/>
  <c r="A1203" i="4"/>
  <c r="S1202" i="4"/>
  <c r="R1202" i="4"/>
  <c r="Q1202" i="4"/>
  <c r="P1202" i="4" s="1"/>
  <c r="T1202" i="4" s="1"/>
  <c r="O1202" i="4"/>
  <c r="N1202" i="4"/>
  <c r="A1202" i="4"/>
  <c r="S1201" i="4"/>
  <c r="R1201" i="4"/>
  <c r="Q1201" i="4"/>
  <c r="N1201" i="4"/>
  <c r="O1201" i="4" s="1"/>
  <c r="A1201" i="4"/>
  <c r="S1200" i="4"/>
  <c r="R1200" i="4"/>
  <c r="Q1200" i="4"/>
  <c r="P1200" i="4" s="1"/>
  <c r="O1200" i="4"/>
  <c r="N1200" i="4"/>
  <c r="A1200" i="4"/>
  <c r="S1199" i="4"/>
  <c r="R1199" i="4"/>
  <c r="Q1199" i="4"/>
  <c r="N1199" i="4"/>
  <c r="O1199" i="4" s="1"/>
  <c r="A1199" i="4"/>
  <c r="S1198" i="4"/>
  <c r="R1198" i="4"/>
  <c r="Q1198" i="4"/>
  <c r="P1198" i="4" s="1"/>
  <c r="O1198" i="4"/>
  <c r="N1198" i="4"/>
  <c r="A1198" i="4"/>
  <c r="S1197" i="4"/>
  <c r="R1197" i="4"/>
  <c r="Q1197" i="4"/>
  <c r="N1197" i="4"/>
  <c r="O1197" i="4" s="1"/>
  <c r="A1197" i="4"/>
  <c r="S1196" i="4"/>
  <c r="R1196" i="4"/>
  <c r="Q1196" i="4"/>
  <c r="P1196" i="4" s="1"/>
  <c r="O1196" i="4"/>
  <c r="N1196" i="4"/>
  <c r="A1196" i="4"/>
  <c r="S1195" i="4"/>
  <c r="R1195" i="4"/>
  <c r="Q1195" i="4"/>
  <c r="N1195" i="4"/>
  <c r="O1195" i="4" s="1"/>
  <c r="A1195" i="4"/>
  <c r="S1194" i="4"/>
  <c r="R1194" i="4"/>
  <c r="Q1194" i="4"/>
  <c r="P1194" i="4" s="1"/>
  <c r="T1194" i="4" s="1"/>
  <c r="O1194" i="4"/>
  <c r="N1194" i="4"/>
  <c r="A1194" i="4"/>
  <c r="S1193" i="4"/>
  <c r="R1193" i="4"/>
  <c r="Q1193" i="4"/>
  <c r="N1193" i="4"/>
  <c r="O1193" i="4" s="1"/>
  <c r="A1193" i="4"/>
  <c r="S1192" i="4"/>
  <c r="R1192" i="4"/>
  <c r="Q1192" i="4"/>
  <c r="P1192" i="4" s="1"/>
  <c r="O1192" i="4"/>
  <c r="N1192" i="4"/>
  <c r="A1192" i="4"/>
  <c r="S1191" i="4"/>
  <c r="R1191" i="4"/>
  <c r="Q1191" i="4"/>
  <c r="N1191" i="4"/>
  <c r="O1191" i="4" s="1"/>
  <c r="A1191" i="4"/>
  <c r="S1190" i="4"/>
  <c r="R1190" i="4"/>
  <c r="Q1190" i="4"/>
  <c r="P1190" i="4" s="1"/>
  <c r="O1190" i="4"/>
  <c r="N1190" i="4"/>
  <c r="A1190" i="4"/>
  <c r="S1189" i="4"/>
  <c r="R1189" i="4"/>
  <c r="Q1189" i="4"/>
  <c r="N1189" i="4"/>
  <c r="O1189" i="4" s="1"/>
  <c r="A1189" i="4"/>
  <c r="S1188" i="4"/>
  <c r="R1188" i="4"/>
  <c r="Q1188" i="4"/>
  <c r="P1188" i="4" s="1"/>
  <c r="O1188" i="4"/>
  <c r="N1188" i="4"/>
  <c r="A1188" i="4"/>
  <c r="S1187" i="4"/>
  <c r="R1187" i="4"/>
  <c r="Q1187" i="4"/>
  <c r="N1187" i="4"/>
  <c r="O1187" i="4" s="1"/>
  <c r="A1187" i="4"/>
  <c r="S1186" i="4"/>
  <c r="R1186" i="4"/>
  <c r="Q1186" i="4"/>
  <c r="P1186" i="4" s="1"/>
  <c r="O1186" i="4"/>
  <c r="N1186" i="4"/>
  <c r="A1186" i="4"/>
  <c r="S1185" i="4"/>
  <c r="R1185" i="4"/>
  <c r="Q1185" i="4"/>
  <c r="N1185" i="4"/>
  <c r="O1185" i="4" s="1"/>
  <c r="A1185" i="4"/>
  <c r="S1184" i="4"/>
  <c r="R1184" i="4"/>
  <c r="Q1184" i="4"/>
  <c r="P1184" i="4" s="1"/>
  <c r="O1184" i="4"/>
  <c r="N1184" i="4"/>
  <c r="A1184" i="4"/>
  <c r="S1183" i="4"/>
  <c r="R1183" i="4"/>
  <c r="Q1183" i="4"/>
  <c r="N1183" i="4"/>
  <c r="O1183" i="4" s="1"/>
  <c r="A1183" i="4"/>
  <c r="S1182" i="4"/>
  <c r="R1182" i="4"/>
  <c r="Q1182" i="4"/>
  <c r="P1182" i="4" s="1"/>
  <c r="O1182" i="4"/>
  <c r="N1182" i="4"/>
  <c r="A1182" i="4"/>
  <c r="S1181" i="4"/>
  <c r="R1181" i="4"/>
  <c r="Q1181" i="4"/>
  <c r="N1181" i="4"/>
  <c r="O1181" i="4" s="1"/>
  <c r="A1181" i="4"/>
  <c r="S1180" i="4"/>
  <c r="R1180" i="4"/>
  <c r="Q1180" i="4"/>
  <c r="P1180" i="4" s="1"/>
  <c r="O1180" i="4"/>
  <c r="N1180" i="4"/>
  <c r="A1180" i="4"/>
  <c r="S1179" i="4"/>
  <c r="R1179" i="4"/>
  <c r="Q1179" i="4"/>
  <c r="N1179" i="4"/>
  <c r="O1179" i="4" s="1"/>
  <c r="A1179" i="4"/>
  <c r="S1178" i="4"/>
  <c r="R1178" i="4"/>
  <c r="Q1178" i="4"/>
  <c r="P1178" i="4" s="1"/>
  <c r="O1178" i="4"/>
  <c r="N1178" i="4"/>
  <c r="A1178" i="4"/>
  <c r="S1177" i="4"/>
  <c r="R1177" i="4"/>
  <c r="Q1177" i="4"/>
  <c r="N1177" i="4"/>
  <c r="O1177" i="4" s="1"/>
  <c r="A1177" i="4"/>
  <c r="S1176" i="4"/>
  <c r="R1176" i="4"/>
  <c r="Q1176" i="4"/>
  <c r="P1176" i="4" s="1"/>
  <c r="O1176" i="4"/>
  <c r="N1176" i="4"/>
  <c r="A1176" i="4"/>
  <c r="S1175" i="4"/>
  <c r="R1175" i="4"/>
  <c r="Q1175" i="4"/>
  <c r="N1175" i="4"/>
  <c r="O1175" i="4" s="1"/>
  <c r="A1175" i="4"/>
  <c r="S1174" i="4"/>
  <c r="R1174" i="4"/>
  <c r="Q1174" i="4"/>
  <c r="P1174" i="4" s="1"/>
  <c r="O1174" i="4"/>
  <c r="N1174" i="4"/>
  <c r="A1174" i="4"/>
  <c r="S1173" i="4"/>
  <c r="R1173" i="4"/>
  <c r="Q1173" i="4"/>
  <c r="N1173" i="4"/>
  <c r="O1173" i="4" s="1"/>
  <c r="A1173" i="4"/>
  <c r="S1172" i="4"/>
  <c r="R1172" i="4"/>
  <c r="Q1172" i="4"/>
  <c r="P1172" i="4" s="1"/>
  <c r="O1172" i="4"/>
  <c r="N1172" i="4"/>
  <c r="A1172" i="4"/>
  <c r="S1171" i="4"/>
  <c r="R1171" i="4"/>
  <c r="Q1171" i="4"/>
  <c r="N1171" i="4"/>
  <c r="O1171" i="4" s="1"/>
  <c r="A1171" i="4"/>
  <c r="S1170" i="4"/>
  <c r="R1170" i="4"/>
  <c r="Q1170" i="4"/>
  <c r="P1170" i="4" s="1"/>
  <c r="T1170" i="4" s="1"/>
  <c r="O1170" i="4"/>
  <c r="N1170" i="4"/>
  <c r="A1170" i="4"/>
  <c r="S1169" i="4"/>
  <c r="R1169" i="4"/>
  <c r="Q1169" i="4"/>
  <c r="N1169" i="4"/>
  <c r="O1169" i="4" s="1"/>
  <c r="A1169" i="4"/>
  <c r="S1168" i="4"/>
  <c r="R1168" i="4"/>
  <c r="Q1168" i="4"/>
  <c r="P1168" i="4" s="1"/>
  <c r="O1168" i="4"/>
  <c r="N1168" i="4"/>
  <c r="A1168" i="4"/>
  <c r="S1167" i="4"/>
  <c r="R1167" i="4"/>
  <c r="Q1167" i="4"/>
  <c r="N1167" i="4"/>
  <c r="O1167" i="4" s="1"/>
  <c r="A1167" i="4"/>
  <c r="S1166" i="4"/>
  <c r="R1166" i="4"/>
  <c r="Q1166" i="4"/>
  <c r="P1166" i="4" s="1"/>
  <c r="O1166" i="4"/>
  <c r="N1166" i="4"/>
  <c r="A1166" i="4"/>
  <c r="S1165" i="4"/>
  <c r="R1165" i="4"/>
  <c r="Q1165" i="4"/>
  <c r="N1165" i="4"/>
  <c r="O1165" i="4" s="1"/>
  <c r="A1165" i="4"/>
  <c r="S1164" i="4"/>
  <c r="R1164" i="4"/>
  <c r="Q1164" i="4"/>
  <c r="P1164" i="4" s="1"/>
  <c r="O1164" i="4"/>
  <c r="N1164" i="4"/>
  <c r="A1164" i="4"/>
  <c r="S1163" i="4"/>
  <c r="R1163" i="4"/>
  <c r="Q1163" i="4"/>
  <c r="N1163" i="4"/>
  <c r="O1163" i="4" s="1"/>
  <c r="A1163" i="4"/>
  <c r="S1162" i="4"/>
  <c r="R1162" i="4"/>
  <c r="Q1162" i="4"/>
  <c r="P1162" i="4" s="1"/>
  <c r="O1162" i="4"/>
  <c r="N1162" i="4"/>
  <c r="A1162" i="4"/>
  <c r="S1161" i="4"/>
  <c r="R1161" i="4"/>
  <c r="Q1161" i="4"/>
  <c r="N1161" i="4"/>
  <c r="O1161" i="4" s="1"/>
  <c r="A1161" i="4"/>
  <c r="S1160" i="4"/>
  <c r="R1160" i="4"/>
  <c r="Q1160" i="4"/>
  <c r="P1160" i="4" s="1"/>
  <c r="O1160" i="4"/>
  <c r="N1160" i="4"/>
  <c r="A1160" i="4"/>
  <c r="S1159" i="4"/>
  <c r="R1159" i="4"/>
  <c r="Q1159" i="4"/>
  <c r="N1159" i="4"/>
  <c r="O1159" i="4" s="1"/>
  <c r="A1159" i="4"/>
  <c r="S1158" i="4"/>
  <c r="R1158" i="4"/>
  <c r="Q1158" i="4"/>
  <c r="P1158" i="4" s="1"/>
  <c r="T1158" i="4" s="1"/>
  <c r="O1158" i="4"/>
  <c r="N1158" i="4"/>
  <c r="A1158" i="4"/>
  <c r="S1157" i="4"/>
  <c r="R1157" i="4"/>
  <c r="Q1157" i="4"/>
  <c r="N1157" i="4"/>
  <c r="O1157" i="4" s="1"/>
  <c r="A1157" i="4"/>
  <c r="S1156" i="4"/>
  <c r="R1156" i="4"/>
  <c r="Q1156" i="4"/>
  <c r="P1156" i="4" s="1"/>
  <c r="O1156" i="4"/>
  <c r="N1156" i="4"/>
  <c r="A1156" i="4"/>
  <c r="S1155" i="4"/>
  <c r="R1155" i="4"/>
  <c r="Q1155" i="4"/>
  <c r="N1155" i="4"/>
  <c r="O1155" i="4" s="1"/>
  <c r="A1155" i="4"/>
  <c r="S1154" i="4"/>
  <c r="R1154" i="4"/>
  <c r="Q1154" i="4"/>
  <c r="P1154" i="4" s="1"/>
  <c r="T1154" i="4" s="1"/>
  <c r="O1154" i="4"/>
  <c r="N1154" i="4"/>
  <c r="A1154" i="4"/>
  <c r="S1153" i="4"/>
  <c r="R1153" i="4"/>
  <c r="Q1153" i="4"/>
  <c r="N1153" i="4"/>
  <c r="O1153" i="4" s="1"/>
  <c r="A1153" i="4"/>
  <c r="S1152" i="4"/>
  <c r="R1152" i="4"/>
  <c r="Q1152" i="4"/>
  <c r="P1152" i="4" s="1"/>
  <c r="O1152" i="4"/>
  <c r="N1152" i="4"/>
  <c r="A1152" i="4"/>
  <c r="S1151" i="4"/>
  <c r="R1151" i="4"/>
  <c r="Q1151" i="4"/>
  <c r="N1151" i="4"/>
  <c r="O1151" i="4" s="1"/>
  <c r="A1151" i="4"/>
  <c r="S1150" i="4"/>
  <c r="R1150" i="4"/>
  <c r="Q1150" i="4"/>
  <c r="P1150" i="4" s="1"/>
  <c r="O1150" i="4"/>
  <c r="N1150" i="4"/>
  <c r="A1150" i="4"/>
  <c r="S1149" i="4"/>
  <c r="R1149" i="4"/>
  <c r="Q1149" i="4"/>
  <c r="N1149" i="4"/>
  <c r="O1149" i="4" s="1"/>
  <c r="A1149" i="4"/>
  <c r="S1148" i="4"/>
  <c r="R1148" i="4"/>
  <c r="Q1148" i="4"/>
  <c r="P1148" i="4" s="1"/>
  <c r="O1148" i="4"/>
  <c r="N1148" i="4"/>
  <c r="A1148" i="4"/>
  <c r="S1147" i="4"/>
  <c r="R1147" i="4"/>
  <c r="Q1147" i="4"/>
  <c r="N1147" i="4"/>
  <c r="O1147" i="4" s="1"/>
  <c r="A1147" i="4"/>
  <c r="S1146" i="4"/>
  <c r="R1146" i="4"/>
  <c r="Q1146" i="4"/>
  <c r="P1146" i="4" s="1"/>
  <c r="T1146" i="4" s="1"/>
  <c r="O1146" i="4"/>
  <c r="N1146" i="4"/>
  <c r="A1146" i="4"/>
  <c r="S1145" i="4"/>
  <c r="R1145" i="4"/>
  <c r="Q1145" i="4"/>
  <c r="N1145" i="4"/>
  <c r="O1145" i="4" s="1"/>
  <c r="A1145" i="4"/>
  <c r="S1144" i="4"/>
  <c r="R1144" i="4"/>
  <c r="Q1144" i="4"/>
  <c r="P1144" i="4" s="1"/>
  <c r="O1144" i="4"/>
  <c r="N1144" i="4"/>
  <c r="A1144" i="4"/>
  <c r="S1143" i="4"/>
  <c r="R1143" i="4"/>
  <c r="Q1143" i="4"/>
  <c r="N1143" i="4"/>
  <c r="O1143" i="4" s="1"/>
  <c r="A1143" i="4"/>
  <c r="S1142" i="4"/>
  <c r="R1142" i="4"/>
  <c r="Q1142" i="4"/>
  <c r="P1142" i="4" s="1"/>
  <c r="O1142" i="4"/>
  <c r="N1142" i="4"/>
  <c r="A1142" i="4"/>
  <c r="S1141" i="4"/>
  <c r="R1141" i="4"/>
  <c r="Q1141" i="4"/>
  <c r="N1141" i="4"/>
  <c r="O1141" i="4" s="1"/>
  <c r="A1141" i="4"/>
  <c r="S1140" i="4"/>
  <c r="R1140" i="4"/>
  <c r="Q1140" i="4"/>
  <c r="P1140" i="4" s="1"/>
  <c r="O1140" i="4"/>
  <c r="N1140" i="4"/>
  <c r="A1140" i="4"/>
  <c r="S1139" i="4"/>
  <c r="R1139" i="4"/>
  <c r="Q1139" i="4"/>
  <c r="N1139" i="4"/>
  <c r="O1139" i="4" s="1"/>
  <c r="A1139" i="4"/>
  <c r="S1138" i="4"/>
  <c r="R1138" i="4"/>
  <c r="Q1138" i="4"/>
  <c r="P1138" i="4" s="1"/>
  <c r="T1138" i="4" s="1"/>
  <c r="O1138" i="4"/>
  <c r="N1138" i="4"/>
  <c r="A1138" i="4"/>
  <c r="S1137" i="4"/>
  <c r="R1137" i="4"/>
  <c r="Q1137" i="4"/>
  <c r="N1137" i="4"/>
  <c r="O1137" i="4" s="1"/>
  <c r="A1137" i="4"/>
  <c r="S1136" i="4"/>
  <c r="R1136" i="4"/>
  <c r="Q1136" i="4"/>
  <c r="P1136" i="4" s="1"/>
  <c r="O1136" i="4"/>
  <c r="N1136" i="4"/>
  <c r="A1136" i="4"/>
  <c r="S1135" i="4"/>
  <c r="R1135" i="4"/>
  <c r="Q1135" i="4"/>
  <c r="N1135" i="4"/>
  <c r="O1135" i="4" s="1"/>
  <c r="A1135" i="4"/>
  <c r="S1134" i="4"/>
  <c r="R1134" i="4"/>
  <c r="Q1134" i="4"/>
  <c r="P1134" i="4" s="1"/>
  <c r="O1134" i="4"/>
  <c r="N1134" i="4"/>
  <c r="A1134" i="4"/>
  <c r="S1133" i="4"/>
  <c r="R1133" i="4"/>
  <c r="Q1133" i="4"/>
  <c r="N1133" i="4"/>
  <c r="O1133" i="4" s="1"/>
  <c r="A1133" i="4"/>
  <c r="S1132" i="4"/>
  <c r="R1132" i="4"/>
  <c r="Q1132" i="4"/>
  <c r="P1132" i="4" s="1"/>
  <c r="O1132" i="4"/>
  <c r="N1132" i="4"/>
  <c r="A1132" i="4"/>
  <c r="S1131" i="4"/>
  <c r="R1131" i="4"/>
  <c r="Q1131" i="4"/>
  <c r="N1131" i="4"/>
  <c r="O1131" i="4" s="1"/>
  <c r="A1131" i="4"/>
  <c r="S1130" i="4"/>
  <c r="R1130" i="4"/>
  <c r="Q1130" i="4"/>
  <c r="P1130" i="4" s="1"/>
  <c r="T1130" i="4" s="1"/>
  <c r="O1130" i="4"/>
  <c r="N1130" i="4"/>
  <c r="A1130" i="4"/>
  <c r="S1129" i="4"/>
  <c r="R1129" i="4"/>
  <c r="Q1129" i="4"/>
  <c r="N1129" i="4"/>
  <c r="O1129" i="4" s="1"/>
  <c r="A1129" i="4"/>
  <c r="S1128" i="4"/>
  <c r="R1128" i="4"/>
  <c r="Q1128" i="4"/>
  <c r="P1128" i="4" s="1"/>
  <c r="O1128" i="4"/>
  <c r="N1128" i="4"/>
  <c r="A1128" i="4"/>
  <c r="S1127" i="4"/>
  <c r="R1127" i="4"/>
  <c r="Q1127" i="4"/>
  <c r="N1127" i="4"/>
  <c r="O1127" i="4" s="1"/>
  <c r="A1127" i="4"/>
  <c r="S1126" i="4"/>
  <c r="R1126" i="4"/>
  <c r="Q1126" i="4"/>
  <c r="P1126" i="4" s="1"/>
  <c r="O1126" i="4"/>
  <c r="N1126" i="4"/>
  <c r="A1126" i="4"/>
  <c r="S1125" i="4"/>
  <c r="R1125" i="4"/>
  <c r="Q1125" i="4"/>
  <c r="N1125" i="4"/>
  <c r="O1125" i="4" s="1"/>
  <c r="A1125" i="4"/>
  <c r="S1124" i="4"/>
  <c r="R1124" i="4"/>
  <c r="Q1124" i="4"/>
  <c r="P1124" i="4" s="1"/>
  <c r="O1124" i="4"/>
  <c r="N1124" i="4"/>
  <c r="A1124" i="4"/>
  <c r="S1123" i="4"/>
  <c r="R1123" i="4"/>
  <c r="Q1123" i="4"/>
  <c r="N1123" i="4"/>
  <c r="O1123" i="4" s="1"/>
  <c r="A1123" i="4"/>
  <c r="S1122" i="4"/>
  <c r="R1122" i="4"/>
  <c r="Q1122" i="4"/>
  <c r="P1122" i="4" s="1"/>
  <c r="T1122" i="4" s="1"/>
  <c r="N1122" i="4"/>
  <c r="O1122" i="4" s="1"/>
  <c r="A1122" i="4"/>
  <c r="S1121" i="4"/>
  <c r="R1121" i="4"/>
  <c r="Q1121" i="4"/>
  <c r="N1121" i="4"/>
  <c r="O1121" i="4" s="1"/>
  <c r="A1121" i="4"/>
  <c r="S1120" i="4"/>
  <c r="R1120" i="4"/>
  <c r="Q1120" i="4"/>
  <c r="P1120" i="4" s="1"/>
  <c r="O1120" i="4"/>
  <c r="N1120" i="4"/>
  <c r="A1120" i="4"/>
  <c r="S1119" i="4"/>
  <c r="R1119" i="4"/>
  <c r="Q1119" i="4"/>
  <c r="N1119" i="4"/>
  <c r="O1119" i="4" s="1"/>
  <c r="A1119" i="4"/>
  <c r="S1118" i="4"/>
  <c r="R1118" i="4"/>
  <c r="Q1118" i="4"/>
  <c r="P1118" i="4" s="1"/>
  <c r="O1118" i="4"/>
  <c r="N1118" i="4"/>
  <c r="A1118" i="4"/>
  <c r="S1117" i="4"/>
  <c r="R1117" i="4"/>
  <c r="Q1117" i="4"/>
  <c r="N1117" i="4"/>
  <c r="O1117" i="4" s="1"/>
  <c r="A1117" i="4"/>
  <c r="S1116" i="4"/>
  <c r="R1116" i="4"/>
  <c r="Q1116" i="4"/>
  <c r="P1116" i="4" s="1"/>
  <c r="T1116" i="4" s="1"/>
  <c r="O1116" i="4"/>
  <c r="N1116" i="4"/>
  <c r="A1116" i="4"/>
  <c r="S1115" i="4"/>
  <c r="R1115" i="4"/>
  <c r="Q1115" i="4"/>
  <c r="N1115" i="4"/>
  <c r="O1115" i="4" s="1"/>
  <c r="A1115" i="4"/>
  <c r="S1114" i="4"/>
  <c r="R1114" i="4"/>
  <c r="Q1114" i="4"/>
  <c r="P1114" i="4" s="1"/>
  <c r="O1114" i="4"/>
  <c r="N1114" i="4"/>
  <c r="A1114" i="4"/>
  <c r="S1113" i="4"/>
  <c r="R1113" i="4"/>
  <c r="Q1113" i="4"/>
  <c r="N1113" i="4"/>
  <c r="O1113" i="4" s="1"/>
  <c r="A1113" i="4"/>
  <c r="S1112" i="4"/>
  <c r="R1112" i="4"/>
  <c r="Q1112" i="4"/>
  <c r="P1112" i="4" s="1"/>
  <c r="O1112" i="4"/>
  <c r="N1112" i="4"/>
  <c r="A1112" i="4"/>
  <c r="S1111" i="4"/>
  <c r="R1111" i="4"/>
  <c r="Q1111" i="4"/>
  <c r="N1111" i="4"/>
  <c r="O1111" i="4" s="1"/>
  <c r="A1111" i="4"/>
  <c r="S1110" i="4"/>
  <c r="R1110" i="4"/>
  <c r="Q1110" i="4"/>
  <c r="P1110" i="4" s="1"/>
  <c r="T1110" i="4" s="1"/>
  <c r="O1110" i="4"/>
  <c r="N1110" i="4"/>
  <c r="A1110" i="4"/>
  <c r="S1109" i="4"/>
  <c r="R1109" i="4"/>
  <c r="Q1109" i="4"/>
  <c r="N1109" i="4"/>
  <c r="O1109" i="4" s="1"/>
  <c r="A1109" i="4"/>
  <c r="S1108" i="4"/>
  <c r="R1108" i="4"/>
  <c r="Q1108" i="4"/>
  <c r="P1108" i="4" s="1"/>
  <c r="T1108" i="4" s="1"/>
  <c r="O1108" i="4"/>
  <c r="N1108" i="4"/>
  <c r="A1108" i="4"/>
  <c r="S1107" i="4"/>
  <c r="R1107" i="4"/>
  <c r="Q1107" i="4"/>
  <c r="N1107" i="4"/>
  <c r="O1107" i="4" s="1"/>
  <c r="A1107" i="4"/>
  <c r="S1106" i="4"/>
  <c r="R1106" i="4"/>
  <c r="Q1106" i="4"/>
  <c r="P1106" i="4" s="1"/>
  <c r="O1106" i="4"/>
  <c r="N1106" i="4"/>
  <c r="A1106" i="4"/>
  <c r="S1105" i="4"/>
  <c r="R1105" i="4"/>
  <c r="Q1105" i="4"/>
  <c r="N1105" i="4"/>
  <c r="O1105" i="4" s="1"/>
  <c r="A1105" i="4"/>
  <c r="S1104" i="4"/>
  <c r="R1104" i="4"/>
  <c r="Q1104" i="4"/>
  <c r="P1104" i="4" s="1"/>
  <c r="O1104" i="4"/>
  <c r="N1104" i="4"/>
  <c r="A1104" i="4"/>
  <c r="S1103" i="4"/>
  <c r="R1103" i="4"/>
  <c r="Q1103" i="4"/>
  <c r="N1103" i="4"/>
  <c r="O1103" i="4" s="1"/>
  <c r="A1103" i="4"/>
  <c r="S1102" i="4"/>
  <c r="R1102" i="4"/>
  <c r="Q1102" i="4"/>
  <c r="P1102" i="4" s="1"/>
  <c r="T1102" i="4" s="1"/>
  <c r="O1102" i="4"/>
  <c r="N1102" i="4"/>
  <c r="A1102" i="4"/>
  <c r="S1101" i="4"/>
  <c r="R1101" i="4"/>
  <c r="Q1101" i="4"/>
  <c r="N1101" i="4"/>
  <c r="O1101" i="4" s="1"/>
  <c r="A1101" i="4"/>
  <c r="S1100" i="4"/>
  <c r="R1100" i="4"/>
  <c r="Q1100" i="4"/>
  <c r="P1100" i="4" s="1"/>
  <c r="T1100" i="4" s="1"/>
  <c r="O1100" i="4"/>
  <c r="N1100" i="4"/>
  <c r="A1100" i="4"/>
  <c r="S1099" i="4"/>
  <c r="R1099" i="4"/>
  <c r="Q1099" i="4"/>
  <c r="N1099" i="4"/>
  <c r="O1099" i="4" s="1"/>
  <c r="A1099" i="4"/>
  <c r="S1098" i="4"/>
  <c r="R1098" i="4"/>
  <c r="Q1098" i="4"/>
  <c r="P1098" i="4" s="1"/>
  <c r="O1098" i="4"/>
  <c r="N1098" i="4"/>
  <c r="A1098" i="4"/>
  <c r="S1097" i="4"/>
  <c r="R1097" i="4"/>
  <c r="Q1097" i="4"/>
  <c r="N1097" i="4"/>
  <c r="O1097" i="4" s="1"/>
  <c r="A1097" i="4"/>
  <c r="S1096" i="4"/>
  <c r="R1096" i="4"/>
  <c r="Q1096" i="4"/>
  <c r="P1096" i="4" s="1"/>
  <c r="O1096" i="4"/>
  <c r="N1096" i="4"/>
  <c r="A1096" i="4"/>
  <c r="S1095" i="4"/>
  <c r="R1095" i="4"/>
  <c r="Q1095" i="4"/>
  <c r="N1095" i="4"/>
  <c r="O1095" i="4" s="1"/>
  <c r="A1095" i="4"/>
  <c r="S1094" i="4"/>
  <c r="R1094" i="4"/>
  <c r="Q1094" i="4"/>
  <c r="P1094" i="4" s="1"/>
  <c r="O1094" i="4"/>
  <c r="N1094" i="4"/>
  <c r="A1094" i="4"/>
  <c r="S1093" i="4"/>
  <c r="R1093" i="4"/>
  <c r="Q1093" i="4"/>
  <c r="N1093" i="4"/>
  <c r="O1093" i="4" s="1"/>
  <c r="A1093" i="4"/>
  <c r="S1092" i="4"/>
  <c r="R1092" i="4"/>
  <c r="Q1092" i="4"/>
  <c r="P1092" i="4" s="1"/>
  <c r="T1092" i="4" s="1"/>
  <c r="O1092" i="4"/>
  <c r="N1092" i="4"/>
  <c r="A1092" i="4"/>
  <c r="S1091" i="4"/>
  <c r="R1091" i="4"/>
  <c r="Q1091" i="4"/>
  <c r="N1091" i="4"/>
  <c r="O1091" i="4" s="1"/>
  <c r="A1091" i="4"/>
  <c r="S1090" i="4"/>
  <c r="R1090" i="4"/>
  <c r="Q1090" i="4"/>
  <c r="P1090" i="4" s="1"/>
  <c r="O1090" i="4"/>
  <c r="N1090" i="4"/>
  <c r="A1090" i="4"/>
  <c r="S1089" i="4"/>
  <c r="R1089" i="4"/>
  <c r="Q1089" i="4"/>
  <c r="N1089" i="4"/>
  <c r="O1089" i="4" s="1"/>
  <c r="A1089" i="4"/>
  <c r="S1088" i="4"/>
  <c r="R1088" i="4"/>
  <c r="Q1088" i="4"/>
  <c r="P1088" i="4" s="1"/>
  <c r="O1088" i="4"/>
  <c r="N1088" i="4"/>
  <c r="A1088" i="4"/>
  <c r="S1087" i="4"/>
  <c r="R1087" i="4"/>
  <c r="Q1087" i="4"/>
  <c r="N1087" i="4"/>
  <c r="O1087" i="4" s="1"/>
  <c r="A1087" i="4"/>
  <c r="S1086" i="4"/>
  <c r="R1086" i="4"/>
  <c r="Q1086" i="4"/>
  <c r="P1086" i="4" s="1"/>
  <c r="T1086" i="4" s="1"/>
  <c r="O1086" i="4"/>
  <c r="N1086" i="4"/>
  <c r="A1086" i="4"/>
  <c r="S1085" i="4"/>
  <c r="R1085" i="4"/>
  <c r="Q1085" i="4"/>
  <c r="N1085" i="4"/>
  <c r="O1085" i="4" s="1"/>
  <c r="A1085" i="4"/>
  <c r="S1084" i="4"/>
  <c r="R1084" i="4"/>
  <c r="Q1084" i="4"/>
  <c r="P1084" i="4" s="1"/>
  <c r="T1084" i="4" s="1"/>
  <c r="O1084" i="4"/>
  <c r="N1084" i="4"/>
  <c r="A1084" i="4"/>
  <c r="S1083" i="4"/>
  <c r="R1083" i="4"/>
  <c r="Q1083" i="4"/>
  <c r="N1083" i="4"/>
  <c r="O1083" i="4" s="1"/>
  <c r="A1083" i="4"/>
  <c r="S1082" i="4"/>
  <c r="R1082" i="4"/>
  <c r="Q1082" i="4"/>
  <c r="P1082" i="4" s="1"/>
  <c r="T1082" i="4" s="1"/>
  <c r="O1082" i="4"/>
  <c r="N1082" i="4"/>
  <c r="A1082" i="4"/>
  <c r="S1081" i="4"/>
  <c r="R1081" i="4"/>
  <c r="Q1081" i="4"/>
  <c r="N1081" i="4"/>
  <c r="O1081" i="4" s="1"/>
  <c r="A1081" i="4"/>
  <c r="S1080" i="4"/>
  <c r="R1080" i="4"/>
  <c r="Q1080" i="4"/>
  <c r="P1080" i="4" s="1"/>
  <c r="T1080" i="4" s="1"/>
  <c r="O1080" i="4"/>
  <c r="N1080" i="4"/>
  <c r="A1080" i="4"/>
  <c r="S1079" i="4"/>
  <c r="R1079" i="4"/>
  <c r="Q1079" i="4"/>
  <c r="N1079" i="4"/>
  <c r="O1079" i="4" s="1"/>
  <c r="A1079" i="4"/>
  <c r="S1078" i="4"/>
  <c r="R1078" i="4"/>
  <c r="Q1078" i="4"/>
  <c r="P1078" i="4" s="1"/>
  <c r="O1078" i="4"/>
  <c r="N1078" i="4"/>
  <c r="A1078" i="4"/>
  <c r="S1077" i="4"/>
  <c r="R1077" i="4"/>
  <c r="Q1077" i="4"/>
  <c r="N1077" i="4"/>
  <c r="O1077" i="4" s="1"/>
  <c r="A1077" i="4"/>
  <c r="S1076" i="4"/>
  <c r="R1076" i="4"/>
  <c r="Q1076" i="4"/>
  <c r="P1076" i="4" s="1"/>
  <c r="T1076" i="4" s="1"/>
  <c r="O1076" i="4"/>
  <c r="N1076" i="4"/>
  <c r="A1076" i="4"/>
  <c r="S1075" i="4"/>
  <c r="R1075" i="4"/>
  <c r="Q1075" i="4"/>
  <c r="N1075" i="4"/>
  <c r="O1075" i="4" s="1"/>
  <c r="A1075" i="4"/>
  <c r="S1074" i="4"/>
  <c r="R1074" i="4"/>
  <c r="Q1074" i="4"/>
  <c r="P1074" i="4" s="1"/>
  <c r="O1074" i="4"/>
  <c r="N1074" i="4"/>
  <c r="A1074" i="4"/>
  <c r="S1073" i="4"/>
  <c r="R1073" i="4"/>
  <c r="Q1073" i="4"/>
  <c r="N1073" i="4"/>
  <c r="O1073" i="4" s="1"/>
  <c r="A1073" i="4"/>
  <c r="S1072" i="4"/>
  <c r="R1072" i="4"/>
  <c r="Q1072" i="4"/>
  <c r="P1072" i="4" s="1"/>
  <c r="O1072" i="4"/>
  <c r="N1072" i="4"/>
  <c r="A1072" i="4"/>
  <c r="S1071" i="4"/>
  <c r="R1071" i="4"/>
  <c r="Q1071" i="4"/>
  <c r="N1071" i="4"/>
  <c r="O1071" i="4" s="1"/>
  <c r="A1071" i="4"/>
  <c r="S1070" i="4"/>
  <c r="R1070" i="4"/>
  <c r="Q1070" i="4"/>
  <c r="P1070" i="4" s="1"/>
  <c r="T1070" i="4" s="1"/>
  <c r="O1070" i="4"/>
  <c r="N1070" i="4"/>
  <c r="A1070" i="4"/>
  <c r="S1069" i="4"/>
  <c r="R1069" i="4"/>
  <c r="Q1069" i="4"/>
  <c r="N1069" i="4"/>
  <c r="O1069" i="4" s="1"/>
  <c r="A1069" i="4"/>
  <c r="S1068" i="4"/>
  <c r="R1068" i="4"/>
  <c r="Q1068" i="4"/>
  <c r="P1068" i="4" s="1"/>
  <c r="T1068" i="4" s="1"/>
  <c r="O1068" i="4"/>
  <c r="N1068" i="4"/>
  <c r="A1068" i="4"/>
  <c r="S1067" i="4"/>
  <c r="R1067" i="4"/>
  <c r="Q1067" i="4"/>
  <c r="N1067" i="4"/>
  <c r="O1067" i="4" s="1"/>
  <c r="A1067" i="4"/>
  <c r="S1066" i="4"/>
  <c r="R1066" i="4"/>
  <c r="Q1066" i="4"/>
  <c r="P1066" i="4" s="1"/>
  <c r="O1066" i="4"/>
  <c r="N1066" i="4"/>
  <c r="A1066" i="4"/>
  <c r="S1065" i="4"/>
  <c r="R1065" i="4"/>
  <c r="Q1065" i="4"/>
  <c r="N1065" i="4"/>
  <c r="O1065" i="4" s="1"/>
  <c r="A1065" i="4"/>
  <c r="S1064" i="4"/>
  <c r="R1064" i="4"/>
  <c r="Q1064" i="4"/>
  <c r="P1064" i="4" s="1"/>
  <c r="T1064" i="4" s="1"/>
  <c r="O1064" i="4"/>
  <c r="N1064" i="4"/>
  <c r="A1064" i="4"/>
  <c r="S1063" i="4"/>
  <c r="R1063" i="4"/>
  <c r="Q1063" i="4"/>
  <c r="N1063" i="4"/>
  <c r="O1063" i="4" s="1"/>
  <c r="A1063" i="4"/>
  <c r="S1062" i="4"/>
  <c r="R1062" i="4"/>
  <c r="Q1062" i="4"/>
  <c r="P1062" i="4" s="1"/>
  <c r="O1062" i="4"/>
  <c r="N1062" i="4"/>
  <c r="A1062" i="4"/>
  <c r="S1061" i="4"/>
  <c r="R1061" i="4"/>
  <c r="Q1061" i="4"/>
  <c r="N1061" i="4"/>
  <c r="O1061" i="4" s="1"/>
  <c r="A1061" i="4"/>
  <c r="S1060" i="4"/>
  <c r="R1060" i="4"/>
  <c r="Q1060" i="4"/>
  <c r="P1060" i="4" s="1"/>
  <c r="T1060" i="4" s="1"/>
  <c r="O1060" i="4"/>
  <c r="N1060" i="4"/>
  <c r="A1060" i="4"/>
  <c r="S1059" i="4"/>
  <c r="R1059" i="4"/>
  <c r="Q1059" i="4"/>
  <c r="N1059" i="4"/>
  <c r="O1059" i="4" s="1"/>
  <c r="A1059" i="4"/>
  <c r="S1058" i="4"/>
  <c r="R1058" i="4"/>
  <c r="Q1058" i="4"/>
  <c r="P1058" i="4" s="1"/>
  <c r="O1058" i="4"/>
  <c r="N1058" i="4"/>
  <c r="A1058" i="4"/>
  <c r="S1057" i="4"/>
  <c r="R1057" i="4"/>
  <c r="Q1057" i="4"/>
  <c r="N1057" i="4"/>
  <c r="O1057" i="4" s="1"/>
  <c r="A1057" i="4"/>
  <c r="S1056" i="4"/>
  <c r="R1056" i="4"/>
  <c r="Q1056" i="4"/>
  <c r="P1056" i="4" s="1"/>
  <c r="O1056" i="4"/>
  <c r="N1056" i="4"/>
  <c r="A1056" i="4"/>
  <c r="S1055" i="4"/>
  <c r="R1055" i="4"/>
  <c r="Q1055" i="4"/>
  <c r="N1055" i="4"/>
  <c r="O1055" i="4" s="1"/>
  <c r="A1055" i="4"/>
  <c r="S1054" i="4"/>
  <c r="R1054" i="4"/>
  <c r="Q1054" i="4"/>
  <c r="P1054" i="4" s="1"/>
  <c r="O1054" i="4"/>
  <c r="N1054" i="4"/>
  <c r="A1054" i="4"/>
  <c r="S1053" i="4"/>
  <c r="R1053" i="4"/>
  <c r="Q1053" i="4"/>
  <c r="N1053" i="4"/>
  <c r="O1053" i="4" s="1"/>
  <c r="A1053" i="4"/>
  <c r="S1052" i="4"/>
  <c r="R1052" i="4"/>
  <c r="Q1052" i="4"/>
  <c r="P1052" i="4" s="1"/>
  <c r="T1052" i="4" s="1"/>
  <c r="O1052" i="4"/>
  <c r="N1052" i="4"/>
  <c r="A1052" i="4"/>
  <c r="S1051" i="4"/>
  <c r="R1051" i="4"/>
  <c r="Q1051" i="4"/>
  <c r="N1051" i="4"/>
  <c r="O1051" i="4" s="1"/>
  <c r="A1051" i="4"/>
  <c r="S1050" i="4"/>
  <c r="R1050" i="4"/>
  <c r="Q1050" i="4"/>
  <c r="P1050" i="4" s="1"/>
  <c r="O1050" i="4"/>
  <c r="N1050" i="4"/>
  <c r="A1050" i="4"/>
  <c r="S1049" i="4"/>
  <c r="R1049" i="4"/>
  <c r="Q1049" i="4"/>
  <c r="N1049" i="4"/>
  <c r="O1049" i="4" s="1"/>
  <c r="A1049" i="4"/>
  <c r="S1048" i="4"/>
  <c r="R1048" i="4"/>
  <c r="Q1048" i="4"/>
  <c r="P1048" i="4" s="1"/>
  <c r="T1048" i="4" s="1"/>
  <c r="O1048" i="4"/>
  <c r="N1048" i="4"/>
  <c r="A1048" i="4"/>
  <c r="S1047" i="4"/>
  <c r="R1047" i="4"/>
  <c r="Q1047" i="4"/>
  <c r="N1047" i="4"/>
  <c r="O1047" i="4" s="1"/>
  <c r="A1047" i="4"/>
  <c r="S1046" i="4"/>
  <c r="R1046" i="4"/>
  <c r="Q1046" i="4"/>
  <c r="P1046" i="4" s="1"/>
  <c r="T1046" i="4" s="1"/>
  <c r="O1046" i="4"/>
  <c r="N1046" i="4"/>
  <c r="A1046" i="4"/>
  <c r="S1045" i="4"/>
  <c r="R1045" i="4"/>
  <c r="Q1045" i="4"/>
  <c r="N1045" i="4"/>
  <c r="O1045" i="4" s="1"/>
  <c r="A1045" i="4"/>
  <c r="S1044" i="4"/>
  <c r="R1044" i="4"/>
  <c r="Q1044" i="4"/>
  <c r="P1044" i="4" s="1"/>
  <c r="T1044" i="4" s="1"/>
  <c r="O1044" i="4"/>
  <c r="N1044" i="4"/>
  <c r="A1044" i="4"/>
  <c r="S1043" i="4"/>
  <c r="R1043" i="4"/>
  <c r="Q1043" i="4"/>
  <c r="N1043" i="4"/>
  <c r="O1043" i="4" s="1"/>
  <c r="A1043" i="4"/>
  <c r="S1042" i="4"/>
  <c r="R1042" i="4"/>
  <c r="Q1042" i="4"/>
  <c r="P1042" i="4" s="1"/>
  <c r="O1042" i="4"/>
  <c r="N1042" i="4"/>
  <c r="A1042" i="4"/>
  <c r="S1041" i="4"/>
  <c r="R1041" i="4"/>
  <c r="Q1041" i="4"/>
  <c r="N1041" i="4"/>
  <c r="O1041" i="4" s="1"/>
  <c r="A1041" i="4"/>
  <c r="S1040" i="4"/>
  <c r="R1040" i="4"/>
  <c r="Q1040" i="4"/>
  <c r="P1040" i="4" s="1"/>
  <c r="O1040" i="4"/>
  <c r="N1040" i="4"/>
  <c r="A1040" i="4"/>
  <c r="S1039" i="4"/>
  <c r="R1039" i="4"/>
  <c r="Q1039" i="4"/>
  <c r="N1039" i="4"/>
  <c r="O1039" i="4" s="1"/>
  <c r="A1039" i="4"/>
  <c r="S1038" i="4"/>
  <c r="R1038" i="4"/>
  <c r="Q1038" i="4"/>
  <c r="P1038" i="4" s="1"/>
  <c r="T1038" i="4" s="1"/>
  <c r="O1038" i="4"/>
  <c r="N1038" i="4"/>
  <c r="A1038" i="4"/>
  <c r="S1037" i="4"/>
  <c r="R1037" i="4"/>
  <c r="Q1037" i="4"/>
  <c r="N1037" i="4"/>
  <c r="O1037" i="4" s="1"/>
  <c r="A1037" i="4"/>
  <c r="S1036" i="4"/>
  <c r="R1036" i="4"/>
  <c r="Q1036" i="4"/>
  <c r="P1036" i="4" s="1"/>
  <c r="T1036" i="4" s="1"/>
  <c r="O1036" i="4"/>
  <c r="N1036" i="4"/>
  <c r="A1036" i="4"/>
  <c r="S1035" i="4"/>
  <c r="R1035" i="4"/>
  <c r="Q1035" i="4"/>
  <c r="N1035" i="4"/>
  <c r="O1035" i="4" s="1"/>
  <c r="A1035" i="4"/>
  <c r="S1034" i="4"/>
  <c r="R1034" i="4"/>
  <c r="Q1034" i="4"/>
  <c r="P1034" i="4" s="1"/>
  <c r="O1034" i="4"/>
  <c r="N1034" i="4"/>
  <c r="A1034" i="4"/>
  <c r="S1033" i="4"/>
  <c r="R1033" i="4"/>
  <c r="Q1033" i="4"/>
  <c r="N1033" i="4"/>
  <c r="O1033" i="4" s="1"/>
  <c r="A1033" i="4"/>
  <c r="S1032" i="4"/>
  <c r="R1032" i="4"/>
  <c r="Q1032" i="4"/>
  <c r="P1032" i="4" s="1"/>
  <c r="O1032" i="4"/>
  <c r="N1032" i="4"/>
  <c r="A1032" i="4"/>
  <c r="S1031" i="4"/>
  <c r="R1031" i="4"/>
  <c r="Q1031" i="4"/>
  <c r="N1031" i="4"/>
  <c r="O1031" i="4" s="1"/>
  <c r="A1031" i="4"/>
  <c r="S1030" i="4"/>
  <c r="R1030" i="4"/>
  <c r="Q1030" i="4"/>
  <c r="P1030" i="4" s="1"/>
  <c r="T1030" i="4" s="1"/>
  <c r="O1030" i="4"/>
  <c r="N1030" i="4"/>
  <c r="A1030" i="4"/>
  <c r="S1029" i="4"/>
  <c r="R1029" i="4"/>
  <c r="Q1029" i="4"/>
  <c r="N1029" i="4"/>
  <c r="O1029" i="4" s="1"/>
  <c r="A1029" i="4"/>
  <c r="S1028" i="4"/>
  <c r="R1028" i="4"/>
  <c r="Q1028" i="4"/>
  <c r="P1028" i="4" s="1"/>
  <c r="T1028" i="4" s="1"/>
  <c r="O1028" i="4"/>
  <c r="N1028" i="4"/>
  <c r="A1028" i="4"/>
  <c r="S1027" i="4"/>
  <c r="R1027" i="4"/>
  <c r="Q1027" i="4"/>
  <c r="N1027" i="4"/>
  <c r="O1027" i="4" s="1"/>
  <c r="A1027" i="4"/>
  <c r="S1026" i="4"/>
  <c r="R1026" i="4"/>
  <c r="Q1026" i="4"/>
  <c r="P1026" i="4" s="1"/>
  <c r="O1026" i="4"/>
  <c r="N1026" i="4"/>
  <c r="A1026" i="4"/>
  <c r="S1025" i="4"/>
  <c r="R1025" i="4"/>
  <c r="Q1025" i="4"/>
  <c r="N1025" i="4"/>
  <c r="O1025" i="4" s="1"/>
  <c r="A1025" i="4"/>
  <c r="S1024" i="4"/>
  <c r="P1024" i="4" s="1"/>
  <c r="T1024" i="4" s="1"/>
  <c r="R1024" i="4"/>
  <c r="Q1024" i="4"/>
  <c r="N1024" i="4"/>
  <c r="O1024" i="4" s="1"/>
  <c r="A1024" i="4"/>
  <c r="S1023" i="4"/>
  <c r="R1023" i="4"/>
  <c r="Q1023" i="4"/>
  <c r="P1023" i="4" s="1"/>
  <c r="T1023" i="4" s="1"/>
  <c r="N1023" i="4"/>
  <c r="O1023" i="4" s="1"/>
  <c r="A1023" i="4"/>
  <c r="S1022" i="4"/>
  <c r="P1022" i="4" s="1"/>
  <c r="T1022" i="4" s="1"/>
  <c r="R1022" i="4"/>
  <c r="Q1022" i="4"/>
  <c r="N1022" i="4"/>
  <c r="O1022" i="4" s="1"/>
  <c r="A1022" i="4"/>
  <c r="S1021" i="4"/>
  <c r="R1021" i="4"/>
  <c r="Q1021" i="4"/>
  <c r="P1021" i="4" s="1"/>
  <c r="T1021" i="4" s="1"/>
  <c r="N1021" i="4"/>
  <c r="O1021" i="4" s="1"/>
  <c r="A1021" i="4"/>
  <c r="S1020" i="4"/>
  <c r="R1020" i="4"/>
  <c r="Q1020" i="4"/>
  <c r="P1020" i="4"/>
  <c r="T1020" i="4" s="1"/>
  <c r="N1020" i="4"/>
  <c r="O1020" i="4" s="1"/>
  <c r="A1020" i="4"/>
  <c r="S1019" i="4"/>
  <c r="R1019" i="4"/>
  <c r="Q1019" i="4"/>
  <c r="N1019" i="4"/>
  <c r="O1019" i="4" s="1"/>
  <c r="A1019" i="4"/>
  <c r="S1018" i="4"/>
  <c r="R1018" i="4"/>
  <c r="Q1018" i="4"/>
  <c r="P1018" i="4"/>
  <c r="T1018" i="4" s="1"/>
  <c r="N1018" i="4"/>
  <c r="O1018" i="4" s="1"/>
  <c r="A1018" i="4"/>
  <c r="S1017" i="4"/>
  <c r="R1017" i="4"/>
  <c r="Q1017" i="4"/>
  <c r="N1017" i="4"/>
  <c r="O1017" i="4" s="1"/>
  <c r="A1017" i="4"/>
  <c r="S1016" i="4"/>
  <c r="P1016" i="4" s="1"/>
  <c r="T1016" i="4" s="1"/>
  <c r="R1016" i="4"/>
  <c r="Q1016" i="4"/>
  <c r="N1016" i="4"/>
  <c r="O1016" i="4" s="1"/>
  <c r="A1016" i="4"/>
  <c r="S1015" i="4"/>
  <c r="R1015" i="4"/>
  <c r="Q1015" i="4"/>
  <c r="P1015" i="4" s="1"/>
  <c r="T1015" i="4" s="1"/>
  <c r="N1015" i="4"/>
  <c r="O1015" i="4" s="1"/>
  <c r="A1015" i="4"/>
  <c r="S1014" i="4"/>
  <c r="P1014" i="4" s="1"/>
  <c r="T1014" i="4" s="1"/>
  <c r="R1014" i="4"/>
  <c r="Q1014" i="4"/>
  <c r="N1014" i="4"/>
  <c r="O1014" i="4" s="1"/>
  <c r="A1014" i="4"/>
  <c r="S1013" i="4"/>
  <c r="R1013" i="4"/>
  <c r="Q1013" i="4"/>
  <c r="P1013" i="4" s="1"/>
  <c r="T1013" i="4" s="1"/>
  <c r="N1013" i="4"/>
  <c r="O1013" i="4" s="1"/>
  <c r="A1013" i="4"/>
  <c r="S1012" i="4"/>
  <c r="R1012" i="4"/>
  <c r="Q1012" i="4"/>
  <c r="P1012" i="4"/>
  <c r="T1012" i="4" s="1"/>
  <c r="N1012" i="4"/>
  <c r="O1012" i="4" s="1"/>
  <c r="A1012" i="4"/>
  <c r="S1011" i="4"/>
  <c r="R1011" i="4"/>
  <c r="Q1011" i="4"/>
  <c r="N1011" i="4"/>
  <c r="O1011" i="4" s="1"/>
  <c r="A1011" i="4"/>
  <c r="S1010" i="4"/>
  <c r="R1010" i="4"/>
  <c r="Q1010" i="4"/>
  <c r="P1010" i="4"/>
  <c r="T1010" i="4" s="1"/>
  <c r="N1010" i="4"/>
  <c r="O1010" i="4" s="1"/>
  <c r="A1010" i="4"/>
  <c r="S1009" i="4"/>
  <c r="R1009" i="4"/>
  <c r="Q1009" i="4"/>
  <c r="N1009" i="4"/>
  <c r="O1009" i="4" s="1"/>
  <c r="A1009" i="4"/>
  <c r="S1008" i="4"/>
  <c r="P1008" i="4" s="1"/>
  <c r="T1008" i="4" s="1"/>
  <c r="R1008" i="4"/>
  <c r="Q1008" i="4"/>
  <c r="N1008" i="4"/>
  <c r="O1008" i="4" s="1"/>
  <c r="A1008" i="4"/>
  <c r="S1007" i="4"/>
  <c r="R1007" i="4"/>
  <c r="Q1007" i="4"/>
  <c r="P1007" i="4" s="1"/>
  <c r="T1007" i="4" s="1"/>
  <c r="N1007" i="4"/>
  <c r="O1007" i="4" s="1"/>
  <c r="A1007" i="4"/>
  <c r="S1006" i="4"/>
  <c r="P1006" i="4" s="1"/>
  <c r="T1006" i="4" s="1"/>
  <c r="R1006" i="4"/>
  <c r="Q1006" i="4"/>
  <c r="N1006" i="4"/>
  <c r="O1006" i="4" s="1"/>
  <c r="A1006" i="4"/>
  <c r="S1005" i="4"/>
  <c r="R1005" i="4"/>
  <c r="Q1005" i="4"/>
  <c r="P1005" i="4" s="1"/>
  <c r="T1005" i="4" s="1"/>
  <c r="N1005" i="4"/>
  <c r="O1005" i="4" s="1"/>
  <c r="A1005" i="4"/>
  <c r="S1004" i="4"/>
  <c r="R1004" i="4"/>
  <c r="Q1004" i="4"/>
  <c r="P1004" i="4"/>
  <c r="T1004" i="4" s="1"/>
  <c r="N1004" i="4"/>
  <c r="O1004" i="4" s="1"/>
  <c r="A1004" i="4"/>
  <c r="S1003" i="4"/>
  <c r="R1003" i="4"/>
  <c r="Q1003" i="4"/>
  <c r="N1003" i="4"/>
  <c r="O1003" i="4" s="1"/>
  <c r="A1003" i="4"/>
  <c r="S1002" i="4"/>
  <c r="R1002" i="4"/>
  <c r="Q1002" i="4"/>
  <c r="P1002" i="4"/>
  <c r="T1002" i="4" s="1"/>
  <c r="N1002" i="4"/>
  <c r="O1002" i="4" s="1"/>
  <c r="A1002" i="4"/>
  <c r="S1001" i="4"/>
  <c r="R1001" i="4"/>
  <c r="Q1001" i="4"/>
  <c r="N1001" i="4"/>
  <c r="O1001" i="4" s="1"/>
  <c r="A1001" i="4"/>
  <c r="S1000" i="4"/>
  <c r="P1000" i="4" s="1"/>
  <c r="T1000" i="4" s="1"/>
  <c r="R1000" i="4"/>
  <c r="Q1000" i="4"/>
  <c r="N1000" i="4"/>
  <c r="O1000" i="4" s="1"/>
  <c r="A1000" i="4"/>
  <c r="S999" i="4"/>
  <c r="R999" i="4"/>
  <c r="Q999" i="4"/>
  <c r="P999" i="4" s="1"/>
  <c r="T999" i="4" s="1"/>
  <c r="N999" i="4"/>
  <c r="O999" i="4" s="1"/>
  <c r="A999" i="4"/>
  <c r="S998" i="4"/>
  <c r="P998" i="4" s="1"/>
  <c r="T998" i="4" s="1"/>
  <c r="R998" i="4"/>
  <c r="Q998" i="4"/>
  <c r="N998" i="4"/>
  <c r="O998" i="4" s="1"/>
  <c r="A998" i="4"/>
  <c r="S997" i="4"/>
  <c r="R997" i="4"/>
  <c r="Q997" i="4"/>
  <c r="P997" i="4" s="1"/>
  <c r="T997" i="4" s="1"/>
  <c r="N997" i="4"/>
  <c r="O997" i="4" s="1"/>
  <c r="A997" i="4"/>
  <c r="S996" i="4"/>
  <c r="R996" i="4"/>
  <c r="Q996" i="4"/>
  <c r="P996" i="4"/>
  <c r="T996" i="4" s="1"/>
  <c r="N996" i="4"/>
  <c r="O996" i="4" s="1"/>
  <c r="A996" i="4"/>
  <c r="S995" i="4"/>
  <c r="R995" i="4"/>
  <c r="Q995" i="4"/>
  <c r="N995" i="4"/>
  <c r="O995" i="4" s="1"/>
  <c r="A995" i="4"/>
  <c r="S994" i="4"/>
  <c r="R994" i="4"/>
  <c r="Q994" i="4"/>
  <c r="P994" i="4"/>
  <c r="T994" i="4" s="1"/>
  <c r="N994" i="4"/>
  <c r="O994" i="4" s="1"/>
  <c r="A994" i="4"/>
  <c r="S993" i="4"/>
  <c r="R993" i="4"/>
  <c r="Q993" i="4"/>
  <c r="N993" i="4"/>
  <c r="O993" i="4" s="1"/>
  <c r="A993" i="4"/>
  <c r="S992" i="4"/>
  <c r="P992" i="4" s="1"/>
  <c r="T992" i="4" s="1"/>
  <c r="R992" i="4"/>
  <c r="Q992" i="4"/>
  <c r="N992" i="4"/>
  <c r="O992" i="4" s="1"/>
  <c r="A992" i="4"/>
  <c r="S991" i="4"/>
  <c r="R991" i="4"/>
  <c r="Q991" i="4"/>
  <c r="P991" i="4" s="1"/>
  <c r="T991" i="4" s="1"/>
  <c r="N991" i="4"/>
  <c r="O991" i="4" s="1"/>
  <c r="A991" i="4"/>
  <c r="S990" i="4"/>
  <c r="P990" i="4" s="1"/>
  <c r="T990" i="4" s="1"/>
  <c r="R990" i="4"/>
  <c r="Q990" i="4"/>
  <c r="N990" i="4"/>
  <c r="O990" i="4" s="1"/>
  <c r="A990" i="4"/>
  <c r="S989" i="4"/>
  <c r="R989" i="4"/>
  <c r="Q989" i="4"/>
  <c r="P989" i="4" s="1"/>
  <c r="T989" i="4" s="1"/>
  <c r="N989" i="4"/>
  <c r="O989" i="4" s="1"/>
  <c r="A989" i="4"/>
  <c r="S988" i="4"/>
  <c r="R988" i="4"/>
  <c r="Q988" i="4"/>
  <c r="P988" i="4"/>
  <c r="T988" i="4" s="1"/>
  <c r="N988" i="4"/>
  <c r="O988" i="4" s="1"/>
  <c r="A988" i="4"/>
  <c r="S987" i="4"/>
  <c r="R987" i="4"/>
  <c r="Q987" i="4"/>
  <c r="N987" i="4"/>
  <c r="O987" i="4" s="1"/>
  <c r="A987" i="4"/>
  <c r="S986" i="4"/>
  <c r="R986" i="4"/>
  <c r="Q986" i="4"/>
  <c r="P986" i="4"/>
  <c r="T986" i="4" s="1"/>
  <c r="N986" i="4"/>
  <c r="O986" i="4" s="1"/>
  <c r="A986" i="4"/>
  <c r="S985" i="4"/>
  <c r="R985" i="4"/>
  <c r="Q985" i="4"/>
  <c r="N985" i="4"/>
  <c r="O985" i="4" s="1"/>
  <c r="A985" i="4"/>
  <c r="S984" i="4"/>
  <c r="P984" i="4" s="1"/>
  <c r="T984" i="4" s="1"/>
  <c r="R984" i="4"/>
  <c r="Q984" i="4"/>
  <c r="N984" i="4"/>
  <c r="O984" i="4" s="1"/>
  <c r="A984" i="4"/>
  <c r="S983" i="4"/>
  <c r="R983" i="4"/>
  <c r="Q983" i="4"/>
  <c r="P983" i="4" s="1"/>
  <c r="T983" i="4" s="1"/>
  <c r="N983" i="4"/>
  <c r="O983" i="4" s="1"/>
  <c r="A983" i="4"/>
  <c r="S982" i="4"/>
  <c r="P982" i="4" s="1"/>
  <c r="T982" i="4" s="1"/>
  <c r="R982" i="4"/>
  <c r="Q982" i="4"/>
  <c r="N982" i="4"/>
  <c r="O982" i="4" s="1"/>
  <c r="A982" i="4"/>
  <c r="S981" i="4"/>
  <c r="R981" i="4"/>
  <c r="Q981" i="4"/>
  <c r="P981" i="4" s="1"/>
  <c r="T981" i="4" s="1"/>
  <c r="N981" i="4"/>
  <c r="O981" i="4" s="1"/>
  <c r="A981" i="4"/>
  <c r="S980" i="4"/>
  <c r="R980" i="4"/>
  <c r="Q980" i="4"/>
  <c r="P980" i="4"/>
  <c r="T980" i="4" s="1"/>
  <c r="N980" i="4"/>
  <c r="O980" i="4" s="1"/>
  <c r="A980" i="4"/>
  <c r="S979" i="4"/>
  <c r="R979" i="4"/>
  <c r="Q979" i="4"/>
  <c r="N979" i="4"/>
  <c r="O979" i="4" s="1"/>
  <c r="A979" i="4"/>
  <c r="S978" i="4"/>
  <c r="R978" i="4"/>
  <c r="Q978" i="4"/>
  <c r="P978" i="4"/>
  <c r="T978" i="4" s="1"/>
  <c r="N978" i="4"/>
  <c r="O978" i="4" s="1"/>
  <c r="A978" i="4"/>
  <c r="S977" i="4"/>
  <c r="R977" i="4"/>
  <c r="Q977" i="4"/>
  <c r="N977" i="4"/>
  <c r="O977" i="4" s="1"/>
  <c r="A977" i="4"/>
  <c r="S976" i="4"/>
  <c r="P976" i="4" s="1"/>
  <c r="T976" i="4" s="1"/>
  <c r="R976" i="4"/>
  <c r="Q976" i="4"/>
  <c r="N976" i="4"/>
  <c r="O976" i="4" s="1"/>
  <c r="A976" i="4"/>
  <c r="S975" i="4"/>
  <c r="R975" i="4"/>
  <c r="Q975" i="4"/>
  <c r="P975" i="4" s="1"/>
  <c r="T975" i="4" s="1"/>
  <c r="N975" i="4"/>
  <c r="O975" i="4" s="1"/>
  <c r="A975" i="4"/>
  <c r="S974" i="4"/>
  <c r="P974" i="4" s="1"/>
  <c r="T974" i="4" s="1"/>
  <c r="R974" i="4"/>
  <c r="Q974" i="4"/>
  <c r="N974" i="4"/>
  <c r="O974" i="4" s="1"/>
  <c r="A974" i="4"/>
  <c r="S973" i="4"/>
  <c r="R973" i="4"/>
  <c r="Q973" i="4"/>
  <c r="P973" i="4" s="1"/>
  <c r="T973" i="4" s="1"/>
  <c r="N973" i="4"/>
  <c r="O973" i="4" s="1"/>
  <c r="A973" i="4"/>
  <c r="S972" i="4"/>
  <c r="R972" i="4"/>
  <c r="Q972" i="4"/>
  <c r="P972" i="4"/>
  <c r="T972" i="4" s="1"/>
  <c r="N972" i="4"/>
  <c r="O972" i="4" s="1"/>
  <c r="A972" i="4"/>
  <c r="S971" i="4"/>
  <c r="R971" i="4"/>
  <c r="Q971" i="4"/>
  <c r="N971" i="4"/>
  <c r="O971" i="4" s="1"/>
  <c r="A971" i="4"/>
  <c r="S970" i="4"/>
  <c r="R970" i="4"/>
  <c r="Q970" i="4"/>
  <c r="P970" i="4"/>
  <c r="T970" i="4" s="1"/>
  <c r="N970" i="4"/>
  <c r="O970" i="4" s="1"/>
  <c r="A970" i="4"/>
  <c r="S969" i="4"/>
  <c r="R969" i="4"/>
  <c r="Q969" i="4"/>
  <c r="N969" i="4"/>
  <c r="O969" i="4" s="1"/>
  <c r="A969" i="4"/>
  <c r="S968" i="4"/>
  <c r="P968" i="4" s="1"/>
  <c r="T968" i="4" s="1"/>
  <c r="R968" i="4"/>
  <c r="Q968" i="4"/>
  <c r="N968" i="4"/>
  <c r="O968" i="4" s="1"/>
  <c r="A968" i="4"/>
  <c r="S967" i="4"/>
  <c r="R967" i="4"/>
  <c r="Q967" i="4"/>
  <c r="P967" i="4" s="1"/>
  <c r="T967" i="4" s="1"/>
  <c r="N967" i="4"/>
  <c r="O967" i="4" s="1"/>
  <c r="A967" i="4"/>
  <c r="S966" i="4"/>
  <c r="P966" i="4" s="1"/>
  <c r="T966" i="4" s="1"/>
  <c r="R966" i="4"/>
  <c r="Q966" i="4"/>
  <c r="N966" i="4"/>
  <c r="O966" i="4" s="1"/>
  <c r="A966" i="4"/>
  <c r="S965" i="4"/>
  <c r="R965" i="4"/>
  <c r="Q965" i="4"/>
  <c r="P965" i="4" s="1"/>
  <c r="T965" i="4" s="1"/>
  <c r="N965" i="4"/>
  <c r="O965" i="4" s="1"/>
  <c r="A965" i="4"/>
  <c r="S964" i="4"/>
  <c r="R964" i="4"/>
  <c r="Q964" i="4"/>
  <c r="P964" i="4"/>
  <c r="T964" i="4" s="1"/>
  <c r="N964" i="4"/>
  <c r="O964" i="4" s="1"/>
  <c r="A964" i="4"/>
  <c r="S963" i="4"/>
  <c r="R963" i="4"/>
  <c r="Q963" i="4"/>
  <c r="N963" i="4"/>
  <c r="O963" i="4" s="1"/>
  <c r="A963" i="4"/>
  <c r="S962" i="4"/>
  <c r="R962" i="4"/>
  <c r="Q962" i="4"/>
  <c r="P962" i="4"/>
  <c r="T962" i="4" s="1"/>
  <c r="N962" i="4"/>
  <c r="O962" i="4" s="1"/>
  <c r="A962" i="4"/>
  <c r="S961" i="4"/>
  <c r="R961" i="4"/>
  <c r="Q961" i="4"/>
  <c r="N961" i="4"/>
  <c r="O961" i="4" s="1"/>
  <c r="A961" i="4"/>
  <c r="S960" i="4"/>
  <c r="P960" i="4" s="1"/>
  <c r="T960" i="4" s="1"/>
  <c r="R960" i="4"/>
  <c r="Q960" i="4"/>
  <c r="N960" i="4"/>
  <c r="O960" i="4" s="1"/>
  <c r="A960" i="4"/>
  <c r="S959" i="4"/>
  <c r="R959" i="4"/>
  <c r="Q959" i="4"/>
  <c r="P959" i="4" s="1"/>
  <c r="T959" i="4" s="1"/>
  <c r="N959" i="4"/>
  <c r="O959" i="4" s="1"/>
  <c r="A959" i="4"/>
  <c r="S958" i="4"/>
  <c r="P958" i="4" s="1"/>
  <c r="T958" i="4" s="1"/>
  <c r="R958" i="4"/>
  <c r="Q958" i="4"/>
  <c r="N958" i="4"/>
  <c r="O958" i="4" s="1"/>
  <c r="A958" i="4"/>
  <c r="S957" i="4"/>
  <c r="R957" i="4"/>
  <c r="Q957" i="4"/>
  <c r="P957" i="4" s="1"/>
  <c r="T957" i="4" s="1"/>
  <c r="N957" i="4"/>
  <c r="O957" i="4" s="1"/>
  <c r="A957" i="4"/>
  <c r="S956" i="4"/>
  <c r="R956" i="4"/>
  <c r="Q956" i="4"/>
  <c r="P956" i="4"/>
  <c r="T956" i="4" s="1"/>
  <c r="N956" i="4"/>
  <c r="O956" i="4" s="1"/>
  <c r="A956" i="4"/>
  <c r="S955" i="4"/>
  <c r="R955" i="4"/>
  <c r="Q955" i="4"/>
  <c r="N955" i="4"/>
  <c r="O955" i="4" s="1"/>
  <c r="A955" i="4"/>
  <c r="S954" i="4"/>
  <c r="R954" i="4"/>
  <c r="Q954" i="4"/>
  <c r="P954" i="4"/>
  <c r="T954" i="4" s="1"/>
  <c r="N954" i="4"/>
  <c r="O954" i="4" s="1"/>
  <c r="A954" i="4"/>
  <c r="S953" i="4"/>
  <c r="R953" i="4"/>
  <c r="Q953" i="4"/>
  <c r="N953" i="4"/>
  <c r="O953" i="4" s="1"/>
  <c r="A953" i="4"/>
  <c r="S952" i="4"/>
  <c r="P952" i="4" s="1"/>
  <c r="T952" i="4" s="1"/>
  <c r="R952" i="4"/>
  <c r="Q952" i="4"/>
  <c r="N952" i="4"/>
  <c r="O952" i="4" s="1"/>
  <c r="A952" i="4"/>
  <c r="S951" i="4"/>
  <c r="R951" i="4"/>
  <c r="Q951" i="4"/>
  <c r="P951" i="4" s="1"/>
  <c r="T951" i="4" s="1"/>
  <c r="N951" i="4"/>
  <c r="O951" i="4" s="1"/>
  <c r="A951" i="4"/>
  <c r="S950" i="4"/>
  <c r="P950" i="4" s="1"/>
  <c r="T950" i="4" s="1"/>
  <c r="R950" i="4"/>
  <c r="Q950" i="4"/>
  <c r="N950" i="4"/>
  <c r="O950" i="4" s="1"/>
  <c r="A950" i="4"/>
  <c r="S949" i="4"/>
  <c r="R949" i="4"/>
  <c r="Q949" i="4"/>
  <c r="P949" i="4" s="1"/>
  <c r="T949" i="4" s="1"/>
  <c r="N949" i="4"/>
  <c r="O949" i="4" s="1"/>
  <c r="A949" i="4"/>
  <c r="S948" i="4"/>
  <c r="R948" i="4"/>
  <c r="Q948" i="4"/>
  <c r="P948" i="4"/>
  <c r="T948" i="4" s="1"/>
  <c r="N948" i="4"/>
  <c r="O948" i="4" s="1"/>
  <c r="A948" i="4"/>
  <c r="S947" i="4"/>
  <c r="R947" i="4"/>
  <c r="Q947" i="4"/>
  <c r="N947" i="4"/>
  <c r="O947" i="4" s="1"/>
  <c r="A947" i="4"/>
  <c r="S946" i="4"/>
  <c r="R946" i="4"/>
  <c r="Q946" i="4"/>
  <c r="P946" i="4"/>
  <c r="T946" i="4" s="1"/>
  <c r="N946" i="4"/>
  <c r="O946" i="4" s="1"/>
  <c r="A946" i="4"/>
  <c r="S945" i="4"/>
  <c r="R945" i="4"/>
  <c r="Q945" i="4"/>
  <c r="N945" i="4"/>
  <c r="O945" i="4" s="1"/>
  <c r="A945" i="4"/>
  <c r="S944" i="4"/>
  <c r="P944" i="4" s="1"/>
  <c r="T944" i="4" s="1"/>
  <c r="R944" i="4"/>
  <c r="Q944" i="4"/>
  <c r="N944" i="4"/>
  <c r="O944" i="4" s="1"/>
  <c r="A944" i="4"/>
  <c r="S943" i="4"/>
  <c r="R943" i="4"/>
  <c r="Q943" i="4"/>
  <c r="P943" i="4" s="1"/>
  <c r="T943" i="4" s="1"/>
  <c r="N943" i="4"/>
  <c r="O943" i="4" s="1"/>
  <c r="A943" i="4"/>
  <c r="S942" i="4"/>
  <c r="P942" i="4" s="1"/>
  <c r="T942" i="4" s="1"/>
  <c r="R942" i="4"/>
  <c r="Q942" i="4"/>
  <c r="N942" i="4"/>
  <c r="O942" i="4" s="1"/>
  <c r="A942" i="4"/>
  <c r="S941" i="4"/>
  <c r="R941" i="4"/>
  <c r="Q941" i="4"/>
  <c r="P941" i="4" s="1"/>
  <c r="T941" i="4" s="1"/>
  <c r="N941" i="4"/>
  <c r="O941" i="4" s="1"/>
  <c r="A941" i="4"/>
  <c r="S940" i="4"/>
  <c r="R940" i="4"/>
  <c r="Q940" i="4"/>
  <c r="P940" i="4"/>
  <c r="T940" i="4" s="1"/>
  <c r="N940" i="4"/>
  <c r="O940" i="4" s="1"/>
  <c r="A940" i="4"/>
  <c r="S939" i="4"/>
  <c r="R939" i="4"/>
  <c r="Q939" i="4"/>
  <c r="N939" i="4"/>
  <c r="O939" i="4" s="1"/>
  <c r="A939" i="4"/>
  <c r="S938" i="4"/>
  <c r="R938" i="4"/>
  <c r="Q938" i="4"/>
  <c r="P938" i="4"/>
  <c r="T938" i="4" s="1"/>
  <c r="N938" i="4"/>
  <c r="O938" i="4" s="1"/>
  <c r="A938" i="4"/>
  <c r="S937" i="4"/>
  <c r="R937" i="4"/>
  <c r="Q937" i="4"/>
  <c r="N937" i="4"/>
  <c r="O937" i="4" s="1"/>
  <c r="A937" i="4"/>
  <c r="S936" i="4"/>
  <c r="P936" i="4" s="1"/>
  <c r="T936" i="4" s="1"/>
  <c r="R936" i="4"/>
  <c r="Q936" i="4"/>
  <c r="N936" i="4"/>
  <c r="O936" i="4" s="1"/>
  <c r="A936" i="4"/>
  <c r="S935" i="4"/>
  <c r="R935" i="4"/>
  <c r="Q935" i="4"/>
  <c r="P935" i="4" s="1"/>
  <c r="T935" i="4" s="1"/>
  <c r="N935" i="4"/>
  <c r="O935" i="4" s="1"/>
  <c r="A935" i="4"/>
  <c r="S934" i="4"/>
  <c r="P934" i="4" s="1"/>
  <c r="T934" i="4" s="1"/>
  <c r="R934" i="4"/>
  <c r="Q934" i="4"/>
  <c r="N934" i="4"/>
  <c r="O934" i="4" s="1"/>
  <c r="A934" i="4"/>
  <c r="S933" i="4"/>
  <c r="R933" i="4"/>
  <c r="Q933" i="4"/>
  <c r="P933" i="4" s="1"/>
  <c r="T933" i="4" s="1"/>
  <c r="N933" i="4"/>
  <c r="O933" i="4" s="1"/>
  <c r="A933" i="4"/>
  <c r="S932" i="4"/>
  <c r="R932" i="4"/>
  <c r="Q932" i="4"/>
  <c r="P932" i="4"/>
  <c r="T932" i="4" s="1"/>
  <c r="N932" i="4"/>
  <c r="O932" i="4" s="1"/>
  <c r="A932" i="4"/>
  <c r="S931" i="4"/>
  <c r="R931" i="4"/>
  <c r="Q931" i="4"/>
  <c r="N931" i="4"/>
  <c r="O931" i="4" s="1"/>
  <c r="A931" i="4"/>
  <c r="S930" i="4"/>
  <c r="R930" i="4"/>
  <c r="Q930" i="4"/>
  <c r="P930" i="4"/>
  <c r="T930" i="4" s="1"/>
  <c r="N930" i="4"/>
  <c r="O930" i="4" s="1"/>
  <c r="A930" i="4"/>
  <c r="S929" i="4"/>
  <c r="R929" i="4"/>
  <c r="Q929" i="4"/>
  <c r="N929" i="4"/>
  <c r="O929" i="4" s="1"/>
  <c r="A929" i="4"/>
  <c r="S928" i="4"/>
  <c r="P928" i="4" s="1"/>
  <c r="T928" i="4" s="1"/>
  <c r="R928" i="4"/>
  <c r="Q928" i="4"/>
  <c r="N928" i="4"/>
  <c r="O928" i="4" s="1"/>
  <c r="A928" i="4"/>
  <c r="S927" i="4"/>
  <c r="R927" i="4"/>
  <c r="Q927" i="4"/>
  <c r="P927" i="4" s="1"/>
  <c r="T927" i="4" s="1"/>
  <c r="N927" i="4"/>
  <c r="O927" i="4" s="1"/>
  <c r="A927" i="4"/>
  <c r="S926" i="4"/>
  <c r="P926" i="4" s="1"/>
  <c r="T926" i="4" s="1"/>
  <c r="R926" i="4"/>
  <c r="Q926" i="4"/>
  <c r="N926" i="4"/>
  <c r="O926" i="4" s="1"/>
  <c r="A926" i="4"/>
  <c r="S925" i="4"/>
  <c r="R925" i="4"/>
  <c r="Q925" i="4"/>
  <c r="P925" i="4" s="1"/>
  <c r="T925" i="4" s="1"/>
  <c r="N925" i="4"/>
  <c r="O925" i="4" s="1"/>
  <c r="A925" i="4"/>
  <c r="S924" i="4"/>
  <c r="R924" i="4"/>
  <c r="Q924" i="4"/>
  <c r="P924" i="4"/>
  <c r="T924" i="4" s="1"/>
  <c r="N924" i="4"/>
  <c r="O924" i="4" s="1"/>
  <c r="A924" i="4"/>
  <c r="S923" i="4"/>
  <c r="R923" i="4"/>
  <c r="Q923" i="4"/>
  <c r="N923" i="4"/>
  <c r="O923" i="4" s="1"/>
  <c r="A923" i="4"/>
  <c r="S922" i="4"/>
  <c r="R922" i="4"/>
  <c r="Q922" i="4"/>
  <c r="P922" i="4"/>
  <c r="T922" i="4" s="1"/>
  <c r="N922" i="4"/>
  <c r="O922" i="4" s="1"/>
  <c r="A922" i="4"/>
  <c r="S921" i="4"/>
  <c r="R921" i="4"/>
  <c r="Q921" i="4"/>
  <c r="N921" i="4"/>
  <c r="O921" i="4" s="1"/>
  <c r="A921" i="4"/>
  <c r="S920" i="4"/>
  <c r="P920" i="4" s="1"/>
  <c r="T920" i="4" s="1"/>
  <c r="R920" i="4"/>
  <c r="Q920" i="4"/>
  <c r="N920" i="4"/>
  <c r="O920" i="4" s="1"/>
  <c r="A920" i="4"/>
  <c r="S919" i="4"/>
  <c r="R919" i="4"/>
  <c r="Q919" i="4"/>
  <c r="P919" i="4" s="1"/>
  <c r="T919" i="4" s="1"/>
  <c r="N919" i="4"/>
  <c r="O919" i="4" s="1"/>
  <c r="A919" i="4"/>
  <c r="S918" i="4"/>
  <c r="P918" i="4" s="1"/>
  <c r="T918" i="4" s="1"/>
  <c r="R918" i="4"/>
  <c r="Q918" i="4"/>
  <c r="N918" i="4"/>
  <c r="O918" i="4" s="1"/>
  <c r="A918" i="4"/>
  <c r="S917" i="4"/>
  <c r="R917" i="4"/>
  <c r="Q917" i="4"/>
  <c r="P917" i="4" s="1"/>
  <c r="T917" i="4" s="1"/>
  <c r="N917" i="4"/>
  <c r="O917" i="4" s="1"/>
  <c r="A917" i="4"/>
  <c r="S916" i="4"/>
  <c r="R916" i="4"/>
  <c r="Q916" i="4"/>
  <c r="P916" i="4"/>
  <c r="T916" i="4" s="1"/>
  <c r="N916" i="4"/>
  <c r="O916" i="4" s="1"/>
  <c r="A916" i="4"/>
  <c r="S915" i="4"/>
  <c r="R915" i="4"/>
  <c r="Q915" i="4"/>
  <c r="N915" i="4"/>
  <c r="O915" i="4" s="1"/>
  <c r="A915" i="4"/>
  <c r="S914" i="4"/>
  <c r="R914" i="4"/>
  <c r="Q914" i="4"/>
  <c r="P914" i="4"/>
  <c r="T914" i="4" s="1"/>
  <c r="N914" i="4"/>
  <c r="O914" i="4" s="1"/>
  <c r="A914" i="4"/>
  <c r="S913" i="4"/>
  <c r="R913" i="4"/>
  <c r="Q913" i="4"/>
  <c r="N913" i="4"/>
  <c r="O913" i="4" s="1"/>
  <c r="A913" i="4"/>
  <c r="S912" i="4"/>
  <c r="P912" i="4" s="1"/>
  <c r="T912" i="4" s="1"/>
  <c r="R912" i="4"/>
  <c r="Q912" i="4"/>
  <c r="N912" i="4"/>
  <c r="O912" i="4" s="1"/>
  <c r="A912" i="4"/>
  <c r="S911" i="4"/>
  <c r="R911" i="4"/>
  <c r="Q911" i="4"/>
  <c r="P911" i="4" s="1"/>
  <c r="T911" i="4" s="1"/>
  <c r="N911" i="4"/>
  <c r="O911" i="4" s="1"/>
  <c r="A911" i="4"/>
  <c r="S910" i="4"/>
  <c r="P910" i="4" s="1"/>
  <c r="T910" i="4" s="1"/>
  <c r="R910" i="4"/>
  <c r="Q910" i="4"/>
  <c r="N910" i="4"/>
  <c r="O910" i="4" s="1"/>
  <c r="A910" i="4"/>
  <c r="S909" i="4"/>
  <c r="R909" i="4"/>
  <c r="Q909" i="4"/>
  <c r="P909" i="4" s="1"/>
  <c r="T909" i="4" s="1"/>
  <c r="N909" i="4"/>
  <c r="O909" i="4" s="1"/>
  <c r="A909" i="4"/>
  <c r="S908" i="4"/>
  <c r="R908" i="4"/>
  <c r="Q908" i="4"/>
  <c r="P908" i="4"/>
  <c r="T908" i="4" s="1"/>
  <c r="N908" i="4"/>
  <c r="O908" i="4" s="1"/>
  <c r="A908" i="4"/>
  <c r="S907" i="4"/>
  <c r="R907" i="4"/>
  <c r="Q907" i="4"/>
  <c r="N907" i="4"/>
  <c r="O907" i="4" s="1"/>
  <c r="A907" i="4"/>
  <c r="S906" i="4"/>
  <c r="R906" i="4"/>
  <c r="Q906" i="4"/>
  <c r="P906" i="4"/>
  <c r="T906" i="4" s="1"/>
  <c r="N906" i="4"/>
  <c r="O906" i="4" s="1"/>
  <c r="A906" i="4"/>
  <c r="S905" i="4"/>
  <c r="R905" i="4"/>
  <c r="Q905" i="4"/>
  <c r="N905" i="4"/>
  <c r="O905" i="4" s="1"/>
  <c r="A905" i="4"/>
  <c r="S904" i="4"/>
  <c r="P904" i="4" s="1"/>
  <c r="T904" i="4" s="1"/>
  <c r="R904" i="4"/>
  <c r="Q904" i="4"/>
  <c r="N904" i="4"/>
  <c r="O904" i="4" s="1"/>
  <c r="A904" i="4"/>
  <c r="S903" i="4"/>
  <c r="R903" i="4"/>
  <c r="Q903" i="4"/>
  <c r="P903" i="4" s="1"/>
  <c r="T903" i="4" s="1"/>
  <c r="N903" i="4"/>
  <c r="O903" i="4" s="1"/>
  <c r="A903" i="4"/>
  <c r="S902" i="4"/>
  <c r="P902" i="4" s="1"/>
  <c r="T902" i="4" s="1"/>
  <c r="R902" i="4"/>
  <c r="Q902" i="4"/>
  <c r="N902" i="4"/>
  <c r="O902" i="4" s="1"/>
  <c r="A902" i="4"/>
  <c r="S901" i="4"/>
  <c r="R901" i="4"/>
  <c r="Q901" i="4"/>
  <c r="P901" i="4" s="1"/>
  <c r="T901" i="4" s="1"/>
  <c r="N901" i="4"/>
  <c r="O901" i="4" s="1"/>
  <c r="A901" i="4"/>
  <c r="S900" i="4"/>
  <c r="R900" i="4"/>
  <c r="Q900" i="4"/>
  <c r="P900" i="4"/>
  <c r="T900" i="4" s="1"/>
  <c r="N900" i="4"/>
  <c r="O900" i="4" s="1"/>
  <c r="A900" i="4"/>
  <c r="S899" i="4"/>
  <c r="R899" i="4"/>
  <c r="Q899" i="4"/>
  <c r="N899" i="4"/>
  <c r="O899" i="4" s="1"/>
  <c r="A899" i="4"/>
  <c r="S898" i="4"/>
  <c r="R898" i="4"/>
  <c r="Q898" i="4"/>
  <c r="P898" i="4"/>
  <c r="T898" i="4" s="1"/>
  <c r="N898" i="4"/>
  <c r="O898" i="4" s="1"/>
  <c r="A898" i="4"/>
  <c r="S897" i="4"/>
  <c r="R897" i="4"/>
  <c r="Q897" i="4"/>
  <c r="N897" i="4"/>
  <c r="O897" i="4" s="1"/>
  <c r="A897" i="4"/>
  <c r="S896" i="4"/>
  <c r="P896" i="4" s="1"/>
  <c r="T896" i="4" s="1"/>
  <c r="R896" i="4"/>
  <c r="Q896" i="4"/>
  <c r="N896" i="4"/>
  <c r="O896" i="4" s="1"/>
  <c r="A896" i="4"/>
  <c r="S895" i="4"/>
  <c r="R895" i="4"/>
  <c r="Q895" i="4"/>
  <c r="P895" i="4" s="1"/>
  <c r="T895" i="4" s="1"/>
  <c r="N895" i="4"/>
  <c r="O895" i="4" s="1"/>
  <c r="A895" i="4"/>
  <c r="S894" i="4"/>
  <c r="P894" i="4" s="1"/>
  <c r="T894" i="4" s="1"/>
  <c r="R894" i="4"/>
  <c r="Q894" i="4"/>
  <c r="N894" i="4"/>
  <c r="O894" i="4" s="1"/>
  <c r="A894" i="4"/>
  <c r="S893" i="4"/>
  <c r="R893" i="4"/>
  <c r="Q893" i="4"/>
  <c r="P893" i="4" s="1"/>
  <c r="T893" i="4" s="1"/>
  <c r="N893" i="4"/>
  <c r="O893" i="4" s="1"/>
  <c r="A893" i="4"/>
  <c r="S892" i="4"/>
  <c r="R892" i="4"/>
  <c r="Q892" i="4"/>
  <c r="P892" i="4"/>
  <c r="T892" i="4" s="1"/>
  <c r="N892" i="4"/>
  <c r="O892" i="4" s="1"/>
  <c r="A892" i="4"/>
  <c r="S891" i="4"/>
  <c r="R891" i="4"/>
  <c r="Q891" i="4"/>
  <c r="N891" i="4"/>
  <c r="O891" i="4" s="1"/>
  <c r="A891" i="4"/>
  <c r="S890" i="4"/>
  <c r="R890" i="4"/>
  <c r="Q890" i="4"/>
  <c r="P890" i="4"/>
  <c r="T890" i="4" s="1"/>
  <c r="N890" i="4"/>
  <c r="O890" i="4" s="1"/>
  <c r="A890" i="4"/>
  <c r="S889" i="4"/>
  <c r="R889" i="4"/>
  <c r="Q889" i="4"/>
  <c r="N889" i="4"/>
  <c r="O889" i="4" s="1"/>
  <c r="A889" i="4"/>
  <c r="S888" i="4"/>
  <c r="P888" i="4" s="1"/>
  <c r="T888" i="4" s="1"/>
  <c r="R888" i="4"/>
  <c r="Q888" i="4"/>
  <c r="N888" i="4"/>
  <c r="O888" i="4" s="1"/>
  <c r="A888" i="4"/>
  <c r="S887" i="4"/>
  <c r="R887" i="4"/>
  <c r="Q887" i="4"/>
  <c r="P887" i="4" s="1"/>
  <c r="T887" i="4" s="1"/>
  <c r="N887" i="4"/>
  <c r="O887" i="4" s="1"/>
  <c r="A887" i="4"/>
  <c r="S886" i="4"/>
  <c r="P886" i="4" s="1"/>
  <c r="T886" i="4" s="1"/>
  <c r="R886" i="4"/>
  <c r="Q886" i="4"/>
  <c r="N886" i="4"/>
  <c r="O886" i="4" s="1"/>
  <c r="A886" i="4"/>
  <c r="S885" i="4"/>
  <c r="R885" i="4"/>
  <c r="Q885" i="4"/>
  <c r="P885" i="4" s="1"/>
  <c r="T885" i="4" s="1"/>
  <c r="N885" i="4"/>
  <c r="O885" i="4" s="1"/>
  <c r="A885" i="4"/>
  <c r="S884" i="4"/>
  <c r="R884" i="4"/>
  <c r="Q884" i="4"/>
  <c r="P884" i="4"/>
  <c r="T884" i="4" s="1"/>
  <c r="N884" i="4"/>
  <c r="O884" i="4" s="1"/>
  <c r="A884" i="4"/>
  <c r="S883" i="4"/>
  <c r="R883" i="4"/>
  <c r="Q883" i="4"/>
  <c r="N883" i="4"/>
  <c r="O883" i="4" s="1"/>
  <c r="A883" i="4"/>
  <c r="S882" i="4"/>
  <c r="R882" i="4"/>
  <c r="Q882" i="4"/>
  <c r="P882" i="4"/>
  <c r="T882" i="4" s="1"/>
  <c r="N882" i="4"/>
  <c r="O882" i="4" s="1"/>
  <c r="A882" i="4"/>
  <c r="S881" i="4"/>
  <c r="R881" i="4"/>
  <c r="Q881" i="4"/>
  <c r="N881" i="4"/>
  <c r="O881" i="4" s="1"/>
  <c r="A881" i="4"/>
  <c r="S880" i="4"/>
  <c r="P880" i="4" s="1"/>
  <c r="T880" i="4" s="1"/>
  <c r="R880" i="4"/>
  <c r="Q880" i="4"/>
  <c r="N880" i="4"/>
  <c r="O880" i="4" s="1"/>
  <c r="A880" i="4"/>
  <c r="S879" i="4"/>
  <c r="R879" i="4"/>
  <c r="Q879" i="4"/>
  <c r="P879" i="4" s="1"/>
  <c r="T879" i="4" s="1"/>
  <c r="N879" i="4"/>
  <c r="O879" i="4" s="1"/>
  <c r="A879" i="4"/>
  <c r="S878" i="4"/>
  <c r="P878" i="4" s="1"/>
  <c r="T878" i="4" s="1"/>
  <c r="R878" i="4"/>
  <c r="Q878" i="4"/>
  <c r="N878" i="4"/>
  <c r="O878" i="4" s="1"/>
  <c r="A878" i="4"/>
  <c r="S877" i="4"/>
  <c r="R877" i="4"/>
  <c r="Q877" i="4"/>
  <c r="P877" i="4" s="1"/>
  <c r="T877" i="4" s="1"/>
  <c r="N877" i="4"/>
  <c r="O877" i="4" s="1"/>
  <c r="A877" i="4"/>
  <c r="S876" i="4"/>
  <c r="R876" i="4"/>
  <c r="Q876" i="4"/>
  <c r="P876" i="4"/>
  <c r="T876" i="4" s="1"/>
  <c r="N876" i="4"/>
  <c r="O876" i="4" s="1"/>
  <c r="A876" i="4"/>
  <c r="S875" i="4"/>
  <c r="R875" i="4"/>
  <c r="Q875" i="4"/>
  <c r="N875" i="4"/>
  <c r="O875" i="4" s="1"/>
  <c r="A875" i="4"/>
  <c r="S874" i="4"/>
  <c r="R874" i="4"/>
  <c r="Q874" i="4"/>
  <c r="P874" i="4"/>
  <c r="T874" i="4" s="1"/>
  <c r="N874" i="4"/>
  <c r="O874" i="4" s="1"/>
  <c r="A874" i="4"/>
  <c r="S873" i="4"/>
  <c r="R873" i="4"/>
  <c r="Q873" i="4"/>
  <c r="N873" i="4"/>
  <c r="O873" i="4" s="1"/>
  <c r="A873" i="4"/>
  <c r="S872" i="4"/>
  <c r="P872" i="4" s="1"/>
  <c r="T872" i="4" s="1"/>
  <c r="R872" i="4"/>
  <c r="Q872" i="4"/>
  <c r="N872" i="4"/>
  <c r="O872" i="4" s="1"/>
  <c r="A872" i="4"/>
  <c r="S871" i="4"/>
  <c r="R871" i="4"/>
  <c r="Q871" i="4"/>
  <c r="P871" i="4" s="1"/>
  <c r="T871" i="4" s="1"/>
  <c r="N871" i="4"/>
  <c r="O871" i="4" s="1"/>
  <c r="A871" i="4"/>
  <c r="S870" i="4"/>
  <c r="P870" i="4" s="1"/>
  <c r="T870" i="4" s="1"/>
  <c r="R870" i="4"/>
  <c r="Q870" i="4"/>
  <c r="N870" i="4"/>
  <c r="O870" i="4" s="1"/>
  <c r="A870" i="4"/>
  <c r="S869" i="4"/>
  <c r="R869" i="4"/>
  <c r="Q869" i="4"/>
  <c r="P869" i="4" s="1"/>
  <c r="T869" i="4" s="1"/>
  <c r="N869" i="4"/>
  <c r="O869" i="4" s="1"/>
  <c r="A869" i="4"/>
  <c r="S868" i="4"/>
  <c r="R868" i="4"/>
  <c r="Q868" i="4"/>
  <c r="P868" i="4"/>
  <c r="T868" i="4" s="1"/>
  <c r="N868" i="4"/>
  <c r="O868" i="4" s="1"/>
  <c r="A868" i="4"/>
  <c r="S867" i="4"/>
  <c r="R867" i="4"/>
  <c r="Q867" i="4"/>
  <c r="N867" i="4"/>
  <c r="O867" i="4" s="1"/>
  <c r="A867" i="4"/>
  <c r="S866" i="4"/>
  <c r="R866" i="4"/>
  <c r="Q866" i="4"/>
  <c r="P866" i="4"/>
  <c r="T866" i="4" s="1"/>
  <c r="N866" i="4"/>
  <c r="O866" i="4" s="1"/>
  <c r="A866" i="4"/>
  <c r="S865" i="4"/>
  <c r="R865" i="4"/>
  <c r="Q865" i="4"/>
  <c r="N865" i="4"/>
  <c r="O865" i="4" s="1"/>
  <c r="A865" i="4"/>
  <c r="S864" i="4"/>
  <c r="P864" i="4" s="1"/>
  <c r="T864" i="4" s="1"/>
  <c r="R864" i="4"/>
  <c r="Q864" i="4"/>
  <c r="N864" i="4"/>
  <c r="O864" i="4" s="1"/>
  <c r="A864" i="4"/>
  <c r="S863" i="4"/>
  <c r="R863" i="4"/>
  <c r="Q863" i="4"/>
  <c r="P863" i="4" s="1"/>
  <c r="T863" i="4" s="1"/>
  <c r="N863" i="4"/>
  <c r="O863" i="4" s="1"/>
  <c r="A863" i="4"/>
  <c r="S862" i="4"/>
  <c r="P862" i="4" s="1"/>
  <c r="T862" i="4" s="1"/>
  <c r="R862" i="4"/>
  <c r="Q862" i="4"/>
  <c r="N862" i="4"/>
  <c r="O862" i="4" s="1"/>
  <c r="A862" i="4"/>
  <c r="S861" i="4"/>
  <c r="R861" i="4"/>
  <c r="Q861" i="4"/>
  <c r="P861" i="4" s="1"/>
  <c r="T861" i="4" s="1"/>
  <c r="N861" i="4"/>
  <c r="O861" i="4" s="1"/>
  <c r="A861" i="4"/>
  <c r="S860" i="4"/>
  <c r="R860" i="4"/>
  <c r="Q860" i="4"/>
  <c r="P860" i="4"/>
  <c r="T860" i="4" s="1"/>
  <c r="N860" i="4"/>
  <c r="O860" i="4" s="1"/>
  <c r="A860" i="4"/>
  <c r="S859" i="4"/>
  <c r="R859" i="4"/>
  <c r="Q859" i="4"/>
  <c r="N859" i="4"/>
  <c r="O859" i="4" s="1"/>
  <c r="A859" i="4"/>
  <c r="S858" i="4"/>
  <c r="R858" i="4"/>
  <c r="Q858" i="4"/>
  <c r="P858" i="4"/>
  <c r="T858" i="4" s="1"/>
  <c r="N858" i="4"/>
  <c r="O858" i="4" s="1"/>
  <c r="A858" i="4"/>
  <c r="S857" i="4"/>
  <c r="R857" i="4"/>
  <c r="Q857" i="4"/>
  <c r="N857" i="4"/>
  <c r="O857" i="4" s="1"/>
  <c r="A857" i="4"/>
  <c r="S856" i="4"/>
  <c r="P856" i="4" s="1"/>
  <c r="T856" i="4" s="1"/>
  <c r="R856" i="4"/>
  <c r="Q856" i="4"/>
  <c r="N856" i="4"/>
  <c r="O856" i="4" s="1"/>
  <c r="A856" i="4"/>
  <c r="S855" i="4"/>
  <c r="R855" i="4"/>
  <c r="Q855" i="4"/>
  <c r="P855" i="4" s="1"/>
  <c r="T855" i="4" s="1"/>
  <c r="N855" i="4"/>
  <c r="O855" i="4" s="1"/>
  <c r="A855" i="4"/>
  <c r="S854" i="4"/>
  <c r="P854" i="4" s="1"/>
  <c r="T854" i="4" s="1"/>
  <c r="R854" i="4"/>
  <c r="Q854" i="4"/>
  <c r="N854" i="4"/>
  <c r="O854" i="4" s="1"/>
  <c r="A854" i="4"/>
  <c r="S853" i="4"/>
  <c r="R853" i="4"/>
  <c r="Q853" i="4"/>
  <c r="P853" i="4" s="1"/>
  <c r="T853" i="4" s="1"/>
  <c r="N853" i="4"/>
  <c r="O853" i="4" s="1"/>
  <c r="A853" i="4"/>
  <c r="S852" i="4"/>
  <c r="R852" i="4"/>
  <c r="Q852" i="4"/>
  <c r="P852" i="4"/>
  <c r="T852" i="4" s="1"/>
  <c r="N852" i="4"/>
  <c r="O852" i="4" s="1"/>
  <c r="A852" i="4"/>
  <c r="S851" i="4"/>
  <c r="R851" i="4"/>
  <c r="Q851" i="4"/>
  <c r="N851" i="4"/>
  <c r="O851" i="4" s="1"/>
  <c r="A851" i="4"/>
  <c r="S850" i="4"/>
  <c r="R850" i="4"/>
  <c r="Q850" i="4"/>
  <c r="P850" i="4"/>
  <c r="T850" i="4" s="1"/>
  <c r="N850" i="4"/>
  <c r="O850" i="4" s="1"/>
  <c r="A850" i="4"/>
  <c r="S849" i="4"/>
  <c r="R849" i="4"/>
  <c r="Q849" i="4"/>
  <c r="N849" i="4"/>
  <c r="O849" i="4" s="1"/>
  <c r="A849" i="4"/>
  <c r="S848" i="4"/>
  <c r="P848" i="4" s="1"/>
  <c r="T848" i="4" s="1"/>
  <c r="R848" i="4"/>
  <c r="Q848" i="4"/>
  <c r="N848" i="4"/>
  <c r="O848" i="4" s="1"/>
  <c r="A848" i="4"/>
  <c r="S847" i="4"/>
  <c r="R847" i="4"/>
  <c r="Q847" i="4"/>
  <c r="P847" i="4" s="1"/>
  <c r="T847" i="4" s="1"/>
  <c r="N847" i="4"/>
  <c r="O847" i="4" s="1"/>
  <c r="A847" i="4"/>
  <c r="S846" i="4"/>
  <c r="P846" i="4" s="1"/>
  <c r="T846" i="4" s="1"/>
  <c r="R846" i="4"/>
  <c r="Q846" i="4"/>
  <c r="N846" i="4"/>
  <c r="O846" i="4" s="1"/>
  <c r="A846" i="4"/>
  <c r="S845" i="4"/>
  <c r="R845" i="4"/>
  <c r="Q845" i="4"/>
  <c r="P845" i="4" s="1"/>
  <c r="T845" i="4" s="1"/>
  <c r="N845" i="4"/>
  <c r="O845" i="4" s="1"/>
  <c r="A845" i="4"/>
  <c r="S844" i="4"/>
  <c r="R844" i="4"/>
  <c r="Q844" i="4"/>
  <c r="P844" i="4"/>
  <c r="T844" i="4" s="1"/>
  <c r="N844" i="4"/>
  <c r="O844" i="4" s="1"/>
  <c r="A844" i="4"/>
  <c r="S843" i="4"/>
  <c r="R843" i="4"/>
  <c r="Q843" i="4"/>
  <c r="N843" i="4"/>
  <c r="O843" i="4" s="1"/>
  <c r="A843" i="4"/>
  <c r="S842" i="4"/>
  <c r="R842" i="4"/>
  <c r="Q842" i="4"/>
  <c r="P842" i="4"/>
  <c r="T842" i="4" s="1"/>
  <c r="N842" i="4"/>
  <c r="O842" i="4" s="1"/>
  <c r="A842" i="4"/>
  <c r="S841" i="4"/>
  <c r="R841" i="4"/>
  <c r="Q841" i="4"/>
  <c r="N841" i="4"/>
  <c r="O841" i="4" s="1"/>
  <c r="A841" i="4"/>
  <c r="S840" i="4"/>
  <c r="P840" i="4" s="1"/>
  <c r="T840" i="4" s="1"/>
  <c r="R840" i="4"/>
  <c r="Q840" i="4"/>
  <c r="N840" i="4"/>
  <c r="O840" i="4" s="1"/>
  <c r="A840" i="4"/>
  <c r="S839" i="4"/>
  <c r="R839" i="4"/>
  <c r="Q839" i="4"/>
  <c r="P839" i="4" s="1"/>
  <c r="T839" i="4" s="1"/>
  <c r="N839" i="4"/>
  <c r="O839" i="4" s="1"/>
  <c r="A839" i="4"/>
  <c r="S838" i="4"/>
  <c r="P838" i="4" s="1"/>
  <c r="T838" i="4" s="1"/>
  <c r="R838" i="4"/>
  <c r="Q838" i="4"/>
  <c r="N838" i="4"/>
  <c r="O838" i="4" s="1"/>
  <c r="A838" i="4"/>
  <c r="S837" i="4"/>
  <c r="R837" i="4"/>
  <c r="Q837" i="4"/>
  <c r="P837" i="4" s="1"/>
  <c r="T837" i="4" s="1"/>
  <c r="N837" i="4"/>
  <c r="O837" i="4" s="1"/>
  <c r="A837" i="4"/>
  <c r="S836" i="4"/>
  <c r="R836" i="4"/>
  <c r="Q836" i="4"/>
  <c r="P836" i="4"/>
  <c r="T836" i="4" s="1"/>
  <c r="N836" i="4"/>
  <c r="O836" i="4" s="1"/>
  <c r="A836" i="4"/>
  <c r="S835" i="4"/>
  <c r="R835" i="4"/>
  <c r="Q835" i="4"/>
  <c r="N835" i="4"/>
  <c r="O835" i="4" s="1"/>
  <c r="A835" i="4"/>
  <c r="S834" i="4"/>
  <c r="R834" i="4"/>
  <c r="Q834" i="4"/>
  <c r="P834" i="4"/>
  <c r="T834" i="4" s="1"/>
  <c r="N834" i="4"/>
  <c r="O834" i="4" s="1"/>
  <c r="A834" i="4"/>
  <c r="S833" i="4"/>
  <c r="R833" i="4"/>
  <c r="Q833" i="4"/>
  <c r="N833" i="4"/>
  <c r="O833" i="4" s="1"/>
  <c r="A833" i="4"/>
  <c r="S832" i="4"/>
  <c r="P832" i="4" s="1"/>
  <c r="T832" i="4" s="1"/>
  <c r="R832" i="4"/>
  <c r="Q832" i="4"/>
  <c r="N832" i="4"/>
  <c r="O832" i="4" s="1"/>
  <c r="A832" i="4"/>
  <c r="S831" i="4"/>
  <c r="R831" i="4"/>
  <c r="Q831" i="4"/>
  <c r="P831" i="4" s="1"/>
  <c r="T831" i="4" s="1"/>
  <c r="N831" i="4"/>
  <c r="O831" i="4" s="1"/>
  <c r="A831" i="4"/>
  <c r="S830" i="4"/>
  <c r="P830" i="4" s="1"/>
  <c r="T830" i="4" s="1"/>
  <c r="R830" i="4"/>
  <c r="Q830" i="4"/>
  <c r="N830" i="4"/>
  <c r="O830" i="4" s="1"/>
  <c r="A830" i="4"/>
  <c r="S829" i="4"/>
  <c r="R829" i="4"/>
  <c r="Q829" i="4"/>
  <c r="P829" i="4" s="1"/>
  <c r="T829" i="4" s="1"/>
  <c r="N829" i="4"/>
  <c r="O829" i="4" s="1"/>
  <c r="A829" i="4"/>
  <c r="S828" i="4"/>
  <c r="R828" i="4"/>
  <c r="Q828" i="4"/>
  <c r="P828" i="4"/>
  <c r="T828" i="4" s="1"/>
  <c r="N828" i="4"/>
  <c r="O828" i="4" s="1"/>
  <c r="A828" i="4"/>
  <c r="S827" i="4"/>
  <c r="R827" i="4"/>
  <c r="Q827" i="4"/>
  <c r="N827" i="4"/>
  <c r="O827" i="4" s="1"/>
  <c r="A827" i="4"/>
  <c r="S826" i="4"/>
  <c r="R826" i="4"/>
  <c r="Q826" i="4"/>
  <c r="P826" i="4"/>
  <c r="T826" i="4" s="1"/>
  <c r="N826" i="4"/>
  <c r="O826" i="4" s="1"/>
  <c r="A826" i="4"/>
  <c r="S825" i="4"/>
  <c r="R825" i="4"/>
  <c r="Q825" i="4"/>
  <c r="N825" i="4"/>
  <c r="O825" i="4" s="1"/>
  <c r="A825" i="4"/>
  <c r="S824" i="4"/>
  <c r="P824" i="4" s="1"/>
  <c r="T824" i="4" s="1"/>
  <c r="R824" i="4"/>
  <c r="Q824" i="4"/>
  <c r="N824" i="4"/>
  <c r="O824" i="4" s="1"/>
  <c r="A824" i="4"/>
  <c r="S823" i="4"/>
  <c r="R823" i="4"/>
  <c r="Q823" i="4"/>
  <c r="P823" i="4" s="1"/>
  <c r="T823" i="4" s="1"/>
  <c r="N823" i="4"/>
  <c r="O823" i="4" s="1"/>
  <c r="A823" i="4"/>
  <c r="S822" i="4"/>
  <c r="P822" i="4" s="1"/>
  <c r="T822" i="4" s="1"/>
  <c r="R822" i="4"/>
  <c r="Q822" i="4"/>
  <c r="N822" i="4"/>
  <c r="O822" i="4" s="1"/>
  <c r="A822" i="4"/>
  <c r="S821" i="4"/>
  <c r="R821" i="4"/>
  <c r="Q821" i="4"/>
  <c r="P821" i="4" s="1"/>
  <c r="T821" i="4" s="1"/>
  <c r="N821" i="4"/>
  <c r="O821" i="4" s="1"/>
  <c r="A821" i="4"/>
  <c r="S820" i="4"/>
  <c r="R820" i="4"/>
  <c r="Q820" i="4"/>
  <c r="P820" i="4"/>
  <c r="T820" i="4" s="1"/>
  <c r="N820" i="4"/>
  <c r="O820" i="4" s="1"/>
  <c r="A820" i="4"/>
  <c r="S819" i="4"/>
  <c r="R819" i="4"/>
  <c r="Q819" i="4"/>
  <c r="N819" i="4"/>
  <c r="O819" i="4" s="1"/>
  <c r="A819" i="4"/>
  <c r="S818" i="4"/>
  <c r="R818" i="4"/>
  <c r="Q818" i="4"/>
  <c r="P818" i="4"/>
  <c r="T818" i="4" s="1"/>
  <c r="N818" i="4"/>
  <c r="O818" i="4" s="1"/>
  <c r="A818" i="4"/>
  <c r="S817" i="4"/>
  <c r="R817" i="4"/>
  <c r="Q817" i="4"/>
  <c r="N817" i="4"/>
  <c r="O817" i="4" s="1"/>
  <c r="A817" i="4"/>
  <c r="S816" i="4"/>
  <c r="P816" i="4" s="1"/>
  <c r="T816" i="4" s="1"/>
  <c r="R816" i="4"/>
  <c r="Q816" i="4"/>
  <c r="N816" i="4"/>
  <c r="O816" i="4" s="1"/>
  <c r="A816" i="4"/>
  <c r="S815" i="4"/>
  <c r="R815" i="4"/>
  <c r="Q815" i="4"/>
  <c r="P815" i="4" s="1"/>
  <c r="T815" i="4" s="1"/>
  <c r="N815" i="4"/>
  <c r="O815" i="4" s="1"/>
  <c r="A815" i="4"/>
  <c r="S814" i="4"/>
  <c r="P814" i="4" s="1"/>
  <c r="T814" i="4" s="1"/>
  <c r="R814" i="4"/>
  <c r="Q814" i="4"/>
  <c r="N814" i="4"/>
  <c r="O814" i="4" s="1"/>
  <c r="A814" i="4"/>
  <c r="S813" i="4"/>
  <c r="R813" i="4"/>
  <c r="Q813" i="4"/>
  <c r="P813" i="4" s="1"/>
  <c r="T813" i="4" s="1"/>
  <c r="N813" i="4"/>
  <c r="O813" i="4" s="1"/>
  <c r="A813" i="4"/>
  <c r="S812" i="4"/>
  <c r="R812" i="4"/>
  <c r="Q812" i="4"/>
  <c r="P812" i="4"/>
  <c r="T812" i="4" s="1"/>
  <c r="N812" i="4"/>
  <c r="O812" i="4" s="1"/>
  <c r="A812" i="4"/>
  <c r="S811" i="4"/>
  <c r="R811" i="4"/>
  <c r="Q811" i="4"/>
  <c r="N811" i="4"/>
  <c r="O811" i="4" s="1"/>
  <c r="A811" i="4"/>
  <c r="S810" i="4"/>
  <c r="R810" i="4"/>
  <c r="Q810" i="4"/>
  <c r="P810" i="4"/>
  <c r="T810" i="4" s="1"/>
  <c r="N810" i="4"/>
  <c r="O810" i="4" s="1"/>
  <c r="A810" i="4"/>
  <c r="S809" i="4"/>
  <c r="R809" i="4"/>
  <c r="Q809" i="4"/>
  <c r="N809" i="4"/>
  <c r="O809" i="4" s="1"/>
  <c r="A809" i="4"/>
  <c r="S808" i="4"/>
  <c r="P808" i="4" s="1"/>
  <c r="T808" i="4" s="1"/>
  <c r="R808" i="4"/>
  <c r="Q808" i="4"/>
  <c r="N808" i="4"/>
  <c r="O808" i="4" s="1"/>
  <c r="A808" i="4"/>
  <c r="S807" i="4"/>
  <c r="R807" i="4"/>
  <c r="Q807" i="4"/>
  <c r="P807" i="4" s="1"/>
  <c r="T807" i="4" s="1"/>
  <c r="N807" i="4"/>
  <c r="O807" i="4" s="1"/>
  <c r="A807" i="4"/>
  <c r="S806" i="4"/>
  <c r="P806" i="4" s="1"/>
  <c r="T806" i="4" s="1"/>
  <c r="R806" i="4"/>
  <c r="Q806" i="4"/>
  <c r="N806" i="4"/>
  <c r="O806" i="4" s="1"/>
  <c r="A806" i="4"/>
  <c r="S805" i="4"/>
  <c r="R805" i="4"/>
  <c r="Q805" i="4"/>
  <c r="P805" i="4" s="1"/>
  <c r="T805" i="4" s="1"/>
  <c r="N805" i="4"/>
  <c r="O805" i="4" s="1"/>
  <c r="A805" i="4"/>
  <c r="S804" i="4"/>
  <c r="R804" i="4"/>
  <c r="Q804" i="4"/>
  <c r="P804" i="4"/>
  <c r="T804" i="4" s="1"/>
  <c r="N804" i="4"/>
  <c r="O804" i="4" s="1"/>
  <c r="A804" i="4"/>
  <c r="S803" i="4"/>
  <c r="R803" i="4"/>
  <c r="Q803" i="4"/>
  <c r="N803" i="4"/>
  <c r="O803" i="4" s="1"/>
  <c r="A803" i="4"/>
  <c r="S802" i="4"/>
  <c r="R802" i="4"/>
  <c r="Q802" i="4"/>
  <c r="P802" i="4"/>
  <c r="T802" i="4" s="1"/>
  <c r="N802" i="4"/>
  <c r="O802" i="4" s="1"/>
  <c r="A802" i="4"/>
  <c r="S801" i="4"/>
  <c r="R801" i="4"/>
  <c r="Q801" i="4"/>
  <c r="N801" i="4"/>
  <c r="O801" i="4" s="1"/>
  <c r="A801" i="4"/>
  <c r="S800" i="4"/>
  <c r="P800" i="4" s="1"/>
  <c r="T800" i="4" s="1"/>
  <c r="R800" i="4"/>
  <c r="Q800" i="4"/>
  <c r="N800" i="4"/>
  <c r="O800" i="4" s="1"/>
  <c r="A800" i="4"/>
  <c r="S799" i="4"/>
  <c r="R799" i="4"/>
  <c r="Q799" i="4"/>
  <c r="P799" i="4" s="1"/>
  <c r="T799" i="4" s="1"/>
  <c r="N799" i="4"/>
  <c r="O799" i="4" s="1"/>
  <c r="A799" i="4"/>
  <c r="S798" i="4"/>
  <c r="P798" i="4" s="1"/>
  <c r="T798" i="4" s="1"/>
  <c r="R798" i="4"/>
  <c r="Q798" i="4"/>
  <c r="N798" i="4"/>
  <c r="O798" i="4" s="1"/>
  <c r="A798" i="4"/>
  <c r="S797" i="4"/>
  <c r="R797" i="4"/>
  <c r="Q797" i="4"/>
  <c r="P797" i="4" s="1"/>
  <c r="T797" i="4" s="1"/>
  <c r="N797" i="4"/>
  <c r="O797" i="4" s="1"/>
  <c r="A797" i="4"/>
  <c r="S796" i="4"/>
  <c r="R796" i="4"/>
  <c r="Q796" i="4"/>
  <c r="P796" i="4"/>
  <c r="T796" i="4" s="1"/>
  <c r="N796" i="4"/>
  <c r="O796" i="4" s="1"/>
  <c r="A796" i="4"/>
  <c r="S795" i="4"/>
  <c r="R795" i="4"/>
  <c r="Q795" i="4"/>
  <c r="N795" i="4"/>
  <c r="O795" i="4" s="1"/>
  <c r="A795" i="4"/>
  <c r="S794" i="4"/>
  <c r="R794" i="4"/>
  <c r="Q794" i="4"/>
  <c r="P794" i="4"/>
  <c r="T794" i="4" s="1"/>
  <c r="N794" i="4"/>
  <c r="O794" i="4" s="1"/>
  <c r="A794" i="4"/>
  <c r="S793" i="4"/>
  <c r="R793" i="4"/>
  <c r="Q793" i="4"/>
  <c r="N793" i="4"/>
  <c r="O793" i="4" s="1"/>
  <c r="A793" i="4"/>
  <c r="S792" i="4"/>
  <c r="P792" i="4" s="1"/>
  <c r="T792" i="4" s="1"/>
  <c r="R792" i="4"/>
  <c r="Q792" i="4"/>
  <c r="N792" i="4"/>
  <c r="O792" i="4" s="1"/>
  <c r="A792" i="4"/>
  <c r="S791" i="4"/>
  <c r="R791" i="4"/>
  <c r="Q791" i="4"/>
  <c r="P791" i="4" s="1"/>
  <c r="T791" i="4" s="1"/>
  <c r="N791" i="4"/>
  <c r="O791" i="4" s="1"/>
  <c r="A791" i="4"/>
  <c r="S790" i="4"/>
  <c r="P790" i="4" s="1"/>
  <c r="T790" i="4" s="1"/>
  <c r="R790" i="4"/>
  <c r="Q790" i="4"/>
  <c r="N790" i="4"/>
  <c r="O790" i="4" s="1"/>
  <c r="A790" i="4"/>
  <c r="S789" i="4"/>
  <c r="R789" i="4"/>
  <c r="Q789" i="4"/>
  <c r="P789" i="4" s="1"/>
  <c r="T789" i="4" s="1"/>
  <c r="N789" i="4"/>
  <c r="O789" i="4" s="1"/>
  <c r="A789" i="4"/>
  <c r="S788" i="4"/>
  <c r="P788" i="4" s="1"/>
  <c r="T788" i="4" s="1"/>
  <c r="R788" i="4"/>
  <c r="Q788" i="4"/>
  <c r="N788" i="4"/>
  <c r="O788" i="4" s="1"/>
  <c r="A788" i="4"/>
  <c r="S787" i="4"/>
  <c r="R787" i="4"/>
  <c r="Q787" i="4"/>
  <c r="P787" i="4" s="1"/>
  <c r="T787" i="4" s="1"/>
  <c r="N787" i="4"/>
  <c r="O787" i="4" s="1"/>
  <c r="A787" i="4"/>
  <c r="S786" i="4"/>
  <c r="P786" i="4" s="1"/>
  <c r="T786" i="4" s="1"/>
  <c r="R786" i="4"/>
  <c r="Q786" i="4"/>
  <c r="N786" i="4"/>
  <c r="O786" i="4" s="1"/>
  <c r="A786" i="4"/>
  <c r="S785" i="4"/>
  <c r="R785" i="4"/>
  <c r="Q785" i="4"/>
  <c r="P785" i="4" s="1"/>
  <c r="T785" i="4" s="1"/>
  <c r="N785" i="4"/>
  <c r="O785" i="4" s="1"/>
  <c r="A785" i="4"/>
  <c r="S784" i="4"/>
  <c r="P784" i="4" s="1"/>
  <c r="T784" i="4" s="1"/>
  <c r="R784" i="4"/>
  <c r="Q784" i="4"/>
  <c r="N784" i="4"/>
  <c r="O784" i="4" s="1"/>
  <c r="A784" i="4"/>
  <c r="S783" i="4"/>
  <c r="R783" i="4"/>
  <c r="Q783" i="4"/>
  <c r="P783" i="4" s="1"/>
  <c r="T783" i="4" s="1"/>
  <c r="N783" i="4"/>
  <c r="O783" i="4" s="1"/>
  <c r="A783" i="4"/>
  <c r="S782" i="4"/>
  <c r="P782" i="4" s="1"/>
  <c r="T782" i="4" s="1"/>
  <c r="R782" i="4"/>
  <c r="Q782" i="4"/>
  <c r="N782" i="4"/>
  <c r="O782" i="4" s="1"/>
  <c r="A782" i="4"/>
  <c r="S781" i="4"/>
  <c r="R781" i="4"/>
  <c r="Q781" i="4"/>
  <c r="P781" i="4" s="1"/>
  <c r="T781" i="4" s="1"/>
  <c r="N781" i="4"/>
  <c r="O781" i="4" s="1"/>
  <c r="A781" i="4"/>
  <c r="S780" i="4"/>
  <c r="P780" i="4" s="1"/>
  <c r="T780" i="4" s="1"/>
  <c r="R780" i="4"/>
  <c r="Q780" i="4"/>
  <c r="N780" i="4"/>
  <c r="O780" i="4" s="1"/>
  <c r="A780" i="4"/>
  <c r="S779" i="4"/>
  <c r="R779" i="4"/>
  <c r="Q779" i="4"/>
  <c r="P779" i="4" s="1"/>
  <c r="T779" i="4" s="1"/>
  <c r="N779" i="4"/>
  <c r="O779" i="4" s="1"/>
  <c r="A779" i="4"/>
  <c r="S778" i="4"/>
  <c r="P778" i="4" s="1"/>
  <c r="T778" i="4" s="1"/>
  <c r="R778" i="4"/>
  <c r="Q778" i="4"/>
  <c r="N778" i="4"/>
  <c r="O778" i="4" s="1"/>
  <c r="A778" i="4"/>
  <c r="S777" i="4"/>
  <c r="R777" i="4"/>
  <c r="Q777" i="4"/>
  <c r="P777" i="4" s="1"/>
  <c r="T777" i="4" s="1"/>
  <c r="N777" i="4"/>
  <c r="O777" i="4" s="1"/>
  <c r="A777" i="4"/>
  <c r="S776" i="4"/>
  <c r="P776" i="4" s="1"/>
  <c r="T776" i="4" s="1"/>
  <c r="R776" i="4"/>
  <c r="Q776" i="4"/>
  <c r="N776" i="4"/>
  <c r="O776" i="4" s="1"/>
  <c r="A776" i="4"/>
  <c r="S775" i="4"/>
  <c r="R775" i="4"/>
  <c r="Q775" i="4"/>
  <c r="P775" i="4" s="1"/>
  <c r="T775" i="4" s="1"/>
  <c r="N775" i="4"/>
  <c r="O775" i="4" s="1"/>
  <c r="A775" i="4"/>
  <c r="S774" i="4"/>
  <c r="P774" i="4" s="1"/>
  <c r="T774" i="4" s="1"/>
  <c r="R774" i="4"/>
  <c r="Q774" i="4"/>
  <c r="N774" i="4"/>
  <c r="O774" i="4" s="1"/>
  <c r="A774" i="4"/>
  <c r="S773" i="4"/>
  <c r="R773" i="4"/>
  <c r="Q773" i="4"/>
  <c r="P773" i="4" s="1"/>
  <c r="T773" i="4" s="1"/>
  <c r="N773" i="4"/>
  <c r="O773" i="4" s="1"/>
  <c r="A773" i="4"/>
  <c r="S772" i="4"/>
  <c r="P772" i="4" s="1"/>
  <c r="T772" i="4" s="1"/>
  <c r="R772" i="4"/>
  <c r="Q772" i="4"/>
  <c r="N772" i="4"/>
  <c r="O772" i="4" s="1"/>
  <c r="A772" i="4"/>
  <c r="S771" i="4"/>
  <c r="R771" i="4"/>
  <c r="Q771" i="4"/>
  <c r="P771" i="4" s="1"/>
  <c r="T771" i="4" s="1"/>
  <c r="N771" i="4"/>
  <c r="O771" i="4" s="1"/>
  <c r="A771" i="4"/>
  <c r="S770" i="4"/>
  <c r="P770" i="4" s="1"/>
  <c r="T770" i="4" s="1"/>
  <c r="R770" i="4"/>
  <c r="Q770" i="4"/>
  <c r="N770" i="4"/>
  <c r="O770" i="4" s="1"/>
  <c r="A770" i="4"/>
  <c r="S769" i="4"/>
  <c r="R769" i="4"/>
  <c r="Q769" i="4"/>
  <c r="P769" i="4" s="1"/>
  <c r="T769" i="4" s="1"/>
  <c r="N769" i="4"/>
  <c r="O769" i="4" s="1"/>
  <c r="A769" i="4"/>
  <c r="S768" i="4"/>
  <c r="P768" i="4" s="1"/>
  <c r="T768" i="4" s="1"/>
  <c r="R768" i="4"/>
  <c r="Q768" i="4"/>
  <c r="N768" i="4"/>
  <c r="O768" i="4" s="1"/>
  <c r="A768" i="4"/>
  <c r="S767" i="4"/>
  <c r="R767" i="4"/>
  <c r="Q767" i="4"/>
  <c r="P767" i="4" s="1"/>
  <c r="T767" i="4" s="1"/>
  <c r="N767" i="4"/>
  <c r="O767" i="4" s="1"/>
  <c r="A767" i="4"/>
  <c r="S766" i="4"/>
  <c r="P766" i="4" s="1"/>
  <c r="T766" i="4" s="1"/>
  <c r="R766" i="4"/>
  <c r="Q766" i="4"/>
  <c r="N766" i="4"/>
  <c r="O766" i="4" s="1"/>
  <c r="A766" i="4"/>
  <c r="S765" i="4"/>
  <c r="R765" i="4"/>
  <c r="Q765" i="4"/>
  <c r="P765" i="4" s="1"/>
  <c r="T765" i="4" s="1"/>
  <c r="N765" i="4"/>
  <c r="O765" i="4" s="1"/>
  <c r="A765" i="4"/>
  <c r="S764" i="4"/>
  <c r="P764" i="4" s="1"/>
  <c r="T764" i="4" s="1"/>
  <c r="R764" i="4"/>
  <c r="Q764" i="4"/>
  <c r="N764" i="4"/>
  <c r="O764" i="4" s="1"/>
  <c r="A764" i="4"/>
  <c r="S763" i="4"/>
  <c r="R763" i="4"/>
  <c r="Q763" i="4"/>
  <c r="P763" i="4" s="1"/>
  <c r="T763" i="4" s="1"/>
  <c r="N763" i="4"/>
  <c r="O763" i="4" s="1"/>
  <c r="A763" i="4"/>
  <c r="S762" i="4"/>
  <c r="P762" i="4" s="1"/>
  <c r="T762" i="4" s="1"/>
  <c r="R762" i="4"/>
  <c r="Q762" i="4"/>
  <c r="N762" i="4"/>
  <c r="O762" i="4" s="1"/>
  <c r="A762" i="4"/>
  <c r="S761" i="4"/>
  <c r="R761" i="4"/>
  <c r="Q761" i="4"/>
  <c r="P761" i="4" s="1"/>
  <c r="T761" i="4" s="1"/>
  <c r="N761" i="4"/>
  <c r="O761" i="4" s="1"/>
  <c r="A761" i="4"/>
  <c r="S760" i="4"/>
  <c r="P760" i="4" s="1"/>
  <c r="T760" i="4" s="1"/>
  <c r="R760" i="4"/>
  <c r="Q760" i="4"/>
  <c r="N760" i="4"/>
  <c r="O760" i="4" s="1"/>
  <c r="A760" i="4"/>
  <c r="S759" i="4"/>
  <c r="R759" i="4"/>
  <c r="Q759" i="4"/>
  <c r="P759" i="4" s="1"/>
  <c r="T759" i="4" s="1"/>
  <c r="N759" i="4"/>
  <c r="O759" i="4" s="1"/>
  <c r="A759" i="4"/>
  <c r="S758" i="4"/>
  <c r="P758" i="4" s="1"/>
  <c r="T758" i="4" s="1"/>
  <c r="R758" i="4"/>
  <c r="Q758" i="4"/>
  <c r="N758" i="4"/>
  <c r="O758" i="4" s="1"/>
  <c r="A758" i="4"/>
  <c r="S757" i="4"/>
  <c r="R757" i="4"/>
  <c r="Q757" i="4"/>
  <c r="P757" i="4" s="1"/>
  <c r="T757" i="4" s="1"/>
  <c r="N757" i="4"/>
  <c r="O757" i="4" s="1"/>
  <c r="A757" i="4"/>
  <c r="S756" i="4"/>
  <c r="P756" i="4" s="1"/>
  <c r="T756" i="4" s="1"/>
  <c r="R756" i="4"/>
  <c r="Q756" i="4"/>
  <c r="N756" i="4"/>
  <c r="O756" i="4" s="1"/>
  <c r="A756" i="4"/>
  <c r="S755" i="4"/>
  <c r="R755" i="4"/>
  <c r="Q755" i="4"/>
  <c r="P755" i="4" s="1"/>
  <c r="T755" i="4" s="1"/>
  <c r="N755" i="4"/>
  <c r="O755" i="4" s="1"/>
  <c r="A755" i="4"/>
  <c r="S754" i="4"/>
  <c r="P754" i="4" s="1"/>
  <c r="T754" i="4" s="1"/>
  <c r="R754" i="4"/>
  <c r="Q754" i="4"/>
  <c r="N754" i="4"/>
  <c r="O754" i="4" s="1"/>
  <c r="A754" i="4"/>
  <c r="S753" i="4"/>
  <c r="R753" i="4"/>
  <c r="Q753" i="4"/>
  <c r="P753" i="4" s="1"/>
  <c r="T753" i="4" s="1"/>
  <c r="N753" i="4"/>
  <c r="O753" i="4" s="1"/>
  <c r="A753" i="4"/>
  <c r="S752" i="4"/>
  <c r="P752" i="4" s="1"/>
  <c r="T752" i="4" s="1"/>
  <c r="R752" i="4"/>
  <c r="Q752" i="4"/>
  <c r="N752" i="4"/>
  <c r="O752" i="4" s="1"/>
  <c r="A752" i="4"/>
  <c r="S751" i="4"/>
  <c r="R751" i="4"/>
  <c r="Q751" i="4"/>
  <c r="P751" i="4" s="1"/>
  <c r="T751" i="4" s="1"/>
  <c r="N751" i="4"/>
  <c r="O751" i="4" s="1"/>
  <c r="A751" i="4"/>
  <c r="S750" i="4"/>
  <c r="R750" i="4"/>
  <c r="Q750" i="4"/>
  <c r="N750" i="4"/>
  <c r="O750" i="4" s="1"/>
  <c r="A750" i="4"/>
  <c r="S749" i="4"/>
  <c r="R749" i="4"/>
  <c r="Q749" i="4"/>
  <c r="O749" i="4"/>
  <c r="N749" i="4"/>
  <c r="A749" i="4"/>
  <c r="S748" i="4"/>
  <c r="R748" i="4"/>
  <c r="Q748" i="4"/>
  <c r="N748" i="4"/>
  <c r="O748" i="4" s="1"/>
  <c r="A748" i="4"/>
  <c r="S747" i="4"/>
  <c r="R747" i="4"/>
  <c r="Q747" i="4"/>
  <c r="O747" i="4"/>
  <c r="N747" i="4"/>
  <c r="A747" i="4"/>
  <c r="S746" i="4"/>
  <c r="R746" i="4"/>
  <c r="Q746" i="4"/>
  <c r="N746" i="4"/>
  <c r="O746" i="4" s="1"/>
  <c r="A746" i="4"/>
  <c r="S745" i="4"/>
  <c r="R745" i="4"/>
  <c r="Q745" i="4"/>
  <c r="O745" i="4"/>
  <c r="N745" i="4"/>
  <c r="A745" i="4"/>
  <c r="S744" i="4"/>
  <c r="R744" i="4"/>
  <c r="Q744" i="4"/>
  <c r="N744" i="4"/>
  <c r="O744" i="4" s="1"/>
  <c r="A744" i="4"/>
  <c r="S743" i="4"/>
  <c r="R743" i="4"/>
  <c r="Q743" i="4"/>
  <c r="O743" i="4"/>
  <c r="N743" i="4"/>
  <c r="A743" i="4"/>
  <c r="S742" i="4"/>
  <c r="R742" i="4"/>
  <c r="Q742" i="4"/>
  <c r="N742" i="4"/>
  <c r="O742" i="4" s="1"/>
  <c r="A742" i="4"/>
  <c r="S741" i="4"/>
  <c r="R741" i="4"/>
  <c r="Q741" i="4"/>
  <c r="O741" i="4"/>
  <c r="N741" i="4"/>
  <c r="A741" i="4"/>
  <c r="S740" i="4"/>
  <c r="R740" i="4"/>
  <c r="Q740" i="4"/>
  <c r="N740" i="4"/>
  <c r="O740" i="4" s="1"/>
  <c r="A740" i="4"/>
  <c r="S739" i="4"/>
  <c r="R739" i="4"/>
  <c r="Q739" i="4"/>
  <c r="O739" i="4"/>
  <c r="N739" i="4"/>
  <c r="A739" i="4"/>
  <c r="S738" i="4"/>
  <c r="R738" i="4"/>
  <c r="Q738" i="4"/>
  <c r="N738" i="4"/>
  <c r="O738" i="4" s="1"/>
  <c r="A738" i="4"/>
  <c r="S737" i="4"/>
  <c r="R737" i="4"/>
  <c r="Q737" i="4"/>
  <c r="O737" i="4"/>
  <c r="N737" i="4"/>
  <c r="A737" i="4"/>
  <c r="S736" i="4"/>
  <c r="R736" i="4"/>
  <c r="Q736" i="4"/>
  <c r="N736" i="4"/>
  <c r="O736" i="4" s="1"/>
  <c r="A736" i="4"/>
  <c r="S735" i="4"/>
  <c r="R735" i="4"/>
  <c r="Q735" i="4"/>
  <c r="O735" i="4"/>
  <c r="N735" i="4"/>
  <c r="A735" i="4"/>
  <c r="S734" i="4"/>
  <c r="R734" i="4"/>
  <c r="Q734" i="4"/>
  <c r="N734" i="4"/>
  <c r="O734" i="4" s="1"/>
  <c r="A734" i="4"/>
  <c r="S733" i="4"/>
  <c r="R733" i="4"/>
  <c r="Q733" i="4"/>
  <c r="O733" i="4"/>
  <c r="N733" i="4"/>
  <c r="A733" i="4"/>
  <c r="S732" i="4"/>
  <c r="R732" i="4"/>
  <c r="Q732" i="4"/>
  <c r="N732" i="4"/>
  <c r="O732" i="4" s="1"/>
  <c r="A732" i="4"/>
  <c r="S731" i="4"/>
  <c r="R731" i="4"/>
  <c r="Q731" i="4"/>
  <c r="O731" i="4"/>
  <c r="N731" i="4"/>
  <c r="A731" i="4"/>
  <c r="S730" i="4"/>
  <c r="R730" i="4"/>
  <c r="Q730" i="4"/>
  <c r="N730" i="4"/>
  <c r="O730" i="4" s="1"/>
  <c r="A730" i="4"/>
  <c r="S729" i="4"/>
  <c r="R729" i="4"/>
  <c r="Q729" i="4"/>
  <c r="O729" i="4"/>
  <c r="N729" i="4"/>
  <c r="A729" i="4"/>
  <c r="S728" i="4"/>
  <c r="R728" i="4"/>
  <c r="Q728" i="4"/>
  <c r="N728" i="4"/>
  <c r="O728" i="4" s="1"/>
  <c r="A728" i="4"/>
  <c r="S727" i="4"/>
  <c r="R727" i="4"/>
  <c r="Q727" i="4"/>
  <c r="O727" i="4"/>
  <c r="N727" i="4"/>
  <c r="A727" i="4"/>
  <c r="S726" i="4"/>
  <c r="R726" i="4"/>
  <c r="Q726" i="4"/>
  <c r="N726" i="4"/>
  <c r="O726" i="4" s="1"/>
  <c r="A726" i="4"/>
  <c r="S725" i="4"/>
  <c r="R725" i="4"/>
  <c r="Q725" i="4"/>
  <c r="O725" i="4"/>
  <c r="N725" i="4"/>
  <c r="A725" i="4"/>
  <c r="S724" i="4"/>
  <c r="R724" i="4"/>
  <c r="Q724" i="4"/>
  <c r="N724" i="4"/>
  <c r="O724" i="4" s="1"/>
  <c r="A724" i="4"/>
  <c r="S723" i="4"/>
  <c r="R723" i="4"/>
  <c r="Q723" i="4"/>
  <c r="O723" i="4"/>
  <c r="N723" i="4"/>
  <c r="A723" i="4"/>
  <c r="S722" i="4"/>
  <c r="R722" i="4"/>
  <c r="Q722" i="4"/>
  <c r="N722" i="4"/>
  <c r="O722" i="4" s="1"/>
  <c r="A722" i="4"/>
  <c r="S721" i="4"/>
  <c r="R721" i="4"/>
  <c r="Q721" i="4"/>
  <c r="O721" i="4"/>
  <c r="N721" i="4"/>
  <c r="A721" i="4"/>
  <c r="S720" i="4"/>
  <c r="R720" i="4"/>
  <c r="Q720" i="4"/>
  <c r="N720" i="4"/>
  <c r="O720" i="4" s="1"/>
  <c r="A720" i="4"/>
  <c r="S719" i="4"/>
  <c r="R719" i="4"/>
  <c r="Q719" i="4"/>
  <c r="O719" i="4"/>
  <c r="N719" i="4"/>
  <c r="A719" i="4"/>
  <c r="S718" i="4"/>
  <c r="R718" i="4"/>
  <c r="Q718" i="4"/>
  <c r="N718" i="4"/>
  <c r="O718" i="4" s="1"/>
  <c r="A718" i="4"/>
  <c r="S717" i="4"/>
  <c r="R717" i="4"/>
  <c r="Q717" i="4"/>
  <c r="O717" i="4"/>
  <c r="N717" i="4"/>
  <c r="A717" i="4"/>
  <c r="S716" i="4"/>
  <c r="R716" i="4"/>
  <c r="Q716" i="4"/>
  <c r="N716" i="4"/>
  <c r="O716" i="4" s="1"/>
  <c r="A716" i="4"/>
  <c r="S715" i="4"/>
  <c r="R715" i="4"/>
  <c r="Q715" i="4"/>
  <c r="O715" i="4"/>
  <c r="N715" i="4"/>
  <c r="A715" i="4"/>
  <c r="S714" i="4"/>
  <c r="R714" i="4"/>
  <c r="Q714" i="4"/>
  <c r="N714" i="4"/>
  <c r="O714" i="4" s="1"/>
  <c r="A714" i="4"/>
  <c r="S713" i="4"/>
  <c r="R713" i="4"/>
  <c r="Q713" i="4"/>
  <c r="O713" i="4"/>
  <c r="N713" i="4"/>
  <c r="A713" i="4"/>
  <c r="S712" i="4"/>
  <c r="R712" i="4"/>
  <c r="Q712" i="4"/>
  <c r="N712" i="4"/>
  <c r="O712" i="4" s="1"/>
  <c r="A712" i="4"/>
  <c r="S711" i="4"/>
  <c r="R711" i="4"/>
  <c r="Q711" i="4"/>
  <c r="O711" i="4"/>
  <c r="N711" i="4"/>
  <c r="A711" i="4"/>
  <c r="S710" i="4"/>
  <c r="R710" i="4"/>
  <c r="Q710" i="4"/>
  <c r="N710" i="4"/>
  <c r="O710" i="4" s="1"/>
  <c r="A710" i="4"/>
  <c r="S709" i="4"/>
  <c r="R709" i="4"/>
  <c r="Q709" i="4"/>
  <c r="O709" i="4"/>
  <c r="N709" i="4"/>
  <c r="A709" i="4"/>
  <c r="S708" i="4"/>
  <c r="R708" i="4"/>
  <c r="Q708" i="4"/>
  <c r="N708" i="4"/>
  <c r="O708" i="4" s="1"/>
  <c r="A708" i="4"/>
  <c r="S707" i="4"/>
  <c r="R707" i="4"/>
  <c r="Q707" i="4"/>
  <c r="O707" i="4"/>
  <c r="N707" i="4"/>
  <c r="A707" i="4"/>
  <c r="S706" i="4"/>
  <c r="R706" i="4"/>
  <c r="Q706" i="4"/>
  <c r="N706" i="4"/>
  <c r="O706" i="4" s="1"/>
  <c r="A706" i="4"/>
  <c r="S705" i="4"/>
  <c r="R705" i="4"/>
  <c r="Q705" i="4"/>
  <c r="O705" i="4"/>
  <c r="N705" i="4"/>
  <c r="A705" i="4"/>
  <c r="S704" i="4"/>
  <c r="R704" i="4"/>
  <c r="Q704" i="4"/>
  <c r="N704" i="4"/>
  <c r="O704" i="4" s="1"/>
  <c r="A704" i="4"/>
  <c r="S703" i="4"/>
  <c r="R703" i="4"/>
  <c r="Q703" i="4"/>
  <c r="O703" i="4"/>
  <c r="N703" i="4"/>
  <c r="A703" i="4"/>
  <c r="S702" i="4"/>
  <c r="R702" i="4"/>
  <c r="Q702" i="4"/>
  <c r="N702" i="4"/>
  <c r="O702" i="4" s="1"/>
  <c r="A702" i="4"/>
  <c r="S701" i="4"/>
  <c r="R701" i="4"/>
  <c r="Q701" i="4"/>
  <c r="O701" i="4"/>
  <c r="N701" i="4"/>
  <c r="A701" i="4"/>
  <c r="S700" i="4"/>
  <c r="R700" i="4"/>
  <c r="Q700" i="4"/>
  <c r="N700" i="4"/>
  <c r="O700" i="4" s="1"/>
  <c r="A700" i="4"/>
  <c r="S699" i="4"/>
  <c r="R699" i="4"/>
  <c r="Q699" i="4"/>
  <c r="O699" i="4"/>
  <c r="N699" i="4"/>
  <c r="A699" i="4"/>
  <c r="S698" i="4"/>
  <c r="R698" i="4"/>
  <c r="Q698" i="4"/>
  <c r="N698" i="4"/>
  <c r="O698" i="4" s="1"/>
  <c r="A698" i="4"/>
  <c r="S697" i="4"/>
  <c r="R697" i="4"/>
  <c r="Q697" i="4"/>
  <c r="O697" i="4"/>
  <c r="N697" i="4"/>
  <c r="A697" i="4"/>
  <c r="S696" i="4"/>
  <c r="R696" i="4"/>
  <c r="Q696" i="4"/>
  <c r="N696" i="4"/>
  <c r="O696" i="4" s="1"/>
  <c r="A696" i="4"/>
  <c r="S695" i="4"/>
  <c r="R695" i="4"/>
  <c r="Q695" i="4"/>
  <c r="O695" i="4"/>
  <c r="N695" i="4"/>
  <c r="A695" i="4"/>
  <c r="S694" i="4"/>
  <c r="R694" i="4"/>
  <c r="Q694" i="4"/>
  <c r="N694" i="4"/>
  <c r="O694" i="4" s="1"/>
  <c r="A694" i="4"/>
  <c r="S693" i="4"/>
  <c r="R693" i="4"/>
  <c r="Q693" i="4"/>
  <c r="O693" i="4"/>
  <c r="N693" i="4"/>
  <c r="A693" i="4"/>
  <c r="S692" i="4"/>
  <c r="R692" i="4"/>
  <c r="Q692" i="4"/>
  <c r="N692" i="4"/>
  <c r="O692" i="4" s="1"/>
  <c r="A692" i="4"/>
  <c r="S691" i="4"/>
  <c r="R691" i="4"/>
  <c r="Q691" i="4"/>
  <c r="O691" i="4"/>
  <c r="N691" i="4"/>
  <c r="A691" i="4"/>
  <c r="S690" i="4"/>
  <c r="R690" i="4"/>
  <c r="Q690" i="4"/>
  <c r="N690" i="4"/>
  <c r="O690" i="4" s="1"/>
  <c r="A690" i="4"/>
  <c r="S689" i="4"/>
  <c r="R689" i="4"/>
  <c r="Q689" i="4"/>
  <c r="O689" i="4"/>
  <c r="N689" i="4"/>
  <c r="A689" i="4"/>
  <c r="S688" i="4"/>
  <c r="R688" i="4"/>
  <c r="Q688" i="4"/>
  <c r="N688" i="4"/>
  <c r="O688" i="4" s="1"/>
  <c r="A688" i="4"/>
  <c r="S687" i="4"/>
  <c r="R687" i="4"/>
  <c r="Q687" i="4"/>
  <c r="O687" i="4"/>
  <c r="N687" i="4"/>
  <c r="A687" i="4"/>
  <c r="S686" i="4"/>
  <c r="R686" i="4"/>
  <c r="Q686" i="4"/>
  <c r="N686" i="4"/>
  <c r="O686" i="4" s="1"/>
  <c r="A686" i="4"/>
  <c r="S685" i="4"/>
  <c r="R685" i="4"/>
  <c r="Q685" i="4"/>
  <c r="O685" i="4"/>
  <c r="N685" i="4"/>
  <c r="A685" i="4"/>
  <c r="S684" i="4"/>
  <c r="R684" i="4"/>
  <c r="Q684" i="4"/>
  <c r="N684" i="4"/>
  <c r="O684" i="4" s="1"/>
  <c r="A684" i="4"/>
  <c r="S683" i="4"/>
  <c r="R683" i="4"/>
  <c r="Q683" i="4"/>
  <c r="O683" i="4"/>
  <c r="N683" i="4"/>
  <c r="A683" i="4"/>
  <c r="S682" i="4"/>
  <c r="R682" i="4"/>
  <c r="Q682" i="4"/>
  <c r="N682" i="4"/>
  <c r="O682" i="4" s="1"/>
  <c r="A682" i="4"/>
  <c r="S681" i="4"/>
  <c r="R681" i="4"/>
  <c r="Q681" i="4"/>
  <c r="O681" i="4"/>
  <c r="N681" i="4"/>
  <c r="A681" i="4"/>
  <c r="S680" i="4"/>
  <c r="R680" i="4"/>
  <c r="Q680" i="4"/>
  <c r="N680" i="4"/>
  <c r="O680" i="4" s="1"/>
  <c r="A680" i="4"/>
  <c r="S679" i="4"/>
  <c r="R679" i="4"/>
  <c r="Q679" i="4"/>
  <c r="O679" i="4"/>
  <c r="N679" i="4"/>
  <c r="A679" i="4"/>
  <c r="S678" i="4"/>
  <c r="R678" i="4"/>
  <c r="Q678" i="4"/>
  <c r="N678" i="4"/>
  <c r="O678" i="4" s="1"/>
  <c r="A678" i="4"/>
  <c r="S677" i="4"/>
  <c r="R677" i="4"/>
  <c r="Q677" i="4"/>
  <c r="O677" i="4"/>
  <c r="N677" i="4"/>
  <c r="A677" i="4"/>
  <c r="S676" i="4"/>
  <c r="R676" i="4"/>
  <c r="Q676" i="4"/>
  <c r="N676" i="4"/>
  <c r="O676" i="4" s="1"/>
  <c r="A676" i="4"/>
  <c r="S675" i="4"/>
  <c r="R675" i="4"/>
  <c r="Q675" i="4"/>
  <c r="O675" i="4"/>
  <c r="N675" i="4"/>
  <c r="A675" i="4"/>
  <c r="S674" i="4"/>
  <c r="R674" i="4"/>
  <c r="Q674" i="4"/>
  <c r="N674" i="4"/>
  <c r="O674" i="4" s="1"/>
  <c r="A674" i="4"/>
  <c r="S673" i="4"/>
  <c r="R673" i="4"/>
  <c r="Q673" i="4"/>
  <c r="O673" i="4"/>
  <c r="N673" i="4"/>
  <c r="A673" i="4"/>
  <c r="S672" i="4"/>
  <c r="R672" i="4"/>
  <c r="Q672" i="4"/>
  <c r="N672" i="4"/>
  <c r="O672" i="4" s="1"/>
  <c r="A672" i="4"/>
  <c r="S671" i="4"/>
  <c r="R671" i="4"/>
  <c r="Q671" i="4"/>
  <c r="O671" i="4"/>
  <c r="N671" i="4"/>
  <c r="A671" i="4"/>
  <c r="S670" i="4"/>
  <c r="R670" i="4"/>
  <c r="Q670" i="4"/>
  <c r="N670" i="4"/>
  <c r="O670" i="4" s="1"/>
  <c r="A670" i="4"/>
  <c r="S669" i="4"/>
  <c r="R669" i="4"/>
  <c r="Q669" i="4"/>
  <c r="O669" i="4"/>
  <c r="N669" i="4"/>
  <c r="A669" i="4"/>
  <c r="S668" i="4"/>
  <c r="R668" i="4"/>
  <c r="Q668" i="4"/>
  <c r="N668" i="4"/>
  <c r="O668" i="4" s="1"/>
  <c r="A668" i="4"/>
  <c r="S667" i="4"/>
  <c r="R667" i="4"/>
  <c r="Q667" i="4"/>
  <c r="O667" i="4"/>
  <c r="N667" i="4"/>
  <c r="A667" i="4"/>
  <c r="S666" i="4"/>
  <c r="R666" i="4"/>
  <c r="Q666" i="4"/>
  <c r="N666" i="4"/>
  <c r="O666" i="4" s="1"/>
  <c r="A666" i="4"/>
  <c r="S665" i="4"/>
  <c r="R665" i="4"/>
  <c r="Q665" i="4"/>
  <c r="O665" i="4"/>
  <c r="N665" i="4"/>
  <c r="A665" i="4"/>
  <c r="S664" i="4"/>
  <c r="R664" i="4"/>
  <c r="Q664" i="4"/>
  <c r="N664" i="4"/>
  <c r="O664" i="4" s="1"/>
  <c r="A664" i="4"/>
  <c r="S663" i="4"/>
  <c r="R663" i="4"/>
  <c r="Q663" i="4"/>
  <c r="O663" i="4"/>
  <c r="N663" i="4"/>
  <c r="A663" i="4"/>
  <c r="S662" i="4"/>
  <c r="R662" i="4"/>
  <c r="Q662" i="4"/>
  <c r="N662" i="4"/>
  <c r="O662" i="4" s="1"/>
  <c r="A662" i="4"/>
  <c r="S661" i="4"/>
  <c r="R661" i="4"/>
  <c r="Q661" i="4"/>
  <c r="O661" i="4"/>
  <c r="N661" i="4"/>
  <c r="A661" i="4"/>
  <c r="S660" i="4"/>
  <c r="R660" i="4"/>
  <c r="Q660" i="4"/>
  <c r="N660" i="4"/>
  <c r="O660" i="4" s="1"/>
  <c r="A660" i="4"/>
  <c r="S659" i="4"/>
  <c r="R659" i="4"/>
  <c r="Q659" i="4"/>
  <c r="O659" i="4"/>
  <c r="N659" i="4"/>
  <c r="A659" i="4"/>
  <c r="S658" i="4"/>
  <c r="R658" i="4"/>
  <c r="Q658" i="4"/>
  <c r="N658" i="4"/>
  <c r="O658" i="4" s="1"/>
  <c r="A658" i="4"/>
  <c r="S657" i="4"/>
  <c r="R657" i="4"/>
  <c r="Q657" i="4"/>
  <c r="O657" i="4"/>
  <c r="N657" i="4"/>
  <c r="A657" i="4"/>
  <c r="S656" i="4"/>
  <c r="R656" i="4"/>
  <c r="Q656" i="4"/>
  <c r="N656" i="4"/>
  <c r="O656" i="4" s="1"/>
  <c r="A656" i="4"/>
  <c r="S655" i="4"/>
  <c r="R655" i="4"/>
  <c r="Q655" i="4"/>
  <c r="O655" i="4"/>
  <c r="N655" i="4"/>
  <c r="A655" i="4"/>
  <c r="S654" i="4"/>
  <c r="R654" i="4"/>
  <c r="Q654" i="4"/>
  <c r="N654" i="4"/>
  <c r="O654" i="4" s="1"/>
  <c r="A654" i="4"/>
  <c r="S653" i="4"/>
  <c r="R653" i="4"/>
  <c r="Q653" i="4"/>
  <c r="O653" i="4"/>
  <c r="N653" i="4"/>
  <c r="A653" i="4"/>
  <c r="S652" i="4"/>
  <c r="R652" i="4"/>
  <c r="Q652" i="4"/>
  <c r="N652" i="4"/>
  <c r="O652" i="4" s="1"/>
  <c r="A652" i="4"/>
  <c r="S651" i="4"/>
  <c r="R651" i="4"/>
  <c r="Q651" i="4"/>
  <c r="O651" i="4"/>
  <c r="N651" i="4"/>
  <c r="A651" i="4"/>
  <c r="S650" i="4"/>
  <c r="R650" i="4"/>
  <c r="Q650" i="4"/>
  <c r="N650" i="4"/>
  <c r="O650" i="4" s="1"/>
  <c r="A650" i="4"/>
  <c r="S649" i="4"/>
  <c r="R649" i="4"/>
  <c r="Q649" i="4"/>
  <c r="O649" i="4"/>
  <c r="N649" i="4"/>
  <c r="A649" i="4"/>
  <c r="S648" i="4"/>
  <c r="R648" i="4"/>
  <c r="Q648" i="4"/>
  <c r="N648" i="4"/>
  <c r="O648" i="4" s="1"/>
  <c r="A648" i="4"/>
  <c r="S647" i="4"/>
  <c r="R647" i="4"/>
  <c r="Q647" i="4"/>
  <c r="O647" i="4"/>
  <c r="N647" i="4"/>
  <c r="A647" i="4"/>
  <c r="S646" i="4"/>
  <c r="R646" i="4"/>
  <c r="Q646" i="4"/>
  <c r="N646" i="4"/>
  <c r="O646" i="4" s="1"/>
  <c r="A646" i="4"/>
  <c r="S645" i="4"/>
  <c r="R645" i="4"/>
  <c r="Q645" i="4"/>
  <c r="O645" i="4"/>
  <c r="N645" i="4"/>
  <c r="A645" i="4"/>
  <c r="S644" i="4"/>
  <c r="R644" i="4"/>
  <c r="Q644" i="4"/>
  <c r="N644" i="4"/>
  <c r="O644" i="4" s="1"/>
  <c r="A644" i="4"/>
  <c r="S643" i="4"/>
  <c r="R643" i="4"/>
  <c r="Q643" i="4"/>
  <c r="O643" i="4"/>
  <c r="N643" i="4"/>
  <c r="A643" i="4"/>
  <c r="S642" i="4"/>
  <c r="R642" i="4"/>
  <c r="Q642" i="4"/>
  <c r="N642" i="4"/>
  <c r="O642" i="4" s="1"/>
  <c r="A642" i="4"/>
  <c r="S641" i="4"/>
  <c r="R641" i="4"/>
  <c r="Q641" i="4"/>
  <c r="O641" i="4"/>
  <c r="N641" i="4"/>
  <c r="A641" i="4"/>
  <c r="S640" i="4"/>
  <c r="R640" i="4"/>
  <c r="Q640" i="4"/>
  <c r="N640" i="4"/>
  <c r="O640" i="4" s="1"/>
  <c r="A640" i="4"/>
  <c r="S639" i="4"/>
  <c r="R639" i="4"/>
  <c r="Q639" i="4"/>
  <c r="O639" i="4"/>
  <c r="N639" i="4"/>
  <c r="A639" i="4"/>
  <c r="S638" i="4"/>
  <c r="R638" i="4"/>
  <c r="Q638" i="4"/>
  <c r="N638" i="4"/>
  <c r="O638" i="4" s="1"/>
  <c r="A638" i="4"/>
  <c r="S637" i="4"/>
  <c r="R637" i="4"/>
  <c r="Q637" i="4"/>
  <c r="O637" i="4"/>
  <c r="N637" i="4"/>
  <c r="A637" i="4"/>
  <c r="S636" i="4"/>
  <c r="R636" i="4"/>
  <c r="Q636" i="4"/>
  <c r="N636" i="4"/>
  <c r="O636" i="4" s="1"/>
  <c r="A636" i="4"/>
  <c r="S635" i="4"/>
  <c r="R635" i="4"/>
  <c r="Q635" i="4"/>
  <c r="O635" i="4"/>
  <c r="N635" i="4"/>
  <c r="A635" i="4"/>
  <c r="S634" i="4"/>
  <c r="R634" i="4"/>
  <c r="Q634" i="4"/>
  <c r="N634" i="4"/>
  <c r="O634" i="4" s="1"/>
  <c r="A634" i="4"/>
  <c r="S633" i="4"/>
  <c r="R633" i="4"/>
  <c r="Q633" i="4"/>
  <c r="O633" i="4"/>
  <c r="N633" i="4"/>
  <c r="A633" i="4"/>
  <c r="S632" i="4"/>
  <c r="R632" i="4"/>
  <c r="Q632" i="4"/>
  <c r="N632" i="4"/>
  <c r="O632" i="4" s="1"/>
  <c r="A632" i="4"/>
  <c r="S631" i="4"/>
  <c r="R631" i="4"/>
  <c r="Q631" i="4"/>
  <c r="O631" i="4"/>
  <c r="N631" i="4"/>
  <c r="A631" i="4"/>
  <c r="S630" i="4"/>
  <c r="R630" i="4"/>
  <c r="Q630" i="4"/>
  <c r="N630" i="4"/>
  <c r="O630" i="4" s="1"/>
  <c r="A630" i="4"/>
  <c r="S629" i="4"/>
  <c r="R629" i="4"/>
  <c r="Q629" i="4"/>
  <c r="O629" i="4"/>
  <c r="N629" i="4"/>
  <c r="A629" i="4"/>
  <c r="S628" i="4"/>
  <c r="R628" i="4"/>
  <c r="Q628" i="4"/>
  <c r="N628" i="4"/>
  <c r="O628" i="4" s="1"/>
  <c r="A628" i="4"/>
  <c r="S627" i="4"/>
  <c r="R627" i="4"/>
  <c r="Q627" i="4"/>
  <c r="O627" i="4"/>
  <c r="N627" i="4"/>
  <c r="A627" i="4"/>
  <c r="S626" i="4"/>
  <c r="R626" i="4"/>
  <c r="Q626" i="4"/>
  <c r="N626" i="4"/>
  <c r="O626" i="4" s="1"/>
  <c r="A626" i="4"/>
  <c r="S625" i="4"/>
  <c r="R625" i="4"/>
  <c r="Q625" i="4"/>
  <c r="O625" i="4"/>
  <c r="N625" i="4"/>
  <c r="A625" i="4"/>
  <c r="S624" i="4"/>
  <c r="R624" i="4"/>
  <c r="Q624" i="4"/>
  <c r="N624" i="4"/>
  <c r="O624" i="4" s="1"/>
  <c r="A624" i="4"/>
  <c r="S623" i="4"/>
  <c r="R623" i="4"/>
  <c r="Q623" i="4"/>
  <c r="O623" i="4"/>
  <c r="N623" i="4"/>
  <c r="A623" i="4"/>
  <c r="S622" i="4"/>
  <c r="R622" i="4"/>
  <c r="Q622" i="4"/>
  <c r="N622" i="4"/>
  <c r="O622" i="4" s="1"/>
  <c r="A622" i="4"/>
  <c r="S621" i="4"/>
  <c r="R621" i="4"/>
  <c r="Q621" i="4"/>
  <c r="O621" i="4"/>
  <c r="N621" i="4"/>
  <c r="A621" i="4"/>
  <c r="S620" i="4"/>
  <c r="R620" i="4"/>
  <c r="Q620" i="4"/>
  <c r="N620" i="4"/>
  <c r="O620" i="4" s="1"/>
  <c r="A620" i="4"/>
  <c r="S619" i="4"/>
  <c r="R619" i="4"/>
  <c r="Q619" i="4"/>
  <c r="O619" i="4"/>
  <c r="N619" i="4"/>
  <c r="A619" i="4"/>
  <c r="S618" i="4"/>
  <c r="R618" i="4"/>
  <c r="Q618" i="4"/>
  <c r="N618" i="4"/>
  <c r="O618" i="4" s="1"/>
  <c r="A618" i="4"/>
  <c r="S617" i="4"/>
  <c r="R617" i="4"/>
  <c r="Q617" i="4"/>
  <c r="O617" i="4"/>
  <c r="N617" i="4"/>
  <c r="A617" i="4"/>
  <c r="S616" i="4"/>
  <c r="R616" i="4"/>
  <c r="Q616" i="4"/>
  <c r="N616" i="4"/>
  <c r="O616" i="4" s="1"/>
  <c r="A616" i="4"/>
  <c r="S615" i="4"/>
  <c r="R615" i="4"/>
  <c r="Q615" i="4"/>
  <c r="O615" i="4"/>
  <c r="N615" i="4"/>
  <c r="A615" i="4"/>
  <c r="S614" i="4"/>
  <c r="R614" i="4"/>
  <c r="Q614" i="4"/>
  <c r="N614" i="4"/>
  <c r="O614" i="4" s="1"/>
  <c r="A614" i="4"/>
  <c r="S613" i="4"/>
  <c r="R613" i="4"/>
  <c r="Q613" i="4"/>
  <c r="O613" i="4"/>
  <c r="N613" i="4"/>
  <c r="A613" i="4"/>
  <c r="S612" i="4"/>
  <c r="R612" i="4"/>
  <c r="Q612" i="4"/>
  <c r="N612" i="4"/>
  <c r="O612" i="4" s="1"/>
  <c r="A612" i="4"/>
  <c r="S611" i="4"/>
  <c r="R611" i="4"/>
  <c r="Q611" i="4"/>
  <c r="O611" i="4"/>
  <c r="N611" i="4"/>
  <c r="A611" i="4"/>
  <c r="S610" i="4"/>
  <c r="R610" i="4"/>
  <c r="Q610" i="4"/>
  <c r="N610" i="4"/>
  <c r="O610" i="4" s="1"/>
  <c r="A610" i="4"/>
  <c r="S609" i="4"/>
  <c r="R609" i="4"/>
  <c r="Q609" i="4"/>
  <c r="O609" i="4"/>
  <c r="N609" i="4"/>
  <c r="A609" i="4"/>
  <c r="S608" i="4"/>
  <c r="R608" i="4"/>
  <c r="Q608" i="4"/>
  <c r="N608" i="4"/>
  <c r="O608" i="4" s="1"/>
  <c r="A608" i="4"/>
  <c r="S607" i="4"/>
  <c r="R607" i="4"/>
  <c r="Q607" i="4"/>
  <c r="O607" i="4"/>
  <c r="N607" i="4"/>
  <c r="A607" i="4"/>
  <c r="S606" i="4"/>
  <c r="R606" i="4"/>
  <c r="Q606" i="4"/>
  <c r="N606" i="4"/>
  <c r="O606" i="4" s="1"/>
  <c r="A606" i="4"/>
  <c r="S605" i="4"/>
  <c r="R605" i="4"/>
  <c r="Q605" i="4"/>
  <c r="O605" i="4"/>
  <c r="N605" i="4"/>
  <c r="A605" i="4"/>
  <c r="S604" i="4"/>
  <c r="R604" i="4"/>
  <c r="Q604" i="4"/>
  <c r="N604" i="4"/>
  <c r="O604" i="4" s="1"/>
  <c r="A604" i="4"/>
  <c r="S603" i="4"/>
  <c r="R603" i="4"/>
  <c r="Q603" i="4"/>
  <c r="O603" i="4"/>
  <c r="N603" i="4"/>
  <c r="A603" i="4"/>
  <c r="S602" i="4"/>
  <c r="R602" i="4"/>
  <c r="Q602" i="4"/>
  <c r="N602" i="4"/>
  <c r="O602" i="4" s="1"/>
  <c r="A602" i="4"/>
  <c r="S601" i="4"/>
  <c r="R601" i="4"/>
  <c r="Q601" i="4"/>
  <c r="O601" i="4"/>
  <c r="N601" i="4"/>
  <c r="A601" i="4"/>
  <c r="S600" i="4"/>
  <c r="R600" i="4"/>
  <c r="Q600" i="4"/>
  <c r="N600" i="4"/>
  <c r="O600" i="4" s="1"/>
  <c r="A600" i="4"/>
  <c r="S599" i="4"/>
  <c r="R599" i="4"/>
  <c r="Q599" i="4"/>
  <c r="O599" i="4"/>
  <c r="N599" i="4"/>
  <c r="A599" i="4"/>
  <c r="S598" i="4"/>
  <c r="R598" i="4"/>
  <c r="Q598" i="4"/>
  <c r="N598" i="4"/>
  <c r="O598" i="4" s="1"/>
  <c r="A598" i="4"/>
  <c r="S597" i="4"/>
  <c r="R597" i="4"/>
  <c r="Q597" i="4"/>
  <c r="O597" i="4"/>
  <c r="N597" i="4"/>
  <c r="A597" i="4"/>
  <c r="S596" i="4"/>
  <c r="R596" i="4"/>
  <c r="Q596" i="4"/>
  <c r="N596" i="4"/>
  <c r="O596" i="4" s="1"/>
  <c r="A596" i="4"/>
  <c r="S595" i="4"/>
  <c r="R595" i="4"/>
  <c r="Q595" i="4"/>
  <c r="O595" i="4"/>
  <c r="N595" i="4"/>
  <c r="A595" i="4"/>
  <c r="S594" i="4"/>
  <c r="R594" i="4"/>
  <c r="Q594" i="4"/>
  <c r="N594" i="4"/>
  <c r="O594" i="4" s="1"/>
  <c r="A594" i="4"/>
  <c r="S593" i="4"/>
  <c r="R593" i="4"/>
  <c r="Q593" i="4"/>
  <c r="O593" i="4"/>
  <c r="N593" i="4"/>
  <c r="A593" i="4"/>
  <c r="S592" i="4"/>
  <c r="R592" i="4"/>
  <c r="Q592" i="4"/>
  <c r="N592" i="4"/>
  <c r="O592" i="4" s="1"/>
  <c r="A592" i="4"/>
  <c r="S591" i="4"/>
  <c r="R591" i="4"/>
  <c r="Q591" i="4"/>
  <c r="O591" i="4"/>
  <c r="N591" i="4"/>
  <c r="A591" i="4"/>
  <c r="S590" i="4"/>
  <c r="R590" i="4"/>
  <c r="Q590" i="4"/>
  <c r="N590" i="4"/>
  <c r="O590" i="4" s="1"/>
  <c r="A590" i="4"/>
  <c r="S589" i="4"/>
  <c r="R589" i="4"/>
  <c r="Q589" i="4"/>
  <c r="O589" i="4"/>
  <c r="N589" i="4"/>
  <c r="A589" i="4"/>
  <c r="S588" i="4"/>
  <c r="R588" i="4"/>
  <c r="Q588" i="4"/>
  <c r="N588" i="4"/>
  <c r="O588" i="4" s="1"/>
  <c r="A588" i="4"/>
  <c r="S587" i="4"/>
  <c r="R587" i="4"/>
  <c r="Q587" i="4"/>
  <c r="O587" i="4"/>
  <c r="N587" i="4"/>
  <c r="A587" i="4"/>
  <c r="S586" i="4"/>
  <c r="R586" i="4"/>
  <c r="Q586" i="4"/>
  <c r="N586" i="4"/>
  <c r="O586" i="4" s="1"/>
  <c r="A586" i="4"/>
  <c r="S585" i="4"/>
  <c r="R585" i="4"/>
  <c r="Q585" i="4"/>
  <c r="O585" i="4"/>
  <c r="N585" i="4"/>
  <c r="A585" i="4"/>
  <c r="S584" i="4"/>
  <c r="R584" i="4"/>
  <c r="Q584" i="4"/>
  <c r="N584" i="4"/>
  <c r="O584" i="4" s="1"/>
  <c r="A584" i="4"/>
  <c r="S583" i="4"/>
  <c r="R583" i="4"/>
  <c r="Q583" i="4"/>
  <c r="O583" i="4"/>
  <c r="N583" i="4"/>
  <c r="A583" i="4"/>
  <c r="S582" i="4"/>
  <c r="R582" i="4"/>
  <c r="Q582" i="4"/>
  <c r="N582" i="4"/>
  <c r="O582" i="4" s="1"/>
  <c r="A582" i="4"/>
  <c r="S581" i="4"/>
  <c r="R581" i="4"/>
  <c r="Q581" i="4"/>
  <c r="O581" i="4"/>
  <c r="N581" i="4"/>
  <c r="A581" i="4"/>
  <c r="S580" i="4"/>
  <c r="R580" i="4"/>
  <c r="Q580" i="4"/>
  <c r="N580" i="4"/>
  <c r="O580" i="4" s="1"/>
  <c r="A580" i="4"/>
  <c r="S579" i="4"/>
  <c r="R579" i="4"/>
  <c r="Q579" i="4"/>
  <c r="O579" i="4"/>
  <c r="N579" i="4"/>
  <c r="A579" i="4"/>
  <c r="S578" i="4"/>
  <c r="R578" i="4"/>
  <c r="Q578" i="4"/>
  <c r="N578" i="4"/>
  <c r="O578" i="4" s="1"/>
  <c r="A578" i="4"/>
  <c r="S577" i="4"/>
  <c r="R577" i="4"/>
  <c r="Q577" i="4"/>
  <c r="O577" i="4"/>
  <c r="N577" i="4"/>
  <c r="A577" i="4"/>
  <c r="S576" i="4"/>
  <c r="R576" i="4"/>
  <c r="Q576" i="4"/>
  <c r="N576" i="4"/>
  <c r="O576" i="4" s="1"/>
  <c r="A576" i="4"/>
  <c r="S575" i="4"/>
  <c r="R575" i="4"/>
  <c r="Q575" i="4"/>
  <c r="O575" i="4"/>
  <c r="N575" i="4"/>
  <c r="A575" i="4"/>
  <c r="S574" i="4"/>
  <c r="R574" i="4"/>
  <c r="Q574" i="4"/>
  <c r="N574" i="4"/>
  <c r="O574" i="4" s="1"/>
  <c r="A574" i="4"/>
  <c r="S573" i="4"/>
  <c r="R573" i="4"/>
  <c r="Q573" i="4"/>
  <c r="O573" i="4"/>
  <c r="N573" i="4"/>
  <c r="A573" i="4"/>
  <c r="S572" i="4"/>
  <c r="R572" i="4"/>
  <c r="Q572" i="4"/>
  <c r="N572" i="4"/>
  <c r="O572" i="4" s="1"/>
  <c r="A572" i="4"/>
  <c r="S571" i="4"/>
  <c r="R571" i="4"/>
  <c r="Q571" i="4"/>
  <c r="O571" i="4"/>
  <c r="N571" i="4"/>
  <c r="A571" i="4"/>
  <c r="S570" i="4"/>
  <c r="R570" i="4"/>
  <c r="Q570" i="4"/>
  <c r="N570" i="4"/>
  <c r="O570" i="4" s="1"/>
  <c r="A570" i="4"/>
  <c r="S569" i="4"/>
  <c r="R569" i="4"/>
  <c r="Q569" i="4"/>
  <c r="O569" i="4"/>
  <c r="N569" i="4"/>
  <c r="A569" i="4"/>
  <c r="S568" i="4"/>
  <c r="R568" i="4"/>
  <c r="Q568" i="4"/>
  <c r="N568" i="4"/>
  <c r="O568" i="4" s="1"/>
  <c r="A568" i="4"/>
  <c r="S567" i="4"/>
  <c r="R567" i="4"/>
  <c r="Q567" i="4"/>
  <c r="O567" i="4"/>
  <c r="N567" i="4"/>
  <c r="A567" i="4"/>
  <c r="S566" i="4"/>
  <c r="R566" i="4"/>
  <c r="Q566" i="4"/>
  <c r="N566" i="4"/>
  <c r="O566" i="4" s="1"/>
  <c r="A566" i="4"/>
  <c r="S565" i="4"/>
  <c r="R565" i="4"/>
  <c r="Q565" i="4"/>
  <c r="O565" i="4"/>
  <c r="N565" i="4"/>
  <c r="A565" i="4"/>
  <c r="S564" i="4"/>
  <c r="R564" i="4"/>
  <c r="Q564" i="4"/>
  <c r="N564" i="4"/>
  <c r="O564" i="4" s="1"/>
  <c r="A564" i="4"/>
  <c r="S563" i="4"/>
  <c r="R563" i="4"/>
  <c r="Q563" i="4"/>
  <c r="O563" i="4"/>
  <c r="N563" i="4"/>
  <c r="A563" i="4"/>
  <c r="S562" i="4"/>
  <c r="R562" i="4"/>
  <c r="Q562" i="4"/>
  <c r="N562" i="4"/>
  <c r="O562" i="4" s="1"/>
  <c r="A562" i="4"/>
  <c r="S561" i="4"/>
  <c r="R561" i="4"/>
  <c r="Q561" i="4"/>
  <c r="O561" i="4"/>
  <c r="N561" i="4"/>
  <c r="A561" i="4"/>
  <c r="S560" i="4"/>
  <c r="R560" i="4"/>
  <c r="Q560" i="4"/>
  <c r="N560" i="4"/>
  <c r="O560" i="4" s="1"/>
  <c r="A560" i="4"/>
  <c r="S559" i="4"/>
  <c r="R559" i="4"/>
  <c r="Q559" i="4"/>
  <c r="O559" i="4"/>
  <c r="N559" i="4"/>
  <c r="A559" i="4"/>
  <c r="S558" i="4"/>
  <c r="R558" i="4"/>
  <c r="Q558" i="4"/>
  <c r="N558" i="4"/>
  <c r="O558" i="4" s="1"/>
  <c r="A558" i="4"/>
  <c r="S557" i="4"/>
  <c r="R557" i="4"/>
  <c r="Q557" i="4"/>
  <c r="O557" i="4"/>
  <c r="N557" i="4"/>
  <c r="A557" i="4"/>
  <c r="S556" i="4"/>
  <c r="R556" i="4"/>
  <c r="Q556" i="4"/>
  <c r="N556" i="4"/>
  <c r="O556" i="4" s="1"/>
  <c r="A556" i="4"/>
  <c r="S555" i="4"/>
  <c r="R555" i="4"/>
  <c r="Q555" i="4"/>
  <c r="O555" i="4"/>
  <c r="N555" i="4"/>
  <c r="A555" i="4"/>
  <c r="S554" i="4"/>
  <c r="R554" i="4"/>
  <c r="Q554" i="4"/>
  <c r="N554" i="4"/>
  <c r="O554" i="4" s="1"/>
  <c r="A554" i="4"/>
  <c r="S553" i="4"/>
  <c r="R553" i="4"/>
  <c r="Q553" i="4"/>
  <c r="O553" i="4"/>
  <c r="N553" i="4"/>
  <c r="A553" i="4"/>
  <c r="S552" i="4"/>
  <c r="R552" i="4"/>
  <c r="Q552" i="4"/>
  <c r="N552" i="4"/>
  <c r="O552" i="4" s="1"/>
  <c r="A552" i="4"/>
  <c r="S551" i="4"/>
  <c r="R551" i="4"/>
  <c r="Q551" i="4"/>
  <c r="O551" i="4"/>
  <c r="N551" i="4"/>
  <c r="A551" i="4"/>
  <c r="S550" i="4"/>
  <c r="R550" i="4"/>
  <c r="Q550" i="4"/>
  <c r="N550" i="4"/>
  <c r="O550" i="4" s="1"/>
  <c r="A550" i="4"/>
  <c r="S549" i="4"/>
  <c r="R549" i="4"/>
  <c r="Q549" i="4"/>
  <c r="O549" i="4"/>
  <c r="N549" i="4"/>
  <c r="A549" i="4"/>
  <c r="S548" i="4"/>
  <c r="R548" i="4"/>
  <c r="Q548" i="4"/>
  <c r="N548" i="4"/>
  <c r="O548" i="4" s="1"/>
  <c r="A548" i="4"/>
  <c r="S547" i="4"/>
  <c r="R547" i="4"/>
  <c r="Q547" i="4"/>
  <c r="O547" i="4"/>
  <c r="N547" i="4"/>
  <c r="A547" i="4"/>
  <c r="S546" i="4"/>
  <c r="R546" i="4"/>
  <c r="Q546" i="4"/>
  <c r="N546" i="4"/>
  <c r="O546" i="4" s="1"/>
  <c r="A546" i="4"/>
  <c r="S545" i="4"/>
  <c r="R545" i="4"/>
  <c r="Q545" i="4"/>
  <c r="O545" i="4"/>
  <c r="N545" i="4"/>
  <c r="A545" i="4"/>
  <c r="S544" i="4"/>
  <c r="R544" i="4"/>
  <c r="Q544" i="4"/>
  <c r="N544" i="4"/>
  <c r="O544" i="4" s="1"/>
  <c r="A544" i="4"/>
  <c r="S543" i="4"/>
  <c r="R543" i="4"/>
  <c r="Q543" i="4"/>
  <c r="O543" i="4"/>
  <c r="N543" i="4"/>
  <c r="A543" i="4"/>
  <c r="S542" i="4"/>
  <c r="R542" i="4"/>
  <c r="Q542" i="4"/>
  <c r="N542" i="4"/>
  <c r="O542" i="4" s="1"/>
  <c r="A542" i="4"/>
  <c r="S541" i="4"/>
  <c r="R541" i="4"/>
  <c r="Q541" i="4"/>
  <c r="O541" i="4"/>
  <c r="N541" i="4"/>
  <c r="A541" i="4"/>
  <c r="S540" i="4"/>
  <c r="R540" i="4"/>
  <c r="Q540" i="4"/>
  <c r="N540" i="4"/>
  <c r="O540" i="4" s="1"/>
  <c r="A540" i="4"/>
  <c r="S539" i="4"/>
  <c r="R539" i="4"/>
  <c r="Q539" i="4"/>
  <c r="O539" i="4"/>
  <c r="N539" i="4"/>
  <c r="A539" i="4"/>
  <c r="S538" i="4"/>
  <c r="R538" i="4"/>
  <c r="Q538" i="4"/>
  <c r="N538" i="4"/>
  <c r="O538" i="4" s="1"/>
  <c r="A538" i="4"/>
  <c r="S537" i="4"/>
  <c r="R537" i="4"/>
  <c r="Q537" i="4"/>
  <c r="O537" i="4"/>
  <c r="N537" i="4"/>
  <c r="A537" i="4"/>
  <c r="S536" i="4"/>
  <c r="R536" i="4"/>
  <c r="Q536" i="4"/>
  <c r="N536" i="4"/>
  <c r="O536" i="4" s="1"/>
  <c r="A536" i="4"/>
  <c r="S535" i="4"/>
  <c r="R535" i="4"/>
  <c r="Q535" i="4"/>
  <c r="O535" i="4"/>
  <c r="N535" i="4"/>
  <c r="A535" i="4"/>
  <c r="S534" i="4"/>
  <c r="R534" i="4"/>
  <c r="Q534" i="4"/>
  <c r="N534" i="4"/>
  <c r="O534" i="4" s="1"/>
  <c r="A534" i="4"/>
  <c r="S533" i="4"/>
  <c r="R533" i="4"/>
  <c r="Q533" i="4"/>
  <c r="O533" i="4"/>
  <c r="N533" i="4"/>
  <c r="A533" i="4"/>
  <c r="S532" i="4"/>
  <c r="R532" i="4"/>
  <c r="Q532" i="4"/>
  <c r="N532" i="4"/>
  <c r="O532" i="4" s="1"/>
  <c r="A532" i="4"/>
  <c r="S531" i="4"/>
  <c r="R531" i="4"/>
  <c r="Q531" i="4"/>
  <c r="O531" i="4"/>
  <c r="N531" i="4"/>
  <c r="A531" i="4"/>
  <c r="S530" i="4"/>
  <c r="R530" i="4"/>
  <c r="Q530" i="4"/>
  <c r="N530" i="4"/>
  <c r="O530" i="4" s="1"/>
  <c r="A530" i="4"/>
  <c r="S529" i="4"/>
  <c r="R529" i="4"/>
  <c r="Q529" i="4"/>
  <c r="O529" i="4"/>
  <c r="N529" i="4"/>
  <c r="A529" i="4"/>
  <c r="S528" i="4"/>
  <c r="R528" i="4"/>
  <c r="Q528" i="4"/>
  <c r="N528" i="4"/>
  <c r="O528" i="4" s="1"/>
  <c r="A528" i="4"/>
  <c r="S527" i="4"/>
  <c r="R527" i="4"/>
  <c r="Q527" i="4"/>
  <c r="O527" i="4"/>
  <c r="N527" i="4"/>
  <c r="A527" i="4"/>
  <c r="S526" i="4"/>
  <c r="R526" i="4"/>
  <c r="Q526" i="4"/>
  <c r="N526" i="4"/>
  <c r="O526" i="4" s="1"/>
  <c r="A526" i="4"/>
  <c r="S525" i="4"/>
  <c r="R525" i="4"/>
  <c r="Q525" i="4"/>
  <c r="O525" i="4"/>
  <c r="N525" i="4"/>
  <c r="A525" i="4"/>
  <c r="S524" i="4"/>
  <c r="R524" i="4"/>
  <c r="Q524" i="4"/>
  <c r="N524" i="4"/>
  <c r="O524" i="4" s="1"/>
  <c r="A524" i="4"/>
  <c r="S523" i="4"/>
  <c r="R523" i="4"/>
  <c r="Q523" i="4"/>
  <c r="O523" i="4"/>
  <c r="N523" i="4"/>
  <c r="A523" i="4"/>
  <c r="S522" i="4"/>
  <c r="R522" i="4"/>
  <c r="Q522" i="4"/>
  <c r="N522" i="4"/>
  <c r="O522" i="4" s="1"/>
  <c r="A522" i="4"/>
  <c r="S521" i="4"/>
  <c r="R521" i="4"/>
  <c r="Q521" i="4"/>
  <c r="O521" i="4"/>
  <c r="N521" i="4"/>
  <c r="A521" i="4"/>
  <c r="S520" i="4"/>
  <c r="R520" i="4"/>
  <c r="Q520" i="4"/>
  <c r="N520" i="4"/>
  <c r="O520" i="4" s="1"/>
  <c r="A520" i="4"/>
  <c r="S519" i="4"/>
  <c r="R519" i="4"/>
  <c r="Q519" i="4"/>
  <c r="O519" i="4"/>
  <c r="N519" i="4"/>
  <c r="A519" i="4"/>
  <c r="S518" i="4"/>
  <c r="R518" i="4"/>
  <c r="Q518" i="4"/>
  <c r="N518" i="4"/>
  <c r="O518" i="4" s="1"/>
  <c r="A518" i="4"/>
  <c r="S517" i="4"/>
  <c r="R517" i="4"/>
  <c r="Q517" i="4"/>
  <c r="O517" i="4"/>
  <c r="N517" i="4"/>
  <c r="A517" i="4"/>
  <c r="S516" i="4"/>
  <c r="R516" i="4"/>
  <c r="Q516" i="4"/>
  <c r="N516" i="4"/>
  <c r="O516" i="4" s="1"/>
  <c r="A516" i="4"/>
  <c r="S515" i="4"/>
  <c r="R515" i="4"/>
  <c r="Q515" i="4"/>
  <c r="O515" i="4"/>
  <c r="N515" i="4"/>
  <c r="A515" i="4"/>
  <c r="S514" i="4"/>
  <c r="R514" i="4"/>
  <c r="Q514" i="4"/>
  <c r="N514" i="4"/>
  <c r="O514" i="4" s="1"/>
  <c r="A514" i="4"/>
  <c r="S513" i="4"/>
  <c r="R513" i="4"/>
  <c r="Q513" i="4"/>
  <c r="O513" i="4"/>
  <c r="N513" i="4"/>
  <c r="A513" i="4"/>
  <c r="S512" i="4"/>
  <c r="R512" i="4"/>
  <c r="Q512" i="4"/>
  <c r="N512" i="4"/>
  <c r="O512" i="4" s="1"/>
  <c r="A512" i="4"/>
  <c r="S511" i="4"/>
  <c r="R511" i="4"/>
  <c r="Q511" i="4"/>
  <c r="O511" i="4"/>
  <c r="N511" i="4"/>
  <c r="A511" i="4"/>
  <c r="S510" i="4"/>
  <c r="R510" i="4"/>
  <c r="Q510" i="4"/>
  <c r="N510" i="4"/>
  <c r="O510" i="4" s="1"/>
  <c r="A510" i="4"/>
  <c r="S509" i="4"/>
  <c r="R509" i="4"/>
  <c r="Q509" i="4"/>
  <c r="O509" i="4"/>
  <c r="N509" i="4"/>
  <c r="A509" i="4"/>
  <c r="S508" i="4"/>
  <c r="R508" i="4"/>
  <c r="Q508" i="4"/>
  <c r="N508" i="4"/>
  <c r="O508" i="4" s="1"/>
  <c r="A508" i="4"/>
  <c r="S507" i="4"/>
  <c r="R507" i="4"/>
  <c r="Q507" i="4"/>
  <c r="O507" i="4"/>
  <c r="N507" i="4"/>
  <c r="A507" i="4"/>
  <c r="S506" i="4"/>
  <c r="R506" i="4"/>
  <c r="Q506" i="4"/>
  <c r="N506" i="4"/>
  <c r="O506" i="4" s="1"/>
  <c r="A506" i="4"/>
  <c r="S505" i="4"/>
  <c r="R505" i="4"/>
  <c r="Q505" i="4"/>
  <c r="O505" i="4"/>
  <c r="N505" i="4"/>
  <c r="A505" i="4"/>
  <c r="S504" i="4"/>
  <c r="R504" i="4"/>
  <c r="Q504" i="4"/>
  <c r="N504" i="4"/>
  <c r="O504" i="4" s="1"/>
  <c r="A504" i="4"/>
  <c r="S503" i="4"/>
  <c r="R503" i="4"/>
  <c r="Q503" i="4"/>
  <c r="O503" i="4"/>
  <c r="N503" i="4"/>
  <c r="A503" i="4"/>
  <c r="S502" i="4"/>
  <c r="R502" i="4"/>
  <c r="Q502" i="4"/>
  <c r="N502" i="4"/>
  <c r="O502" i="4" s="1"/>
  <c r="A502" i="4"/>
  <c r="S501" i="4"/>
  <c r="R501" i="4"/>
  <c r="Q501" i="4"/>
  <c r="O501" i="4"/>
  <c r="N501" i="4"/>
  <c r="A501" i="4"/>
  <c r="S500" i="4"/>
  <c r="R500" i="4"/>
  <c r="Q500" i="4"/>
  <c r="N500" i="4"/>
  <c r="O500" i="4" s="1"/>
  <c r="A500" i="4"/>
  <c r="S499" i="4"/>
  <c r="R499" i="4"/>
  <c r="Q499" i="4"/>
  <c r="O499" i="4"/>
  <c r="N499" i="4"/>
  <c r="A499" i="4"/>
  <c r="S498" i="4"/>
  <c r="R498" i="4"/>
  <c r="Q498" i="4"/>
  <c r="N498" i="4"/>
  <c r="O498" i="4" s="1"/>
  <c r="A498" i="4"/>
  <c r="S497" i="4"/>
  <c r="R497" i="4"/>
  <c r="Q497" i="4"/>
  <c r="O497" i="4"/>
  <c r="N497" i="4"/>
  <c r="A497" i="4"/>
  <c r="S496" i="4"/>
  <c r="R496" i="4"/>
  <c r="Q496" i="4"/>
  <c r="N496" i="4"/>
  <c r="O496" i="4" s="1"/>
  <c r="A496" i="4"/>
  <c r="S495" i="4"/>
  <c r="R495" i="4"/>
  <c r="Q495" i="4"/>
  <c r="O495" i="4"/>
  <c r="N495" i="4"/>
  <c r="A495" i="4"/>
  <c r="S494" i="4"/>
  <c r="R494" i="4"/>
  <c r="Q494" i="4"/>
  <c r="N494" i="4"/>
  <c r="O494" i="4" s="1"/>
  <c r="A494" i="4"/>
  <c r="S493" i="4"/>
  <c r="R493" i="4"/>
  <c r="Q493" i="4"/>
  <c r="O493" i="4"/>
  <c r="N493" i="4"/>
  <c r="A493" i="4"/>
  <c r="S492" i="4"/>
  <c r="R492" i="4"/>
  <c r="Q492" i="4"/>
  <c r="N492" i="4"/>
  <c r="O492" i="4" s="1"/>
  <c r="A492" i="4"/>
  <c r="S491" i="4"/>
  <c r="R491" i="4"/>
  <c r="Q491" i="4"/>
  <c r="O491" i="4"/>
  <c r="N491" i="4"/>
  <c r="A491" i="4"/>
  <c r="S490" i="4"/>
  <c r="R490" i="4"/>
  <c r="Q490" i="4"/>
  <c r="N490" i="4"/>
  <c r="O490" i="4" s="1"/>
  <c r="A490" i="4"/>
  <c r="S489" i="4"/>
  <c r="R489" i="4"/>
  <c r="Q489" i="4"/>
  <c r="O489" i="4"/>
  <c r="N489" i="4"/>
  <c r="A489" i="4"/>
  <c r="S488" i="4"/>
  <c r="R488" i="4"/>
  <c r="Q488" i="4"/>
  <c r="N488" i="4"/>
  <c r="O488" i="4" s="1"/>
  <c r="A488" i="4"/>
  <c r="S487" i="4"/>
  <c r="R487" i="4"/>
  <c r="Q487" i="4"/>
  <c r="O487" i="4"/>
  <c r="N487" i="4"/>
  <c r="A487" i="4"/>
  <c r="S486" i="4"/>
  <c r="R486" i="4"/>
  <c r="Q486" i="4"/>
  <c r="N486" i="4"/>
  <c r="O486" i="4" s="1"/>
  <c r="A486" i="4"/>
  <c r="S485" i="4"/>
  <c r="R485" i="4"/>
  <c r="Q485" i="4"/>
  <c r="O485" i="4"/>
  <c r="N485" i="4"/>
  <c r="A485" i="4"/>
  <c r="S484" i="4"/>
  <c r="R484" i="4"/>
  <c r="Q484" i="4"/>
  <c r="N484" i="4"/>
  <c r="O484" i="4" s="1"/>
  <c r="A484" i="4"/>
  <c r="S483" i="4"/>
  <c r="R483" i="4"/>
  <c r="Q483" i="4"/>
  <c r="O483" i="4"/>
  <c r="N483" i="4"/>
  <c r="A483" i="4"/>
  <c r="S482" i="4"/>
  <c r="R482" i="4"/>
  <c r="Q482" i="4"/>
  <c r="N482" i="4"/>
  <c r="O482" i="4" s="1"/>
  <c r="A482" i="4"/>
  <c r="S481" i="4"/>
  <c r="R481" i="4"/>
  <c r="Q481" i="4"/>
  <c r="O481" i="4"/>
  <c r="N481" i="4"/>
  <c r="A481" i="4"/>
  <c r="S480" i="4"/>
  <c r="R480" i="4"/>
  <c r="Q480" i="4"/>
  <c r="N480" i="4"/>
  <c r="O480" i="4" s="1"/>
  <c r="A480" i="4"/>
  <c r="S479" i="4"/>
  <c r="R479" i="4"/>
  <c r="Q479" i="4"/>
  <c r="O479" i="4"/>
  <c r="N479" i="4"/>
  <c r="A479" i="4"/>
  <c r="S478" i="4"/>
  <c r="R478" i="4"/>
  <c r="Q478" i="4"/>
  <c r="N478" i="4"/>
  <c r="O478" i="4" s="1"/>
  <c r="A478" i="4"/>
  <c r="S477" i="4"/>
  <c r="R477" i="4"/>
  <c r="Q477" i="4"/>
  <c r="O477" i="4"/>
  <c r="N477" i="4"/>
  <c r="A477" i="4"/>
  <c r="S476" i="4"/>
  <c r="R476" i="4"/>
  <c r="Q476" i="4"/>
  <c r="N476" i="4"/>
  <c r="O476" i="4" s="1"/>
  <c r="A476" i="4"/>
  <c r="S475" i="4"/>
  <c r="R475" i="4"/>
  <c r="Q475" i="4"/>
  <c r="O475" i="4"/>
  <c r="N475" i="4"/>
  <c r="A475" i="4"/>
  <c r="S474" i="4"/>
  <c r="R474" i="4"/>
  <c r="Q474" i="4"/>
  <c r="N474" i="4"/>
  <c r="O474" i="4" s="1"/>
  <c r="A474" i="4"/>
  <c r="S473" i="4"/>
  <c r="R473" i="4"/>
  <c r="Q473" i="4"/>
  <c r="O473" i="4"/>
  <c r="N473" i="4"/>
  <c r="A473" i="4"/>
  <c r="S472" i="4"/>
  <c r="R472" i="4"/>
  <c r="Q472" i="4"/>
  <c r="N472" i="4"/>
  <c r="O472" i="4" s="1"/>
  <c r="A472" i="4"/>
  <c r="S471" i="4"/>
  <c r="R471" i="4"/>
  <c r="Q471" i="4"/>
  <c r="O471" i="4"/>
  <c r="N471" i="4"/>
  <c r="A471" i="4"/>
  <c r="S470" i="4"/>
  <c r="R470" i="4"/>
  <c r="Q470" i="4"/>
  <c r="N470" i="4"/>
  <c r="O470" i="4" s="1"/>
  <c r="A470" i="4"/>
  <c r="S469" i="4"/>
  <c r="R469" i="4"/>
  <c r="Q469" i="4"/>
  <c r="O469" i="4"/>
  <c r="N469" i="4"/>
  <c r="A469" i="4"/>
  <c r="S468" i="4"/>
  <c r="R468" i="4"/>
  <c r="Q468" i="4"/>
  <c r="N468" i="4"/>
  <c r="O468" i="4" s="1"/>
  <c r="A468" i="4"/>
  <c r="S467" i="4"/>
  <c r="R467" i="4"/>
  <c r="Q467" i="4"/>
  <c r="O467" i="4"/>
  <c r="N467" i="4"/>
  <c r="A467" i="4"/>
  <c r="S466" i="4"/>
  <c r="R466" i="4"/>
  <c r="Q466" i="4"/>
  <c r="N466" i="4"/>
  <c r="O466" i="4" s="1"/>
  <c r="A466" i="4"/>
  <c r="S465" i="4"/>
  <c r="R465" i="4"/>
  <c r="Q465" i="4"/>
  <c r="O465" i="4"/>
  <c r="N465" i="4"/>
  <c r="A465" i="4"/>
  <c r="S464" i="4"/>
  <c r="R464" i="4"/>
  <c r="Q464" i="4"/>
  <c r="N464" i="4"/>
  <c r="O464" i="4" s="1"/>
  <c r="A464" i="4"/>
  <c r="S463" i="4"/>
  <c r="R463" i="4"/>
  <c r="Q463" i="4"/>
  <c r="O463" i="4"/>
  <c r="N463" i="4"/>
  <c r="A463" i="4"/>
  <c r="S462" i="4"/>
  <c r="R462" i="4"/>
  <c r="Q462" i="4"/>
  <c r="N462" i="4"/>
  <c r="O462" i="4" s="1"/>
  <c r="A462" i="4"/>
  <c r="S461" i="4"/>
  <c r="R461" i="4"/>
  <c r="Q461" i="4"/>
  <c r="O461" i="4"/>
  <c r="N461" i="4"/>
  <c r="A461" i="4"/>
  <c r="S460" i="4"/>
  <c r="R460" i="4"/>
  <c r="Q460" i="4"/>
  <c r="N460" i="4"/>
  <c r="O460" i="4" s="1"/>
  <c r="A460" i="4"/>
  <c r="S459" i="4"/>
  <c r="R459" i="4"/>
  <c r="Q459" i="4"/>
  <c r="O459" i="4"/>
  <c r="N459" i="4"/>
  <c r="A459" i="4"/>
  <c r="S458" i="4"/>
  <c r="R458" i="4"/>
  <c r="Q458" i="4"/>
  <c r="N458" i="4"/>
  <c r="O458" i="4" s="1"/>
  <c r="A458" i="4"/>
  <c r="S457" i="4"/>
  <c r="R457" i="4"/>
  <c r="Q457" i="4"/>
  <c r="O457" i="4"/>
  <c r="N457" i="4"/>
  <c r="A457" i="4"/>
  <c r="S456" i="4"/>
  <c r="R456" i="4"/>
  <c r="Q456" i="4"/>
  <c r="N456" i="4"/>
  <c r="O456" i="4" s="1"/>
  <c r="A456" i="4"/>
  <c r="S455" i="4"/>
  <c r="R455" i="4"/>
  <c r="Q455" i="4"/>
  <c r="O455" i="4"/>
  <c r="N455" i="4"/>
  <c r="A455" i="4"/>
  <c r="S454" i="4"/>
  <c r="R454" i="4"/>
  <c r="Q454" i="4"/>
  <c r="N454" i="4"/>
  <c r="O454" i="4" s="1"/>
  <c r="A454" i="4"/>
  <c r="S453" i="4"/>
  <c r="R453" i="4"/>
  <c r="Q453" i="4"/>
  <c r="O453" i="4"/>
  <c r="N453" i="4"/>
  <c r="A453" i="4"/>
  <c r="S452" i="4"/>
  <c r="R452" i="4"/>
  <c r="Q452" i="4"/>
  <c r="N452" i="4"/>
  <c r="O452" i="4" s="1"/>
  <c r="A452" i="4"/>
  <c r="S451" i="4"/>
  <c r="R451" i="4"/>
  <c r="Q451" i="4"/>
  <c r="O451" i="4"/>
  <c r="N451" i="4"/>
  <c r="A451" i="4"/>
  <c r="S450" i="4"/>
  <c r="R450" i="4"/>
  <c r="Q450" i="4"/>
  <c r="N450" i="4"/>
  <c r="O450" i="4" s="1"/>
  <c r="A450" i="4"/>
  <c r="S449" i="4"/>
  <c r="R449" i="4"/>
  <c r="Q449" i="4"/>
  <c r="O449" i="4"/>
  <c r="N449" i="4"/>
  <c r="A449" i="4"/>
  <c r="S448" i="4"/>
  <c r="R448" i="4"/>
  <c r="Q448" i="4"/>
  <c r="N448" i="4"/>
  <c r="O448" i="4" s="1"/>
  <c r="A448" i="4"/>
  <c r="S447" i="4"/>
  <c r="R447" i="4"/>
  <c r="Q447" i="4"/>
  <c r="O447" i="4"/>
  <c r="N447" i="4"/>
  <c r="A447" i="4"/>
  <c r="S446" i="4"/>
  <c r="R446" i="4"/>
  <c r="Q446" i="4"/>
  <c r="N446" i="4"/>
  <c r="O446" i="4" s="1"/>
  <c r="A446" i="4"/>
  <c r="S445" i="4"/>
  <c r="R445" i="4"/>
  <c r="Q445" i="4"/>
  <c r="O445" i="4"/>
  <c r="N445" i="4"/>
  <c r="A445" i="4"/>
  <c r="S444" i="4"/>
  <c r="R444" i="4"/>
  <c r="Q444" i="4"/>
  <c r="N444" i="4"/>
  <c r="O444" i="4" s="1"/>
  <c r="A444" i="4"/>
  <c r="S443" i="4"/>
  <c r="R443" i="4"/>
  <c r="Q443" i="4"/>
  <c r="O443" i="4"/>
  <c r="N443" i="4"/>
  <c r="A443" i="4"/>
  <c r="S442" i="4"/>
  <c r="R442" i="4"/>
  <c r="Q442" i="4"/>
  <c r="N442" i="4"/>
  <c r="O442" i="4" s="1"/>
  <c r="A442" i="4"/>
  <c r="S441" i="4"/>
  <c r="R441" i="4"/>
  <c r="Q441" i="4"/>
  <c r="O441" i="4"/>
  <c r="N441" i="4"/>
  <c r="A441" i="4"/>
  <c r="S440" i="4"/>
  <c r="R440" i="4"/>
  <c r="Q440" i="4"/>
  <c r="N440" i="4"/>
  <c r="O440" i="4" s="1"/>
  <c r="A440" i="4"/>
  <c r="S439" i="4"/>
  <c r="R439" i="4"/>
  <c r="Q439" i="4"/>
  <c r="O439" i="4"/>
  <c r="N439" i="4"/>
  <c r="A439" i="4"/>
  <c r="S438" i="4"/>
  <c r="R438" i="4"/>
  <c r="Q438" i="4"/>
  <c r="N438" i="4"/>
  <c r="O438" i="4" s="1"/>
  <c r="A438" i="4"/>
  <c r="S437" i="4"/>
  <c r="R437" i="4"/>
  <c r="Q437" i="4"/>
  <c r="O437" i="4"/>
  <c r="N437" i="4"/>
  <c r="A437" i="4"/>
  <c r="S436" i="4"/>
  <c r="R436" i="4"/>
  <c r="Q436" i="4"/>
  <c r="N436" i="4"/>
  <c r="O436" i="4" s="1"/>
  <c r="A436" i="4"/>
  <c r="S435" i="4"/>
  <c r="R435" i="4"/>
  <c r="Q435" i="4"/>
  <c r="O435" i="4"/>
  <c r="N435" i="4"/>
  <c r="A435" i="4"/>
  <c r="S434" i="4"/>
  <c r="R434" i="4"/>
  <c r="Q434" i="4"/>
  <c r="N434" i="4"/>
  <c r="O434" i="4" s="1"/>
  <c r="A434" i="4"/>
  <c r="S433" i="4"/>
  <c r="R433" i="4"/>
  <c r="Q433" i="4"/>
  <c r="O433" i="4"/>
  <c r="N433" i="4"/>
  <c r="A433" i="4"/>
  <c r="S432" i="4"/>
  <c r="R432" i="4"/>
  <c r="Q432" i="4"/>
  <c r="N432" i="4"/>
  <c r="O432" i="4" s="1"/>
  <c r="A432" i="4"/>
  <c r="S431" i="4"/>
  <c r="R431" i="4"/>
  <c r="Q431" i="4"/>
  <c r="O431" i="4"/>
  <c r="N431" i="4"/>
  <c r="A431" i="4"/>
  <c r="S430" i="4"/>
  <c r="R430" i="4"/>
  <c r="Q430" i="4"/>
  <c r="N430" i="4"/>
  <c r="O430" i="4" s="1"/>
  <c r="A430" i="4"/>
  <c r="S429" i="4"/>
  <c r="R429" i="4"/>
  <c r="Q429" i="4"/>
  <c r="O429" i="4"/>
  <c r="N429" i="4"/>
  <c r="A429" i="4"/>
  <c r="S428" i="4"/>
  <c r="R428" i="4"/>
  <c r="Q428" i="4"/>
  <c r="N428" i="4"/>
  <c r="O428" i="4" s="1"/>
  <c r="A428" i="4"/>
  <c r="S427" i="4"/>
  <c r="R427" i="4"/>
  <c r="Q427" i="4"/>
  <c r="O427" i="4"/>
  <c r="N427" i="4"/>
  <c r="A427" i="4"/>
  <c r="S426" i="4"/>
  <c r="R426" i="4"/>
  <c r="Q426" i="4"/>
  <c r="N426" i="4"/>
  <c r="O426" i="4" s="1"/>
  <c r="A426" i="4"/>
  <c r="S425" i="4"/>
  <c r="R425" i="4"/>
  <c r="Q425" i="4"/>
  <c r="O425" i="4"/>
  <c r="N425" i="4"/>
  <c r="A425" i="4"/>
  <c r="S424" i="4"/>
  <c r="R424" i="4"/>
  <c r="Q424" i="4"/>
  <c r="N424" i="4"/>
  <c r="O424" i="4" s="1"/>
  <c r="A424" i="4"/>
  <c r="S423" i="4"/>
  <c r="R423" i="4"/>
  <c r="Q423" i="4"/>
  <c r="O423" i="4"/>
  <c r="N423" i="4"/>
  <c r="A423" i="4"/>
  <c r="S422" i="4"/>
  <c r="R422" i="4"/>
  <c r="Q422" i="4"/>
  <c r="N422" i="4"/>
  <c r="O422" i="4" s="1"/>
  <c r="A422" i="4"/>
  <c r="S421" i="4"/>
  <c r="R421" i="4"/>
  <c r="Q421" i="4"/>
  <c r="O421" i="4"/>
  <c r="N421" i="4"/>
  <c r="A421" i="4"/>
  <c r="S420" i="4"/>
  <c r="R420" i="4"/>
  <c r="Q420" i="4"/>
  <c r="N420" i="4"/>
  <c r="O420" i="4" s="1"/>
  <c r="A420" i="4"/>
  <c r="S419" i="4"/>
  <c r="R419" i="4"/>
  <c r="Q419" i="4"/>
  <c r="O419" i="4"/>
  <c r="N419" i="4"/>
  <c r="A419" i="4"/>
  <c r="S418" i="4"/>
  <c r="R418" i="4"/>
  <c r="Q418" i="4"/>
  <c r="N418" i="4"/>
  <c r="O418" i="4" s="1"/>
  <c r="A418" i="4"/>
  <c r="S417" i="4"/>
  <c r="R417" i="4"/>
  <c r="Q417" i="4"/>
  <c r="O417" i="4"/>
  <c r="N417" i="4"/>
  <c r="A417" i="4"/>
  <c r="S416" i="4"/>
  <c r="R416" i="4"/>
  <c r="Q416" i="4"/>
  <c r="N416" i="4"/>
  <c r="O416" i="4" s="1"/>
  <c r="A416" i="4"/>
  <c r="S415" i="4"/>
  <c r="R415" i="4"/>
  <c r="Q415" i="4"/>
  <c r="O415" i="4"/>
  <c r="N415" i="4"/>
  <c r="A415" i="4"/>
  <c r="S414" i="4"/>
  <c r="R414" i="4"/>
  <c r="Q414" i="4"/>
  <c r="N414" i="4"/>
  <c r="O414" i="4" s="1"/>
  <c r="A414" i="4"/>
  <c r="S413" i="4"/>
  <c r="R413" i="4"/>
  <c r="Q413" i="4"/>
  <c r="O413" i="4"/>
  <c r="N413" i="4"/>
  <c r="A413" i="4"/>
  <c r="S412" i="4"/>
  <c r="R412" i="4"/>
  <c r="Q412" i="4"/>
  <c r="N412" i="4"/>
  <c r="O412" i="4" s="1"/>
  <c r="A412" i="4"/>
  <c r="S411" i="4"/>
  <c r="R411" i="4"/>
  <c r="Q411" i="4"/>
  <c r="O411" i="4"/>
  <c r="N411" i="4"/>
  <c r="A411" i="4"/>
  <c r="S410" i="4"/>
  <c r="R410" i="4"/>
  <c r="Q410" i="4"/>
  <c r="N410" i="4"/>
  <c r="O410" i="4" s="1"/>
  <c r="A410" i="4"/>
  <c r="S409" i="4"/>
  <c r="R409" i="4"/>
  <c r="Q409" i="4"/>
  <c r="O409" i="4"/>
  <c r="N409" i="4"/>
  <c r="A409" i="4"/>
  <c r="S408" i="4"/>
  <c r="R408" i="4"/>
  <c r="Q408" i="4"/>
  <c r="N408" i="4"/>
  <c r="O408" i="4" s="1"/>
  <c r="A408" i="4"/>
  <c r="S407" i="4"/>
  <c r="R407" i="4"/>
  <c r="Q407" i="4"/>
  <c r="O407" i="4"/>
  <c r="N407" i="4"/>
  <c r="A407" i="4"/>
  <c r="S406" i="4"/>
  <c r="R406" i="4"/>
  <c r="Q406" i="4"/>
  <c r="N406" i="4"/>
  <c r="O406" i="4" s="1"/>
  <c r="A406" i="4"/>
  <c r="S405" i="4"/>
  <c r="R405" i="4"/>
  <c r="Q405" i="4"/>
  <c r="O405" i="4"/>
  <c r="N405" i="4"/>
  <c r="A405" i="4"/>
  <c r="S404" i="4"/>
  <c r="R404" i="4"/>
  <c r="Q404" i="4"/>
  <c r="N404" i="4"/>
  <c r="O404" i="4" s="1"/>
  <c r="A404" i="4"/>
  <c r="S403" i="4"/>
  <c r="R403" i="4"/>
  <c r="Q403" i="4"/>
  <c r="O403" i="4"/>
  <c r="N403" i="4"/>
  <c r="A403" i="4"/>
  <c r="S402" i="4"/>
  <c r="R402" i="4"/>
  <c r="Q402" i="4"/>
  <c r="N402" i="4"/>
  <c r="O402" i="4" s="1"/>
  <c r="A402" i="4"/>
  <c r="S401" i="4"/>
  <c r="R401" i="4"/>
  <c r="Q401" i="4"/>
  <c r="O401" i="4"/>
  <c r="N401" i="4"/>
  <c r="A401" i="4"/>
  <c r="S400" i="4"/>
  <c r="R400" i="4"/>
  <c r="Q400" i="4"/>
  <c r="N400" i="4"/>
  <c r="O400" i="4" s="1"/>
  <c r="A400" i="4"/>
  <c r="S399" i="4"/>
  <c r="R399" i="4"/>
  <c r="Q399" i="4"/>
  <c r="O399" i="4"/>
  <c r="N399" i="4"/>
  <c r="A399" i="4"/>
  <c r="S398" i="4"/>
  <c r="R398" i="4"/>
  <c r="Q398" i="4"/>
  <c r="N398" i="4"/>
  <c r="O398" i="4" s="1"/>
  <c r="A398" i="4"/>
  <c r="S397" i="4"/>
  <c r="R397" i="4"/>
  <c r="Q397" i="4"/>
  <c r="O397" i="4"/>
  <c r="N397" i="4"/>
  <c r="A397" i="4"/>
  <c r="S396" i="4"/>
  <c r="R396" i="4"/>
  <c r="Q396" i="4"/>
  <c r="N396" i="4"/>
  <c r="O396" i="4" s="1"/>
  <c r="A396" i="4"/>
  <c r="S395" i="4"/>
  <c r="R395" i="4"/>
  <c r="Q395" i="4"/>
  <c r="O395" i="4"/>
  <c r="N395" i="4"/>
  <c r="A395" i="4"/>
  <c r="S394" i="4"/>
  <c r="R394" i="4"/>
  <c r="Q394" i="4"/>
  <c r="N394" i="4"/>
  <c r="O394" i="4" s="1"/>
  <c r="A394" i="4"/>
  <c r="S393" i="4"/>
  <c r="R393" i="4"/>
  <c r="Q393" i="4"/>
  <c r="O393" i="4"/>
  <c r="N393" i="4"/>
  <c r="A393" i="4"/>
  <c r="S392" i="4"/>
  <c r="R392" i="4"/>
  <c r="Q392" i="4"/>
  <c r="N392" i="4"/>
  <c r="O392" i="4" s="1"/>
  <c r="A392" i="4"/>
  <c r="S391" i="4"/>
  <c r="R391" i="4"/>
  <c r="Q391" i="4"/>
  <c r="O391" i="4"/>
  <c r="N391" i="4"/>
  <c r="A391" i="4"/>
  <c r="S390" i="4"/>
  <c r="R390" i="4"/>
  <c r="Q390" i="4"/>
  <c r="N390" i="4"/>
  <c r="O390" i="4" s="1"/>
  <c r="A390" i="4"/>
  <c r="S389" i="4"/>
  <c r="R389" i="4"/>
  <c r="Q389" i="4"/>
  <c r="O389" i="4"/>
  <c r="N389" i="4"/>
  <c r="A389" i="4"/>
  <c r="S388" i="4"/>
  <c r="R388" i="4"/>
  <c r="Q388" i="4"/>
  <c r="N388" i="4"/>
  <c r="O388" i="4" s="1"/>
  <c r="A388" i="4"/>
  <c r="S387" i="4"/>
  <c r="R387" i="4"/>
  <c r="Q387" i="4"/>
  <c r="O387" i="4"/>
  <c r="N387" i="4"/>
  <c r="A387" i="4"/>
  <c r="S386" i="4"/>
  <c r="R386" i="4"/>
  <c r="Q386" i="4"/>
  <c r="N386" i="4"/>
  <c r="O386" i="4" s="1"/>
  <c r="A386" i="4"/>
  <c r="S385" i="4"/>
  <c r="R385" i="4"/>
  <c r="Q385" i="4"/>
  <c r="O385" i="4"/>
  <c r="N385" i="4"/>
  <c r="A385" i="4"/>
  <c r="S384" i="4"/>
  <c r="R384" i="4"/>
  <c r="Q384" i="4"/>
  <c r="N384" i="4"/>
  <c r="O384" i="4" s="1"/>
  <c r="A384" i="4"/>
  <c r="S383" i="4"/>
  <c r="R383" i="4"/>
  <c r="Q383" i="4"/>
  <c r="O383" i="4"/>
  <c r="N383" i="4"/>
  <c r="A383" i="4"/>
  <c r="S382" i="4"/>
  <c r="R382" i="4"/>
  <c r="Q382" i="4"/>
  <c r="N382" i="4"/>
  <c r="O382" i="4" s="1"/>
  <c r="A382" i="4"/>
  <c r="S381" i="4"/>
  <c r="R381" i="4"/>
  <c r="Q381" i="4"/>
  <c r="O381" i="4"/>
  <c r="N381" i="4"/>
  <c r="A381" i="4"/>
  <c r="S380" i="4"/>
  <c r="R380" i="4"/>
  <c r="Q380" i="4"/>
  <c r="N380" i="4"/>
  <c r="O380" i="4" s="1"/>
  <c r="A380" i="4"/>
  <c r="S379" i="4"/>
  <c r="R379" i="4"/>
  <c r="Q379" i="4"/>
  <c r="O379" i="4"/>
  <c r="N379" i="4"/>
  <c r="A379" i="4"/>
  <c r="S378" i="4"/>
  <c r="R378" i="4"/>
  <c r="Q378" i="4"/>
  <c r="N378" i="4"/>
  <c r="O378" i="4" s="1"/>
  <c r="A378" i="4"/>
  <c r="S377" i="4"/>
  <c r="R377" i="4"/>
  <c r="Q377" i="4"/>
  <c r="O377" i="4"/>
  <c r="N377" i="4"/>
  <c r="A377" i="4"/>
  <c r="S376" i="4"/>
  <c r="R376" i="4"/>
  <c r="Q376" i="4"/>
  <c r="N376" i="4"/>
  <c r="O376" i="4" s="1"/>
  <c r="A376" i="4"/>
  <c r="S375" i="4"/>
  <c r="R375" i="4"/>
  <c r="Q375" i="4"/>
  <c r="O375" i="4"/>
  <c r="N375" i="4"/>
  <c r="A375" i="4"/>
  <c r="S374" i="4"/>
  <c r="R374" i="4"/>
  <c r="Q374" i="4"/>
  <c r="N374" i="4"/>
  <c r="O374" i="4" s="1"/>
  <c r="A374" i="4"/>
  <c r="S373" i="4"/>
  <c r="R373" i="4"/>
  <c r="Q373" i="4"/>
  <c r="O373" i="4"/>
  <c r="N373" i="4"/>
  <c r="A373" i="4"/>
  <c r="S372" i="4"/>
  <c r="R372" i="4"/>
  <c r="Q372" i="4"/>
  <c r="N372" i="4"/>
  <c r="O372" i="4" s="1"/>
  <c r="A372" i="4"/>
  <c r="S371" i="4"/>
  <c r="R371" i="4"/>
  <c r="Q371" i="4"/>
  <c r="O371" i="4"/>
  <c r="N371" i="4"/>
  <c r="A371" i="4"/>
  <c r="S370" i="4"/>
  <c r="R370" i="4"/>
  <c r="Q370" i="4"/>
  <c r="N370" i="4"/>
  <c r="O370" i="4" s="1"/>
  <c r="A370" i="4"/>
  <c r="S369" i="4"/>
  <c r="R369" i="4"/>
  <c r="Q369" i="4"/>
  <c r="O369" i="4"/>
  <c r="N369" i="4"/>
  <c r="A369" i="4"/>
  <c r="S368" i="4"/>
  <c r="R368" i="4"/>
  <c r="Q368" i="4"/>
  <c r="N368" i="4"/>
  <c r="O368" i="4" s="1"/>
  <c r="A368" i="4"/>
  <c r="S367" i="4"/>
  <c r="R367" i="4"/>
  <c r="Q367" i="4"/>
  <c r="O367" i="4"/>
  <c r="N367" i="4"/>
  <c r="A367" i="4"/>
  <c r="S366" i="4"/>
  <c r="R366" i="4"/>
  <c r="Q366" i="4"/>
  <c r="N366" i="4"/>
  <c r="O366" i="4" s="1"/>
  <c r="A366" i="4"/>
  <c r="S365" i="4"/>
  <c r="R365" i="4"/>
  <c r="Q365" i="4"/>
  <c r="O365" i="4"/>
  <c r="N365" i="4"/>
  <c r="A365" i="4"/>
  <c r="S364" i="4"/>
  <c r="R364" i="4"/>
  <c r="Q364" i="4"/>
  <c r="N364" i="4"/>
  <c r="O364" i="4" s="1"/>
  <c r="A364" i="4"/>
  <c r="S363" i="4"/>
  <c r="R363" i="4"/>
  <c r="Q363" i="4"/>
  <c r="O363" i="4"/>
  <c r="N363" i="4"/>
  <c r="A363" i="4"/>
  <c r="S362" i="4"/>
  <c r="R362" i="4"/>
  <c r="Q362" i="4"/>
  <c r="N362" i="4"/>
  <c r="O362" i="4" s="1"/>
  <c r="A362" i="4"/>
  <c r="S361" i="4"/>
  <c r="R361" i="4"/>
  <c r="Q361" i="4"/>
  <c r="O361" i="4"/>
  <c r="N361" i="4"/>
  <c r="A361" i="4"/>
  <c r="S360" i="4"/>
  <c r="R360" i="4"/>
  <c r="Q360" i="4"/>
  <c r="N360" i="4"/>
  <c r="O360" i="4" s="1"/>
  <c r="A360" i="4"/>
  <c r="S359" i="4"/>
  <c r="R359" i="4"/>
  <c r="Q359" i="4"/>
  <c r="O359" i="4"/>
  <c r="N359" i="4"/>
  <c r="A359" i="4"/>
  <c r="S358" i="4"/>
  <c r="R358" i="4"/>
  <c r="Q358" i="4"/>
  <c r="N358" i="4"/>
  <c r="O358" i="4" s="1"/>
  <c r="A358" i="4"/>
  <c r="S357" i="4"/>
  <c r="R357" i="4"/>
  <c r="Q357" i="4"/>
  <c r="O357" i="4"/>
  <c r="N357" i="4"/>
  <c r="A357" i="4"/>
  <c r="S356" i="4"/>
  <c r="R356" i="4"/>
  <c r="Q356" i="4"/>
  <c r="N356" i="4"/>
  <c r="O356" i="4" s="1"/>
  <c r="A356" i="4"/>
  <c r="S355" i="4"/>
  <c r="R355" i="4"/>
  <c r="Q355" i="4"/>
  <c r="O355" i="4"/>
  <c r="N355" i="4"/>
  <c r="A355" i="4"/>
  <c r="S354" i="4"/>
  <c r="R354" i="4"/>
  <c r="Q354" i="4"/>
  <c r="N354" i="4"/>
  <c r="O354" i="4" s="1"/>
  <c r="A354" i="4"/>
  <c r="S353" i="4"/>
  <c r="R353" i="4"/>
  <c r="Q353" i="4"/>
  <c r="O353" i="4"/>
  <c r="N353" i="4"/>
  <c r="A353" i="4"/>
  <c r="S352" i="4"/>
  <c r="R352" i="4"/>
  <c r="Q352" i="4"/>
  <c r="N352" i="4"/>
  <c r="O352" i="4" s="1"/>
  <c r="A352" i="4"/>
  <c r="S351" i="4"/>
  <c r="R351" i="4"/>
  <c r="Q351" i="4"/>
  <c r="O351" i="4"/>
  <c r="N351" i="4"/>
  <c r="A351" i="4"/>
  <c r="S350" i="4"/>
  <c r="R350" i="4"/>
  <c r="Q350" i="4"/>
  <c r="N350" i="4"/>
  <c r="O350" i="4" s="1"/>
  <c r="A350" i="4"/>
  <c r="S349" i="4"/>
  <c r="R349" i="4"/>
  <c r="Q349" i="4"/>
  <c r="O349" i="4"/>
  <c r="N349" i="4"/>
  <c r="A349" i="4"/>
  <c r="S348" i="4"/>
  <c r="R348" i="4"/>
  <c r="Q348" i="4"/>
  <c r="N348" i="4"/>
  <c r="O348" i="4" s="1"/>
  <c r="A348" i="4"/>
  <c r="S347" i="4"/>
  <c r="R347" i="4"/>
  <c r="Q347" i="4"/>
  <c r="O347" i="4"/>
  <c r="N347" i="4"/>
  <c r="A347" i="4"/>
  <c r="S346" i="4"/>
  <c r="R346" i="4"/>
  <c r="Q346" i="4"/>
  <c r="N346" i="4"/>
  <c r="O346" i="4" s="1"/>
  <c r="A346" i="4"/>
  <c r="S345" i="4"/>
  <c r="R345" i="4"/>
  <c r="Q345" i="4"/>
  <c r="O345" i="4"/>
  <c r="N345" i="4"/>
  <c r="A345" i="4"/>
  <c r="S344" i="4"/>
  <c r="R344" i="4"/>
  <c r="Q344" i="4"/>
  <c r="N344" i="4"/>
  <c r="O344" i="4" s="1"/>
  <c r="A344" i="4"/>
  <c r="S343" i="4"/>
  <c r="R343" i="4"/>
  <c r="Q343" i="4"/>
  <c r="O343" i="4"/>
  <c r="N343" i="4"/>
  <c r="A343" i="4"/>
  <c r="S342" i="4"/>
  <c r="R342" i="4"/>
  <c r="Q342" i="4"/>
  <c r="N342" i="4"/>
  <c r="O342" i="4" s="1"/>
  <c r="A342" i="4"/>
  <c r="S341" i="4"/>
  <c r="R341" i="4"/>
  <c r="Q341" i="4"/>
  <c r="O341" i="4"/>
  <c r="N341" i="4"/>
  <c r="A341" i="4"/>
  <c r="S340" i="4"/>
  <c r="R340" i="4"/>
  <c r="Q340" i="4"/>
  <c r="N340" i="4"/>
  <c r="O340" i="4" s="1"/>
  <c r="A340" i="4"/>
  <c r="S339" i="4"/>
  <c r="R339" i="4"/>
  <c r="Q339" i="4"/>
  <c r="O339" i="4"/>
  <c r="N339" i="4"/>
  <c r="A339" i="4"/>
  <c r="S338" i="4"/>
  <c r="R338" i="4"/>
  <c r="Q338" i="4"/>
  <c r="N338" i="4"/>
  <c r="O338" i="4" s="1"/>
  <c r="A338" i="4"/>
  <c r="S337" i="4"/>
  <c r="R337" i="4"/>
  <c r="Q337" i="4"/>
  <c r="O337" i="4"/>
  <c r="N337" i="4"/>
  <c r="A337" i="4"/>
  <c r="S336" i="4"/>
  <c r="R336" i="4"/>
  <c r="Q336" i="4"/>
  <c r="N336" i="4"/>
  <c r="O336" i="4" s="1"/>
  <c r="A336" i="4"/>
  <c r="S335" i="4"/>
  <c r="R335" i="4"/>
  <c r="Q335" i="4"/>
  <c r="O335" i="4"/>
  <c r="N335" i="4"/>
  <c r="A335" i="4"/>
  <c r="S334" i="4"/>
  <c r="R334" i="4"/>
  <c r="Q334" i="4"/>
  <c r="N334" i="4"/>
  <c r="O334" i="4" s="1"/>
  <c r="A334" i="4"/>
  <c r="S333" i="4"/>
  <c r="R333" i="4"/>
  <c r="Q333" i="4"/>
  <c r="O333" i="4"/>
  <c r="N333" i="4"/>
  <c r="A333" i="4"/>
  <c r="S332" i="4"/>
  <c r="R332" i="4"/>
  <c r="Q332" i="4"/>
  <c r="N332" i="4"/>
  <c r="O332" i="4" s="1"/>
  <c r="A332" i="4"/>
  <c r="S331" i="4"/>
  <c r="R331" i="4"/>
  <c r="Q331" i="4"/>
  <c r="O331" i="4"/>
  <c r="N331" i="4"/>
  <c r="A331" i="4"/>
  <c r="S330" i="4"/>
  <c r="R330" i="4"/>
  <c r="Q330" i="4"/>
  <c r="N330" i="4"/>
  <c r="O330" i="4" s="1"/>
  <c r="A330" i="4"/>
  <c r="S329" i="4"/>
  <c r="R329" i="4"/>
  <c r="Q329" i="4"/>
  <c r="O329" i="4"/>
  <c r="N329" i="4"/>
  <c r="A329" i="4"/>
  <c r="S328" i="4"/>
  <c r="R328" i="4"/>
  <c r="Q328" i="4"/>
  <c r="N328" i="4"/>
  <c r="O328" i="4" s="1"/>
  <c r="A328" i="4"/>
  <c r="S327" i="4"/>
  <c r="R327" i="4"/>
  <c r="Q327" i="4"/>
  <c r="O327" i="4"/>
  <c r="N327" i="4"/>
  <c r="A327" i="4"/>
  <c r="S326" i="4"/>
  <c r="R326" i="4"/>
  <c r="Q326" i="4"/>
  <c r="N326" i="4"/>
  <c r="O326" i="4" s="1"/>
  <c r="A326" i="4"/>
  <c r="S325" i="4"/>
  <c r="R325" i="4"/>
  <c r="Q325" i="4"/>
  <c r="O325" i="4"/>
  <c r="N325" i="4"/>
  <c r="A325" i="4"/>
  <c r="S324" i="4"/>
  <c r="R324" i="4"/>
  <c r="Q324" i="4"/>
  <c r="N324" i="4"/>
  <c r="O324" i="4" s="1"/>
  <c r="A324" i="4"/>
  <c r="S323" i="4"/>
  <c r="R323" i="4"/>
  <c r="Q323" i="4"/>
  <c r="O323" i="4"/>
  <c r="N323" i="4"/>
  <c r="A323" i="4"/>
  <c r="S322" i="4"/>
  <c r="R322" i="4"/>
  <c r="Q322" i="4"/>
  <c r="N322" i="4"/>
  <c r="O322" i="4" s="1"/>
  <c r="A322" i="4"/>
  <c r="S321" i="4"/>
  <c r="R321" i="4"/>
  <c r="Q321" i="4"/>
  <c r="O321" i="4"/>
  <c r="N321" i="4"/>
  <c r="A321" i="4"/>
  <c r="S320" i="4"/>
  <c r="R320" i="4"/>
  <c r="Q320" i="4"/>
  <c r="N320" i="4"/>
  <c r="O320" i="4" s="1"/>
  <c r="A320" i="4"/>
  <c r="S319" i="4"/>
  <c r="R319" i="4"/>
  <c r="Q319" i="4"/>
  <c r="O319" i="4"/>
  <c r="N319" i="4"/>
  <c r="A319" i="4"/>
  <c r="S318" i="4"/>
  <c r="R318" i="4"/>
  <c r="Q318" i="4"/>
  <c r="N318" i="4"/>
  <c r="O318" i="4" s="1"/>
  <c r="A318" i="4"/>
  <c r="S317" i="4"/>
  <c r="R317" i="4"/>
  <c r="Q317" i="4"/>
  <c r="O317" i="4"/>
  <c r="N317" i="4"/>
  <c r="A317" i="4"/>
  <c r="S316" i="4"/>
  <c r="R316" i="4"/>
  <c r="Q316" i="4"/>
  <c r="N316" i="4"/>
  <c r="O316" i="4" s="1"/>
  <c r="A316" i="4"/>
  <c r="S315" i="4"/>
  <c r="R315" i="4"/>
  <c r="Q315" i="4"/>
  <c r="O315" i="4"/>
  <c r="N315" i="4"/>
  <c r="A315" i="4"/>
  <c r="S314" i="4"/>
  <c r="R314" i="4"/>
  <c r="Q314" i="4"/>
  <c r="N314" i="4"/>
  <c r="O314" i="4" s="1"/>
  <c r="A314" i="4"/>
  <c r="S313" i="4"/>
  <c r="R313" i="4"/>
  <c r="Q313" i="4"/>
  <c r="O313" i="4"/>
  <c r="N313" i="4"/>
  <c r="A313" i="4"/>
  <c r="S312" i="4"/>
  <c r="R312" i="4"/>
  <c r="Q312" i="4"/>
  <c r="N312" i="4"/>
  <c r="O312" i="4" s="1"/>
  <c r="A312" i="4"/>
  <c r="S311" i="4"/>
  <c r="R311" i="4"/>
  <c r="Q311" i="4"/>
  <c r="O311" i="4"/>
  <c r="N311" i="4"/>
  <c r="A311" i="4"/>
  <c r="S310" i="4"/>
  <c r="R310" i="4"/>
  <c r="Q310" i="4"/>
  <c r="N310" i="4"/>
  <c r="O310" i="4" s="1"/>
  <c r="A310" i="4"/>
  <c r="S309" i="4"/>
  <c r="R309" i="4"/>
  <c r="Q309" i="4"/>
  <c r="O309" i="4"/>
  <c r="N309" i="4"/>
  <c r="A309" i="4"/>
  <c r="S308" i="4"/>
  <c r="R308" i="4"/>
  <c r="Q308" i="4"/>
  <c r="N308" i="4"/>
  <c r="O308" i="4" s="1"/>
  <c r="A308" i="4"/>
  <c r="S307" i="4"/>
  <c r="R307" i="4"/>
  <c r="Q307" i="4"/>
  <c r="O307" i="4"/>
  <c r="N307" i="4"/>
  <c r="A307" i="4"/>
  <c r="S306" i="4"/>
  <c r="R306" i="4"/>
  <c r="Q306" i="4"/>
  <c r="N306" i="4"/>
  <c r="O306" i="4" s="1"/>
  <c r="A306" i="4"/>
  <c r="S305" i="4"/>
  <c r="R305" i="4"/>
  <c r="Q305" i="4"/>
  <c r="O305" i="4"/>
  <c r="N305" i="4"/>
  <c r="A305" i="4"/>
  <c r="S304" i="4"/>
  <c r="R304" i="4"/>
  <c r="Q304" i="4"/>
  <c r="N304" i="4"/>
  <c r="O304" i="4" s="1"/>
  <c r="A304" i="4"/>
  <c r="S303" i="4"/>
  <c r="R303" i="4"/>
  <c r="Q303" i="4"/>
  <c r="O303" i="4"/>
  <c r="N303" i="4"/>
  <c r="A303" i="4"/>
  <c r="S302" i="4"/>
  <c r="R302" i="4"/>
  <c r="Q302" i="4"/>
  <c r="N302" i="4"/>
  <c r="O302" i="4" s="1"/>
  <c r="A302" i="4"/>
  <c r="S301" i="4"/>
  <c r="R301" i="4"/>
  <c r="Q301" i="4"/>
  <c r="O301" i="4"/>
  <c r="N301" i="4"/>
  <c r="A301" i="4"/>
  <c r="S300" i="4"/>
  <c r="R300" i="4"/>
  <c r="Q300" i="4"/>
  <c r="N300" i="4"/>
  <c r="O300" i="4" s="1"/>
  <c r="A300" i="4"/>
  <c r="S299" i="4"/>
  <c r="R299" i="4"/>
  <c r="Q299" i="4"/>
  <c r="O299" i="4"/>
  <c r="N299" i="4"/>
  <c r="A299" i="4"/>
  <c r="S298" i="4"/>
  <c r="R298" i="4"/>
  <c r="Q298" i="4"/>
  <c r="N298" i="4"/>
  <c r="O298" i="4" s="1"/>
  <c r="A298" i="4"/>
  <c r="S297" i="4"/>
  <c r="R297" i="4"/>
  <c r="Q297" i="4"/>
  <c r="O297" i="4"/>
  <c r="N297" i="4"/>
  <c r="A297" i="4"/>
  <c r="S296" i="4"/>
  <c r="R296" i="4"/>
  <c r="Q296" i="4"/>
  <c r="N296" i="4"/>
  <c r="O296" i="4" s="1"/>
  <c r="A296" i="4"/>
  <c r="S295" i="4"/>
  <c r="R295" i="4"/>
  <c r="Q295" i="4"/>
  <c r="O295" i="4"/>
  <c r="N295" i="4"/>
  <c r="A295" i="4"/>
  <c r="S294" i="4"/>
  <c r="R294" i="4"/>
  <c r="Q294" i="4"/>
  <c r="N294" i="4"/>
  <c r="O294" i="4" s="1"/>
  <c r="A294" i="4"/>
  <c r="S293" i="4"/>
  <c r="R293" i="4"/>
  <c r="Q293" i="4"/>
  <c r="O293" i="4"/>
  <c r="N293" i="4"/>
  <c r="A293" i="4"/>
  <c r="S292" i="4"/>
  <c r="R292" i="4"/>
  <c r="Q292" i="4"/>
  <c r="N292" i="4"/>
  <c r="O292" i="4" s="1"/>
  <c r="A292" i="4"/>
  <c r="S291" i="4"/>
  <c r="R291" i="4"/>
  <c r="Q291" i="4"/>
  <c r="O291" i="4"/>
  <c r="N291" i="4"/>
  <c r="A291" i="4"/>
  <c r="S290" i="4"/>
  <c r="R290" i="4"/>
  <c r="Q290" i="4"/>
  <c r="N290" i="4"/>
  <c r="O290" i="4" s="1"/>
  <c r="A290" i="4"/>
  <c r="S289" i="4"/>
  <c r="R289" i="4"/>
  <c r="Q289" i="4"/>
  <c r="O289" i="4"/>
  <c r="N289" i="4"/>
  <c r="A289" i="4"/>
  <c r="S288" i="4"/>
  <c r="R288" i="4"/>
  <c r="Q288" i="4"/>
  <c r="N288" i="4"/>
  <c r="O288" i="4" s="1"/>
  <c r="A288" i="4"/>
  <c r="S287" i="4"/>
  <c r="R287" i="4"/>
  <c r="Q287" i="4"/>
  <c r="O287" i="4"/>
  <c r="N287" i="4"/>
  <c r="A287" i="4"/>
  <c r="S286" i="4"/>
  <c r="R286" i="4"/>
  <c r="Q286" i="4"/>
  <c r="N286" i="4"/>
  <c r="O286" i="4" s="1"/>
  <c r="A286" i="4"/>
  <c r="S285" i="4"/>
  <c r="R285" i="4"/>
  <c r="Q285" i="4"/>
  <c r="O285" i="4"/>
  <c r="N285" i="4"/>
  <c r="A285" i="4"/>
  <c r="S284" i="4"/>
  <c r="R284" i="4"/>
  <c r="Q284" i="4"/>
  <c r="N284" i="4"/>
  <c r="O284" i="4" s="1"/>
  <c r="A284" i="4"/>
  <c r="S283" i="4"/>
  <c r="R283" i="4"/>
  <c r="Q283" i="4"/>
  <c r="O283" i="4"/>
  <c r="N283" i="4"/>
  <c r="A283" i="4"/>
  <c r="S282" i="4"/>
  <c r="R282" i="4"/>
  <c r="Q282" i="4"/>
  <c r="N282" i="4"/>
  <c r="O282" i="4" s="1"/>
  <c r="A282" i="4"/>
  <c r="S281" i="4"/>
  <c r="R281" i="4"/>
  <c r="Q281" i="4"/>
  <c r="O281" i="4"/>
  <c r="N281" i="4"/>
  <c r="A281" i="4"/>
  <c r="S280" i="4"/>
  <c r="R280" i="4"/>
  <c r="Q280" i="4"/>
  <c r="N280" i="4"/>
  <c r="O280" i="4" s="1"/>
  <c r="A280" i="4"/>
  <c r="S279" i="4"/>
  <c r="R279" i="4"/>
  <c r="Q279" i="4"/>
  <c r="O279" i="4"/>
  <c r="N279" i="4"/>
  <c r="A279" i="4"/>
  <c r="S278" i="4"/>
  <c r="R278" i="4"/>
  <c r="Q278" i="4"/>
  <c r="N278" i="4"/>
  <c r="O278" i="4" s="1"/>
  <c r="A278" i="4"/>
  <c r="S277" i="4"/>
  <c r="R277" i="4"/>
  <c r="Q277" i="4"/>
  <c r="O277" i="4"/>
  <c r="N277" i="4"/>
  <c r="A277" i="4"/>
  <c r="S276" i="4"/>
  <c r="R276" i="4"/>
  <c r="Q276" i="4"/>
  <c r="N276" i="4"/>
  <c r="O276" i="4" s="1"/>
  <c r="A276" i="4"/>
  <c r="S275" i="4"/>
  <c r="R275" i="4"/>
  <c r="Q275" i="4"/>
  <c r="O275" i="4"/>
  <c r="N275" i="4"/>
  <c r="A275" i="4"/>
  <c r="S274" i="4"/>
  <c r="R274" i="4"/>
  <c r="Q274" i="4"/>
  <c r="N274" i="4"/>
  <c r="O274" i="4" s="1"/>
  <c r="A274" i="4"/>
  <c r="S273" i="4"/>
  <c r="R273" i="4"/>
  <c r="Q273" i="4"/>
  <c r="O273" i="4"/>
  <c r="N273" i="4"/>
  <c r="A273" i="4"/>
  <c r="S272" i="4"/>
  <c r="R272" i="4"/>
  <c r="Q272" i="4"/>
  <c r="N272" i="4"/>
  <c r="O272" i="4" s="1"/>
  <c r="A272" i="4"/>
  <c r="S271" i="4"/>
  <c r="R271" i="4"/>
  <c r="Q271" i="4"/>
  <c r="O271" i="4"/>
  <c r="N271" i="4"/>
  <c r="A271" i="4"/>
  <c r="S270" i="4"/>
  <c r="R270" i="4"/>
  <c r="Q270" i="4"/>
  <c r="N270" i="4"/>
  <c r="O270" i="4" s="1"/>
  <c r="A270" i="4"/>
  <c r="S269" i="4"/>
  <c r="R269" i="4"/>
  <c r="Q269" i="4"/>
  <c r="O269" i="4"/>
  <c r="N269" i="4"/>
  <c r="A269" i="4"/>
  <c r="S268" i="4"/>
  <c r="R268" i="4"/>
  <c r="Q268" i="4"/>
  <c r="N268" i="4"/>
  <c r="O268" i="4" s="1"/>
  <c r="A268" i="4"/>
  <c r="S267" i="4"/>
  <c r="R267" i="4"/>
  <c r="Q267" i="4"/>
  <c r="O267" i="4"/>
  <c r="N267" i="4"/>
  <c r="A267" i="4"/>
  <c r="S266" i="4"/>
  <c r="R266" i="4"/>
  <c r="Q266" i="4"/>
  <c r="N266" i="4"/>
  <c r="O266" i="4" s="1"/>
  <c r="A266" i="4"/>
  <c r="S265" i="4"/>
  <c r="R265" i="4"/>
  <c r="Q265" i="4"/>
  <c r="O265" i="4"/>
  <c r="N265" i="4"/>
  <c r="A265" i="4"/>
  <c r="S264" i="4"/>
  <c r="R264" i="4"/>
  <c r="Q264" i="4"/>
  <c r="N264" i="4"/>
  <c r="O264" i="4" s="1"/>
  <c r="A264" i="4"/>
  <c r="S263" i="4"/>
  <c r="R263" i="4"/>
  <c r="Q263" i="4"/>
  <c r="O263" i="4"/>
  <c r="N263" i="4"/>
  <c r="A263" i="4"/>
  <c r="S262" i="4"/>
  <c r="R262" i="4"/>
  <c r="Q262" i="4"/>
  <c r="N262" i="4"/>
  <c r="O262" i="4" s="1"/>
  <c r="A262" i="4"/>
  <c r="S261" i="4"/>
  <c r="R261" i="4"/>
  <c r="Q261" i="4"/>
  <c r="O261" i="4"/>
  <c r="N261" i="4"/>
  <c r="A261" i="4"/>
  <c r="S260" i="4"/>
  <c r="R260" i="4"/>
  <c r="Q260" i="4"/>
  <c r="N260" i="4"/>
  <c r="O260" i="4" s="1"/>
  <c r="A260" i="4"/>
  <c r="S259" i="4"/>
  <c r="R259" i="4"/>
  <c r="Q259" i="4"/>
  <c r="O259" i="4"/>
  <c r="N259" i="4"/>
  <c r="A259" i="4"/>
  <c r="S258" i="4"/>
  <c r="R258" i="4"/>
  <c r="Q258" i="4"/>
  <c r="N258" i="4"/>
  <c r="O258" i="4" s="1"/>
  <c r="A258" i="4"/>
  <c r="S257" i="4"/>
  <c r="R257" i="4"/>
  <c r="Q257" i="4"/>
  <c r="O257" i="4"/>
  <c r="N257" i="4"/>
  <c r="A257" i="4"/>
  <c r="S256" i="4"/>
  <c r="R256" i="4"/>
  <c r="Q256" i="4"/>
  <c r="N256" i="4"/>
  <c r="O256" i="4" s="1"/>
  <c r="A256" i="4"/>
  <c r="S255" i="4"/>
  <c r="R255" i="4"/>
  <c r="Q255" i="4"/>
  <c r="O255" i="4"/>
  <c r="N255" i="4"/>
  <c r="A255" i="4"/>
  <c r="S254" i="4"/>
  <c r="R254" i="4"/>
  <c r="Q254" i="4"/>
  <c r="N254" i="4"/>
  <c r="O254" i="4" s="1"/>
  <c r="A254" i="4"/>
  <c r="S253" i="4"/>
  <c r="R253" i="4"/>
  <c r="Q253" i="4"/>
  <c r="O253" i="4"/>
  <c r="N253" i="4"/>
  <c r="A253" i="4"/>
  <c r="S252" i="4"/>
  <c r="R252" i="4"/>
  <c r="Q252" i="4"/>
  <c r="N252" i="4"/>
  <c r="O252" i="4" s="1"/>
  <c r="A252" i="4"/>
  <c r="S251" i="4"/>
  <c r="R251" i="4"/>
  <c r="Q251" i="4"/>
  <c r="O251" i="4"/>
  <c r="N251" i="4"/>
  <c r="A251" i="4"/>
  <c r="S250" i="4"/>
  <c r="R250" i="4"/>
  <c r="Q250" i="4"/>
  <c r="N250" i="4"/>
  <c r="O250" i="4" s="1"/>
  <c r="A250" i="4"/>
  <c r="S249" i="4"/>
  <c r="R249" i="4"/>
  <c r="Q249" i="4"/>
  <c r="O249" i="4"/>
  <c r="N249" i="4"/>
  <c r="A249" i="4"/>
  <c r="S248" i="4"/>
  <c r="R248" i="4"/>
  <c r="Q248" i="4"/>
  <c r="N248" i="4"/>
  <c r="O248" i="4" s="1"/>
  <c r="A248" i="4"/>
  <c r="S247" i="4"/>
  <c r="R247" i="4"/>
  <c r="Q247" i="4"/>
  <c r="O247" i="4"/>
  <c r="N247" i="4"/>
  <c r="A247" i="4"/>
  <c r="S246" i="4"/>
  <c r="R246" i="4"/>
  <c r="Q246" i="4"/>
  <c r="N246" i="4"/>
  <c r="O246" i="4" s="1"/>
  <c r="A246" i="4"/>
  <c r="S245" i="4"/>
  <c r="R245" i="4"/>
  <c r="Q245" i="4"/>
  <c r="O245" i="4"/>
  <c r="N245" i="4"/>
  <c r="A245" i="4"/>
  <c r="S244" i="4"/>
  <c r="R244" i="4"/>
  <c r="Q244" i="4"/>
  <c r="N244" i="4"/>
  <c r="O244" i="4" s="1"/>
  <c r="A244" i="4"/>
  <c r="S243" i="4"/>
  <c r="R243" i="4"/>
  <c r="Q243" i="4"/>
  <c r="O243" i="4"/>
  <c r="N243" i="4"/>
  <c r="A243" i="4"/>
  <c r="S242" i="4"/>
  <c r="R242" i="4"/>
  <c r="Q242" i="4"/>
  <c r="N242" i="4"/>
  <c r="O242" i="4" s="1"/>
  <c r="A242" i="4"/>
  <c r="S241" i="4"/>
  <c r="R241" i="4"/>
  <c r="Q241" i="4"/>
  <c r="O241" i="4"/>
  <c r="N241" i="4"/>
  <c r="A241" i="4"/>
  <c r="S240" i="4"/>
  <c r="R240" i="4"/>
  <c r="Q240" i="4"/>
  <c r="N240" i="4"/>
  <c r="O240" i="4" s="1"/>
  <c r="A240" i="4"/>
  <c r="S239" i="4"/>
  <c r="R239" i="4"/>
  <c r="Q239" i="4"/>
  <c r="O239" i="4"/>
  <c r="N239" i="4"/>
  <c r="A239" i="4"/>
  <c r="S238" i="4"/>
  <c r="R238" i="4"/>
  <c r="Q238" i="4"/>
  <c r="N238" i="4"/>
  <c r="O238" i="4" s="1"/>
  <c r="A238" i="4"/>
  <c r="S237" i="4"/>
  <c r="R237" i="4"/>
  <c r="Q237" i="4"/>
  <c r="O237" i="4"/>
  <c r="N237" i="4"/>
  <c r="A237" i="4"/>
  <c r="S236" i="4"/>
  <c r="R236" i="4"/>
  <c r="Q236" i="4"/>
  <c r="N236" i="4"/>
  <c r="O236" i="4" s="1"/>
  <c r="A236" i="4"/>
  <c r="S235" i="4"/>
  <c r="R235" i="4"/>
  <c r="Q235" i="4"/>
  <c r="O235" i="4"/>
  <c r="N235" i="4"/>
  <c r="A235" i="4"/>
  <c r="S234" i="4"/>
  <c r="R234" i="4"/>
  <c r="Q234" i="4"/>
  <c r="N234" i="4"/>
  <c r="O234" i="4" s="1"/>
  <c r="A234" i="4"/>
  <c r="S233" i="4"/>
  <c r="R233" i="4"/>
  <c r="Q233" i="4"/>
  <c r="O233" i="4"/>
  <c r="N233" i="4"/>
  <c r="A233" i="4"/>
  <c r="S232" i="4"/>
  <c r="R232" i="4"/>
  <c r="Q232" i="4"/>
  <c r="N232" i="4"/>
  <c r="O232" i="4" s="1"/>
  <c r="A232" i="4"/>
  <c r="S231" i="4"/>
  <c r="R231" i="4"/>
  <c r="Q231" i="4"/>
  <c r="O231" i="4"/>
  <c r="N231" i="4"/>
  <c r="A231" i="4"/>
  <c r="S230" i="4"/>
  <c r="R230" i="4"/>
  <c r="Q230" i="4"/>
  <c r="N230" i="4"/>
  <c r="O230" i="4" s="1"/>
  <c r="A230" i="4"/>
  <c r="S229" i="4"/>
  <c r="R229" i="4"/>
  <c r="Q229" i="4"/>
  <c r="O229" i="4"/>
  <c r="N229" i="4"/>
  <c r="A229" i="4"/>
  <c r="S228" i="4"/>
  <c r="R228" i="4"/>
  <c r="Q228" i="4"/>
  <c r="N228" i="4"/>
  <c r="O228" i="4" s="1"/>
  <c r="A228" i="4"/>
  <c r="S227" i="4"/>
  <c r="R227" i="4"/>
  <c r="Q227" i="4"/>
  <c r="O227" i="4"/>
  <c r="N227" i="4"/>
  <c r="A227" i="4"/>
  <c r="S226" i="4"/>
  <c r="R226" i="4"/>
  <c r="Q226" i="4"/>
  <c r="N226" i="4"/>
  <c r="O226" i="4" s="1"/>
  <c r="A226" i="4"/>
  <c r="S225" i="4"/>
  <c r="R225" i="4"/>
  <c r="Q225" i="4"/>
  <c r="O225" i="4"/>
  <c r="N225" i="4"/>
  <c r="A225" i="4"/>
  <c r="S224" i="4"/>
  <c r="R224" i="4"/>
  <c r="Q224" i="4"/>
  <c r="N224" i="4"/>
  <c r="O224" i="4" s="1"/>
  <c r="A224" i="4"/>
  <c r="S223" i="4"/>
  <c r="R223" i="4"/>
  <c r="Q223" i="4"/>
  <c r="O223" i="4"/>
  <c r="N223" i="4"/>
  <c r="A223" i="4"/>
  <c r="S222" i="4"/>
  <c r="R222" i="4"/>
  <c r="Q222" i="4"/>
  <c r="N222" i="4"/>
  <c r="O222" i="4" s="1"/>
  <c r="A222" i="4"/>
  <c r="S221" i="4"/>
  <c r="R221" i="4"/>
  <c r="Q221" i="4"/>
  <c r="O221" i="4"/>
  <c r="N221" i="4"/>
  <c r="A221" i="4"/>
  <c r="S220" i="4"/>
  <c r="R220" i="4"/>
  <c r="Q220" i="4"/>
  <c r="N220" i="4"/>
  <c r="O220" i="4" s="1"/>
  <c r="A220" i="4"/>
  <c r="S219" i="4"/>
  <c r="R219" i="4"/>
  <c r="Q219" i="4"/>
  <c r="O219" i="4"/>
  <c r="N219" i="4"/>
  <c r="A219" i="4"/>
  <c r="S218" i="4"/>
  <c r="R218" i="4"/>
  <c r="Q218" i="4"/>
  <c r="N218" i="4"/>
  <c r="O218" i="4" s="1"/>
  <c r="A218" i="4"/>
  <c r="S217" i="4"/>
  <c r="R217" i="4"/>
  <c r="Q217" i="4"/>
  <c r="O217" i="4"/>
  <c r="N217" i="4"/>
  <c r="A217" i="4"/>
  <c r="S216" i="4"/>
  <c r="R216" i="4"/>
  <c r="Q216" i="4"/>
  <c r="N216" i="4"/>
  <c r="O216" i="4" s="1"/>
  <c r="A216" i="4"/>
  <c r="S215" i="4"/>
  <c r="R215" i="4"/>
  <c r="Q215" i="4"/>
  <c r="O215" i="4"/>
  <c r="N215" i="4"/>
  <c r="A215" i="4"/>
  <c r="S214" i="4"/>
  <c r="R214" i="4"/>
  <c r="Q214" i="4"/>
  <c r="N214" i="4"/>
  <c r="O214" i="4" s="1"/>
  <c r="A214" i="4"/>
  <c r="S213" i="4"/>
  <c r="R213" i="4"/>
  <c r="Q213" i="4"/>
  <c r="O213" i="4"/>
  <c r="N213" i="4"/>
  <c r="A213" i="4"/>
  <c r="S212" i="4"/>
  <c r="R212" i="4"/>
  <c r="Q212" i="4"/>
  <c r="N212" i="4"/>
  <c r="O212" i="4" s="1"/>
  <c r="A212" i="4"/>
  <c r="S211" i="4"/>
  <c r="R211" i="4"/>
  <c r="Q211" i="4"/>
  <c r="O211" i="4"/>
  <c r="N211" i="4"/>
  <c r="A211" i="4"/>
  <c r="S210" i="4"/>
  <c r="R210" i="4"/>
  <c r="Q210" i="4"/>
  <c r="N210" i="4"/>
  <c r="O210" i="4" s="1"/>
  <c r="A210" i="4"/>
  <c r="S209" i="4"/>
  <c r="R209" i="4"/>
  <c r="Q209" i="4"/>
  <c r="O209" i="4"/>
  <c r="N209" i="4"/>
  <c r="A209" i="4"/>
  <c r="S208" i="4"/>
  <c r="R208" i="4"/>
  <c r="Q208" i="4"/>
  <c r="N208" i="4"/>
  <c r="O208" i="4" s="1"/>
  <c r="A208" i="4"/>
  <c r="S207" i="4"/>
  <c r="R207" i="4"/>
  <c r="Q207" i="4"/>
  <c r="O207" i="4"/>
  <c r="N207" i="4"/>
  <c r="A207" i="4"/>
  <c r="S206" i="4"/>
  <c r="R206" i="4"/>
  <c r="Q206" i="4"/>
  <c r="N206" i="4"/>
  <c r="O206" i="4" s="1"/>
  <c r="A206" i="4"/>
  <c r="S205" i="4"/>
  <c r="R205" i="4"/>
  <c r="Q205" i="4"/>
  <c r="O205" i="4"/>
  <c r="N205" i="4"/>
  <c r="A205" i="4"/>
  <c r="S204" i="4"/>
  <c r="R204" i="4"/>
  <c r="Q204" i="4"/>
  <c r="N204" i="4"/>
  <c r="O204" i="4" s="1"/>
  <c r="A204" i="4"/>
  <c r="S203" i="4"/>
  <c r="R203" i="4"/>
  <c r="Q203" i="4"/>
  <c r="O203" i="4"/>
  <c r="N203" i="4"/>
  <c r="A203" i="4"/>
  <c r="S202" i="4"/>
  <c r="R202" i="4"/>
  <c r="Q202" i="4"/>
  <c r="N202" i="4"/>
  <c r="O202" i="4" s="1"/>
  <c r="A202" i="4"/>
  <c r="S201" i="4"/>
  <c r="R201" i="4"/>
  <c r="Q201" i="4"/>
  <c r="O201" i="4"/>
  <c r="N201" i="4"/>
  <c r="A201" i="4"/>
  <c r="S200" i="4"/>
  <c r="R200" i="4"/>
  <c r="Q200" i="4"/>
  <c r="N200" i="4"/>
  <c r="O200" i="4" s="1"/>
  <c r="A200" i="4"/>
  <c r="S199" i="4"/>
  <c r="R199" i="4"/>
  <c r="Q199" i="4"/>
  <c r="O199" i="4"/>
  <c r="N199" i="4"/>
  <c r="A199" i="4"/>
  <c r="S198" i="4"/>
  <c r="R198" i="4"/>
  <c r="Q198" i="4"/>
  <c r="N198" i="4"/>
  <c r="O198" i="4" s="1"/>
  <c r="A198" i="4"/>
  <c r="S197" i="4"/>
  <c r="R197" i="4"/>
  <c r="Q197" i="4"/>
  <c r="O197" i="4"/>
  <c r="N197" i="4"/>
  <c r="A197" i="4"/>
  <c r="S196" i="4"/>
  <c r="R196" i="4"/>
  <c r="Q196" i="4"/>
  <c r="N196" i="4"/>
  <c r="O196" i="4" s="1"/>
  <c r="A196" i="4"/>
  <c r="S195" i="4"/>
  <c r="R195" i="4"/>
  <c r="Q195" i="4"/>
  <c r="O195" i="4"/>
  <c r="N195" i="4"/>
  <c r="A195" i="4"/>
  <c r="S194" i="4"/>
  <c r="R194" i="4"/>
  <c r="Q194" i="4"/>
  <c r="N194" i="4"/>
  <c r="O194" i="4" s="1"/>
  <c r="A194" i="4"/>
  <c r="S193" i="4"/>
  <c r="R193" i="4"/>
  <c r="Q193" i="4"/>
  <c r="O193" i="4"/>
  <c r="N193" i="4"/>
  <c r="A193" i="4"/>
  <c r="S192" i="4"/>
  <c r="R192" i="4"/>
  <c r="Q192" i="4"/>
  <c r="N192" i="4"/>
  <c r="O192" i="4" s="1"/>
  <c r="A192" i="4"/>
  <c r="S191" i="4"/>
  <c r="R191" i="4"/>
  <c r="Q191" i="4"/>
  <c r="O191" i="4"/>
  <c r="N191" i="4"/>
  <c r="A191" i="4"/>
  <c r="S190" i="4"/>
  <c r="R190" i="4"/>
  <c r="Q190" i="4"/>
  <c r="N190" i="4"/>
  <c r="O190" i="4" s="1"/>
  <c r="A190" i="4"/>
  <c r="S189" i="4"/>
  <c r="R189" i="4"/>
  <c r="Q189" i="4"/>
  <c r="O189" i="4"/>
  <c r="N189" i="4"/>
  <c r="A189" i="4"/>
  <c r="S188" i="4"/>
  <c r="R188" i="4"/>
  <c r="Q188" i="4"/>
  <c r="N188" i="4"/>
  <c r="O188" i="4" s="1"/>
  <c r="A188" i="4"/>
  <c r="S187" i="4"/>
  <c r="R187" i="4"/>
  <c r="Q187" i="4"/>
  <c r="O187" i="4"/>
  <c r="N187" i="4"/>
  <c r="A187" i="4"/>
  <c r="S186" i="4"/>
  <c r="R186" i="4"/>
  <c r="Q186" i="4"/>
  <c r="N186" i="4"/>
  <c r="O186" i="4" s="1"/>
  <c r="A186" i="4"/>
  <c r="S185" i="4"/>
  <c r="R185" i="4"/>
  <c r="Q185" i="4"/>
  <c r="O185" i="4"/>
  <c r="N185" i="4"/>
  <c r="A185" i="4"/>
  <c r="S184" i="4"/>
  <c r="R184" i="4"/>
  <c r="Q184" i="4"/>
  <c r="N184" i="4"/>
  <c r="O184" i="4" s="1"/>
  <c r="A184" i="4"/>
  <c r="S183" i="4"/>
  <c r="R183" i="4"/>
  <c r="Q183" i="4"/>
  <c r="O183" i="4"/>
  <c r="N183" i="4"/>
  <c r="A183" i="4"/>
  <c r="S182" i="4"/>
  <c r="R182" i="4"/>
  <c r="Q182" i="4"/>
  <c r="N182" i="4"/>
  <c r="O182" i="4" s="1"/>
  <c r="A182" i="4"/>
  <c r="S181" i="4"/>
  <c r="R181" i="4"/>
  <c r="Q181" i="4"/>
  <c r="O181" i="4"/>
  <c r="N181" i="4"/>
  <c r="A181" i="4"/>
  <c r="S180" i="4"/>
  <c r="R180" i="4"/>
  <c r="Q180" i="4"/>
  <c r="N180" i="4"/>
  <c r="O180" i="4" s="1"/>
  <c r="A180" i="4"/>
  <c r="S179" i="4"/>
  <c r="R179" i="4"/>
  <c r="Q179" i="4"/>
  <c r="O179" i="4"/>
  <c r="N179" i="4"/>
  <c r="A179" i="4"/>
  <c r="S178" i="4"/>
  <c r="R178" i="4"/>
  <c r="Q178" i="4"/>
  <c r="N178" i="4"/>
  <c r="O178" i="4" s="1"/>
  <c r="A178" i="4"/>
  <c r="S177" i="4"/>
  <c r="R177" i="4"/>
  <c r="Q177" i="4"/>
  <c r="O177" i="4"/>
  <c r="N177" i="4"/>
  <c r="A177" i="4"/>
  <c r="S176" i="4"/>
  <c r="R176" i="4"/>
  <c r="Q176" i="4"/>
  <c r="N176" i="4"/>
  <c r="O176" i="4" s="1"/>
  <c r="A176" i="4"/>
  <c r="S175" i="4"/>
  <c r="R175" i="4"/>
  <c r="Q175" i="4"/>
  <c r="O175" i="4"/>
  <c r="N175" i="4"/>
  <c r="A175" i="4"/>
  <c r="S174" i="4"/>
  <c r="R174" i="4"/>
  <c r="Q174" i="4"/>
  <c r="N174" i="4"/>
  <c r="O174" i="4" s="1"/>
  <c r="A174" i="4"/>
  <c r="S173" i="4"/>
  <c r="R173" i="4"/>
  <c r="Q173" i="4"/>
  <c r="O173" i="4"/>
  <c r="N173" i="4"/>
  <c r="A173" i="4"/>
  <c r="S172" i="4"/>
  <c r="R172" i="4"/>
  <c r="Q172" i="4"/>
  <c r="N172" i="4"/>
  <c r="O172" i="4" s="1"/>
  <c r="A172" i="4"/>
  <c r="S171" i="4"/>
  <c r="R171" i="4"/>
  <c r="Q171" i="4"/>
  <c r="O171" i="4"/>
  <c r="N171" i="4"/>
  <c r="A171" i="4"/>
  <c r="S170" i="4"/>
  <c r="R170" i="4"/>
  <c r="Q170" i="4"/>
  <c r="N170" i="4"/>
  <c r="O170" i="4" s="1"/>
  <c r="A170" i="4"/>
  <c r="S169" i="4"/>
  <c r="R169" i="4"/>
  <c r="Q169" i="4"/>
  <c r="O169" i="4"/>
  <c r="N169" i="4"/>
  <c r="A169" i="4"/>
  <c r="S168" i="4"/>
  <c r="R168" i="4"/>
  <c r="Q168" i="4"/>
  <c r="N168" i="4"/>
  <c r="O168" i="4" s="1"/>
  <c r="A168" i="4"/>
  <c r="S167" i="4"/>
  <c r="R167" i="4"/>
  <c r="Q167" i="4"/>
  <c r="O167" i="4"/>
  <c r="N167" i="4"/>
  <c r="A167" i="4"/>
  <c r="S166" i="4"/>
  <c r="R166" i="4"/>
  <c r="Q166" i="4"/>
  <c r="N166" i="4"/>
  <c r="O166" i="4" s="1"/>
  <c r="A166" i="4"/>
  <c r="S165" i="4"/>
  <c r="R165" i="4"/>
  <c r="Q165" i="4"/>
  <c r="O165" i="4"/>
  <c r="N165" i="4"/>
  <c r="A165" i="4"/>
  <c r="S164" i="4"/>
  <c r="R164" i="4"/>
  <c r="Q164" i="4"/>
  <c r="N164" i="4"/>
  <c r="O164" i="4" s="1"/>
  <c r="A164" i="4"/>
  <c r="S163" i="4"/>
  <c r="R163" i="4"/>
  <c r="Q163" i="4"/>
  <c r="O163" i="4"/>
  <c r="N163" i="4"/>
  <c r="A163" i="4"/>
  <c r="S162" i="4"/>
  <c r="R162" i="4"/>
  <c r="Q162" i="4"/>
  <c r="N162" i="4"/>
  <c r="O162" i="4" s="1"/>
  <c r="A162" i="4"/>
  <c r="S161" i="4"/>
  <c r="R161" i="4"/>
  <c r="Q161" i="4"/>
  <c r="O161" i="4"/>
  <c r="N161" i="4"/>
  <c r="A161" i="4"/>
  <c r="S160" i="4"/>
  <c r="R160" i="4"/>
  <c r="Q160" i="4"/>
  <c r="N160" i="4"/>
  <c r="O160" i="4" s="1"/>
  <c r="A160" i="4"/>
  <c r="S159" i="4"/>
  <c r="R159" i="4"/>
  <c r="Q159" i="4"/>
  <c r="O159" i="4"/>
  <c r="N159" i="4"/>
  <c r="A159" i="4"/>
  <c r="S158" i="4"/>
  <c r="R158" i="4"/>
  <c r="Q158" i="4"/>
  <c r="N158" i="4"/>
  <c r="O158" i="4" s="1"/>
  <c r="A158" i="4"/>
  <c r="S157" i="4"/>
  <c r="R157" i="4"/>
  <c r="Q157" i="4"/>
  <c r="O157" i="4"/>
  <c r="N157" i="4"/>
  <c r="A157" i="4"/>
  <c r="S156" i="4"/>
  <c r="R156" i="4"/>
  <c r="Q156" i="4"/>
  <c r="N156" i="4"/>
  <c r="O156" i="4" s="1"/>
  <c r="A156" i="4"/>
  <c r="S155" i="4"/>
  <c r="R155" i="4"/>
  <c r="Q155" i="4"/>
  <c r="O155" i="4"/>
  <c r="N155" i="4"/>
  <c r="A155" i="4"/>
  <c r="S154" i="4"/>
  <c r="R154" i="4"/>
  <c r="Q154" i="4"/>
  <c r="N154" i="4"/>
  <c r="O154" i="4" s="1"/>
  <c r="A154" i="4"/>
  <c r="S153" i="4"/>
  <c r="R153" i="4"/>
  <c r="Q153" i="4"/>
  <c r="O153" i="4"/>
  <c r="N153" i="4"/>
  <c r="A153" i="4"/>
  <c r="S152" i="4"/>
  <c r="R152" i="4"/>
  <c r="Q152" i="4"/>
  <c r="N152" i="4"/>
  <c r="O152" i="4" s="1"/>
  <c r="A152" i="4"/>
  <c r="S151" i="4"/>
  <c r="R151" i="4"/>
  <c r="Q151" i="4"/>
  <c r="O151" i="4"/>
  <c r="N151" i="4"/>
  <c r="A151" i="4"/>
  <c r="S150" i="4"/>
  <c r="R150" i="4"/>
  <c r="Q150" i="4"/>
  <c r="N150" i="4"/>
  <c r="O150" i="4" s="1"/>
  <c r="A150" i="4"/>
  <c r="S149" i="4"/>
  <c r="R149" i="4"/>
  <c r="Q149" i="4"/>
  <c r="O149" i="4"/>
  <c r="N149" i="4"/>
  <c r="A149" i="4"/>
  <c r="S148" i="4"/>
  <c r="R148" i="4"/>
  <c r="Q148" i="4"/>
  <c r="N148" i="4"/>
  <c r="O148" i="4" s="1"/>
  <c r="A148" i="4"/>
  <c r="S147" i="4"/>
  <c r="R147" i="4"/>
  <c r="Q147" i="4"/>
  <c r="O147" i="4"/>
  <c r="N147" i="4"/>
  <c r="A147" i="4"/>
  <c r="S146" i="4"/>
  <c r="R146" i="4"/>
  <c r="Q146" i="4"/>
  <c r="N146" i="4"/>
  <c r="O146" i="4" s="1"/>
  <c r="A146" i="4"/>
  <c r="S145" i="4"/>
  <c r="R145" i="4"/>
  <c r="Q145" i="4"/>
  <c r="O145" i="4"/>
  <c r="N145" i="4"/>
  <c r="A145" i="4"/>
  <c r="S144" i="4"/>
  <c r="R144" i="4"/>
  <c r="Q144" i="4"/>
  <c r="N144" i="4"/>
  <c r="O144" i="4" s="1"/>
  <c r="A144" i="4"/>
  <c r="S143" i="4"/>
  <c r="R143" i="4"/>
  <c r="Q143" i="4"/>
  <c r="O143" i="4"/>
  <c r="N143" i="4"/>
  <c r="A143" i="4"/>
  <c r="S142" i="4"/>
  <c r="R142" i="4"/>
  <c r="Q142" i="4"/>
  <c r="N142" i="4"/>
  <c r="O142" i="4" s="1"/>
  <c r="A142" i="4"/>
  <c r="S141" i="4"/>
  <c r="R141" i="4"/>
  <c r="Q141" i="4"/>
  <c r="O141" i="4"/>
  <c r="N141" i="4"/>
  <c r="A141" i="4"/>
  <c r="S140" i="4"/>
  <c r="R140" i="4"/>
  <c r="Q140" i="4"/>
  <c r="N140" i="4"/>
  <c r="O140" i="4" s="1"/>
  <c r="A140" i="4"/>
  <c r="S139" i="4"/>
  <c r="R139" i="4"/>
  <c r="Q139" i="4"/>
  <c r="O139" i="4"/>
  <c r="N139" i="4"/>
  <c r="A139" i="4"/>
  <c r="S138" i="4"/>
  <c r="R138" i="4"/>
  <c r="Q138" i="4"/>
  <c r="N138" i="4"/>
  <c r="O138" i="4" s="1"/>
  <c r="A138" i="4"/>
  <c r="S137" i="4"/>
  <c r="R137" i="4"/>
  <c r="Q137" i="4"/>
  <c r="O137" i="4"/>
  <c r="N137" i="4"/>
  <c r="A137" i="4"/>
  <c r="S136" i="4"/>
  <c r="R136" i="4"/>
  <c r="Q136" i="4"/>
  <c r="N136" i="4"/>
  <c r="O136" i="4" s="1"/>
  <c r="A136" i="4"/>
  <c r="S135" i="4"/>
  <c r="R135" i="4"/>
  <c r="Q135" i="4"/>
  <c r="O135" i="4"/>
  <c r="N135" i="4"/>
  <c r="A135" i="4"/>
  <c r="S134" i="4"/>
  <c r="R134" i="4"/>
  <c r="Q134" i="4"/>
  <c r="N134" i="4"/>
  <c r="O134" i="4" s="1"/>
  <c r="A134" i="4"/>
  <c r="S133" i="4"/>
  <c r="R133" i="4"/>
  <c r="Q133" i="4"/>
  <c r="O133" i="4"/>
  <c r="N133" i="4"/>
  <c r="A133" i="4"/>
  <c r="S132" i="4"/>
  <c r="R132" i="4"/>
  <c r="Q132" i="4"/>
  <c r="N132" i="4"/>
  <c r="O132" i="4" s="1"/>
  <c r="A132" i="4"/>
  <c r="S131" i="4"/>
  <c r="R131" i="4"/>
  <c r="Q131" i="4"/>
  <c r="O131" i="4"/>
  <c r="N131" i="4"/>
  <c r="A131" i="4"/>
  <c r="S130" i="4"/>
  <c r="R130" i="4"/>
  <c r="Q130" i="4"/>
  <c r="N130" i="4"/>
  <c r="O130" i="4" s="1"/>
  <c r="A130" i="4"/>
  <c r="S129" i="4"/>
  <c r="R129" i="4"/>
  <c r="Q129" i="4"/>
  <c r="O129" i="4"/>
  <c r="N129" i="4"/>
  <c r="A129" i="4"/>
  <c r="S128" i="4"/>
  <c r="R128" i="4"/>
  <c r="Q128" i="4"/>
  <c r="N128" i="4"/>
  <c r="O128" i="4" s="1"/>
  <c r="A128" i="4"/>
  <c r="S127" i="4"/>
  <c r="R127" i="4"/>
  <c r="Q127" i="4"/>
  <c r="O127" i="4"/>
  <c r="N127" i="4"/>
  <c r="A127" i="4"/>
  <c r="S126" i="4"/>
  <c r="R126" i="4"/>
  <c r="Q126" i="4"/>
  <c r="N126" i="4"/>
  <c r="O126" i="4" s="1"/>
  <c r="A126" i="4"/>
  <c r="S125" i="4"/>
  <c r="R125" i="4"/>
  <c r="Q125" i="4"/>
  <c r="O125" i="4"/>
  <c r="N125" i="4"/>
  <c r="A125" i="4"/>
  <c r="S124" i="4"/>
  <c r="R124" i="4"/>
  <c r="Q124" i="4"/>
  <c r="N124" i="4"/>
  <c r="O124" i="4" s="1"/>
  <c r="A124" i="4"/>
  <c r="S123" i="4"/>
  <c r="R123" i="4"/>
  <c r="Q123" i="4"/>
  <c r="O123" i="4"/>
  <c r="N123" i="4"/>
  <c r="A123" i="4"/>
  <c r="S122" i="4"/>
  <c r="R122" i="4"/>
  <c r="Q122" i="4"/>
  <c r="N122" i="4"/>
  <c r="O122" i="4" s="1"/>
  <c r="A122" i="4"/>
  <c r="S121" i="4"/>
  <c r="R121" i="4"/>
  <c r="Q121" i="4"/>
  <c r="O121" i="4"/>
  <c r="N121" i="4"/>
  <c r="A121" i="4"/>
  <c r="S120" i="4"/>
  <c r="R120" i="4"/>
  <c r="Q120" i="4"/>
  <c r="N120" i="4"/>
  <c r="O120" i="4" s="1"/>
  <c r="A120" i="4"/>
  <c r="S119" i="4"/>
  <c r="R119" i="4"/>
  <c r="Q119" i="4"/>
  <c r="O119" i="4"/>
  <c r="N119" i="4"/>
  <c r="A119" i="4"/>
  <c r="S118" i="4"/>
  <c r="R118" i="4"/>
  <c r="Q118" i="4"/>
  <c r="N118" i="4"/>
  <c r="O118" i="4" s="1"/>
  <c r="A118" i="4"/>
  <c r="S117" i="4"/>
  <c r="R117" i="4"/>
  <c r="Q117" i="4"/>
  <c r="O117" i="4"/>
  <c r="N117" i="4"/>
  <c r="A117" i="4"/>
  <c r="S116" i="4"/>
  <c r="R116" i="4"/>
  <c r="Q116" i="4"/>
  <c r="N116" i="4"/>
  <c r="O116" i="4" s="1"/>
  <c r="A116" i="4"/>
  <c r="S115" i="4"/>
  <c r="R115" i="4"/>
  <c r="Q115" i="4"/>
  <c r="O115" i="4"/>
  <c r="N115" i="4"/>
  <c r="A115" i="4"/>
  <c r="S114" i="4"/>
  <c r="R114" i="4"/>
  <c r="Q114" i="4"/>
  <c r="N114" i="4"/>
  <c r="O114" i="4" s="1"/>
  <c r="A114" i="4"/>
  <c r="S113" i="4"/>
  <c r="R113" i="4"/>
  <c r="Q113" i="4"/>
  <c r="O113" i="4"/>
  <c r="N113" i="4"/>
  <c r="A113" i="4"/>
  <c r="S112" i="4"/>
  <c r="R112" i="4"/>
  <c r="Q112" i="4"/>
  <c r="N112" i="4"/>
  <c r="O112" i="4" s="1"/>
  <c r="A112" i="4"/>
  <c r="S111" i="4"/>
  <c r="R111" i="4"/>
  <c r="Q111" i="4"/>
  <c r="O111" i="4"/>
  <c r="N111" i="4"/>
  <c r="A111" i="4"/>
  <c r="S110" i="4"/>
  <c r="R110" i="4"/>
  <c r="Q110" i="4"/>
  <c r="N110" i="4"/>
  <c r="O110" i="4" s="1"/>
  <c r="A110" i="4"/>
  <c r="S109" i="4"/>
  <c r="R109" i="4"/>
  <c r="Q109" i="4"/>
  <c r="O109" i="4"/>
  <c r="N109" i="4"/>
  <c r="A109" i="4"/>
  <c r="S108" i="4"/>
  <c r="R108" i="4"/>
  <c r="Q108" i="4"/>
  <c r="N108" i="4"/>
  <c r="O108" i="4" s="1"/>
  <c r="A108" i="4"/>
  <c r="S107" i="4"/>
  <c r="R107" i="4"/>
  <c r="Q107" i="4"/>
  <c r="O107" i="4"/>
  <c r="N107" i="4"/>
  <c r="A107" i="4"/>
  <c r="S106" i="4"/>
  <c r="R106" i="4"/>
  <c r="Q106" i="4"/>
  <c r="N106" i="4"/>
  <c r="O106" i="4" s="1"/>
  <c r="A106" i="4"/>
  <c r="S105" i="4"/>
  <c r="R105" i="4"/>
  <c r="Q105" i="4"/>
  <c r="O105" i="4"/>
  <c r="N105" i="4"/>
  <c r="A105" i="4"/>
  <c r="S104" i="4"/>
  <c r="R104" i="4"/>
  <c r="Q104" i="4"/>
  <c r="N104" i="4"/>
  <c r="O104" i="4" s="1"/>
  <c r="A104" i="4"/>
  <c r="S103" i="4"/>
  <c r="R103" i="4"/>
  <c r="Q103" i="4"/>
  <c r="O103" i="4"/>
  <c r="N103" i="4"/>
  <c r="A103" i="4"/>
  <c r="S102" i="4"/>
  <c r="R102" i="4"/>
  <c r="Q102" i="4"/>
  <c r="N102" i="4"/>
  <c r="O102" i="4" s="1"/>
  <c r="A102" i="4"/>
  <c r="S101" i="4"/>
  <c r="R101" i="4"/>
  <c r="Q101" i="4"/>
  <c r="O101" i="4"/>
  <c r="N101" i="4"/>
  <c r="A101" i="4"/>
  <c r="S100" i="4"/>
  <c r="R100" i="4"/>
  <c r="Q100" i="4"/>
  <c r="N100" i="4"/>
  <c r="O100" i="4" s="1"/>
  <c r="A100" i="4"/>
  <c r="S99" i="4"/>
  <c r="R99" i="4"/>
  <c r="Q99" i="4"/>
  <c r="O99" i="4"/>
  <c r="N99" i="4"/>
  <c r="A99" i="4"/>
  <c r="S98" i="4"/>
  <c r="R98" i="4"/>
  <c r="Q98" i="4"/>
  <c r="N98" i="4"/>
  <c r="O98" i="4" s="1"/>
  <c r="A98" i="4"/>
  <c r="S97" i="4"/>
  <c r="R97" i="4"/>
  <c r="Q97" i="4"/>
  <c r="O97" i="4"/>
  <c r="N97" i="4"/>
  <c r="A97" i="4"/>
  <c r="S96" i="4"/>
  <c r="R96" i="4"/>
  <c r="Q96" i="4"/>
  <c r="N96" i="4"/>
  <c r="O96" i="4" s="1"/>
  <c r="A96" i="4"/>
  <c r="S95" i="4"/>
  <c r="R95" i="4"/>
  <c r="Q95" i="4"/>
  <c r="O95" i="4"/>
  <c r="N95" i="4"/>
  <c r="A95" i="4"/>
  <c r="S94" i="4"/>
  <c r="R94" i="4"/>
  <c r="Q94" i="4"/>
  <c r="N94" i="4"/>
  <c r="O94" i="4" s="1"/>
  <c r="A94" i="4"/>
  <c r="S93" i="4"/>
  <c r="R93" i="4"/>
  <c r="Q93" i="4"/>
  <c r="O93" i="4"/>
  <c r="N93" i="4"/>
  <c r="A93" i="4"/>
  <c r="S92" i="4"/>
  <c r="R92" i="4"/>
  <c r="Q92" i="4"/>
  <c r="N92" i="4"/>
  <c r="O92" i="4" s="1"/>
  <c r="A92" i="4"/>
  <c r="S91" i="4"/>
  <c r="R91" i="4"/>
  <c r="Q91" i="4"/>
  <c r="O91" i="4"/>
  <c r="N91" i="4"/>
  <c r="A91" i="4"/>
  <c r="S90" i="4"/>
  <c r="R90" i="4"/>
  <c r="Q90" i="4"/>
  <c r="N90" i="4"/>
  <c r="O90" i="4" s="1"/>
  <c r="A90" i="4"/>
  <c r="S89" i="4"/>
  <c r="R89" i="4"/>
  <c r="Q89" i="4"/>
  <c r="O89" i="4"/>
  <c r="N89" i="4"/>
  <c r="A89" i="4"/>
  <c r="S88" i="4"/>
  <c r="R88" i="4"/>
  <c r="Q88" i="4"/>
  <c r="N88" i="4"/>
  <c r="O88" i="4" s="1"/>
  <c r="A88" i="4"/>
  <c r="S87" i="4"/>
  <c r="R87" i="4"/>
  <c r="Q87" i="4"/>
  <c r="O87" i="4"/>
  <c r="N87" i="4"/>
  <c r="A87" i="4"/>
  <c r="S86" i="4"/>
  <c r="R86" i="4"/>
  <c r="Q86" i="4"/>
  <c r="N86" i="4"/>
  <c r="O86" i="4" s="1"/>
  <c r="A86" i="4"/>
  <c r="S85" i="4"/>
  <c r="R85" i="4"/>
  <c r="Q85" i="4"/>
  <c r="O85" i="4"/>
  <c r="N85" i="4"/>
  <c r="A85" i="4"/>
  <c r="S84" i="4"/>
  <c r="R84" i="4"/>
  <c r="Q84" i="4"/>
  <c r="N84" i="4"/>
  <c r="O84" i="4" s="1"/>
  <c r="A84" i="4"/>
  <c r="S83" i="4"/>
  <c r="R83" i="4"/>
  <c r="Q83" i="4"/>
  <c r="O83" i="4"/>
  <c r="N83" i="4"/>
  <c r="A83" i="4"/>
  <c r="S82" i="4"/>
  <c r="R82" i="4"/>
  <c r="Q82" i="4"/>
  <c r="N82" i="4"/>
  <c r="O82" i="4" s="1"/>
  <c r="A82" i="4"/>
  <c r="S81" i="4"/>
  <c r="R81" i="4"/>
  <c r="Q81" i="4"/>
  <c r="O81" i="4"/>
  <c r="N81" i="4"/>
  <c r="A81" i="4"/>
  <c r="S80" i="4"/>
  <c r="R80" i="4"/>
  <c r="Q80" i="4"/>
  <c r="N80" i="4"/>
  <c r="O80" i="4" s="1"/>
  <c r="A80" i="4"/>
  <c r="S79" i="4"/>
  <c r="R79" i="4"/>
  <c r="Q79" i="4"/>
  <c r="O79" i="4"/>
  <c r="N79" i="4"/>
  <c r="A79" i="4"/>
  <c r="S78" i="4"/>
  <c r="R78" i="4"/>
  <c r="Q78" i="4"/>
  <c r="N78" i="4"/>
  <c r="O78" i="4" s="1"/>
  <c r="A78" i="4"/>
  <c r="S77" i="4"/>
  <c r="R77" i="4"/>
  <c r="Q77" i="4"/>
  <c r="O77" i="4"/>
  <c r="N77" i="4"/>
  <c r="A77" i="4"/>
  <c r="S76" i="4"/>
  <c r="R76" i="4"/>
  <c r="Q76" i="4"/>
  <c r="N76" i="4"/>
  <c r="O76" i="4" s="1"/>
  <c r="A76" i="4"/>
  <c r="S75" i="4"/>
  <c r="R75" i="4"/>
  <c r="Q75" i="4"/>
  <c r="O75" i="4"/>
  <c r="N75" i="4"/>
  <c r="A75" i="4"/>
  <c r="S74" i="4"/>
  <c r="R74" i="4"/>
  <c r="Q74" i="4"/>
  <c r="N74" i="4"/>
  <c r="O74" i="4" s="1"/>
  <c r="A74" i="4"/>
  <c r="S73" i="4"/>
  <c r="R73" i="4"/>
  <c r="Q73" i="4"/>
  <c r="O73" i="4"/>
  <c r="N73" i="4"/>
  <c r="A73" i="4"/>
  <c r="S72" i="4"/>
  <c r="R72" i="4"/>
  <c r="Q72" i="4"/>
  <c r="N72" i="4"/>
  <c r="O72" i="4" s="1"/>
  <c r="A72" i="4"/>
  <c r="S71" i="4"/>
  <c r="R71" i="4"/>
  <c r="Q71" i="4"/>
  <c r="O71" i="4"/>
  <c r="N71" i="4"/>
  <c r="A71" i="4"/>
  <c r="S70" i="4"/>
  <c r="R70" i="4"/>
  <c r="Q70" i="4"/>
  <c r="N70" i="4"/>
  <c r="O70" i="4" s="1"/>
  <c r="A70" i="4"/>
  <c r="S69" i="4"/>
  <c r="R69" i="4"/>
  <c r="Q69" i="4"/>
  <c r="O69" i="4"/>
  <c r="N69" i="4"/>
  <c r="A69" i="4"/>
  <c r="S68" i="4"/>
  <c r="R68" i="4"/>
  <c r="Q68" i="4"/>
  <c r="N68" i="4"/>
  <c r="O68" i="4" s="1"/>
  <c r="A68" i="4"/>
  <c r="S67" i="4"/>
  <c r="R67" i="4"/>
  <c r="Q67" i="4"/>
  <c r="O67" i="4"/>
  <c r="N67" i="4"/>
  <c r="A67" i="4"/>
  <c r="S66" i="4"/>
  <c r="R66" i="4"/>
  <c r="Q66" i="4"/>
  <c r="N66" i="4"/>
  <c r="O66" i="4" s="1"/>
  <c r="A66" i="4"/>
  <c r="S65" i="4"/>
  <c r="R65" i="4"/>
  <c r="Q65" i="4"/>
  <c r="O65" i="4"/>
  <c r="N65" i="4"/>
  <c r="A65" i="4"/>
  <c r="S64" i="4"/>
  <c r="R64" i="4"/>
  <c r="Q64" i="4"/>
  <c r="N64" i="4"/>
  <c r="O64" i="4" s="1"/>
  <c r="A64" i="4"/>
  <c r="S63" i="4"/>
  <c r="R63" i="4"/>
  <c r="Q63" i="4"/>
  <c r="O63" i="4"/>
  <c r="N63" i="4"/>
  <c r="A63" i="4"/>
  <c r="S62" i="4"/>
  <c r="R62" i="4"/>
  <c r="Q62" i="4"/>
  <c r="N62" i="4"/>
  <c r="O62" i="4" s="1"/>
  <c r="A62" i="4"/>
  <c r="S61" i="4"/>
  <c r="R61" i="4"/>
  <c r="Q61" i="4"/>
  <c r="O61" i="4"/>
  <c r="N61" i="4"/>
  <c r="A61" i="4"/>
  <c r="S60" i="4"/>
  <c r="R60" i="4"/>
  <c r="Q60" i="4"/>
  <c r="N60" i="4"/>
  <c r="O60" i="4" s="1"/>
  <c r="A60" i="4"/>
  <c r="S59" i="4"/>
  <c r="R59" i="4"/>
  <c r="Q59" i="4"/>
  <c r="O59" i="4"/>
  <c r="N59" i="4"/>
  <c r="A59" i="4"/>
  <c r="S58" i="4"/>
  <c r="R58" i="4"/>
  <c r="Q58" i="4"/>
  <c r="N58" i="4"/>
  <c r="O58" i="4" s="1"/>
  <c r="A58" i="4"/>
  <c r="S57" i="4"/>
  <c r="R57" i="4"/>
  <c r="Q57" i="4"/>
  <c r="O57" i="4"/>
  <c r="N57" i="4"/>
  <c r="A57" i="4"/>
  <c r="S56" i="4"/>
  <c r="R56" i="4"/>
  <c r="Q56" i="4"/>
  <c r="N56" i="4"/>
  <c r="O56" i="4" s="1"/>
  <c r="A56" i="4"/>
  <c r="S55" i="4"/>
  <c r="R55" i="4"/>
  <c r="Q55" i="4"/>
  <c r="O55" i="4"/>
  <c r="N55" i="4"/>
  <c r="A55" i="4"/>
  <c r="S54" i="4"/>
  <c r="R54" i="4"/>
  <c r="Q54" i="4"/>
  <c r="N54" i="4"/>
  <c r="O54" i="4" s="1"/>
  <c r="A54" i="4"/>
  <c r="S53" i="4"/>
  <c r="R53" i="4"/>
  <c r="Q53" i="4"/>
  <c r="O53" i="4"/>
  <c r="N53" i="4"/>
  <c r="A53" i="4"/>
  <c r="S52" i="4"/>
  <c r="R52" i="4"/>
  <c r="Q52" i="4"/>
  <c r="N52" i="4"/>
  <c r="O52" i="4" s="1"/>
  <c r="A52" i="4"/>
  <c r="S51" i="4"/>
  <c r="R51" i="4"/>
  <c r="Q51" i="4"/>
  <c r="O51" i="4"/>
  <c r="N51" i="4"/>
  <c r="A51" i="4"/>
  <c r="S50" i="4"/>
  <c r="R50" i="4"/>
  <c r="Q50" i="4"/>
  <c r="N50" i="4"/>
  <c r="O50" i="4" s="1"/>
  <c r="A50" i="4"/>
  <c r="S49" i="4"/>
  <c r="R49" i="4"/>
  <c r="Q49" i="4"/>
  <c r="O49" i="4"/>
  <c r="N49" i="4"/>
  <c r="A49" i="4"/>
  <c r="S48" i="4"/>
  <c r="R48" i="4"/>
  <c r="Q48" i="4"/>
  <c r="N48" i="4"/>
  <c r="O48" i="4" s="1"/>
  <c r="A48" i="4"/>
  <c r="S47" i="4"/>
  <c r="R47" i="4"/>
  <c r="Q47" i="4"/>
  <c r="O47" i="4"/>
  <c r="N47" i="4"/>
  <c r="A47" i="4"/>
  <c r="S46" i="4"/>
  <c r="R46" i="4"/>
  <c r="Q46" i="4"/>
  <c r="N46" i="4"/>
  <c r="O46" i="4" s="1"/>
  <c r="A46" i="4"/>
  <c r="S45" i="4"/>
  <c r="R45" i="4"/>
  <c r="Q45" i="4"/>
  <c r="O45" i="4"/>
  <c r="N45" i="4"/>
  <c r="A45" i="4"/>
  <c r="S44" i="4"/>
  <c r="R44" i="4"/>
  <c r="Q44" i="4"/>
  <c r="N44" i="4"/>
  <c r="O44" i="4" s="1"/>
  <c r="A44" i="4"/>
  <c r="S43" i="4"/>
  <c r="R43" i="4"/>
  <c r="Q43" i="4"/>
  <c r="O43" i="4"/>
  <c r="N43" i="4"/>
  <c r="A43" i="4"/>
  <c r="S42" i="4"/>
  <c r="R42" i="4"/>
  <c r="Q42" i="4"/>
  <c r="N42" i="4"/>
  <c r="O42" i="4" s="1"/>
  <c r="A42" i="4"/>
  <c r="S41" i="4"/>
  <c r="R41" i="4"/>
  <c r="Q41" i="4"/>
  <c r="O41" i="4"/>
  <c r="N41" i="4"/>
  <c r="A41" i="4"/>
  <c r="S40" i="4"/>
  <c r="R40" i="4"/>
  <c r="Q40" i="4"/>
  <c r="N40" i="4"/>
  <c r="O40" i="4" s="1"/>
  <c r="A40" i="4"/>
  <c r="S39" i="4"/>
  <c r="R39" i="4"/>
  <c r="Q39" i="4"/>
  <c r="O39" i="4"/>
  <c r="N39" i="4"/>
  <c r="A39" i="4"/>
  <c r="S38" i="4"/>
  <c r="R38" i="4"/>
  <c r="Q38" i="4"/>
  <c r="N38" i="4"/>
  <c r="O38" i="4" s="1"/>
  <c r="A38" i="4"/>
  <c r="S37" i="4"/>
  <c r="R37" i="4"/>
  <c r="Q37" i="4"/>
  <c r="O37" i="4"/>
  <c r="N37" i="4"/>
  <c r="A37" i="4"/>
  <c r="S36" i="4"/>
  <c r="R36" i="4"/>
  <c r="Q36" i="4"/>
  <c r="N36" i="4"/>
  <c r="O36" i="4" s="1"/>
  <c r="A36" i="4"/>
  <c r="S35" i="4"/>
  <c r="R35" i="4"/>
  <c r="Q35" i="4"/>
  <c r="O35" i="4"/>
  <c r="N35" i="4"/>
  <c r="A35" i="4"/>
  <c r="S34" i="4"/>
  <c r="R34" i="4"/>
  <c r="Q34" i="4"/>
  <c r="N34" i="4"/>
  <c r="O34" i="4" s="1"/>
  <c r="A34" i="4"/>
  <c r="S33" i="4"/>
  <c r="R33" i="4"/>
  <c r="Q33" i="4"/>
  <c r="O33" i="4"/>
  <c r="N33" i="4"/>
  <c r="A33" i="4"/>
  <c r="S32" i="4"/>
  <c r="R32" i="4"/>
  <c r="Q32" i="4"/>
  <c r="N32" i="4"/>
  <c r="O32" i="4" s="1"/>
  <c r="A32" i="4"/>
  <c r="S31" i="4"/>
  <c r="R31" i="4"/>
  <c r="Q31" i="4"/>
  <c r="O31" i="4"/>
  <c r="N31" i="4"/>
  <c r="A31" i="4"/>
  <c r="S30" i="4"/>
  <c r="R30" i="4"/>
  <c r="Q30" i="4"/>
  <c r="N30" i="4"/>
  <c r="O30" i="4" s="1"/>
  <c r="A30" i="4"/>
  <c r="S29" i="4"/>
  <c r="R29" i="4"/>
  <c r="Q29" i="4"/>
  <c r="O29" i="4"/>
  <c r="N29" i="4"/>
  <c r="A29" i="4"/>
  <c r="S28" i="4"/>
  <c r="R28" i="4"/>
  <c r="Q28" i="4"/>
  <c r="N28" i="4"/>
  <c r="O28" i="4" s="1"/>
  <c r="A28" i="4"/>
  <c r="S27" i="4"/>
  <c r="R27" i="4"/>
  <c r="Q27" i="4"/>
  <c r="O27" i="4"/>
  <c r="N27" i="4"/>
  <c r="A27" i="4"/>
  <c r="S26" i="4"/>
  <c r="R26" i="4"/>
  <c r="Q26" i="4"/>
  <c r="N26" i="4"/>
  <c r="O26" i="4" s="1"/>
  <c r="A26" i="4"/>
  <c r="S25" i="4"/>
  <c r="R25" i="4"/>
  <c r="Q25" i="4"/>
  <c r="O25" i="4"/>
  <c r="N25" i="4"/>
  <c r="A25" i="4"/>
  <c r="S24" i="4"/>
  <c r="R24" i="4"/>
  <c r="Q24" i="4"/>
  <c r="N24" i="4"/>
  <c r="O24" i="4" s="1"/>
  <c r="A24" i="4"/>
  <c r="S23" i="4"/>
  <c r="R23" i="4"/>
  <c r="Q23" i="4"/>
  <c r="O23" i="4"/>
  <c r="N23" i="4"/>
  <c r="A23" i="4"/>
  <c r="S22" i="4"/>
  <c r="R22" i="4"/>
  <c r="Q22" i="4"/>
  <c r="N22" i="4"/>
  <c r="O22" i="4" s="1"/>
  <c r="A22" i="4"/>
  <c r="S21" i="4"/>
  <c r="R21" i="4"/>
  <c r="Q21" i="4"/>
  <c r="O21" i="4"/>
  <c r="N21" i="4"/>
  <c r="A21" i="4"/>
  <c r="S20" i="4"/>
  <c r="R20" i="4"/>
  <c r="Q20" i="4"/>
  <c r="N20" i="4"/>
  <c r="N2081" i="4" s="1"/>
  <c r="A20" i="4"/>
  <c r="B15" i="4"/>
  <c r="B14" i="4"/>
  <c r="B13" i="4"/>
  <c r="Q5" i="4"/>
  <c r="R10" i="4"/>
  <c r="R9" i="4"/>
  <c r="R8" i="4"/>
  <c r="R5" i="4" s="1"/>
  <c r="K3" i="4"/>
  <c r="J3" i="4"/>
  <c r="H3" i="4"/>
  <c r="G3" i="4"/>
  <c r="E3" i="4"/>
  <c r="D3" i="4"/>
  <c r="B3" i="4"/>
  <c r="A3" i="4"/>
  <c r="O20" i="4" l="1"/>
  <c r="O2081" i="4" s="1"/>
  <c r="T1026" i="4"/>
  <c r="T1034" i="4"/>
  <c r="T1042" i="4"/>
  <c r="T1050" i="4"/>
  <c r="T1058" i="4"/>
  <c r="T1066" i="4"/>
  <c r="T1074" i="4"/>
  <c r="T1090" i="4"/>
  <c r="T1098" i="4"/>
  <c r="T1106" i="4"/>
  <c r="T1114" i="4"/>
  <c r="T1128" i="4"/>
  <c r="T1136" i="4"/>
  <c r="T1144" i="4"/>
  <c r="T1152" i="4"/>
  <c r="T1160" i="4"/>
  <c r="P795" i="4"/>
  <c r="T795" i="4" s="1"/>
  <c r="P803" i="4"/>
  <c r="T803" i="4" s="1"/>
  <c r="P811" i="4"/>
  <c r="T811" i="4" s="1"/>
  <c r="P819" i="4"/>
  <c r="T819" i="4" s="1"/>
  <c r="P827" i="4"/>
  <c r="T827" i="4" s="1"/>
  <c r="P835" i="4"/>
  <c r="T835" i="4" s="1"/>
  <c r="P843" i="4"/>
  <c r="T843" i="4" s="1"/>
  <c r="P851" i="4"/>
  <c r="T851" i="4" s="1"/>
  <c r="P859" i="4"/>
  <c r="T859" i="4" s="1"/>
  <c r="P867" i="4"/>
  <c r="T867" i="4" s="1"/>
  <c r="P875" i="4"/>
  <c r="T875" i="4" s="1"/>
  <c r="P883" i="4"/>
  <c r="T883" i="4" s="1"/>
  <c r="P891" i="4"/>
  <c r="T891" i="4" s="1"/>
  <c r="P899" i="4"/>
  <c r="T899" i="4" s="1"/>
  <c r="P907" i="4"/>
  <c r="T907" i="4" s="1"/>
  <c r="P915" i="4"/>
  <c r="T915" i="4" s="1"/>
  <c r="P923" i="4"/>
  <c r="T923" i="4" s="1"/>
  <c r="P931" i="4"/>
  <c r="T931" i="4" s="1"/>
  <c r="P939" i="4"/>
  <c r="T939" i="4" s="1"/>
  <c r="P947" i="4"/>
  <c r="T947" i="4" s="1"/>
  <c r="P955" i="4"/>
  <c r="T955" i="4" s="1"/>
  <c r="P963" i="4"/>
  <c r="T963" i="4" s="1"/>
  <c r="P971" i="4"/>
  <c r="T971" i="4" s="1"/>
  <c r="P979" i="4"/>
  <c r="T979" i="4" s="1"/>
  <c r="P987" i="4"/>
  <c r="T987" i="4" s="1"/>
  <c r="P995" i="4"/>
  <c r="T995" i="4" s="1"/>
  <c r="P1003" i="4"/>
  <c r="T1003" i="4" s="1"/>
  <c r="P1011" i="4"/>
  <c r="T1011" i="4" s="1"/>
  <c r="P1019" i="4"/>
  <c r="T1019" i="4" s="1"/>
  <c r="T1032" i="4"/>
  <c r="T1040" i="4"/>
  <c r="T1056" i="4"/>
  <c r="T1072" i="4"/>
  <c r="T1088" i="4"/>
  <c r="T1096" i="4"/>
  <c r="T1104" i="4"/>
  <c r="T1112" i="4"/>
  <c r="T1120" i="4"/>
  <c r="P793" i="4"/>
  <c r="T793" i="4" s="1"/>
  <c r="P801" i="4"/>
  <c r="T801" i="4" s="1"/>
  <c r="P809" i="4"/>
  <c r="T809" i="4" s="1"/>
  <c r="P817" i="4"/>
  <c r="T817" i="4" s="1"/>
  <c r="P825" i="4"/>
  <c r="T825" i="4" s="1"/>
  <c r="P833" i="4"/>
  <c r="T833" i="4" s="1"/>
  <c r="P841" i="4"/>
  <c r="T841" i="4" s="1"/>
  <c r="P849" i="4"/>
  <c r="T849" i="4" s="1"/>
  <c r="P857" i="4"/>
  <c r="T857" i="4" s="1"/>
  <c r="P865" i="4"/>
  <c r="T865" i="4" s="1"/>
  <c r="P873" i="4"/>
  <c r="T873" i="4" s="1"/>
  <c r="P881" i="4"/>
  <c r="T881" i="4" s="1"/>
  <c r="P889" i="4"/>
  <c r="T889" i="4" s="1"/>
  <c r="P897" i="4"/>
  <c r="T897" i="4" s="1"/>
  <c r="P905" i="4"/>
  <c r="T905" i="4" s="1"/>
  <c r="P913" i="4"/>
  <c r="T913" i="4" s="1"/>
  <c r="P921" i="4"/>
  <c r="T921" i="4" s="1"/>
  <c r="P929" i="4"/>
  <c r="T929" i="4" s="1"/>
  <c r="P937" i="4"/>
  <c r="T937" i="4" s="1"/>
  <c r="P945" i="4"/>
  <c r="T945" i="4" s="1"/>
  <c r="P953" i="4"/>
  <c r="T953" i="4" s="1"/>
  <c r="P961" i="4"/>
  <c r="T961" i="4" s="1"/>
  <c r="P969" i="4"/>
  <c r="T969" i="4" s="1"/>
  <c r="P977" i="4"/>
  <c r="T977" i="4" s="1"/>
  <c r="P985" i="4"/>
  <c r="T985" i="4" s="1"/>
  <c r="P993" i="4"/>
  <c r="T993" i="4" s="1"/>
  <c r="P1001" i="4"/>
  <c r="T1001" i="4" s="1"/>
  <c r="P1009" i="4"/>
  <c r="T1009" i="4" s="1"/>
  <c r="P1017" i="4"/>
  <c r="T1017" i="4" s="1"/>
  <c r="T1054" i="4"/>
  <c r="T1062" i="4"/>
  <c r="T1078" i="4"/>
  <c r="T1094" i="4"/>
  <c r="T1118" i="4"/>
  <c r="P1121" i="4"/>
  <c r="T1121" i="4" s="1"/>
  <c r="T1126" i="4"/>
  <c r="T1134" i="4"/>
  <c r="T1142" i="4"/>
  <c r="T1150" i="4"/>
  <c r="P1025" i="4"/>
  <c r="P1027" i="4"/>
  <c r="T1027" i="4" s="1"/>
  <c r="P1029" i="4"/>
  <c r="T1029" i="4" s="1"/>
  <c r="P1031" i="4"/>
  <c r="T1031" i="4" s="1"/>
  <c r="P1033" i="4"/>
  <c r="T1033" i="4" s="1"/>
  <c r="P1035" i="4"/>
  <c r="T1035" i="4" s="1"/>
  <c r="P1037" i="4"/>
  <c r="T1037" i="4" s="1"/>
  <c r="P1039" i="4"/>
  <c r="T1039" i="4" s="1"/>
  <c r="P1041" i="4"/>
  <c r="T1041" i="4" s="1"/>
  <c r="P1043" i="4"/>
  <c r="T1043" i="4" s="1"/>
  <c r="P1045" i="4"/>
  <c r="T1045" i="4" s="1"/>
  <c r="P1047" i="4"/>
  <c r="T1047" i="4" s="1"/>
  <c r="P1049" i="4"/>
  <c r="T1049" i="4" s="1"/>
  <c r="P1051" i="4"/>
  <c r="T1051" i="4" s="1"/>
  <c r="P1053" i="4"/>
  <c r="T1053" i="4" s="1"/>
  <c r="P1055" i="4"/>
  <c r="T1055" i="4" s="1"/>
  <c r="P1057" i="4"/>
  <c r="T1057" i="4" s="1"/>
  <c r="P1059" i="4"/>
  <c r="T1059" i="4" s="1"/>
  <c r="P1061" i="4"/>
  <c r="T1061" i="4" s="1"/>
  <c r="P1063" i="4"/>
  <c r="T1063" i="4" s="1"/>
  <c r="P1065" i="4"/>
  <c r="T1065" i="4" s="1"/>
  <c r="P1067" i="4"/>
  <c r="T1067" i="4" s="1"/>
  <c r="P1069" i="4"/>
  <c r="T1069" i="4" s="1"/>
  <c r="P1071" i="4"/>
  <c r="T1071" i="4" s="1"/>
  <c r="P1073" i="4"/>
  <c r="T1073" i="4" s="1"/>
  <c r="P1075" i="4"/>
  <c r="T1075" i="4" s="1"/>
  <c r="P1077" i="4"/>
  <c r="T1077" i="4" s="1"/>
  <c r="P1079" i="4"/>
  <c r="T1079" i="4" s="1"/>
  <c r="P1081" i="4"/>
  <c r="T1081" i="4" s="1"/>
  <c r="P1083" i="4"/>
  <c r="T1083" i="4" s="1"/>
  <c r="P1085" i="4"/>
  <c r="T1085" i="4" s="1"/>
  <c r="P1087" i="4"/>
  <c r="T1087" i="4" s="1"/>
  <c r="P1089" i="4"/>
  <c r="T1089" i="4" s="1"/>
  <c r="P1091" i="4"/>
  <c r="T1091" i="4" s="1"/>
  <c r="P1093" i="4"/>
  <c r="T1093" i="4" s="1"/>
  <c r="P1095" i="4"/>
  <c r="T1095" i="4" s="1"/>
  <c r="P1097" i="4"/>
  <c r="T1097" i="4" s="1"/>
  <c r="P1099" i="4"/>
  <c r="T1099" i="4" s="1"/>
  <c r="P1101" i="4"/>
  <c r="T1101" i="4" s="1"/>
  <c r="P1103" i="4"/>
  <c r="T1103" i="4" s="1"/>
  <c r="P1105" i="4"/>
  <c r="T1105" i="4" s="1"/>
  <c r="P1107" i="4"/>
  <c r="T1107" i="4" s="1"/>
  <c r="P1109" i="4"/>
  <c r="T1109" i="4" s="1"/>
  <c r="P1111" i="4"/>
  <c r="T1111" i="4" s="1"/>
  <c r="P1113" i="4"/>
  <c r="T1113" i="4" s="1"/>
  <c r="P1115" i="4"/>
  <c r="T1115" i="4" s="1"/>
  <c r="P1117" i="4"/>
  <c r="T1117" i="4" s="1"/>
  <c r="P1119" i="4"/>
  <c r="T1119" i="4" s="1"/>
  <c r="T1124" i="4"/>
  <c r="T1132" i="4"/>
  <c r="T1140" i="4"/>
  <c r="T1148" i="4"/>
  <c r="T1156" i="4"/>
  <c r="T1162" i="4"/>
  <c r="T1164" i="4"/>
  <c r="T1166" i="4"/>
  <c r="T1168" i="4"/>
  <c r="T1172" i="4"/>
  <c r="T1174" i="4"/>
  <c r="T1176" i="4"/>
  <c r="T1178" i="4"/>
  <c r="T1180" i="4"/>
  <c r="T1182" i="4"/>
  <c r="T1184" i="4"/>
  <c r="T1186" i="4"/>
  <c r="T1188" i="4"/>
  <c r="T1190" i="4"/>
  <c r="T1192" i="4"/>
  <c r="T1196" i="4"/>
  <c r="T1198" i="4"/>
  <c r="T1200" i="4"/>
  <c r="T1208" i="4"/>
  <c r="T1212" i="4"/>
  <c r="T1214" i="4"/>
  <c r="T1216" i="4"/>
  <c r="T1218" i="4"/>
  <c r="T1220" i="4"/>
  <c r="T1224" i="4"/>
  <c r="T1226" i="4"/>
  <c r="T1228" i="4"/>
  <c r="T1230" i="4"/>
  <c r="T1232" i="4"/>
  <c r="T1234" i="4"/>
  <c r="T1236" i="4"/>
  <c r="T1238" i="4"/>
  <c r="T1240" i="4"/>
  <c r="T1242" i="4"/>
  <c r="T1244" i="4"/>
  <c r="T1246" i="4"/>
  <c r="T1248" i="4"/>
  <c r="T1250" i="4"/>
  <c r="T1252" i="4"/>
  <c r="T1254" i="4"/>
  <c r="T1256" i="4"/>
  <c r="T1258" i="4"/>
  <c r="T1260" i="4"/>
  <c r="T1262" i="4"/>
  <c r="T1264" i="4"/>
  <c r="T1268" i="4"/>
  <c r="T1270" i="4"/>
  <c r="T1272" i="4"/>
  <c r="T1274" i="4"/>
  <c r="T1380" i="4"/>
  <c r="T1388" i="4"/>
  <c r="T1412" i="4"/>
  <c r="P1476" i="4"/>
  <c r="T1476" i="4" s="1"/>
  <c r="P1484" i="4"/>
  <c r="T1484" i="4" s="1"/>
  <c r="P1492" i="4"/>
  <c r="T1492" i="4" s="1"/>
  <c r="P1500" i="4"/>
  <c r="T1500" i="4" s="1"/>
  <c r="P1123" i="4"/>
  <c r="T1123" i="4" s="1"/>
  <c r="P1125" i="4"/>
  <c r="T1125" i="4" s="1"/>
  <c r="P1127" i="4"/>
  <c r="T1127" i="4" s="1"/>
  <c r="P1129" i="4"/>
  <c r="T1129" i="4" s="1"/>
  <c r="P1131" i="4"/>
  <c r="T1131" i="4" s="1"/>
  <c r="P1133" i="4"/>
  <c r="T1133" i="4" s="1"/>
  <c r="P1135" i="4"/>
  <c r="T1135" i="4" s="1"/>
  <c r="P1137" i="4"/>
  <c r="T1137" i="4" s="1"/>
  <c r="P1139" i="4"/>
  <c r="T1139" i="4" s="1"/>
  <c r="P1141" i="4"/>
  <c r="T1141" i="4" s="1"/>
  <c r="P1143" i="4"/>
  <c r="T1143" i="4" s="1"/>
  <c r="P1145" i="4"/>
  <c r="T1145" i="4" s="1"/>
  <c r="P1147" i="4"/>
  <c r="T1147" i="4" s="1"/>
  <c r="P1149" i="4"/>
  <c r="T1149" i="4" s="1"/>
  <c r="P1151" i="4"/>
  <c r="T1151" i="4" s="1"/>
  <c r="P1153" i="4"/>
  <c r="T1153" i="4" s="1"/>
  <c r="P1155" i="4"/>
  <c r="T1155" i="4" s="1"/>
  <c r="P1157" i="4"/>
  <c r="T1157" i="4" s="1"/>
  <c r="P1159" i="4"/>
  <c r="T1159" i="4" s="1"/>
  <c r="P1161" i="4"/>
  <c r="T1161" i="4" s="1"/>
  <c r="P1163" i="4"/>
  <c r="T1163" i="4" s="1"/>
  <c r="P1165" i="4"/>
  <c r="T1165" i="4" s="1"/>
  <c r="P1167" i="4"/>
  <c r="T1167" i="4" s="1"/>
  <c r="P1169" i="4"/>
  <c r="T1169" i="4" s="1"/>
  <c r="P1171" i="4"/>
  <c r="T1171" i="4" s="1"/>
  <c r="P1173" i="4"/>
  <c r="T1173" i="4" s="1"/>
  <c r="P1175" i="4"/>
  <c r="T1175" i="4" s="1"/>
  <c r="P1177" i="4"/>
  <c r="T1177" i="4" s="1"/>
  <c r="P1179" i="4"/>
  <c r="T1179" i="4" s="1"/>
  <c r="P1181" i="4"/>
  <c r="T1181" i="4" s="1"/>
  <c r="P1183" i="4"/>
  <c r="T1183" i="4" s="1"/>
  <c r="P1185" i="4"/>
  <c r="T1185" i="4" s="1"/>
  <c r="P1187" i="4"/>
  <c r="T1187" i="4" s="1"/>
  <c r="P1189" i="4"/>
  <c r="T1189" i="4" s="1"/>
  <c r="P1191" i="4"/>
  <c r="T1191" i="4" s="1"/>
  <c r="P1193" i="4"/>
  <c r="T1193" i="4" s="1"/>
  <c r="P1195" i="4"/>
  <c r="T1195" i="4" s="1"/>
  <c r="P1197" i="4"/>
  <c r="T1197" i="4" s="1"/>
  <c r="P1199" i="4"/>
  <c r="T1199" i="4" s="1"/>
  <c r="P1201" i="4"/>
  <c r="T1201" i="4" s="1"/>
  <c r="P1203" i="4"/>
  <c r="T1203" i="4" s="1"/>
  <c r="P1205" i="4"/>
  <c r="T1205" i="4" s="1"/>
  <c r="P1207" i="4"/>
  <c r="T1207" i="4" s="1"/>
  <c r="P1209" i="4"/>
  <c r="T1209" i="4" s="1"/>
  <c r="P1211" i="4"/>
  <c r="T1211" i="4" s="1"/>
  <c r="P1213" i="4"/>
  <c r="T1213" i="4" s="1"/>
  <c r="P1215" i="4"/>
  <c r="T1215" i="4" s="1"/>
  <c r="P1217" i="4"/>
  <c r="T1217" i="4" s="1"/>
  <c r="P1219" i="4"/>
  <c r="T1219" i="4" s="1"/>
  <c r="P1221" i="4"/>
  <c r="T1221" i="4" s="1"/>
  <c r="P1223" i="4"/>
  <c r="T1223" i="4" s="1"/>
  <c r="P1225" i="4"/>
  <c r="T1225" i="4" s="1"/>
  <c r="P1227" i="4"/>
  <c r="T1227" i="4" s="1"/>
  <c r="P1229" i="4"/>
  <c r="T1229" i="4" s="1"/>
  <c r="P1231" i="4"/>
  <c r="T1231" i="4" s="1"/>
  <c r="P1233" i="4"/>
  <c r="T1233" i="4" s="1"/>
  <c r="P1235" i="4"/>
  <c r="T1235" i="4" s="1"/>
  <c r="P1237" i="4"/>
  <c r="T1237" i="4" s="1"/>
  <c r="P1239" i="4"/>
  <c r="T1239" i="4" s="1"/>
  <c r="P1241" i="4"/>
  <c r="T1241" i="4" s="1"/>
  <c r="P1243" i="4"/>
  <c r="T1243" i="4" s="1"/>
  <c r="P1245" i="4"/>
  <c r="T1245" i="4" s="1"/>
  <c r="P1247" i="4"/>
  <c r="T1247" i="4" s="1"/>
  <c r="P1249" i="4"/>
  <c r="T1249" i="4" s="1"/>
  <c r="P1251" i="4"/>
  <c r="T1251" i="4" s="1"/>
  <c r="P1253" i="4"/>
  <c r="T1253" i="4" s="1"/>
  <c r="P1255" i="4"/>
  <c r="T1255" i="4" s="1"/>
  <c r="P1257" i="4"/>
  <c r="T1257" i="4" s="1"/>
  <c r="P1259" i="4"/>
  <c r="T1259" i="4" s="1"/>
  <c r="P1261" i="4"/>
  <c r="T1261" i="4" s="1"/>
  <c r="P1263" i="4"/>
  <c r="T1263" i="4" s="1"/>
  <c r="P1265" i="4"/>
  <c r="T1265" i="4" s="1"/>
  <c r="P1267" i="4"/>
  <c r="T1267" i="4" s="1"/>
  <c r="P1269" i="4"/>
  <c r="T1269" i="4" s="1"/>
  <c r="P1271" i="4"/>
  <c r="T1271" i="4" s="1"/>
  <c r="P1273" i="4"/>
  <c r="T1273" i="4" s="1"/>
  <c r="P1312" i="4"/>
  <c r="T1312" i="4" s="1"/>
  <c r="T1382" i="4"/>
  <c r="T1386" i="4"/>
  <c r="T1418" i="4"/>
  <c r="P1472" i="4"/>
  <c r="T1472" i="4" s="1"/>
  <c r="P1480" i="4"/>
  <c r="T1480" i="4" s="1"/>
  <c r="P1488" i="4"/>
  <c r="T1488" i="4" s="1"/>
  <c r="P1496" i="4"/>
  <c r="T1496" i="4" s="1"/>
  <c r="P1504" i="4"/>
  <c r="T1504" i="4" s="1"/>
  <c r="T1613" i="4"/>
  <c r="T1617" i="4"/>
  <c r="T1633" i="4"/>
  <c r="T1641" i="4"/>
  <c r="T1645" i="4"/>
  <c r="T1653" i="4"/>
  <c r="T1661" i="4"/>
  <c r="T1673" i="4"/>
  <c r="P1275" i="4"/>
  <c r="T1275" i="4" s="1"/>
  <c r="P1277" i="4"/>
  <c r="T1277" i="4" s="1"/>
  <c r="P1279" i="4"/>
  <c r="T1279" i="4" s="1"/>
  <c r="P1281" i="4"/>
  <c r="T1281" i="4" s="1"/>
  <c r="P1283" i="4"/>
  <c r="T1283" i="4" s="1"/>
  <c r="P1285" i="4"/>
  <c r="T1285" i="4" s="1"/>
  <c r="P1287" i="4"/>
  <c r="T1287" i="4" s="1"/>
  <c r="P1289" i="4"/>
  <c r="T1289" i="4" s="1"/>
  <c r="P1291" i="4"/>
  <c r="T1291" i="4" s="1"/>
  <c r="P1293" i="4"/>
  <c r="T1293" i="4" s="1"/>
  <c r="P1295" i="4"/>
  <c r="T1295" i="4" s="1"/>
  <c r="P1297" i="4"/>
  <c r="T1297" i="4" s="1"/>
  <c r="P1299" i="4"/>
  <c r="T1299" i="4" s="1"/>
  <c r="P1301" i="4"/>
  <c r="T1301" i="4" s="1"/>
  <c r="P1303" i="4"/>
  <c r="T1303" i="4" s="1"/>
  <c r="P1305" i="4"/>
  <c r="T1305" i="4" s="1"/>
  <c r="P1307" i="4"/>
  <c r="T1307" i="4" s="1"/>
  <c r="P1309" i="4"/>
  <c r="T1309" i="4" s="1"/>
  <c r="P1311" i="4"/>
  <c r="T1311" i="4" s="1"/>
  <c r="P1313" i="4"/>
  <c r="T1313" i="4" s="1"/>
  <c r="P1315" i="4"/>
  <c r="T1315" i="4" s="1"/>
  <c r="P1317" i="4"/>
  <c r="T1317" i="4" s="1"/>
  <c r="P1319" i="4"/>
  <c r="T1319" i="4" s="1"/>
  <c r="P1321" i="4"/>
  <c r="T1321" i="4" s="1"/>
  <c r="P1323" i="4"/>
  <c r="T1323" i="4" s="1"/>
  <c r="P1325" i="4"/>
  <c r="T1325" i="4" s="1"/>
  <c r="P1327" i="4"/>
  <c r="T1327" i="4" s="1"/>
  <c r="P1329" i="4"/>
  <c r="T1329" i="4" s="1"/>
  <c r="P1331" i="4"/>
  <c r="T1331" i="4" s="1"/>
  <c r="P1333" i="4"/>
  <c r="T1333" i="4" s="1"/>
  <c r="P1335" i="4"/>
  <c r="T1335" i="4" s="1"/>
  <c r="P1337" i="4"/>
  <c r="T1337" i="4" s="1"/>
  <c r="P1339" i="4"/>
  <c r="T1339" i="4" s="1"/>
  <c r="P1341" i="4"/>
  <c r="T1341" i="4" s="1"/>
  <c r="P1343" i="4"/>
  <c r="T1343" i="4" s="1"/>
  <c r="P1345" i="4"/>
  <c r="T1345" i="4" s="1"/>
  <c r="P1347" i="4"/>
  <c r="T1347" i="4" s="1"/>
  <c r="P1349" i="4"/>
  <c r="T1349" i="4" s="1"/>
  <c r="P1351" i="4"/>
  <c r="T1351" i="4" s="1"/>
  <c r="P1353" i="4"/>
  <c r="T1353" i="4" s="1"/>
  <c r="P1355" i="4"/>
  <c r="T1355" i="4" s="1"/>
  <c r="P1357" i="4"/>
  <c r="T1357" i="4" s="1"/>
  <c r="P1359" i="4"/>
  <c r="T1359" i="4" s="1"/>
  <c r="P1361" i="4"/>
  <c r="T1361" i="4" s="1"/>
  <c r="P1363" i="4"/>
  <c r="T1363" i="4" s="1"/>
  <c r="P1365" i="4"/>
  <c r="T1365" i="4" s="1"/>
  <c r="P1367" i="4"/>
  <c r="T1367" i="4" s="1"/>
  <c r="P1369" i="4"/>
  <c r="T1369" i="4" s="1"/>
  <c r="P1371" i="4"/>
  <c r="T1371" i="4" s="1"/>
  <c r="P1373" i="4"/>
  <c r="T1373" i="4" s="1"/>
  <c r="P1375" i="4"/>
  <c r="T1375" i="4" s="1"/>
  <c r="P1377" i="4"/>
  <c r="T1377" i="4" s="1"/>
  <c r="P1379" i="4"/>
  <c r="T1379" i="4" s="1"/>
  <c r="P1381" i="4"/>
  <c r="T1381" i="4" s="1"/>
  <c r="P1383" i="4"/>
  <c r="T1383" i="4" s="1"/>
  <c r="P1385" i="4"/>
  <c r="T1385" i="4" s="1"/>
  <c r="P1387" i="4"/>
  <c r="T1387" i="4" s="1"/>
  <c r="P1389" i="4"/>
  <c r="T1389" i="4" s="1"/>
  <c r="P1391" i="4"/>
  <c r="T1391" i="4" s="1"/>
  <c r="P1393" i="4"/>
  <c r="T1393" i="4" s="1"/>
  <c r="P1395" i="4"/>
  <c r="T1395" i="4" s="1"/>
  <c r="P1397" i="4"/>
  <c r="T1397" i="4" s="1"/>
  <c r="P1399" i="4"/>
  <c r="T1399" i="4" s="1"/>
  <c r="P1401" i="4"/>
  <c r="T1401" i="4" s="1"/>
  <c r="P1403" i="4"/>
  <c r="T1403" i="4" s="1"/>
  <c r="P1405" i="4"/>
  <c r="T1405" i="4" s="1"/>
  <c r="P1407" i="4"/>
  <c r="T1407" i="4" s="1"/>
  <c r="P1409" i="4"/>
  <c r="T1409" i="4" s="1"/>
  <c r="P1411" i="4"/>
  <c r="T1411" i="4" s="1"/>
  <c r="P1413" i="4"/>
  <c r="T1413" i="4" s="1"/>
  <c r="P1415" i="4"/>
  <c r="T1415" i="4" s="1"/>
  <c r="P1417" i="4"/>
  <c r="T1417" i="4" s="1"/>
  <c r="P1419" i="4"/>
  <c r="T1419" i="4" s="1"/>
  <c r="P1421" i="4"/>
  <c r="T1421" i="4" s="1"/>
  <c r="P1423" i="4"/>
  <c r="T1423" i="4" s="1"/>
  <c r="P1425" i="4"/>
  <c r="T1425" i="4" s="1"/>
  <c r="P1427" i="4"/>
  <c r="T1427" i="4" s="1"/>
  <c r="P1429" i="4"/>
  <c r="T1429" i="4" s="1"/>
  <c r="P1431" i="4"/>
  <c r="T1431" i="4" s="1"/>
  <c r="P1433" i="4"/>
  <c r="T1433" i="4" s="1"/>
  <c r="P1435" i="4"/>
  <c r="T1435" i="4" s="1"/>
  <c r="P1437" i="4"/>
  <c r="T1437" i="4" s="1"/>
  <c r="P1439" i="4"/>
  <c r="T1439" i="4" s="1"/>
  <c r="P1441" i="4"/>
  <c r="T1441" i="4" s="1"/>
  <c r="P1443" i="4"/>
  <c r="T1443" i="4" s="1"/>
  <c r="P1445" i="4"/>
  <c r="T1445" i="4" s="1"/>
  <c r="P1447" i="4"/>
  <c r="T1447" i="4" s="1"/>
  <c r="P1449" i="4"/>
  <c r="T1449" i="4" s="1"/>
  <c r="P1451" i="4"/>
  <c r="T1451" i="4" s="1"/>
  <c r="P1453" i="4"/>
  <c r="T1453" i="4" s="1"/>
  <c r="P1455" i="4"/>
  <c r="T1455" i="4" s="1"/>
  <c r="P1457" i="4"/>
  <c r="T1457" i="4" s="1"/>
  <c r="P1459" i="4"/>
  <c r="T1459" i="4" s="1"/>
  <c r="P1461" i="4"/>
  <c r="T1461" i="4" s="1"/>
  <c r="P1463" i="4"/>
  <c r="T1463" i="4" s="1"/>
  <c r="P1465" i="4"/>
  <c r="T1465" i="4" s="1"/>
  <c r="P1467" i="4"/>
  <c r="T1467" i="4" s="1"/>
  <c r="P1594" i="4"/>
  <c r="T1594" i="4" s="1"/>
  <c r="P1592" i="4"/>
  <c r="T1592" i="4" s="1"/>
  <c r="P1600" i="4"/>
  <c r="T1600" i="4" s="1"/>
  <c r="T1643" i="4"/>
  <c r="T1651" i="4"/>
  <c r="T1659" i="4"/>
  <c r="P1602" i="4"/>
  <c r="T1602" i="4" s="1"/>
  <c r="P1604" i="4"/>
  <c r="T1604" i="4" s="1"/>
  <c r="P1606" i="4"/>
  <c r="T1606" i="4" s="1"/>
  <c r="P1608" i="4"/>
  <c r="T1608" i="4" s="1"/>
  <c r="P1610" i="4"/>
  <c r="T1610" i="4" s="1"/>
  <c r="P1612" i="4"/>
  <c r="T1612" i="4" s="1"/>
  <c r="P1614" i="4"/>
  <c r="T1614" i="4" s="1"/>
  <c r="P1616" i="4"/>
  <c r="T1616" i="4" s="1"/>
  <c r="P1618" i="4"/>
  <c r="T1618" i="4" s="1"/>
  <c r="P1620" i="4"/>
  <c r="T1620" i="4" s="1"/>
  <c r="P1622" i="4"/>
  <c r="T1622" i="4" s="1"/>
  <c r="P1624" i="4"/>
  <c r="T1624" i="4" s="1"/>
  <c r="P1626" i="4"/>
  <c r="T1626" i="4" s="1"/>
  <c r="P1628" i="4"/>
  <c r="T1628" i="4" s="1"/>
  <c r="P1630" i="4"/>
  <c r="T1630" i="4" s="1"/>
  <c r="P1632" i="4"/>
  <c r="T1632" i="4" s="1"/>
  <c r="P1634" i="4"/>
  <c r="T1634" i="4" s="1"/>
  <c r="P1636" i="4"/>
  <c r="T1636" i="4" s="1"/>
  <c r="P1638" i="4"/>
  <c r="T1638" i="4" s="1"/>
  <c r="P1640" i="4"/>
  <c r="T1640" i="4" s="1"/>
  <c r="P1642" i="4"/>
  <c r="T1642" i="4" s="1"/>
  <c r="P1644" i="4"/>
  <c r="T1644" i="4" s="1"/>
  <c r="P1646" i="4"/>
  <c r="T1646" i="4" s="1"/>
  <c r="P1648" i="4"/>
  <c r="T1648" i="4" s="1"/>
  <c r="P1650" i="4"/>
  <c r="T1650" i="4" s="1"/>
  <c r="P1652" i="4"/>
  <c r="T1652" i="4" s="1"/>
  <c r="P1654" i="4"/>
  <c r="T1654" i="4" s="1"/>
  <c r="P1656" i="4"/>
  <c r="T1656" i="4" s="1"/>
  <c r="P1658" i="4"/>
  <c r="T1658" i="4" s="1"/>
  <c r="P1660" i="4"/>
  <c r="T1660" i="4" s="1"/>
  <c r="P1662" i="4"/>
  <c r="T1662" i="4" s="1"/>
  <c r="P1664" i="4"/>
  <c r="T1664" i="4" s="1"/>
  <c r="P1666" i="4"/>
  <c r="T1666" i="4" s="1"/>
  <c r="P1668" i="4"/>
  <c r="T1668" i="4" s="1"/>
  <c r="P1670" i="4"/>
  <c r="T1670" i="4" s="1"/>
  <c r="P1672" i="4"/>
  <c r="T1672" i="4" s="1"/>
  <c r="P1674" i="4"/>
  <c r="T1674" i="4" s="1"/>
  <c r="P1675" i="4"/>
  <c r="T1675" i="4" s="1"/>
  <c r="P1677" i="4"/>
  <c r="T1677" i="4" s="1"/>
  <c r="P1679" i="4"/>
  <c r="T1679" i="4" s="1"/>
  <c r="P1681" i="4"/>
  <c r="T1681" i="4" s="1"/>
  <c r="P1683" i="4"/>
  <c r="T1683" i="4" s="1"/>
  <c r="P1685" i="4"/>
  <c r="T1685" i="4" s="1"/>
  <c r="P1687" i="4"/>
  <c r="T1687" i="4" s="1"/>
  <c r="P1689" i="4"/>
  <c r="T1689" i="4" s="1"/>
  <c r="P1691" i="4"/>
  <c r="T1691" i="4" s="1"/>
  <c r="P1693" i="4"/>
  <c r="T1693" i="4" s="1"/>
  <c r="P1695" i="4"/>
  <c r="T1695" i="4" s="1"/>
  <c r="P1697" i="4"/>
  <c r="T1697" i="4" s="1"/>
  <c r="P1699" i="4"/>
  <c r="T1699" i="4" s="1"/>
  <c r="P1701" i="4"/>
  <c r="T1701" i="4" s="1"/>
  <c r="P1703" i="4"/>
  <c r="T1703" i="4" s="1"/>
  <c r="P1705" i="4"/>
  <c r="T1705" i="4" s="1"/>
  <c r="P1707" i="4"/>
  <c r="T1707" i="4" s="1"/>
  <c r="P1709" i="4"/>
  <c r="T1709" i="4" s="1"/>
  <c r="P1711" i="4"/>
  <c r="T1711" i="4" s="1"/>
  <c r="P1713" i="4"/>
  <c r="T1713" i="4" s="1"/>
  <c r="P1715" i="4"/>
  <c r="T1715" i="4" s="1"/>
  <c r="P1717" i="4"/>
  <c r="T1717" i="4" s="1"/>
  <c r="P1719" i="4"/>
  <c r="T1719" i="4" s="1"/>
  <c r="P1721" i="4"/>
  <c r="T1721" i="4" s="1"/>
  <c r="P1723" i="4"/>
  <c r="T1723" i="4" s="1"/>
  <c r="P1725" i="4"/>
  <c r="T1725" i="4" s="1"/>
  <c r="P1727" i="4"/>
  <c r="T1727" i="4" s="1"/>
  <c r="P1729" i="4"/>
  <c r="T1729" i="4" s="1"/>
  <c r="P1731" i="4"/>
  <c r="T1731" i="4" s="1"/>
  <c r="P1733" i="4"/>
  <c r="T1733" i="4" s="1"/>
  <c r="P1735" i="4"/>
  <c r="T1735" i="4" s="1"/>
  <c r="P1737" i="4"/>
  <c r="T1737" i="4" s="1"/>
  <c r="P1739" i="4"/>
  <c r="T1739" i="4" s="1"/>
  <c r="P1741" i="4"/>
  <c r="T1741" i="4" s="1"/>
  <c r="P1743" i="4"/>
  <c r="T1743" i="4" s="1"/>
  <c r="P1745" i="4"/>
  <c r="T1745" i="4" s="1"/>
  <c r="P1747" i="4"/>
  <c r="T1747" i="4" s="1"/>
  <c r="P1749" i="4"/>
  <c r="T1749" i="4" s="1"/>
  <c r="P1751" i="4"/>
  <c r="T1751" i="4" s="1"/>
  <c r="P1753" i="4"/>
  <c r="T1753" i="4" s="1"/>
  <c r="P1755" i="4"/>
  <c r="T1755" i="4" s="1"/>
  <c r="P1757" i="4"/>
  <c r="T1757" i="4" s="1"/>
  <c r="P1759" i="4"/>
  <c r="T1759" i="4" s="1"/>
  <c r="P1761" i="4"/>
  <c r="T1761" i="4" s="1"/>
  <c r="P1763" i="4"/>
  <c r="T1763" i="4" s="1"/>
  <c r="P1765" i="4"/>
  <c r="T1765" i="4" s="1"/>
  <c r="P1767" i="4"/>
  <c r="T1767" i="4" s="1"/>
  <c r="P1769" i="4"/>
  <c r="T1769" i="4" s="1"/>
  <c r="P1771" i="4"/>
  <c r="T1771" i="4" s="1"/>
  <c r="P1773" i="4"/>
  <c r="T1773" i="4" s="1"/>
  <c r="P1775" i="4"/>
  <c r="T1775" i="4" s="1"/>
  <c r="P1777" i="4"/>
  <c r="T1777" i="4" s="1"/>
  <c r="P1779" i="4"/>
  <c r="T1779" i="4" s="1"/>
  <c r="P1834" i="4"/>
  <c r="T1834" i="4" s="1"/>
  <c r="P1838" i="4"/>
  <c r="T1838" i="4" s="1"/>
  <c r="P1842" i="4"/>
  <c r="T1842" i="4" s="1"/>
  <c r="P1846" i="4"/>
  <c r="T1846" i="4" s="1"/>
  <c r="P1850" i="4"/>
  <c r="T1850" i="4" s="1"/>
  <c r="P1854" i="4"/>
  <c r="T1854" i="4" s="1"/>
  <c r="P1858" i="4"/>
  <c r="T1858" i="4" s="1"/>
  <c r="P1862" i="4"/>
  <c r="T1862" i="4" s="1"/>
  <c r="P1866" i="4"/>
  <c r="T1866" i="4" s="1"/>
  <c r="P1870" i="4"/>
  <c r="T1870" i="4" s="1"/>
  <c r="P1874" i="4"/>
  <c r="T1874" i="4" s="1"/>
  <c r="P1878" i="4"/>
  <c r="T1878" i="4" s="1"/>
  <c r="P1882" i="4"/>
  <c r="P1979" i="4"/>
  <c r="T1979" i="4" s="1"/>
  <c r="P1981" i="4"/>
  <c r="T1981" i="4" s="1"/>
  <c r="P1983" i="4"/>
  <c r="T1983" i="4" s="1"/>
  <c r="P1985" i="4"/>
  <c r="T1985" i="4" s="1"/>
  <c r="P1987" i="4"/>
  <c r="T1987" i="4" s="1"/>
  <c r="P1989" i="4"/>
  <c r="T1989" i="4" s="1"/>
  <c r="P1991" i="4"/>
  <c r="T1991" i="4" s="1"/>
  <c r="P1993" i="4"/>
  <c r="T1993" i="4" s="1"/>
  <c r="P1995" i="4"/>
  <c r="T1995" i="4" s="1"/>
  <c r="P1997" i="4"/>
  <c r="T1997" i="4" s="1"/>
  <c r="P1999" i="4"/>
  <c r="T1999" i="4" s="1"/>
  <c r="P2040" i="4"/>
  <c r="T2040" i="4" s="1"/>
  <c r="P2042" i="4"/>
  <c r="T2042" i="4" s="1"/>
  <c r="P2044" i="4"/>
  <c r="T2044" i="4" s="1"/>
  <c r="P2046" i="4"/>
  <c r="T2046" i="4" s="1"/>
  <c r="P2048" i="4"/>
  <c r="T2048" i="4" s="1"/>
  <c r="P2050" i="4"/>
  <c r="T2050" i="4" s="1"/>
  <c r="P2052" i="4"/>
  <c r="T2052" i="4" s="1"/>
  <c r="P2054" i="4"/>
  <c r="T2054" i="4" s="1"/>
  <c r="P2056" i="4"/>
  <c r="T2056" i="4" s="1"/>
  <c r="P2058" i="4"/>
  <c r="T2058" i="4" s="1"/>
  <c r="P2060" i="4"/>
  <c r="T2060" i="4" s="1"/>
  <c r="P2062" i="4"/>
  <c r="T2062" i="4" s="1"/>
  <c r="P2064" i="4"/>
  <c r="T2064" i="4" s="1"/>
  <c r="P2066" i="4"/>
  <c r="T2066" i="4" s="1"/>
  <c r="P2068" i="4"/>
  <c r="T2068" i="4" s="1"/>
  <c r="P2070" i="4"/>
  <c r="T2070" i="4" s="1"/>
  <c r="P2072" i="4"/>
  <c r="T2072" i="4" s="1"/>
  <c r="P2074" i="4"/>
  <c r="T2074" i="4" s="1"/>
  <c r="P2076" i="4"/>
  <c r="T2076" i="4" s="1"/>
  <c r="P2078" i="4"/>
  <c r="T2078" i="4" s="1"/>
  <c r="P2080" i="4"/>
  <c r="T2080" i="4" s="1"/>
  <c r="P1676" i="4"/>
  <c r="T1676" i="4" s="1"/>
  <c r="P1678" i="4"/>
  <c r="T1678" i="4" s="1"/>
  <c r="P1680" i="4"/>
  <c r="T1680" i="4" s="1"/>
  <c r="P1682" i="4"/>
  <c r="T1682" i="4" s="1"/>
  <c r="P1684" i="4"/>
  <c r="T1684" i="4" s="1"/>
  <c r="P1686" i="4"/>
  <c r="T1686" i="4" s="1"/>
  <c r="P1688" i="4"/>
  <c r="T1688" i="4" s="1"/>
  <c r="P1690" i="4"/>
  <c r="T1690" i="4" s="1"/>
  <c r="P1692" i="4"/>
  <c r="T1692" i="4" s="1"/>
  <c r="P1694" i="4"/>
  <c r="T1694" i="4" s="1"/>
  <c r="P1696" i="4"/>
  <c r="T1696" i="4" s="1"/>
  <c r="P1698" i="4"/>
  <c r="T1698" i="4" s="1"/>
  <c r="P1700" i="4"/>
  <c r="T1700" i="4" s="1"/>
  <c r="P1702" i="4"/>
  <c r="T1702" i="4" s="1"/>
  <c r="P1704" i="4"/>
  <c r="T1704" i="4" s="1"/>
  <c r="P1706" i="4"/>
  <c r="T1706" i="4" s="1"/>
  <c r="P1708" i="4"/>
  <c r="T1708" i="4" s="1"/>
  <c r="P1710" i="4"/>
  <c r="T1710" i="4" s="1"/>
  <c r="P1712" i="4"/>
  <c r="T1712" i="4" s="1"/>
  <c r="P1714" i="4"/>
  <c r="T1714" i="4" s="1"/>
  <c r="P1716" i="4"/>
  <c r="T1716" i="4" s="1"/>
  <c r="P1718" i="4"/>
  <c r="T1718" i="4" s="1"/>
  <c r="P1720" i="4"/>
  <c r="T1720" i="4" s="1"/>
  <c r="P1722" i="4"/>
  <c r="T1722" i="4" s="1"/>
  <c r="P1724" i="4"/>
  <c r="T1724" i="4" s="1"/>
  <c r="P1726" i="4"/>
  <c r="T1726" i="4" s="1"/>
  <c r="P1728" i="4"/>
  <c r="T1728" i="4" s="1"/>
  <c r="P1730" i="4"/>
  <c r="T1730" i="4" s="1"/>
  <c r="P1732" i="4"/>
  <c r="T1732" i="4" s="1"/>
  <c r="P1734" i="4"/>
  <c r="T1734" i="4" s="1"/>
  <c r="P1736" i="4"/>
  <c r="T1736" i="4" s="1"/>
  <c r="P1738" i="4"/>
  <c r="T1738" i="4" s="1"/>
  <c r="P1740" i="4"/>
  <c r="T1740" i="4" s="1"/>
  <c r="P1742" i="4"/>
  <c r="T1742" i="4" s="1"/>
  <c r="P1744" i="4"/>
  <c r="T1744" i="4" s="1"/>
  <c r="P1746" i="4"/>
  <c r="T1746" i="4" s="1"/>
  <c r="P1748" i="4"/>
  <c r="T1748" i="4" s="1"/>
  <c r="P1750" i="4"/>
  <c r="T1750" i="4" s="1"/>
  <c r="P1752" i="4"/>
  <c r="T1752" i="4" s="1"/>
  <c r="P1754" i="4"/>
  <c r="T1754" i="4" s="1"/>
  <c r="P1756" i="4"/>
  <c r="T1756" i="4" s="1"/>
  <c r="P1758" i="4"/>
  <c r="T1758" i="4" s="1"/>
  <c r="P1760" i="4"/>
  <c r="T1760" i="4" s="1"/>
  <c r="P1762" i="4"/>
  <c r="T1762" i="4" s="1"/>
  <c r="P1764" i="4"/>
  <c r="T1764" i="4" s="1"/>
  <c r="P1766" i="4"/>
  <c r="T1766" i="4" s="1"/>
  <c r="P1768" i="4"/>
  <c r="T1768" i="4" s="1"/>
  <c r="P1770" i="4"/>
  <c r="T1770" i="4" s="1"/>
  <c r="P1772" i="4"/>
  <c r="T1772" i="4" s="1"/>
  <c r="P1774" i="4"/>
  <c r="T1774" i="4" s="1"/>
  <c r="P1776" i="4"/>
  <c r="T1776" i="4" s="1"/>
  <c r="P1778" i="4"/>
  <c r="T1778" i="4" s="1"/>
  <c r="P1780" i="4"/>
  <c r="T1780" i="4" s="1"/>
  <c r="T1980" i="4"/>
  <c r="T1982" i="4"/>
  <c r="T1984" i="4"/>
  <c r="T1986" i="4"/>
  <c r="T1988" i="4"/>
  <c r="T1990" i="4"/>
  <c r="T1992" i="4"/>
  <c r="T1994" i="4"/>
  <c r="T1996" i="4"/>
  <c r="T1998" i="4"/>
  <c r="P1781" i="4"/>
  <c r="T1781" i="4" s="1"/>
  <c r="P1782" i="4"/>
  <c r="T1782" i="4" s="1"/>
  <c r="P1783" i="4"/>
  <c r="T1783" i="4" s="1"/>
  <c r="P1784" i="4"/>
  <c r="T1784" i="4" s="1"/>
  <c r="P1785" i="4"/>
  <c r="T1785" i="4" s="1"/>
  <c r="P1786" i="4"/>
  <c r="T1786" i="4" s="1"/>
  <c r="P1787" i="4"/>
  <c r="T1787" i="4" s="1"/>
  <c r="P1788" i="4"/>
  <c r="T1788" i="4" s="1"/>
  <c r="P1789" i="4"/>
  <c r="T1789" i="4" s="1"/>
  <c r="P1790" i="4"/>
  <c r="T1790" i="4" s="1"/>
  <c r="P1791" i="4"/>
  <c r="T1791" i="4" s="1"/>
  <c r="P1792" i="4"/>
  <c r="T1792" i="4" s="1"/>
  <c r="P1793" i="4"/>
  <c r="T1793" i="4" s="1"/>
  <c r="P1794" i="4"/>
  <c r="T1794" i="4" s="1"/>
  <c r="P1795" i="4"/>
  <c r="T1795" i="4" s="1"/>
  <c r="P1796" i="4"/>
  <c r="T1796" i="4" s="1"/>
  <c r="P1797" i="4"/>
  <c r="T1797" i="4" s="1"/>
  <c r="P1798" i="4"/>
  <c r="T1798" i="4" s="1"/>
  <c r="P1799" i="4"/>
  <c r="T1799" i="4" s="1"/>
  <c r="P1800" i="4"/>
  <c r="T1800" i="4" s="1"/>
  <c r="P1801" i="4"/>
  <c r="T1801" i="4" s="1"/>
  <c r="P1802" i="4"/>
  <c r="T1802" i="4" s="1"/>
  <c r="P1803" i="4"/>
  <c r="T1803" i="4" s="1"/>
  <c r="P1804" i="4"/>
  <c r="T1804" i="4" s="1"/>
  <c r="P1805" i="4"/>
  <c r="T1805" i="4" s="1"/>
  <c r="P1806" i="4"/>
  <c r="T1806" i="4" s="1"/>
  <c r="P1807" i="4"/>
  <c r="T1807" i="4" s="1"/>
  <c r="P1808" i="4"/>
  <c r="T1808" i="4" s="1"/>
  <c r="P1809" i="4"/>
  <c r="T1809" i="4" s="1"/>
  <c r="P1810" i="4"/>
  <c r="T1810" i="4" s="1"/>
  <c r="P1811" i="4"/>
  <c r="T1811" i="4" s="1"/>
  <c r="P1812" i="4"/>
  <c r="T1812" i="4" s="1"/>
  <c r="P1813" i="4"/>
  <c r="T1813" i="4" s="1"/>
  <c r="P1831" i="4"/>
  <c r="T1831" i="4" s="1"/>
  <c r="P1833" i="4"/>
  <c r="T1833" i="4" s="1"/>
  <c r="P1835" i="4"/>
  <c r="T1835" i="4" s="1"/>
  <c r="P1837" i="4"/>
  <c r="T1837" i="4" s="1"/>
  <c r="P1839" i="4"/>
  <c r="T1839" i="4" s="1"/>
  <c r="P1841" i="4"/>
  <c r="T1841" i="4" s="1"/>
  <c r="P1843" i="4"/>
  <c r="T1843" i="4" s="1"/>
  <c r="P1845" i="4"/>
  <c r="T1845" i="4" s="1"/>
  <c r="P1847" i="4"/>
  <c r="T1847" i="4" s="1"/>
  <c r="P1849" i="4"/>
  <c r="T1849" i="4" s="1"/>
  <c r="P1851" i="4"/>
  <c r="T1851" i="4" s="1"/>
  <c r="P1853" i="4"/>
  <c r="T1853" i="4" s="1"/>
  <c r="P1855" i="4"/>
  <c r="T1855" i="4" s="1"/>
  <c r="P1857" i="4"/>
  <c r="T1857" i="4" s="1"/>
  <c r="P1859" i="4"/>
  <c r="T1859" i="4" s="1"/>
  <c r="P1861" i="4"/>
  <c r="T1861" i="4" s="1"/>
  <c r="P1863" i="4"/>
  <c r="T1863" i="4" s="1"/>
  <c r="P1865" i="4"/>
  <c r="T1865" i="4" s="1"/>
  <c r="P1867" i="4"/>
  <c r="T1867" i="4" s="1"/>
  <c r="P1869" i="4"/>
  <c r="T1869" i="4" s="1"/>
  <c r="P1871" i="4"/>
  <c r="T1871" i="4" s="1"/>
  <c r="P1814" i="4"/>
  <c r="T1814" i="4" s="1"/>
  <c r="P1815" i="4"/>
  <c r="T1815" i="4" s="1"/>
  <c r="P1816" i="4"/>
  <c r="T1816" i="4" s="1"/>
  <c r="P1817" i="4"/>
  <c r="T1817" i="4" s="1"/>
  <c r="P1818" i="4"/>
  <c r="T1818" i="4" s="1"/>
  <c r="P1819" i="4"/>
  <c r="T1819" i="4" s="1"/>
  <c r="P1820" i="4"/>
  <c r="T1820" i="4" s="1"/>
  <c r="P1821" i="4"/>
  <c r="T1821" i="4" s="1"/>
  <c r="P1822" i="4"/>
  <c r="T1822" i="4" s="1"/>
  <c r="P1823" i="4"/>
  <c r="T1823" i="4" s="1"/>
  <c r="P1824" i="4"/>
  <c r="T1824" i="4" s="1"/>
  <c r="P1825" i="4"/>
  <c r="T1825" i="4" s="1"/>
  <c r="P1826" i="4"/>
  <c r="T1826" i="4" s="1"/>
  <c r="P1827" i="4"/>
  <c r="T1827" i="4" s="1"/>
  <c r="P1828" i="4"/>
  <c r="T1828" i="4" s="1"/>
  <c r="P1829" i="4"/>
  <c r="T1829" i="4" s="1"/>
  <c r="P1873" i="4"/>
  <c r="T1873" i="4" s="1"/>
  <c r="P1875" i="4"/>
  <c r="T1875" i="4" s="1"/>
  <c r="P1877" i="4"/>
  <c r="T1877" i="4" s="1"/>
  <c r="P1879" i="4"/>
  <c r="T1879" i="4" s="1"/>
  <c r="P1881" i="4"/>
  <c r="T1881" i="4" s="1"/>
  <c r="P26" i="4"/>
  <c r="T26" i="4" s="1"/>
  <c r="P27" i="4"/>
  <c r="T27" i="4" s="1"/>
  <c r="P28" i="4"/>
  <c r="T28" i="4" s="1"/>
  <c r="P29" i="4"/>
  <c r="T29" i="4" s="1"/>
  <c r="P31" i="4"/>
  <c r="T31" i="4" s="1"/>
  <c r="P32" i="4"/>
  <c r="T32" i="4" s="1"/>
  <c r="P33" i="4"/>
  <c r="T33" i="4" s="1"/>
  <c r="P34" i="4"/>
  <c r="T34" i="4" s="1"/>
  <c r="P35" i="4"/>
  <c r="T35" i="4" s="1"/>
  <c r="P36" i="4"/>
  <c r="T36" i="4" s="1"/>
  <c r="P37" i="4"/>
  <c r="T37" i="4" s="1"/>
  <c r="P38" i="4"/>
  <c r="T38" i="4" s="1"/>
  <c r="P39" i="4"/>
  <c r="T39" i="4" s="1"/>
  <c r="P40" i="4"/>
  <c r="T40" i="4" s="1"/>
  <c r="P41" i="4"/>
  <c r="T41" i="4" s="1"/>
  <c r="P42" i="4"/>
  <c r="T42" i="4" s="1"/>
  <c r="P43" i="4"/>
  <c r="T43" i="4" s="1"/>
  <c r="P44" i="4"/>
  <c r="T44" i="4" s="1"/>
  <c r="P45" i="4"/>
  <c r="T45" i="4" s="1"/>
  <c r="P46" i="4"/>
  <c r="T46" i="4" s="1"/>
  <c r="P47" i="4"/>
  <c r="T47" i="4" s="1"/>
  <c r="P48" i="4"/>
  <c r="T48" i="4" s="1"/>
  <c r="P49" i="4"/>
  <c r="T49" i="4" s="1"/>
  <c r="P50" i="4"/>
  <c r="T50" i="4" s="1"/>
  <c r="P51" i="4"/>
  <c r="T51" i="4" s="1"/>
  <c r="P52" i="4"/>
  <c r="T52" i="4" s="1"/>
  <c r="P53" i="4"/>
  <c r="T53" i="4" s="1"/>
  <c r="P54" i="4"/>
  <c r="T54" i="4" s="1"/>
  <c r="P55" i="4"/>
  <c r="T55" i="4" s="1"/>
  <c r="P56" i="4"/>
  <c r="T56" i="4" s="1"/>
  <c r="P57" i="4"/>
  <c r="T57" i="4" s="1"/>
  <c r="P58" i="4"/>
  <c r="T58" i="4" s="1"/>
  <c r="P21" i="4"/>
  <c r="T21" i="4" s="1"/>
  <c r="P23" i="4"/>
  <c r="T23" i="4" s="1"/>
  <c r="P24" i="4"/>
  <c r="T24" i="4" s="1"/>
  <c r="P20" i="4"/>
  <c r="T20" i="4" s="1"/>
  <c r="P22" i="4"/>
  <c r="T22" i="4" s="1"/>
  <c r="P25" i="4"/>
  <c r="T25" i="4" s="1"/>
  <c r="P30" i="4"/>
  <c r="T30" i="4" s="1"/>
  <c r="P59" i="4"/>
  <c r="T59" i="4" s="1"/>
  <c r="P60" i="4"/>
  <c r="T60" i="4" s="1"/>
  <c r="P61" i="4"/>
  <c r="T61" i="4" s="1"/>
  <c r="P62" i="4"/>
  <c r="T62" i="4" s="1"/>
  <c r="P63" i="4"/>
  <c r="T63" i="4" s="1"/>
  <c r="P64" i="4"/>
  <c r="T64" i="4" s="1"/>
  <c r="P65" i="4"/>
  <c r="T65" i="4" s="1"/>
  <c r="P66" i="4"/>
  <c r="T66" i="4" s="1"/>
  <c r="P67" i="4"/>
  <c r="T67" i="4" s="1"/>
  <c r="P68" i="4"/>
  <c r="T68" i="4" s="1"/>
  <c r="P69" i="4"/>
  <c r="T69" i="4" s="1"/>
  <c r="P70" i="4"/>
  <c r="T70" i="4" s="1"/>
  <c r="P71" i="4"/>
  <c r="T71" i="4" s="1"/>
  <c r="P72" i="4"/>
  <c r="T72" i="4" s="1"/>
  <c r="P73" i="4"/>
  <c r="T73" i="4" s="1"/>
  <c r="P74" i="4"/>
  <c r="T74" i="4" s="1"/>
  <c r="P75" i="4"/>
  <c r="T75" i="4" s="1"/>
  <c r="P76" i="4"/>
  <c r="T76" i="4" s="1"/>
  <c r="P77" i="4"/>
  <c r="T77" i="4" s="1"/>
  <c r="P78" i="4"/>
  <c r="T78" i="4" s="1"/>
  <c r="P79" i="4"/>
  <c r="T79" i="4" s="1"/>
  <c r="P80" i="4"/>
  <c r="T80" i="4" s="1"/>
  <c r="P81" i="4"/>
  <c r="T81" i="4" s="1"/>
  <c r="P82" i="4"/>
  <c r="T82" i="4" s="1"/>
  <c r="P83" i="4"/>
  <c r="T83" i="4" s="1"/>
  <c r="P84" i="4"/>
  <c r="T84" i="4" s="1"/>
  <c r="P85" i="4"/>
  <c r="T85" i="4" s="1"/>
  <c r="P86" i="4"/>
  <c r="T86" i="4" s="1"/>
  <c r="P87" i="4"/>
  <c r="T87" i="4" s="1"/>
  <c r="P88" i="4"/>
  <c r="T88" i="4" s="1"/>
  <c r="P89" i="4"/>
  <c r="T89" i="4" s="1"/>
  <c r="P90" i="4"/>
  <c r="T90" i="4" s="1"/>
  <c r="P91" i="4"/>
  <c r="T91" i="4" s="1"/>
  <c r="P92" i="4"/>
  <c r="T92" i="4" s="1"/>
  <c r="P93" i="4"/>
  <c r="T93" i="4" s="1"/>
  <c r="P94" i="4"/>
  <c r="T94" i="4" s="1"/>
  <c r="P95" i="4"/>
  <c r="T95" i="4" s="1"/>
  <c r="P96" i="4"/>
  <c r="T96" i="4" s="1"/>
  <c r="P97" i="4"/>
  <c r="T97" i="4" s="1"/>
  <c r="P98" i="4"/>
  <c r="T98" i="4" s="1"/>
  <c r="P99" i="4"/>
  <c r="T99" i="4" s="1"/>
  <c r="P100" i="4"/>
  <c r="T100" i="4" s="1"/>
  <c r="P101" i="4"/>
  <c r="T101" i="4" s="1"/>
  <c r="P102" i="4"/>
  <c r="T102" i="4" s="1"/>
  <c r="P103" i="4"/>
  <c r="T103" i="4" s="1"/>
  <c r="P104" i="4"/>
  <c r="T104" i="4" s="1"/>
  <c r="P105" i="4"/>
  <c r="T105" i="4" s="1"/>
  <c r="P106" i="4"/>
  <c r="T106" i="4" s="1"/>
  <c r="P107" i="4"/>
  <c r="T107" i="4" s="1"/>
  <c r="P108" i="4"/>
  <c r="T108" i="4" s="1"/>
  <c r="P109" i="4"/>
  <c r="T109" i="4" s="1"/>
  <c r="P110" i="4"/>
  <c r="T110" i="4" s="1"/>
  <c r="P111" i="4"/>
  <c r="T111" i="4" s="1"/>
  <c r="P112" i="4"/>
  <c r="T112" i="4" s="1"/>
  <c r="P113" i="4"/>
  <c r="T113" i="4" s="1"/>
  <c r="P114" i="4"/>
  <c r="T114" i="4" s="1"/>
  <c r="P115" i="4"/>
  <c r="T115" i="4" s="1"/>
  <c r="P116" i="4"/>
  <c r="T116" i="4" s="1"/>
  <c r="P117" i="4"/>
  <c r="T117" i="4" s="1"/>
  <c r="P118" i="4"/>
  <c r="T118" i="4" s="1"/>
  <c r="P119" i="4"/>
  <c r="T119" i="4" s="1"/>
  <c r="P120" i="4"/>
  <c r="T120" i="4" s="1"/>
  <c r="P121" i="4"/>
  <c r="T121" i="4" s="1"/>
  <c r="P122" i="4"/>
  <c r="T122" i="4" s="1"/>
  <c r="P123" i="4"/>
  <c r="T123" i="4" s="1"/>
  <c r="P124" i="4"/>
  <c r="T124" i="4" s="1"/>
  <c r="P125" i="4"/>
  <c r="T125" i="4" s="1"/>
  <c r="P126" i="4"/>
  <c r="T126" i="4" s="1"/>
  <c r="P127" i="4"/>
  <c r="T127" i="4" s="1"/>
  <c r="P128" i="4"/>
  <c r="T128" i="4" s="1"/>
  <c r="P129" i="4"/>
  <c r="T129" i="4" s="1"/>
  <c r="P130" i="4"/>
  <c r="T130" i="4" s="1"/>
  <c r="P131" i="4"/>
  <c r="T131" i="4" s="1"/>
  <c r="P132" i="4"/>
  <c r="T132" i="4" s="1"/>
  <c r="P133" i="4"/>
  <c r="T133" i="4" s="1"/>
  <c r="P134" i="4"/>
  <c r="T134" i="4" s="1"/>
  <c r="P135" i="4"/>
  <c r="T135" i="4" s="1"/>
  <c r="P136" i="4"/>
  <c r="T136" i="4" s="1"/>
  <c r="P137" i="4"/>
  <c r="T137" i="4" s="1"/>
  <c r="P138" i="4"/>
  <c r="T138" i="4" s="1"/>
  <c r="P139" i="4"/>
  <c r="T139" i="4" s="1"/>
  <c r="P140" i="4"/>
  <c r="T140" i="4" s="1"/>
  <c r="P141" i="4"/>
  <c r="T141" i="4" s="1"/>
  <c r="P142" i="4"/>
  <c r="T142" i="4" s="1"/>
  <c r="P143" i="4"/>
  <c r="T143" i="4" s="1"/>
  <c r="P144" i="4"/>
  <c r="T144" i="4" s="1"/>
  <c r="P145" i="4"/>
  <c r="T145" i="4" s="1"/>
  <c r="P146" i="4"/>
  <c r="T146" i="4" s="1"/>
  <c r="P147" i="4"/>
  <c r="T147" i="4" s="1"/>
  <c r="P148" i="4"/>
  <c r="T148" i="4" s="1"/>
  <c r="P149" i="4"/>
  <c r="T149" i="4" s="1"/>
  <c r="P150" i="4"/>
  <c r="T150" i="4" s="1"/>
  <c r="P151" i="4"/>
  <c r="T151" i="4" s="1"/>
  <c r="P152" i="4"/>
  <c r="T152" i="4" s="1"/>
  <c r="P153" i="4"/>
  <c r="T153" i="4" s="1"/>
  <c r="P154" i="4"/>
  <c r="T154" i="4" s="1"/>
  <c r="P155" i="4"/>
  <c r="T155" i="4" s="1"/>
  <c r="P156" i="4"/>
  <c r="T156" i="4" s="1"/>
  <c r="P157" i="4"/>
  <c r="T157" i="4" s="1"/>
  <c r="P158" i="4"/>
  <c r="T158" i="4" s="1"/>
  <c r="P159" i="4"/>
  <c r="T159" i="4" s="1"/>
  <c r="P160" i="4"/>
  <c r="T160" i="4" s="1"/>
  <c r="P161" i="4"/>
  <c r="T161" i="4" s="1"/>
  <c r="P162" i="4"/>
  <c r="T162" i="4" s="1"/>
  <c r="P163" i="4"/>
  <c r="T163" i="4" s="1"/>
  <c r="P164" i="4"/>
  <c r="T164" i="4" s="1"/>
  <c r="P165" i="4"/>
  <c r="T165" i="4" s="1"/>
  <c r="P166" i="4"/>
  <c r="T166" i="4" s="1"/>
  <c r="P167" i="4"/>
  <c r="T167" i="4" s="1"/>
  <c r="P168" i="4"/>
  <c r="T168" i="4" s="1"/>
  <c r="P169" i="4"/>
  <c r="T169" i="4" s="1"/>
  <c r="P170" i="4"/>
  <c r="T170" i="4" s="1"/>
  <c r="P171" i="4"/>
  <c r="T171" i="4" s="1"/>
  <c r="P172" i="4"/>
  <c r="T172" i="4" s="1"/>
  <c r="P173" i="4"/>
  <c r="T173" i="4" s="1"/>
  <c r="P174" i="4"/>
  <c r="T174" i="4" s="1"/>
  <c r="P175" i="4"/>
  <c r="T175" i="4" s="1"/>
  <c r="P176" i="4"/>
  <c r="T176" i="4" s="1"/>
  <c r="P177" i="4"/>
  <c r="T177" i="4" s="1"/>
  <c r="P178" i="4"/>
  <c r="T178" i="4" s="1"/>
  <c r="P179" i="4"/>
  <c r="T179" i="4" s="1"/>
  <c r="P180" i="4"/>
  <c r="T180" i="4" s="1"/>
  <c r="P181" i="4"/>
  <c r="T181" i="4" s="1"/>
  <c r="P182" i="4"/>
  <c r="T182" i="4" s="1"/>
  <c r="P183" i="4"/>
  <c r="T183" i="4" s="1"/>
  <c r="P184" i="4"/>
  <c r="T184" i="4" s="1"/>
  <c r="P185" i="4"/>
  <c r="T185" i="4" s="1"/>
  <c r="P186" i="4"/>
  <c r="T186" i="4" s="1"/>
  <c r="P187" i="4"/>
  <c r="T187" i="4" s="1"/>
  <c r="P188" i="4"/>
  <c r="T188" i="4" s="1"/>
  <c r="P189" i="4"/>
  <c r="T189" i="4" s="1"/>
  <c r="P190" i="4"/>
  <c r="T190" i="4" s="1"/>
  <c r="P191" i="4"/>
  <c r="T191" i="4" s="1"/>
  <c r="P192" i="4"/>
  <c r="T192" i="4" s="1"/>
  <c r="P193" i="4"/>
  <c r="T193" i="4" s="1"/>
  <c r="P194" i="4"/>
  <c r="T194" i="4" s="1"/>
  <c r="P195" i="4"/>
  <c r="T195" i="4" s="1"/>
  <c r="P196" i="4"/>
  <c r="T196" i="4" s="1"/>
  <c r="P197" i="4"/>
  <c r="T197" i="4" s="1"/>
  <c r="P198" i="4"/>
  <c r="T198" i="4" s="1"/>
  <c r="P199" i="4"/>
  <c r="T199" i="4" s="1"/>
  <c r="P200" i="4"/>
  <c r="T200" i="4" s="1"/>
  <c r="P201" i="4"/>
  <c r="T201" i="4" s="1"/>
  <c r="P202" i="4"/>
  <c r="T202" i="4" s="1"/>
  <c r="P203" i="4"/>
  <c r="T203" i="4" s="1"/>
  <c r="P204" i="4"/>
  <c r="T204" i="4" s="1"/>
  <c r="P205" i="4"/>
  <c r="T205" i="4" s="1"/>
  <c r="P206" i="4"/>
  <c r="T206" i="4" s="1"/>
  <c r="P207" i="4"/>
  <c r="T207" i="4" s="1"/>
  <c r="P208" i="4"/>
  <c r="T208" i="4" s="1"/>
  <c r="P209" i="4"/>
  <c r="T209" i="4" s="1"/>
  <c r="P210" i="4"/>
  <c r="T210" i="4" s="1"/>
  <c r="P211" i="4"/>
  <c r="T211" i="4" s="1"/>
  <c r="P212" i="4"/>
  <c r="T212" i="4" s="1"/>
  <c r="P213" i="4"/>
  <c r="T213" i="4" s="1"/>
  <c r="P214" i="4"/>
  <c r="T214" i="4" s="1"/>
  <c r="P215" i="4"/>
  <c r="T215" i="4" s="1"/>
  <c r="P216" i="4"/>
  <c r="T216" i="4" s="1"/>
  <c r="P217" i="4"/>
  <c r="T217" i="4" s="1"/>
  <c r="P218" i="4"/>
  <c r="T218" i="4" s="1"/>
  <c r="P219" i="4"/>
  <c r="T219" i="4" s="1"/>
  <c r="P220" i="4"/>
  <c r="T220" i="4" s="1"/>
  <c r="P221" i="4"/>
  <c r="T221" i="4" s="1"/>
  <c r="P222" i="4"/>
  <c r="T222" i="4" s="1"/>
  <c r="P223" i="4"/>
  <c r="T223" i="4" s="1"/>
  <c r="P224" i="4"/>
  <c r="T224" i="4" s="1"/>
  <c r="P225" i="4"/>
  <c r="T225" i="4" s="1"/>
  <c r="P226" i="4"/>
  <c r="T226" i="4" s="1"/>
  <c r="P227" i="4"/>
  <c r="T227" i="4" s="1"/>
  <c r="P228" i="4"/>
  <c r="T228" i="4" s="1"/>
  <c r="P229" i="4"/>
  <c r="T229" i="4" s="1"/>
  <c r="P230" i="4"/>
  <c r="T230" i="4" s="1"/>
  <c r="P231" i="4"/>
  <c r="T231" i="4" s="1"/>
  <c r="P232" i="4"/>
  <c r="T232" i="4" s="1"/>
  <c r="P233" i="4"/>
  <c r="T233" i="4" s="1"/>
  <c r="P234" i="4"/>
  <c r="T234" i="4" s="1"/>
  <c r="P235" i="4"/>
  <c r="T235" i="4" s="1"/>
  <c r="P236" i="4"/>
  <c r="T236" i="4" s="1"/>
  <c r="P237" i="4"/>
  <c r="T237" i="4" s="1"/>
  <c r="P238" i="4"/>
  <c r="T238" i="4" s="1"/>
  <c r="P239" i="4"/>
  <c r="T239" i="4" s="1"/>
  <c r="P240" i="4"/>
  <c r="T240" i="4" s="1"/>
  <c r="P241" i="4"/>
  <c r="T241" i="4" s="1"/>
  <c r="P242" i="4"/>
  <c r="T242" i="4" s="1"/>
  <c r="P243" i="4"/>
  <c r="T243" i="4" s="1"/>
  <c r="P244" i="4"/>
  <c r="T244" i="4" s="1"/>
  <c r="P245" i="4"/>
  <c r="T245" i="4" s="1"/>
  <c r="P246" i="4"/>
  <c r="T246" i="4" s="1"/>
  <c r="P247" i="4"/>
  <c r="T247" i="4" s="1"/>
  <c r="P248" i="4"/>
  <c r="T248" i="4" s="1"/>
  <c r="P249" i="4"/>
  <c r="T249" i="4" s="1"/>
  <c r="P250" i="4"/>
  <c r="T250" i="4" s="1"/>
  <c r="P251" i="4"/>
  <c r="T251" i="4" s="1"/>
  <c r="P252" i="4"/>
  <c r="T252" i="4" s="1"/>
  <c r="P253" i="4"/>
  <c r="T253" i="4" s="1"/>
  <c r="P254" i="4"/>
  <c r="T254" i="4" s="1"/>
  <c r="P255" i="4"/>
  <c r="T255" i="4" s="1"/>
  <c r="P256" i="4"/>
  <c r="T256" i="4" s="1"/>
  <c r="P257" i="4"/>
  <c r="T257" i="4" s="1"/>
  <c r="P258" i="4"/>
  <c r="T258" i="4" s="1"/>
  <c r="P259" i="4"/>
  <c r="T259" i="4" s="1"/>
  <c r="P260" i="4"/>
  <c r="T260" i="4" s="1"/>
  <c r="P261" i="4"/>
  <c r="T261" i="4" s="1"/>
  <c r="P262" i="4"/>
  <c r="T262" i="4" s="1"/>
  <c r="P263" i="4"/>
  <c r="T263" i="4" s="1"/>
  <c r="P264" i="4"/>
  <c r="T264" i="4" s="1"/>
  <c r="P265" i="4"/>
  <c r="T265" i="4" s="1"/>
  <c r="P266" i="4"/>
  <c r="T266" i="4" s="1"/>
  <c r="P267" i="4"/>
  <c r="T267" i="4" s="1"/>
  <c r="P268" i="4"/>
  <c r="T268" i="4" s="1"/>
  <c r="P269" i="4"/>
  <c r="T269" i="4" s="1"/>
  <c r="P270" i="4"/>
  <c r="T270" i="4" s="1"/>
  <c r="P271" i="4"/>
  <c r="T271" i="4" s="1"/>
  <c r="P272" i="4"/>
  <c r="T272" i="4" s="1"/>
  <c r="P273" i="4"/>
  <c r="T273" i="4" s="1"/>
  <c r="P274" i="4"/>
  <c r="T274" i="4" s="1"/>
  <c r="P275" i="4"/>
  <c r="T275" i="4" s="1"/>
  <c r="P276" i="4"/>
  <c r="T276" i="4" s="1"/>
  <c r="P277" i="4"/>
  <c r="T277" i="4" s="1"/>
  <c r="P278" i="4"/>
  <c r="T278" i="4" s="1"/>
  <c r="P279" i="4"/>
  <c r="T279" i="4" s="1"/>
  <c r="P280" i="4"/>
  <c r="T280" i="4" s="1"/>
  <c r="P281" i="4"/>
  <c r="T281" i="4" s="1"/>
  <c r="P282" i="4"/>
  <c r="T282" i="4" s="1"/>
  <c r="P283" i="4"/>
  <c r="T283" i="4" s="1"/>
  <c r="P284" i="4"/>
  <c r="T284" i="4" s="1"/>
  <c r="P285" i="4"/>
  <c r="T285" i="4" s="1"/>
  <c r="P286" i="4"/>
  <c r="T286" i="4" s="1"/>
  <c r="P287" i="4"/>
  <c r="T287" i="4" s="1"/>
  <c r="P288" i="4"/>
  <c r="T288" i="4" s="1"/>
  <c r="P289" i="4"/>
  <c r="T289" i="4" s="1"/>
  <c r="P290" i="4"/>
  <c r="T290" i="4" s="1"/>
  <c r="P291" i="4"/>
  <c r="T291" i="4" s="1"/>
  <c r="P292" i="4"/>
  <c r="T292" i="4" s="1"/>
  <c r="P293" i="4"/>
  <c r="T293" i="4" s="1"/>
  <c r="P294" i="4"/>
  <c r="T294" i="4" s="1"/>
  <c r="P295" i="4"/>
  <c r="T295" i="4" s="1"/>
  <c r="P296" i="4"/>
  <c r="T296" i="4" s="1"/>
  <c r="P297" i="4"/>
  <c r="T297" i="4" s="1"/>
  <c r="P298" i="4"/>
  <c r="T298" i="4" s="1"/>
  <c r="P299" i="4"/>
  <c r="T299" i="4" s="1"/>
  <c r="P300" i="4"/>
  <c r="T300" i="4" s="1"/>
  <c r="P301" i="4"/>
  <c r="T301" i="4" s="1"/>
  <c r="P302" i="4"/>
  <c r="T302" i="4" s="1"/>
  <c r="P303" i="4"/>
  <c r="T303" i="4" s="1"/>
  <c r="P304" i="4"/>
  <c r="T304" i="4" s="1"/>
  <c r="P305" i="4"/>
  <c r="T305" i="4" s="1"/>
  <c r="P306" i="4"/>
  <c r="T306" i="4" s="1"/>
  <c r="P307" i="4"/>
  <c r="T307" i="4" s="1"/>
  <c r="P308" i="4"/>
  <c r="T308" i="4" s="1"/>
  <c r="P309" i="4"/>
  <c r="T309" i="4" s="1"/>
  <c r="P310" i="4"/>
  <c r="T310" i="4" s="1"/>
  <c r="P311" i="4"/>
  <c r="T311" i="4" s="1"/>
  <c r="P312" i="4"/>
  <c r="T312" i="4" s="1"/>
  <c r="P313" i="4"/>
  <c r="T313" i="4" s="1"/>
  <c r="P314" i="4"/>
  <c r="T314" i="4" s="1"/>
  <c r="P315" i="4"/>
  <c r="T315" i="4" s="1"/>
  <c r="P316" i="4"/>
  <c r="T316" i="4" s="1"/>
  <c r="P317" i="4"/>
  <c r="T317" i="4" s="1"/>
  <c r="P318" i="4"/>
  <c r="T318" i="4" s="1"/>
  <c r="P319" i="4"/>
  <c r="T319" i="4" s="1"/>
  <c r="P320" i="4"/>
  <c r="T320" i="4" s="1"/>
  <c r="P321" i="4"/>
  <c r="T321" i="4" s="1"/>
  <c r="P322" i="4"/>
  <c r="T322" i="4" s="1"/>
  <c r="P323" i="4"/>
  <c r="T323" i="4" s="1"/>
  <c r="P324" i="4"/>
  <c r="T324" i="4" s="1"/>
  <c r="P325" i="4"/>
  <c r="T325" i="4" s="1"/>
  <c r="P326" i="4"/>
  <c r="T326" i="4" s="1"/>
  <c r="P327" i="4"/>
  <c r="T327" i="4" s="1"/>
  <c r="P328" i="4"/>
  <c r="T328" i="4" s="1"/>
  <c r="P329" i="4"/>
  <c r="T329" i="4" s="1"/>
  <c r="P330" i="4"/>
  <c r="T330" i="4" s="1"/>
  <c r="P331" i="4"/>
  <c r="T331" i="4" s="1"/>
  <c r="P332" i="4"/>
  <c r="T332" i="4" s="1"/>
  <c r="P333" i="4"/>
  <c r="T333" i="4" s="1"/>
  <c r="P334" i="4"/>
  <c r="T334" i="4" s="1"/>
  <c r="P335" i="4"/>
  <c r="T335" i="4" s="1"/>
  <c r="P336" i="4"/>
  <c r="T336" i="4" s="1"/>
  <c r="P337" i="4"/>
  <c r="T337" i="4" s="1"/>
  <c r="P338" i="4"/>
  <c r="T338" i="4" s="1"/>
  <c r="P339" i="4"/>
  <c r="T339" i="4" s="1"/>
  <c r="P340" i="4"/>
  <c r="T340" i="4" s="1"/>
  <c r="P341" i="4"/>
  <c r="T341" i="4" s="1"/>
  <c r="P342" i="4"/>
  <c r="T342" i="4" s="1"/>
  <c r="P343" i="4"/>
  <c r="T343" i="4" s="1"/>
  <c r="P344" i="4"/>
  <c r="T344" i="4" s="1"/>
  <c r="P345" i="4"/>
  <c r="T345" i="4" s="1"/>
  <c r="P346" i="4"/>
  <c r="T346" i="4" s="1"/>
  <c r="P347" i="4"/>
  <c r="T347" i="4" s="1"/>
  <c r="P348" i="4"/>
  <c r="T348" i="4" s="1"/>
  <c r="P349" i="4"/>
  <c r="T349" i="4" s="1"/>
  <c r="P350" i="4"/>
  <c r="T350" i="4" s="1"/>
  <c r="P351" i="4"/>
  <c r="T351" i="4" s="1"/>
  <c r="P352" i="4"/>
  <c r="T352" i="4" s="1"/>
  <c r="P353" i="4"/>
  <c r="T353" i="4" s="1"/>
  <c r="P354" i="4"/>
  <c r="T354" i="4" s="1"/>
  <c r="P355" i="4"/>
  <c r="T355" i="4" s="1"/>
  <c r="P356" i="4"/>
  <c r="T356" i="4" s="1"/>
  <c r="P357" i="4"/>
  <c r="T357" i="4" s="1"/>
  <c r="P358" i="4"/>
  <c r="T358" i="4" s="1"/>
  <c r="P359" i="4"/>
  <c r="T359" i="4" s="1"/>
  <c r="P360" i="4"/>
  <c r="T360" i="4" s="1"/>
  <c r="P361" i="4"/>
  <c r="T361" i="4" s="1"/>
  <c r="P362" i="4"/>
  <c r="T362" i="4" s="1"/>
  <c r="P363" i="4"/>
  <c r="T363" i="4" s="1"/>
  <c r="P364" i="4"/>
  <c r="T364" i="4" s="1"/>
  <c r="P365" i="4"/>
  <c r="T365" i="4" s="1"/>
  <c r="P366" i="4"/>
  <c r="T366" i="4" s="1"/>
  <c r="P367" i="4"/>
  <c r="T367" i="4" s="1"/>
  <c r="P368" i="4"/>
  <c r="T368" i="4" s="1"/>
  <c r="P369" i="4"/>
  <c r="T369" i="4" s="1"/>
  <c r="P370" i="4"/>
  <c r="T370" i="4" s="1"/>
  <c r="P371" i="4"/>
  <c r="T371" i="4" s="1"/>
  <c r="P372" i="4"/>
  <c r="T372" i="4" s="1"/>
  <c r="P373" i="4"/>
  <c r="T373" i="4" s="1"/>
  <c r="P374" i="4"/>
  <c r="T374" i="4" s="1"/>
  <c r="P375" i="4"/>
  <c r="T375" i="4" s="1"/>
  <c r="P376" i="4"/>
  <c r="T376" i="4" s="1"/>
  <c r="P377" i="4"/>
  <c r="T377" i="4" s="1"/>
  <c r="P378" i="4"/>
  <c r="T378" i="4" s="1"/>
  <c r="P379" i="4"/>
  <c r="T379" i="4" s="1"/>
  <c r="P380" i="4"/>
  <c r="T380" i="4" s="1"/>
  <c r="P381" i="4"/>
  <c r="T381" i="4" s="1"/>
  <c r="P382" i="4"/>
  <c r="T382" i="4" s="1"/>
  <c r="P383" i="4"/>
  <c r="T383" i="4" s="1"/>
  <c r="P384" i="4"/>
  <c r="T384" i="4" s="1"/>
  <c r="P385" i="4"/>
  <c r="T385" i="4" s="1"/>
  <c r="P386" i="4"/>
  <c r="T386" i="4" s="1"/>
  <c r="P387" i="4"/>
  <c r="T387" i="4" s="1"/>
  <c r="P388" i="4"/>
  <c r="T388" i="4" s="1"/>
  <c r="P389" i="4"/>
  <c r="T389" i="4" s="1"/>
  <c r="P390" i="4"/>
  <c r="T390" i="4" s="1"/>
  <c r="P391" i="4"/>
  <c r="T391" i="4" s="1"/>
  <c r="P392" i="4"/>
  <c r="T392" i="4" s="1"/>
  <c r="P393" i="4"/>
  <c r="T393" i="4" s="1"/>
  <c r="P394" i="4"/>
  <c r="T394" i="4" s="1"/>
  <c r="P395" i="4"/>
  <c r="T395" i="4" s="1"/>
  <c r="P396" i="4"/>
  <c r="T396" i="4" s="1"/>
  <c r="P397" i="4"/>
  <c r="T397" i="4" s="1"/>
  <c r="P398" i="4"/>
  <c r="T398" i="4" s="1"/>
  <c r="P399" i="4"/>
  <c r="T399" i="4" s="1"/>
  <c r="P400" i="4"/>
  <c r="T400" i="4" s="1"/>
  <c r="P401" i="4"/>
  <c r="T401" i="4" s="1"/>
  <c r="P402" i="4"/>
  <c r="T402" i="4" s="1"/>
  <c r="P403" i="4"/>
  <c r="T403" i="4" s="1"/>
  <c r="P404" i="4"/>
  <c r="T404" i="4" s="1"/>
  <c r="P405" i="4"/>
  <c r="T405" i="4" s="1"/>
  <c r="P406" i="4"/>
  <c r="T406" i="4" s="1"/>
  <c r="P407" i="4"/>
  <c r="T407" i="4" s="1"/>
  <c r="P408" i="4"/>
  <c r="T408" i="4" s="1"/>
  <c r="P409" i="4"/>
  <c r="T409" i="4" s="1"/>
  <c r="P410" i="4"/>
  <c r="T410" i="4" s="1"/>
  <c r="P411" i="4"/>
  <c r="T411" i="4" s="1"/>
  <c r="P412" i="4"/>
  <c r="T412" i="4" s="1"/>
  <c r="P413" i="4"/>
  <c r="T413" i="4" s="1"/>
  <c r="P414" i="4"/>
  <c r="T414" i="4" s="1"/>
  <c r="P415" i="4"/>
  <c r="T415" i="4" s="1"/>
  <c r="P416" i="4"/>
  <c r="T416" i="4" s="1"/>
  <c r="P417" i="4"/>
  <c r="T417" i="4" s="1"/>
  <c r="P418" i="4"/>
  <c r="T418" i="4" s="1"/>
  <c r="P419" i="4"/>
  <c r="T419" i="4" s="1"/>
  <c r="P420" i="4"/>
  <c r="T420" i="4" s="1"/>
  <c r="P421" i="4"/>
  <c r="T421" i="4" s="1"/>
  <c r="P422" i="4"/>
  <c r="T422" i="4" s="1"/>
  <c r="P423" i="4"/>
  <c r="T423" i="4" s="1"/>
  <c r="P424" i="4"/>
  <c r="T424" i="4" s="1"/>
  <c r="P425" i="4"/>
  <c r="T425" i="4" s="1"/>
  <c r="P426" i="4"/>
  <c r="T426" i="4" s="1"/>
  <c r="P427" i="4"/>
  <c r="T427" i="4" s="1"/>
  <c r="P428" i="4"/>
  <c r="T428" i="4" s="1"/>
  <c r="P429" i="4"/>
  <c r="T429" i="4" s="1"/>
  <c r="P430" i="4"/>
  <c r="T430" i="4" s="1"/>
  <c r="P431" i="4"/>
  <c r="T431" i="4" s="1"/>
  <c r="P432" i="4"/>
  <c r="T432" i="4" s="1"/>
  <c r="P433" i="4"/>
  <c r="T433" i="4" s="1"/>
  <c r="P434" i="4"/>
  <c r="T434" i="4" s="1"/>
  <c r="P435" i="4"/>
  <c r="T435" i="4" s="1"/>
  <c r="P436" i="4"/>
  <c r="T436" i="4" s="1"/>
  <c r="P437" i="4"/>
  <c r="T437" i="4" s="1"/>
  <c r="P438" i="4"/>
  <c r="T438" i="4" s="1"/>
  <c r="P439" i="4"/>
  <c r="T439" i="4" s="1"/>
  <c r="P440" i="4"/>
  <c r="T440" i="4" s="1"/>
  <c r="P441" i="4"/>
  <c r="T441" i="4" s="1"/>
  <c r="P442" i="4"/>
  <c r="T442" i="4" s="1"/>
  <c r="P443" i="4"/>
  <c r="T443" i="4" s="1"/>
  <c r="P444" i="4"/>
  <c r="T444" i="4" s="1"/>
  <c r="P445" i="4"/>
  <c r="T445" i="4" s="1"/>
  <c r="P446" i="4"/>
  <c r="T446" i="4" s="1"/>
  <c r="P447" i="4"/>
  <c r="T447" i="4" s="1"/>
  <c r="P448" i="4"/>
  <c r="T448" i="4" s="1"/>
  <c r="P449" i="4"/>
  <c r="T449" i="4" s="1"/>
  <c r="P450" i="4"/>
  <c r="T450" i="4" s="1"/>
  <c r="P451" i="4"/>
  <c r="T451" i="4" s="1"/>
  <c r="P452" i="4"/>
  <c r="T452" i="4" s="1"/>
  <c r="P453" i="4"/>
  <c r="T453" i="4" s="1"/>
  <c r="P454" i="4"/>
  <c r="T454" i="4" s="1"/>
  <c r="P455" i="4"/>
  <c r="T455" i="4" s="1"/>
  <c r="P456" i="4"/>
  <c r="T456" i="4" s="1"/>
  <c r="P457" i="4"/>
  <c r="T457" i="4" s="1"/>
  <c r="P458" i="4"/>
  <c r="T458" i="4" s="1"/>
  <c r="P459" i="4"/>
  <c r="T459" i="4" s="1"/>
  <c r="P460" i="4"/>
  <c r="T460" i="4" s="1"/>
  <c r="P461" i="4"/>
  <c r="T461" i="4" s="1"/>
  <c r="P462" i="4"/>
  <c r="T462" i="4" s="1"/>
  <c r="P463" i="4"/>
  <c r="T463" i="4" s="1"/>
  <c r="P464" i="4"/>
  <c r="T464" i="4" s="1"/>
  <c r="P465" i="4"/>
  <c r="T465" i="4" s="1"/>
  <c r="P466" i="4"/>
  <c r="T466" i="4" s="1"/>
  <c r="P467" i="4"/>
  <c r="T467" i="4" s="1"/>
  <c r="P468" i="4"/>
  <c r="T468" i="4" s="1"/>
  <c r="P469" i="4"/>
  <c r="T469" i="4" s="1"/>
  <c r="P470" i="4"/>
  <c r="T470" i="4" s="1"/>
  <c r="P471" i="4"/>
  <c r="T471" i="4" s="1"/>
  <c r="P472" i="4"/>
  <c r="T472" i="4" s="1"/>
  <c r="P473" i="4"/>
  <c r="T473" i="4" s="1"/>
  <c r="P474" i="4"/>
  <c r="T474" i="4" s="1"/>
  <c r="P475" i="4"/>
  <c r="T475" i="4" s="1"/>
  <c r="P476" i="4"/>
  <c r="T476" i="4" s="1"/>
  <c r="P477" i="4"/>
  <c r="T477" i="4" s="1"/>
  <c r="P478" i="4"/>
  <c r="T478" i="4" s="1"/>
  <c r="P479" i="4"/>
  <c r="T479" i="4" s="1"/>
  <c r="P480" i="4"/>
  <c r="T480" i="4" s="1"/>
  <c r="P481" i="4"/>
  <c r="T481" i="4" s="1"/>
  <c r="P482" i="4"/>
  <c r="T482" i="4" s="1"/>
  <c r="P483" i="4"/>
  <c r="T483" i="4" s="1"/>
  <c r="P484" i="4"/>
  <c r="T484" i="4" s="1"/>
  <c r="P485" i="4"/>
  <c r="T485" i="4" s="1"/>
  <c r="P486" i="4"/>
  <c r="T486" i="4" s="1"/>
  <c r="P487" i="4"/>
  <c r="T487" i="4" s="1"/>
  <c r="P488" i="4"/>
  <c r="T488" i="4" s="1"/>
  <c r="P489" i="4"/>
  <c r="T489" i="4" s="1"/>
  <c r="P490" i="4"/>
  <c r="T490" i="4" s="1"/>
  <c r="P491" i="4"/>
  <c r="T491" i="4" s="1"/>
  <c r="P492" i="4"/>
  <c r="T492" i="4" s="1"/>
  <c r="P493" i="4"/>
  <c r="T493" i="4" s="1"/>
  <c r="P494" i="4"/>
  <c r="T494" i="4" s="1"/>
  <c r="P495" i="4"/>
  <c r="T495" i="4" s="1"/>
  <c r="P496" i="4"/>
  <c r="T496" i="4" s="1"/>
  <c r="P497" i="4"/>
  <c r="T497" i="4" s="1"/>
  <c r="P498" i="4"/>
  <c r="T498" i="4" s="1"/>
  <c r="P499" i="4"/>
  <c r="T499" i="4" s="1"/>
  <c r="P500" i="4"/>
  <c r="T500" i="4" s="1"/>
  <c r="P501" i="4"/>
  <c r="T501" i="4" s="1"/>
  <c r="P502" i="4"/>
  <c r="T502" i="4" s="1"/>
  <c r="P503" i="4"/>
  <c r="T503" i="4" s="1"/>
  <c r="P504" i="4"/>
  <c r="T504" i="4" s="1"/>
  <c r="P505" i="4"/>
  <c r="T505" i="4" s="1"/>
  <c r="P506" i="4"/>
  <c r="T506" i="4" s="1"/>
  <c r="P507" i="4"/>
  <c r="T507" i="4" s="1"/>
  <c r="P508" i="4"/>
  <c r="T508" i="4" s="1"/>
  <c r="P509" i="4"/>
  <c r="T509" i="4" s="1"/>
  <c r="P510" i="4"/>
  <c r="T510" i="4" s="1"/>
  <c r="P511" i="4"/>
  <c r="T511" i="4" s="1"/>
  <c r="P512" i="4"/>
  <c r="T512" i="4" s="1"/>
  <c r="P513" i="4"/>
  <c r="T513" i="4" s="1"/>
  <c r="P514" i="4"/>
  <c r="T514" i="4" s="1"/>
  <c r="P515" i="4"/>
  <c r="T515" i="4" s="1"/>
  <c r="P516" i="4"/>
  <c r="T516" i="4" s="1"/>
  <c r="P517" i="4"/>
  <c r="T517" i="4" s="1"/>
  <c r="P518" i="4"/>
  <c r="T518" i="4" s="1"/>
  <c r="P519" i="4"/>
  <c r="T519" i="4" s="1"/>
  <c r="P520" i="4"/>
  <c r="T520" i="4" s="1"/>
  <c r="P521" i="4"/>
  <c r="T521" i="4" s="1"/>
  <c r="P522" i="4"/>
  <c r="T522" i="4" s="1"/>
  <c r="P523" i="4"/>
  <c r="T523" i="4" s="1"/>
  <c r="P524" i="4"/>
  <c r="T524" i="4" s="1"/>
  <c r="P525" i="4"/>
  <c r="T525" i="4" s="1"/>
  <c r="P526" i="4"/>
  <c r="T526" i="4" s="1"/>
  <c r="P527" i="4"/>
  <c r="T527" i="4" s="1"/>
  <c r="P528" i="4"/>
  <c r="T528" i="4" s="1"/>
  <c r="P529" i="4"/>
  <c r="T529" i="4" s="1"/>
  <c r="P530" i="4"/>
  <c r="T530" i="4" s="1"/>
  <c r="P531" i="4"/>
  <c r="T531" i="4" s="1"/>
  <c r="P532" i="4"/>
  <c r="T532" i="4" s="1"/>
  <c r="P533" i="4"/>
  <c r="T533" i="4" s="1"/>
  <c r="P534" i="4"/>
  <c r="T534" i="4" s="1"/>
  <c r="P535" i="4"/>
  <c r="T535" i="4" s="1"/>
  <c r="P536" i="4"/>
  <c r="T536" i="4" s="1"/>
  <c r="P537" i="4"/>
  <c r="T537" i="4" s="1"/>
  <c r="P538" i="4"/>
  <c r="T538" i="4" s="1"/>
  <c r="P539" i="4"/>
  <c r="T539" i="4" s="1"/>
  <c r="P540" i="4"/>
  <c r="T540" i="4" s="1"/>
  <c r="P541" i="4"/>
  <c r="T541" i="4" s="1"/>
  <c r="P542" i="4"/>
  <c r="T542" i="4" s="1"/>
  <c r="P543" i="4"/>
  <c r="T543" i="4" s="1"/>
  <c r="P544" i="4"/>
  <c r="T544" i="4" s="1"/>
  <c r="P545" i="4"/>
  <c r="T545" i="4" s="1"/>
  <c r="P546" i="4"/>
  <c r="T546" i="4" s="1"/>
  <c r="P547" i="4"/>
  <c r="T547" i="4" s="1"/>
  <c r="P548" i="4"/>
  <c r="T548" i="4" s="1"/>
  <c r="P549" i="4"/>
  <c r="T549" i="4" s="1"/>
  <c r="P550" i="4"/>
  <c r="T550" i="4" s="1"/>
  <c r="P551" i="4"/>
  <c r="T551" i="4" s="1"/>
  <c r="P552" i="4"/>
  <c r="T552" i="4" s="1"/>
  <c r="P553" i="4"/>
  <c r="T553" i="4" s="1"/>
  <c r="P554" i="4"/>
  <c r="T554" i="4" s="1"/>
  <c r="P555" i="4"/>
  <c r="T555" i="4" s="1"/>
  <c r="P556" i="4"/>
  <c r="T556" i="4" s="1"/>
  <c r="P557" i="4"/>
  <c r="T557" i="4" s="1"/>
  <c r="P558" i="4"/>
  <c r="T558" i="4" s="1"/>
  <c r="P559" i="4"/>
  <c r="T559" i="4" s="1"/>
  <c r="P560" i="4"/>
  <c r="T560" i="4" s="1"/>
  <c r="P561" i="4"/>
  <c r="T561" i="4" s="1"/>
  <c r="P562" i="4"/>
  <c r="T562" i="4" s="1"/>
  <c r="P563" i="4"/>
  <c r="T563" i="4" s="1"/>
  <c r="P564" i="4"/>
  <c r="T564" i="4" s="1"/>
  <c r="P565" i="4"/>
  <c r="T565" i="4" s="1"/>
  <c r="P566" i="4"/>
  <c r="T566" i="4" s="1"/>
  <c r="P567" i="4"/>
  <c r="T567" i="4" s="1"/>
  <c r="P568" i="4"/>
  <c r="T568" i="4" s="1"/>
  <c r="P569" i="4"/>
  <c r="T569" i="4" s="1"/>
  <c r="P570" i="4"/>
  <c r="T570" i="4" s="1"/>
  <c r="P571" i="4"/>
  <c r="T571" i="4" s="1"/>
  <c r="P572" i="4"/>
  <c r="T572" i="4" s="1"/>
  <c r="P573" i="4"/>
  <c r="T573" i="4" s="1"/>
  <c r="P574" i="4"/>
  <c r="T574" i="4" s="1"/>
  <c r="P575" i="4"/>
  <c r="T575" i="4" s="1"/>
  <c r="P576" i="4"/>
  <c r="T576" i="4" s="1"/>
  <c r="P577" i="4"/>
  <c r="T577" i="4" s="1"/>
  <c r="P578" i="4"/>
  <c r="T578" i="4" s="1"/>
  <c r="P579" i="4"/>
  <c r="T579" i="4" s="1"/>
  <c r="P580" i="4"/>
  <c r="T580" i="4" s="1"/>
  <c r="P581" i="4"/>
  <c r="T581" i="4" s="1"/>
  <c r="P582" i="4"/>
  <c r="T582" i="4" s="1"/>
  <c r="P583" i="4"/>
  <c r="T583" i="4" s="1"/>
  <c r="P584" i="4"/>
  <c r="T584" i="4" s="1"/>
  <c r="P585" i="4"/>
  <c r="T585" i="4" s="1"/>
  <c r="P586" i="4"/>
  <c r="T586" i="4" s="1"/>
  <c r="P587" i="4"/>
  <c r="T587" i="4" s="1"/>
  <c r="P588" i="4"/>
  <c r="T588" i="4" s="1"/>
  <c r="P589" i="4"/>
  <c r="T589" i="4" s="1"/>
  <c r="P590" i="4"/>
  <c r="T590" i="4" s="1"/>
  <c r="P591" i="4"/>
  <c r="T591" i="4" s="1"/>
  <c r="P592" i="4"/>
  <c r="T592" i="4" s="1"/>
  <c r="P593" i="4"/>
  <c r="T593" i="4" s="1"/>
  <c r="P594" i="4"/>
  <c r="T594" i="4" s="1"/>
  <c r="P595" i="4"/>
  <c r="T595" i="4" s="1"/>
  <c r="P596" i="4"/>
  <c r="T596" i="4" s="1"/>
  <c r="P597" i="4"/>
  <c r="T597" i="4" s="1"/>
  <c r="P598" i="4"/>
  <c r="T598" i="4" s="1"/>
  <c r="P599" i="4"/>
  <c r="T599" i="4" s="1"/>
  <c r="P600" i="4"/>
  <c r="T600" i="4" s="1"/>
  <c r="P601" i="4"/>
  <c r="T601" i="4" s="1"/>
  <c r="P602" i="4"/>
  <c r="T602" i="4" s="1"/>
  <c r="P603" i="4"/>
  <c r="T603" i="4" s="1"/>
  <c r="P604" i="4"/>
  <c r="T604" i="4" s="1"/>
  <c r="P605" i="4"/>
  <c r="T605" i="4" s="1"/>
  <c r="P606" i="4"/>
  <c r="T606" i="4" s="1"/>
  <c r="P607" i="4"/>
  <c r="T607" i="4" s="1"/>
  <c r="P608" i="4"/>
  <c r="T608" i="4" s="1"/>
  <c r="P609" i="4"/>
  <c r="T609" i="4" s="1"/>
  <c r="P610" i="4"/>
  <c r="T610" i="4" s="1"/>
  <c r="P611" i="4"/>
  <c r="T611" i="4" s="1"/>
  <c r="P612" i="4"/>
  <c r="T612" i="4" s="1"/>
  <c r="P613" i="4"/>
  <c r="T613" i="4" s="1"/>
  <c r="P614" i="4"/>
  <c r="T614" i="4" s="1"/>
  <c r="P615" i="4"/>
  <c r="T615" i="4" s="1"/>
  <c r="P616" i="4"/>
  <c r="T616" i="4" s="1"/>
  <c r="P617" i="4"/>
  <c r="T617" i="4" s="1"/>
  <c r="P618" i="4"/>
  <c r="T618" i="4" s="1"/>
  <c r="P619" i="4"/>
  <c r="T619" i="4" s="1"/>
  <c r="P620" i="4"/>
  <c r="T620" i="4" s="1"/>
  <c r="P621" i="4"/>
  <c r="T621" i="4" s="1"/>
  <c r="P622" i="4"/>
  <c r="T622" i="4" s="1"/>
  <c r="P623" i="4"/>
  <c r="T623" i="4" s="1"/>
  <c r="P624" i="4"/>
  <c r="T624" i="4" s="1"/>
  <c r="P625" i="4"/>
  <c r="T625" i="4" s="1"/>
  <c r="P626" i="4"/>
  <c r="T626" i="4" s="1"/>
  <c r="P627" i="4"/>
  <c r="T627" i="4" s="1"/>
  <c r="P628" i="4"/>
  <c r="T628" i="4" s="1"/>
  <c r="P629" i="4"/>
  <c r="T629" i="4" s="1"/>
  <c r="P630" i="4"/>
  <c r="T630" i="4" s="1"/>
  <c r="P631" i="4"/>
  <c r="T631" i="4" s="1"/>
  <c r="P632" i="4"/>
  <c r="T632" i="4" s="1"/>
  <c r="P633" i="4"/>
  <c r="T633" i="4" s="1"/>
  <c r="P634" i="4"/>
  <c r="T634" i="4" s="1"/>
  <c r="P635" i="4"/>
  <c r="T635" i="4" s="1"/>
  <c r="P636" i="4"/>
  <c r="T636" i="4" s="1"/>
  <c r="P637" i="4"/>
  <c r="T637" i="4" s="1"/>
  <c r="P638" i="4"/>
  <c r="T638" i="4" s="1"/>
  <c r="P639" i="4"/>
  <c r="T639" i="4" s="1"/>
  <c r="P640" i="4"/>
  <c r="T640" i="4" s="1"/>
  <c r="P641" i="4"/>
  <c r="T641" i="4" s="1"/>
  <c r="P642" i="4"/>
  <c r="T642" i="4" s="1"/>
  <c r="P643" i="4"/>
  <c r="T643" i="4" s="1"/>
  <c r="P644" i="4"/>
  <c r="T644" i="4" s="1"/>
  <c r="P645" i="4"/>
  <c r="T645" i="4" s="1"/>
  <c r="P646" i="4"/>
  <c r="T646" i="4" s="1"/>
  <c r="P647" i="4"/>
  <c r="T647" i="4" s="1"/>
  <c r="P648" i="4"/>
  <c r="T648" i="4" s="1"/>
  <c r="P649" i="4"/>
  <c r="T649" i="4" s="1"/>
  <c r="P650" i="4"/>
  <c r="T650" i="4" s="1"/>
  <c r="P651" i="4"/>
  <c r="T651" i="4" s="1"/>
  <c r="P652" i="4"/>
  <c r="T652" i="4" s="1"/>
  <c r="P653" i="4"/>
  <c r="T653" i="4" s="1"/>
  <c r="P654" i="4"/>
  <c r="T654" i="4" s="1"/>
  <c r="P655" i="4"/>
  <c r="T655" i="4" s="1"/>
  <c r="P656" i="4"/>
  <c r="T656" i="4" s="1"/>
  <c r="P657" i="4"/>
  <c r="T657" i="4" s="1"/>
  <c r="P658" i="4"/>
  <c r="T658" i="4" s="1"/>
  <c r="P659" i="4"/>
  <c r="T659" i="4" s="1"/>
  <c r="P660" i="4"/>
  <c r="T660" i="4" s="1"/>
  <c r="P661" i="4"/>
  <c r="T661" i="4" s="1"/>
  <c r="P662" i="4"/>
  <c r="T662" i="4" s="1"/>
  <c r="P663" i="4"/>
  <c r="T663" i="4" s="1"/>
  <c r="P664" i="4"/>
  <c r="T664" i="4" s="1"/>
  <c r="P665" i="4"/>
  <c r="T665" i="4" s="1"/>
  <c r="P666" i="4"/>
  <c r="T666" i="4" s="1"/>
  <c r="P667" i="4"/>
  <c r="T667" i="4" s="1"/>
  <c r="P668" i="4"/>
  <c r="T668" i="4" s="1"/>
  <c r="P669" i="4"/>
  <c r="T669" i="4" s="1"/>
  <c r="P670" i="4"/>
  <c r="T670" i="4" s="1"/>
  <c r="P671" i="4"/>
  <c r="T671" i="4" s="1"/>
  <c r="P672" i="4"/>
  <c r="T672" i="4" s="1"/>
  <c r="P673" i="4"/>
  <c r="T673" i="4" s="1"/>
  <c r="P674" i="4"/>
  <c r="T674" i="4" s="1"/>
  <c r="P675" i="4"/>
  <c r="T675" i="4" s="1"/>
  <c r="P676" i="4"/>
  <c r="T676" i="4" s="1"/>
  <c r="P677" i="4"/>
  <c r="T677" i="4" s="1"/>
  <c r="P678" i="4"/>
  <c r="T678" i="4" s="1"/>
  <c r="P679" i="4"/>
  <c r="T679" i="4" s="1"/>
  <c r="P680" i="4"/>
  <c r="T680" i="4" s="1"/>
  <c r="P681" i="4"/>
  <c r="T681" i="4" s="1"/>
  <c r="P682" i="4"/>
  <c r="T682" i="4" s="1"/>
  <c r="P683" i="4"/>
  <c r="T683" i="4" s="1"/>
  <c r="P684" i="4"/>
  <c r="T684" i="4" s="1"/>
  <c r="P685" i="4"/>
  <c r="T685" i="4" s="1"/>
  <c r="P686" i="4"/>
  <c r="T686" i="4" s="1"/>
  <c r="P687" i="4"/>
  <c r="T687" i="4" s="1"/>
  <c r="P688" i="4"/>
  <c r="T688" i="4" s="1"/>
  <c r="P689" i="4"/>
  <c r="T689" i="4" s="1"/>
  <c r="P690" i="4"/>
  <c r="T690" i="4" s="1"/>
  <c r="P691" i="4"/>
  <c r="T691" i="4" s="1"/>
  <c r="P692" i="4"/>
  <c r="T692" i="4" s="1"/>
  <c r="P693" i="4"/>
  <c r="T693" i="4" s="1"/>
  <c r="P694" i="4"/>
  <c r="T694" i="4" s="1"/>
  <c r="P695" i="4"/>
  <c r="T695" i="4" s="1"/>
  <c r="P696" i="4"/>
  <c r="T696" i="4" s="1"/>
  <c r="P697" i="4"/>
  <c r="T697" i="4" s="1"/>
  <c r="P698" i="4"/>
  <c r="T698" i="4" s="1"/>
  <c r="P699" i="4"/>
  <c r="T699" i="4" s="1"/>
  <c r="P700" i="4"/>
  <c r="T700" i="4" s="1"/>
  <c r="P701" i="4"/>
  <c r="T701" i="4" s="1"/>
  <c r="P702" i="4"/>
  <c r="T702" i="4" s="1"/>
  <c r="P703" i="4"/>
  <c r="T703" i="4" s="1"/>
  <c r="P704" i="4"/>
  <c r="T704" i="4" s="1"/>
  <c r="P705" i="4"/>
  <c r="T705" i="4" s="1"/>
  <c r="P706" i="4"/>
  <c r="T706" i="4" s="1"/>
  <c r="P707" i="4"/>
  <c r="T707" i="4" s="1"/>
  <c r="P708" i="4"/>
  <c r="T708" i="4" s="1"/>
  <c r="P709" i="4"/>
  <c r="T709" i="4" s="1"/>
  <c r="P710" i="4"/>
  <c r="T710" i="4" s="1"/>
  <c r="P711" i="4"/>
  <c r="T711" i="4" s="1"/>
  <c r="P712" i="4"/>
  <c r="T712" i="4" s="1"/>
  <c r="P713" i="4"/>
  <c r="T713" i="4" s="1"/>
  <c r="P714" i="4"/>
  <c r="T714" i="4" s="1"/>
  <c r="P715" i="4"/>
  <c r="T715" i="4" s="1"/>
  <c r="P716" i="4"/>
  <c r="T716" i="4" s="1"/>
  <c r="P717" i="4"/>
  <c r="T717" i="4" s="1"/>
  <c r="P718" i="4"/>
  <c r="T718" i="4" s="1"/>
  <c r="P719" i="4"/>
  <c r="T719" i="4" s="1"/>
  <c r="P720" i="4"/>
  <c r="T720" i="4" s="1"/>
  <c r="P721" i="4"/>
  <c r="T721" i="4" s="1"/>
  <c r="P722" i="4"/>
  <c r="T722" i="4" s="1"/>
  <c r="P723" i="4"/>
  <c r="T723" i="4" s="1"/>
  <c r="P724" i="4"/>
  <c r="T724" i="4" s="1"/>
  <c r="P725" i="4"/>
  <c r="T725" i="4" s="1"/>
  <c r="P726" i="4"/>
  <c r="T726" i="4" s="1"/>
  <c r="P727" i="4"/>
  <c r="T727" i="4" s="1"/>
  <c r="P728" i="4"/>
  <c r="T728" i="4" s="1"/>
  <c r="P729" i="4"/>
  <c r="T729" i="4" s="1"/>
  <c r="P730" i="4"/>
  <c r="T730" i="4" s="1"/>
  <c r="P731" i="4"/>
  <c r="T731" i="4" s="1"/>
  <c r="P732" i="4"/>
  <c r="T732" i="4" s="1"/>
  <c r="P733" i="4"/>
  <c r="T733" i="4" s="1"/>
  <c r="P734" i="4"/>
  <c r="T734" i="4" s="1"/>
  <c r="P735" i="4"/>
  <c r="T735" i="4" s="1"/>
  <c r="P736" i="4"/>
  <c r="T736" i="4" s="1"/>
  <c r="P737" i="4"/>
  <c r="T737" i="4" s="1"/>
  <c r="P738" i="4"/>
  <c r="T738" i="4" s="1"/>
  <c r="P739" i="4"/>
  <c r="T739" i="4" s="1"/>
  <c r="P740" i="4"/>
  <c r="T740" i="4" s="1"/>
  <c r="P741" i="4"/>
  <c r="T741" i="4" s="1"/>
  <c r="P742" i="4"/>
  <c r="T742" i="4" s="1"/>
  <c r="P743" i="4"/>
  <c r="T743" i="4" s="1"/>
  <c r="P744" i="4"/>
  <c r="T744" i="4" s="1"/>
  <c r="P745" i="4"/>
  <c r="T745" i="4" s="1"/>
  <c r="P746" i="4"/>
  <c r="T746" i="4" s="1"/>
  <c r="P747" i="4"/>
  <c r="T747" i="4" s="1"/>
  <c r="P748" i="4"/>
  <c r="T748" i="4" s="1"/>
  <c r="P749" i="4"/>
  <c r="T749" i="4" s="1"/>
  <c r="P750" i="4"/>
  <c r="T750" i="4" s="1"/>
  <c r="P1469" i="4"/>
  <c r="P1830" i="4"/>
  <c r="T1830" i="4" s="1"/>
  <c r="P1883" i="4"/>
  <c r="P1884" i="4"/>
  <c r="T1884" i="4" s="1"/>
  <c r="P1885" i="4"/>
  <c r="T1885" i="4" s="1"/>
  <c r="P1886" i="4"/>
  <c r="T1886" i="4" s="1"/>
  <c r="P1887" i="4"/>
  <c r="T1887" i="4" s="1"/>
  <c r="P1888" i="4"/>
  <c r="T1888" i="4" s="1"/>
  <c r="P1889" i="4"/>
  <c r="T1889" i="4" s="1"/>
  <c r="P1890" i="4"/>
  <c r="T1890" i="4" s="1"/>
  <c r="P1891" i="4"/>
  <c r="T1891" i="4" s="1"/>
  <c r="P1892" i="4"/>
  <c r="T1892" i="4" s="1"/>
  <c r="P1893" i="4"/>
  <c r="T1893" i="4" s="1"/>
  <c r="P1894" i="4"/>
  <c r="T1894" i="4" s="1"/>
  <c r="P1895" i="4"/>
  <c r="T1895" i="4" s="1"/>
  <c r="P1896" i="4"/>
  <c r="T1896" i="4" s="1"/>
  <c r="P1897" i="4"/>
  <c r="T1897" i="4" s="1"/>
  <c r="P1898" i="4"/>
  <c r="T1898" i="4" s="1"/>
  <c r="P1899" i="4"/>
  <c r="T1899" i="4" s="1"/>
  <c r="P1900" i="4"/>
  <c r="T1900" i="4" s="1"/>
  <c r="P1901" i="4"/>
  <c r="T1901" i="4" s="1"/>
  <c r="P1902" i="4"/>
  <c r="T1902" i="4" s="1"/>
  <c r="P1903" i="4"/>
  <c r="T1903" i="4" s="1"/>
  <c r="P1904" i="4"/>
  <c r="T1904" i="4" s="1"/>
  <c r="P1905" i="4"/>
  <c r="T1905" i="4" s="1"/>
  <c r="P1906" i="4"/>
  <c r="T1906" i="4" s="1"/>
  <c r="P1907" i="4"/>
  <c r="T1907" i="4" s="1"/>
  <c r="P1908" i="4"/>
  <c r="T1908" i="4" s="1"/>
  <c r="P1909" i="4"/>
  <c r="T1909" i="4" s="1"/>
  <c r="P1910" i="4"/>
  <c r="T1910" i="4" s="1"/>
  <c r="P1911" i="4"/>
  <c r="T1911" i="4" s="1"/>
  <c r="P1912" i="4"/>
  <c r="T1912" i="4" s="1"/>
  <c r="P1913" i="4"/>
  <c r="T1913" i="4" s="1"/>
  <c r="P1914" i="4"/>
  <c r="T1914" i="4" s="1"/>
  <c r="P1915" i="4"/>
  <c r="T1915" i="4" s="1"/>
  <c r="P1916" i="4"/>
  <c r="T1916" i="4" s="1"/>
  <c r="P1917" i="4"/>
  <c r="T1917" i="4" s="1"/>
  <c r="P1918" i="4"/>
  <c r="T1918" i="4" s="1"/>
  <c r="P1919" i="4"/>
  <c r="T1919" i="4" s="1"/>
  <c r="P1920" i="4"/>
  <c r="T1920" i="4" s="1"/>
  <c r="P1921" i="4"/>
  <c r="T1921" i="4" s="1"/>
  <c r="P1922" i="4"/>
  <c r="T1922" i="4" s="1"/>
  <c r="P1923" i="4"/>
  <c r="T1923" i="4" s="1"/>
  <c r="P1924" i="4"/>
  <c r="T1924" i="4" s="1"/>
  <c r="P1925" i="4"/>
  <c r="T1925" i="4" s="1"/>
  <c r="P1926" i="4"/>
  <c r="T1926" i="4" s="1"/>
  <c r="P1927" i="4"/>
  <c r="T1927" i="4" s="1"/>
  <c r="P1928" i="4"/>
  <c r="T1928" i="4" s="1"/>
  <c r="P1929" i="4"/>
  <c r="T1929" i="4" s="1"/>
  <c r="P1930" i="4"/>
  <c r="T1930" i="4" s="1"/>
  <c r="P1931" i="4"/>
  <c r="T1931" i="4" s="1"/>
  <c r="P1932" i="4"/>
  <c r="T1932" i="4" s="1"/>
  <c r="P1933" i="4"/>
  <c r="T1933" i="4" s="1"/>
  <c r="P1934" i="4"/>
  <c r="T1934" i="4" s="1"/>
  <c r="P1935" i="4"/>
  <c r="T1935" i="4" s="1"/>
  <c r="P1936" i="4"/>
  <c r="T1936" i="4" s="1"/>
  <c r="P1937" i="4"/>
  <c r="T1937" i="4" s="1"/>
  <c r="P1938" i="4"/>
  <c r="T1938" i="4" s="1"/>
  <c r="P1939" i="4"/>
  <c r="T1939" i="4" s="1"/>
  <c r="P1940" i="4"/>
  <c r="T1940" i="4" s="1"/>
  <c r="P1941" i="4"/>
  <c r="T1941" i="4" s="1"/>
  <c r="P1942" i="4"/>
  <c r="T1942" i="4" s="1"/>
  <c r="P1943" i="4"/>
  <c r="T1943" i="4" s="1"/>
  <c r="P1944" i="4"/>
  <c r="T1944" i="4" s="1"/>
  <c r="P1945" i="4"/>
  <c r="T1945" i="4" s="1"/>
  <c r="P1946" i="4"/>
  <c r="T1946" i="4" s="1"/>
  <c r="P1947" i="4"/>
  <c r="T1947" i="4" s="1"/>
  <c r="P1948" i="4"/>
  <c r="T1948" i="4" s="1"/>
  <c r="P1949" i="4"/>
  <c r="T1949" i="4" s="1"/>
  <c r="P1950" i="4"/>
  <c r="T1950" i="4" s="1"/>
  <c r="P1951" i="4"/>
  <c r="T1951" i="4" s="1"/>
  <c r="P1952" i="4"/>
  <c r="T1952" i="4" s="1"/>
  <c r="P1953" i="4"/>
  <c r="T1953" i="4" s="1"/>
  <c r="P1954" i="4"/>
  <c r="T1954" i="4" s="1"/>
  <c r="P1955" i="4"/>
  <c r="T1955" i="4" s="1"/>
  <c r="P1956" i="4"/>
  <c r="T1956" i="4" s="1"/>
  <c r="P2000" i="4"/>
  <c r="H8" i="4"/>
  <c r="H6" i="4"/>
  <c r="H9" i="4" s="1"/>
  <c r="T1025" i="4"/>
  <c r="T1469" i="4"/>
  <c r="T1882" i="4"/>
  <c r="T1883" i="4"/>
  <c r="T2000" i="4"/>
  <c r="T1978" i="4"/>
  <c r="T2039" i="4"/>
  <c r="T2081" i="4" l="1"/>
  <c r="H7" i="4"/>
  <c r="H10" i="4" s="1"/>
</calcChain>
</file>

<file path=xl/sharedStrings.xml><?xml version="1.0" encoding="utf-8"?>
<sst xmlns="http://schemas.openxmlformats.org/spreadsheetml/2006/main" count="18124" uniqueCount="4710">
  <si>
    <t>Req ID</t>
  </si>
  <si>
    <t>Description</t>
  </si>
  <si>
    <t>Priority</t>
  </si>
  <si>
    <t>Doc Sect</t>
  </si>
  <si>
    <t>TD Version:</t>
  </si>
  <si>
    <t>TD Date:</t>
  </si>
  <si>
    <t>Normative / Informative</t>
  </si>
  <si>
    <t>Requirements Specification GuideLines</t>
  </si>
  <si>
    <t>All the normative statements MUST, MUST NOT, SHOULD, SHOULD NOT, MAY, MAY NOT for the above sections should be part of the requirements.</t>
  </si>
  <si>
    <r>
      <t>Section 1 [Introduction]:</t>
    </r>
    <r>
      <rPr>
        <sz val="10"/>
        <color indexed="8"/>
        <rFont val="Arial"/>
        <family val="2"/>
      </rPr>
      <t xml:space="preserve"> This section gives the generic overview of the protocol, </t>
    </r>
  </si>
  <si>
    <t>Normative/Informative references, dependency on other protocols, Versioning, Prerequisites etc.,</t>
  </si>
  <si>
    <r>
      <t>Section 2 [Messages]:</t>
    </r>
    <r>
      <rPr>
        <sz val="10"/>
        <color indexed="8"/>
        <rFont val="Arial"/>
        <family val="2"/>
      </rPr>
      <t xml:space="preserve"> This section comprehensively covers Transport mechanisms, message syntax,  file formats, Common Data Types and their ranges, Data Structures,Status Codes, Error Codes. </t>
    </r>
  </si>
  <si>
    <r>
      <t>Section 3 [Protocol Details]:</t>
    </r>
    <r>
      <rPr>
        <sz val="10"/>
        <color indexed="8"/>
        <rFont val="Arial"/>
        <family val="2"/>
      </rPr>
      <t xml:space="preserve"> This section details out Client and Server behavior, Abstract Data models, Initialization rules, Message processing and Sequencing rules, Timer/Local events. </t>
    </r>
  </si>
  <si>
    <r>
      <t>Section 4[Protocol Examples]:</t>
    </r>
    <r>
      <rPr>
        <sz val="10"/>
        <color indexed="8"/>
        <rFont val="Arial"/>
        <family val="2"/>
      </rPr>
      <t xml:space="preserve"> This section gives protocol deployment scenarios, behavior of specific Clients and their operational scenarios.</t>
    </r>
  </si>
  <si>
    <r>
      <t>Section 5[Security]:</t>
    </r>
    <r>
      <rPr>
        <sz val="10"/>
        <color indexed="8"/>
        <rFont val="Arial"/>
        <family val="2"/>
      </rPr>
      <t xml:space="preserve"> This section describes Security Consideration and Security parameters for Implementing the Protocol.</t>
    </r>
  </si>
  <si>
    <r>
      <t>Section 6 &amp; Section 7[Appendix]:</t>
    </r>
    <r>
      <rPr>
        <sz val="10"/>
        <color indexed="8"/>
        <rFont val="Arial"/>
        <family val="2"/>
      </rPr>
      <t xml:space="preserve"> These sections describes Windows specific behaviour, IDL files.</t>
    </r>
  </si>
  <si>
    <r>
      <t>1.</t>
    </r>
    <r>
      <rPr>
        <sz val="7"/>
        <color indexed="8"/>
        <rFont val="Times New Roman"/>
        <family val="1"/>
      </rPr>
      <t xml:space="preserve">       </t>
    </r>
    <r>
      <rPr>
        <sz val="11"/>
        <color theme="1"/>
        <rFont val="Calibri"/>
        <family val="2"/>
        <scheme val="minor"/>
      </rPr>
      <t>List both Normative, and Informative requirements in the Test Requirements Spec, and mark them appropriately</t>
    </r>
  </si>
  <si>
    <r>
      <rPr>
        <b/>
        <sz val="11"/>
        <color indexed="8"/>
        <rFont val="Calibri"/>
        <family val="2"/>
      </rPr>
      <t>P1</t>
    </r>
    <r>
      <rPr>
        <sz val="11"/>
        <color theme="1"/>
        <rFont val="Calibri"/>
        <family val="2"/>
        <scheme val="minor"/>
      </rPr>
      <t xml:space="preserve">: Basic concepts of protocol, such as scenario abstract from all state machine chart, sequence chart, protocol examples, typically mapping to SHOULD's and SHOULD NOT's.        </t>
    </r>
  </si>
  <si>
    <r>
      <rPr>
        <b/>
        <sz val="11"/>
        <color indexed="8"/>
        <rFont val="Calibri"/>
        <family val="2"/>
      </rPr>
      <t>P2</t>
    </r>
    <r>
      <rPr>
        <sz val="11"/>
        <color theme="1"/>
        <rFont val="Calibri"/>
        <family val="2"/>
        <scheme val="minor"/>
      </rPr>
      <t>: Miscellaneous concepts of protocol, typically mapping to MAY's and MAY NOT's.</t>
    </r>
  </si>
  <si>
    <t>Scenario</t>
  </si>
  <si>
    <t xml:space="preserve">Enumerate the scenarios that cover this requirement. There could be multiple scenarios covering the same requirement. </t>
  </si>
  <si>
    <t>Behavior</t>
  </si>
  <si>
    <t>Both</t>
  </si>
  <si>
    <t>RS Version:</t>
  </si>
  <si>
    <t>RS Date:</t>
  </si>
  <si>
    <t>Verification</t>
  </si>
  <si>
    <t>Verification Comment</t>
  </si>
  <si>
    <t>Requirement ID. Use a prefix to indicate the document name, plus a correlative number. A single RS can contain requirements from more than one protocol.</t>
  </si>
  <si>
    <t>Section in the protocol technical document where this requirement was found (such as 3.2.3.1).</t>
  </si>
  <si>
    <t>Detailed description of the requirement extracted from the protocol technical document.</t>
  </si>
  <si>
    <t>Server</t>
  </si>
  <si>
    <t>Client</t>
  </si>
  <si>
    <t xml:space="preserve">Column “Behavior” </t>
  </si>
  <si>
    <t xml:space="preserve">Column “Verification” </t>
  </si>
  <si>
    <t>Column “Verification Comments”</t>
  </si>
  <si>
    <t>Row “Scenario Type” in Requirement Traceability Matrix.</t>
  </si>
  <si>
    <t xml:space="preserve">Column “Priority” </t>
  </si>
  <si>
    <r>
      <t xml:space="preserve">The same requirement can be covered in more than one scenario, and that scenarios are the artifacts that can be produced by one or the other approach. A row in the traceability matrix is used to classify scenarios as </t>
    </r>
    <r>
      <rPr>
        <b/>
        <sz val="11"/>
        <color indexed="8"/>
        <rFont val="Calibri"/>
        <family val="2"/>
      </rPr>
      <t>Manual</t>
    </r>
    <r>
      <rPr>
        <sz val="11"/>
        <color theme="1"/>
        <rFont val="Calibri"/>
        <family val="2"/>
        <scheme val="minor"/>
      </rPr>
      <t>,</t>
    </r>
    <r>
      <rPr>
        <b/>
        <sz val="11"/>
        <color indexed="8"/>
        <rFont val="Calibri"/>
        <family val="2"/>
      </rPr>
      <t xml:space="preserve"> Tradional</t>
    </r>
    <r>
      <rPr>
        <sz val="11"/>
        <color theme="1"/>
        <rFont val="Calibri"/>
        <family val="2"/>
        <scheme val="minor"/>
      </rPr>
      <t xml:space="preserve">, or </t>
    </r>
    <r>
      <rPr>
        <b/>
        <sz val="11"/>
        <color indexed="8"/>
        <rFont val="Calibri"/>
        <family val="2"/>
      </rPr>
      <t>Model-based</t>
    </r>
    <r>
      <rPr>
        <sz val="11"/>
        <color theme="1"/>
        <rFont val="Calibri"/>
        <family val="2"/>
        <scheme val="minor"/>
      </rPr>
      <t>.</t>
    </r>
  </si>
  <si>
    <t>Role</t>
  </si>
  <si>
    <t>Scope</t>
  </si>
  <si>
    <t>In</t>
  </si>
  <si>
    <t>The requirement describes behavior performed by the responder.</t>
  </si>
  <si>
    <t>The requirement describes behavior performed by the initiator of the exchange.</t>
  </si>
  <si>
    <t>The requirement describes behavior performed both by the client and by the server.</t>
  </si>
  <si>
    <t>Which role a requirement applies to.  (Table below must be filled in with Role names, in or out of scope, and description of role</t>
  </si>
  <si>
    <t xml:space="preserve">Column “Scope” </t>
  </si>
  <si>
    <r>
      <t xml:space="preserve">Valid values for this column are defined starting in Row 14.  </t>
    </r>
    <r>
      <rPr>
        <b/>
        <sz val="11"/>
        <color indexed="8"/>
        <rFont val="Calibri"/>
        <family val="2"/>
      </rPr>
      <t/>
    </r>
  </si>
  <si>
    <r>
      <t>1.</t>
    </r>
    <r>
      <rPr>
        <sz val="7"/>
        <color indexed="8"/>
        <rFont val="Times New Roman"/>
        <family val="1"/>
      </rPr>
      <t xml:space="preserve">       </t>
    </r>
    <r>
      <rPr>
        <b/>
        <sz val="11"/>
        <color indexed="8"/>
        <rFont val="Calibri"/>
        <family val="2"/>
      </rPr>
      <t xml:space="preserve">Rationale: </t>
    </r>
    <r>
      <rPr>
        <sz val="11"/>
        <color theme="1"/>
        <rFont val="Calibri"/>
        <family val="2"/>
        <scheme val="minor"/>
      </rPr>
      <t>Listing informative helps in analyzing TD 
and potentially detecting requirements that should have been Normative.</t>
    </r>
  </si>
  <si>
    <t>Pos</t>
  </si>
  <si>
    <t>Neg</t>
  </si>
  <si>
    <t>Derived</t>
  </si>
  <si>
    <t>Column "Informative/Normative"</t>
  </si>
  <si>
    <t>Column "Scenario"</t>
  </si>
  <si>
    <t>The derived effect requirement is normally listed immediately after the cause requirement.</t>
  </si>
  <si>
    <t>Req: client sends X    Effect:  R#: server responds Y     Pos column for Req would be R#</t>
  </si>
  <si>
    <t>Req: client sends X         Effect: R#: Not receiving X responds Z             Neg column for Req would be R#</t>
  </si>
  <si>
    <t>Column "Req ID"</t>
  </si>
  <si>
    <t>Initially this is autonumbered.  When first submitted for review (as preliminary RS), the values should all be copied and then pasted as "values" to remove the autonumbering and keep the numbers fixed.</t>
  </si>
  <si>
    <t>Format is TD short name (MS-xxxx), underscore (_), number.</t>
  </si>
  <si>
    <t>Column "Doc Sect"</t>
  </si>
  <si>
    <t xml:space="preserve">The document section realtive to the TD Version and Date specified in rows 2 &amp; 3 for which this requirement comes from.   </t>
  </si>
  <si>
    <t>All non-derived (and non Product) requirements should be sorted in "Doc Sect" order.</t>
  </si>
  <si>
    <t>Column "Description"</t>
  </si>
  <si>
    <t>Text from the Technical Document (TD) that appears to make a testable assertion (although some assertions are not testable).</t>
  </si>
  <si>
    <t>Requirements derived from Product behavior appendix or more general effects will not exactly match TD text.</t>
  </si>
  <si>
    <t>Extensions to the TD text to provide more context than the specific statement are enclosed in square brackets [context]</t>
  </si>
  <si>
    <t>Comma separated list of scenarios on the "ScenarioReq Traceability Matrix" sheet.     
Don't have to list all scenarioes, but prefer at least 1, and typically 2 or 3.
Not required for Preliminary RS in Strategy phase.</t>
  </si>
  <si>
    <t>Numbers must be unique, but need not be sequential.   Derived effect requirements typically start there own numbering sequence, e.g. from 1000</t>
  </si>
  <si>
    <r>
      <rPr>
        <b/>
        <sz val="11"/>
        <color indexed="8"/>
        <rFont val="Calibri"/>
        <family val="2"/>
      </rPr>
      <t>Protocol</t>
    </r>
    <r>
      <rPr>
        <sz val="11"/>
        <color theme="1"/>
        <rFont val="Calibri"/>
        <family val="2"/>
        <scheme val="minor"/>
      </rPr>
      <t xml:space="preserve">: The requirement affects all implementations of the protocol.
</t>
    </r>
    <r>
      <rPr>
        <b/>
        <sz val="11"/>
        <color indexed="8"/>
        <rFont val="Calibri"/>
        <family val="2"/>
      </rPr>
      <t>Product</t>
    </r>
    <r>
      <rPr>
        <sz val="11"/>
        <color theme="1"/>
        <rFont val="Calibri"/>
        <family val="2"/>
        <scheme val="minor"/>
      </rPr>
      <t>: The requirement is for Microsoft product (Windows, Office, etc.) implementations only.</t>
    </r>
  </si>
  <si>
    <r>
      <rPr>
        <b/>
        <sz val="11"/>
        <color indexed="8"/>
        <rFont val="Calibri"/>
        <family val="2"/>
      </rPr>
      <t>Normative</t>
    </r>
    <r>
      <rPr>
        <sz val="11"/>
        <color theme="1"/>
        <rFont val="Calibri"/>
        <family val="2"/>
        <scheme val="minor"/>
      </rPr>
      <t xml:space="preserve"> statement are required for interoperability</t>
    </r>
  </si>
  <si>
    <r>
      <rPr>
        <b/>
        <sz val="11"/>
        <color indexed="8"/>
        <rFont val="Calibri"/>
        <family val="2"/>
      </rPr>
      <t>Informative</t>
    </r>
    <r>
      <rPr>
        <sz val="11"/>
        <color theme="1"/>
        <rFont val="Calibri"/>
        <family val="2"/>
        <scheme val="minor"/>
      </rPr>
      <t xml:space="preserve"> statements are clarifying information or redundant (high level) statements.   Removal would not affect interoperability</t>
    </r>
  </si>
  <si>
    <t xml:space="preserve">These requirements cover the language statements in the Technical Document. </t>
  </si>
  <si>
    <t>Technical Document Requirement Spec (RS)</t>
  </si>
  <si>
    <t xml:space="preserve">Default: Product for section 6, Protocol for all other sections 
(can be manually changed). </t>
  </si>
  <si>
    <r>
      <rPr>
        <b/>
        <sz val="11"/>
        <color indexed="8"/>
        <rFont val="Calibri"/>
        <family val="2"/>
      </rPr>
      <t>P0</t>
    </r>
    <r>
      <rPr>
        <sz val="11"/>
        <color theme="1"/>
        <rFont val="Calibri"/>
        <family val="2"/>
        <scheme val="minor"/>
      </rPr>
      <t xml:space="preserve">: Key concepts (e.g. MUST's)  </t>
    </r>
    <r>
      <rPr>
        <b/>
        <sz val="11"/>
        <color indexed="8"/>
        <rFont val="Calibri"/>
        <family val="2"/>
      </rPr>
      <t>P1</t>
    </r>
    <r>
      <rPr>
        <sz val="11"/>
        <color theme="1"/>
        <rFont val="Calibri"/>
        <family val="2"/>
        <scheme val="minor"/>
      </rPr>
      <t xml:space="preserve">: Basic concepts (e.g. to SHOULD's)  </t>
    </r>
    <r>
      <rPr>
        <b/>
        <sz val="11"/>
        <color indexed="8"/>
        <rFont val="Calibri"/>
        <family val="2"/>
      </rPr>
      <t>P2</t>
    </r>
    <r>
      <rPr>
        <sz val="11"/>
        <color theme="1"/>
        <rFont val="Calibri"/>
        <family val="2"/>
        <scheme val="minor"/>
      </rPr>
      <t>:Miscellaneous concepts (e.g. MAY's)    [For Normative, InScope requirements]</t>
    </r>
  </si>
  <si>
    <t>Use this column to explain the reason why the requirement is non-testable or unverified (for Normative, InScope requirements).</t>
  </si>
  <si>
    <r>
      <rPr>
        <b/>
        <sz val="11"/>
        <color indexed="8"/>
        <rFont val="Calibri"/>
        <family val="2"/>
      </rPr>
      <t xml:space="preserve">Column "Pos" </t>
    </r>
    <r>
      <rPr>
        <sz val="11"/>
        <color indexed="8"/>
        <rFont val="Calibri"/>
        <family val="2"/>
      </rPr>
      <t xml:space="preserve"> </t>
    </r>
  </si>
  <si>
    <r>
      <rPr>
        <b/>
        <sz val="11"/>
        <color indexed="8"/>
        <rFont val="Calibri"/>
        <family val="2"/>
      </rPr>
      <t>Column "Neg"</t>
    </r>
    <r>
      <rPr>
        <sz val="11"/>
        <color indexed="8"/>
        <rFont val="Calibri"/>
        <family val="2"/>
      </rPr>
      <t xml:space="preserve">  </t>
    </r>
  </si>
  <si>
    <t xml:space="preserve">Column "Derived"   </t>
  </si>
  <si>
    <t>Pos: Requirement describing affect of this cause.</t>
  </si>
  <si>
    <r>
      <rPr>
        <b/>
        <sz val="11"/>
        <color indexed="8"/>
        <rFont val="Calibri"/>
        <family val="2"/>
      </rPr>
      <t>Normative:</t>
    </r>
    <r>
      <rPr>
        <sz val="11"/>
        <color theme="1"/>
        <rFont val="Calibri"/>
        <family val="2"/>
        <scheme val="minor"/>
      </rPr>
      <t xml:space="preserve"> must be understood in order to implement interoperable software.  
</t>
    </r>
    <r>
      <rPr>
        <b/>
        <sz val="11"/>
        <color indexed="8"/>
        <rFont val="Calibri"/>
        <family val="2"/>
      </rPr>
      <t>Informative:</t>
    </r>
    <r>
      <rPr>
        <sz val="11"/>
        <color theme="1"/>
        <rFont val="Calibri"/>
        <family val="2"/>
        <scheme val="minor"/>
      </rPr>
      <t xml:space="preserve"> Akin to comments in code.</t>
    </r>
  </si>
  <si>
    <t>Neg: Requirement describing affect of this cause not occurring.</t>
  </si>
  <si>
    <t>Requirement(s) this specific requirement is derived as a more specific case from.</t>
  </si>
  <si>
    <t xml:space="preserve">Comma separated list of R#, R#, . . . </t>
  </si>
  <si>
    <t>Column Title</t>
  </si>
  <si>
    <t>Pos &amp; Neg</t>
  </si>
  <si>
    <r>
      <rPr>
        <b/>
        <sz val="11"/>
        <color indexed="8"/>
        <rFont val="Calibri"/>
        <family val="2"/>
      </rPr>
      <t>P0</t>
    </r>
    <r>
      <rPr>
        <sz val="11"/>
        <color theme="1"/>
        <rFont val="Calibri"/>
        <family val="2"/>
        <scheme val="minor"/>
      </rPr>
      <t xml:space="preserve">: Key concepts of protocol, typically mapping to the MUST's and MUST NOT's in the protocol doc.                                                                                                                                                                                           </t>
    </r>
  </si>
  <si>
    <r>
      <rPr>
        <b/>
        <sz val="11"/>
        <color indexed="8"/>
        <rFont val="Arial"/>
        <family val="2"/>
      </rPr>
      <t>First:</t>
    </r>
    <r>
      <rPr>
        <sz val="11"/>
        <color indexed="8"/>
        <rFont val="Arial"/>
        <family val="2"/>
      </rPr>
      <t xml:space="preserve">  Fill in all yellow areas at the top of Requirements work sheet with the </t>
    </r>
    <r>
      <rPr>
        <b/>
        <sz val="11"/>
        <color indexed="8"/>
        <rFont val="Arial"/>
        <family val="2"/>
      </rPr>
      <t>your</t>
    </r>
    <r>
      <rPr>
        <sz val="11"/>
        <color indexed="8"/>
        <rFont val="Arial"/>
        <family val="2"/>
      </rPr>
      <t xml:space="preserve"> TD info and RS date.</t>
    </r>
  </si>
  <si>
    <t>Informative
/Normative</t>
  </si>
  <si>
    <r>
      <t xml:space="preserve">Is used to explain why a requirement had been marked as non-verifiable and also to explain why it was not being tested. This column must be used for requirements marked (in the “Verification” column) as </t>
    </r>
    <r>
      <rPr>
        <b/>
        <sz val="11"/>
        <color indexed="8"/>
        <rFont val="Calibri"/>
        <family val="2"/>
      </rPr>
      <t>non-testable</t>
    </r>
    <r>
      <rPr>
        <sz val="11"/>
        <color theme="1"/>
        <rFont val="Calibri"/>
        <family val="2"/>
        <scheme val="minor"/>
      </rPr>
      <t xml:space="preserve"> to explain why TSDs consider there is no possible way to verify them. And for those marked as </t>
    </r>
    <r>
      <rPr>
        <b/>
        <sz val="11"/>
        <color indexed="8"/>
        <rFont val="Calibri"/>
        <family val="2"/>
      </rPr>
      <t>Unverified</t>
    </r>
    <r>
      <rPr>
        <sz val="11"/>
        <color theme="1"/>
        <rFont val="Calibri"/>
        <family val="2"/>
        <scheme val="minor"/>
      </rPr>
      <t xml:space="preserve"> to explain why they have made this decision.
Not required for Strategy RS.</t>
    </r>
  </si>
  <si>
    <r>
      <rPr>
        <b/>
        <sz val="11"/>
        <color indexed="8"/>
        <rFont val="Arial"/>
        <family val="2"/>
      </rPr>
      <t>2nd:</t>
    </r>
    <r>
      <rPr>
        <sz val="11"/>
        <color indexed="8"/>
        <rFont val="Arial"/>
        <family val="2"/>
      </rPr>
      <t xml:space="preserve"> Fill in the In/Out </t>
    </r>
    <r>
      <rPr>
        <b/>
        <sz val="11"/>
        <color indexed="8"/>
        <rFont val="Arial"/>
        <family val="2"/>
      </rPr>
      <t>Scope roles</t>
    </r>
    <r>
      <rPr>
        <sz val="11"/>
        <color indexed="8"/>
        <rFont val="Arial"/>
        <family val="2"/>
      </rPr>
      <t xml:space="preserve"> (endpoints) for your TD.</t>
    </r>
  </si>
  <si>
    <r>
      <t>2.</t>
    </r>
    <r>
      <rPr>
        <sz val="7"/>
        <color indexed="8"/>
        <rFont val="Times New Roman"/>
        <family val="1"/>
      </rPr>
      <t xml:space="preserve">       </t>
    </r>
    <r>
      <rPr>
        <sz val="11"/>
        <color theme="1"/>
        <rFont val="Calibri"/>
        <family val="2"/>
        <scheme val="minor"/>
      </rPr>
      <t>Develop tests only for Normative In-Scope requirements</t>
    </r>
  </si>
  <si>
    <t>Manual override causes Excel to tag the cell with a warning because it doesn’t share the formula with the rest of the cells in the column. This is normal and must be disregarded.</t>
  </si>
  <si>
    <r>
      <t xml:space="preserve">Valid values for this column are </t>
    </r>
    <r>
      <rPr>
        <b/>
        <sz val="11"/>
        <color indexed="8"/>
        <rFont val="Calibri"/>
        <family val="2"/>
      </rPr>
      <t>Protocol</t>
    </r>
    <r>
      <rPr>
        <sz val="11"/>
        <color theme="1"/>
        <rFont val="Calibri"/>
        <family val="2"/>
        <scheme val="minor"/>
      </rPr>
      <t xml:space="preserve"> (for a behavior common to all protocol implementations) and </t>
    </r>
    <r>
      <rPr>
        <b/>
        <sz val="11"/>
        <color indexed="8"/>
        <rFont val="Calibri"/>
        <family val="2"/>
      </rPr>
      <t>Product</t>
    </r>
    <r>
      <rPr>
        <sz val="11"/>
        <color theme="1"/>
        <rFont val="Calibri"/>
        <family val="2"/>
        <scheme val="minor"/>
      </rPr>
      <t xml:space="preserve"> (for a Windows or Office specific behavior). 
This column will default to Protocol when column “Doc Sect” has a value that doesn’t begin with number 6; and to Product, otherwise. The value can be manually changed in case a TD contains product behavior in a section other than 6 or protocol behavior in section 6.</t>
    </r>
  </si>
  <si>
    <t>Requirements derived from Product beahvior will list the Product behavior section of the TD.</t>
  </si>
  <si>
    <t>Requirements derived from more specific effect of a general effect can list the section of the generic effect or be blank.</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</si>
  <si>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</si>
  <si>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</si>
  <si>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requirment(s) are not required to be prefaced by the Doc short name (A1 on sheet) and are comma separated when more than one or use a contiguous range with dash, e.g. 12-15
If requirement is not for the primary TD (short name), then you must fully qualify it.</t>
  </si>
  <si>
    <t>When a requirement is difficult to verify you may create a derived requirement stating the more specific effect.  Not required for Strategy RS.</t>
  </si>
  <si>
    <r>
      <t xml:space="preserve">Is used to express several (mutually excluding) verification decisions. 
• It can be used to mark a requirement that cannot possibly verified by generating and observing data on the wire (value </t>
    </r>
    <r>
      <rPr>
        <b/>
        <sz val="11"/>
        <color indexed="8"/>
        <rFont val="Calibri"/>
        <family val="2"/>
      </rPr>
      <t>Non-testable</t>
    </r>
    <r>
      <rPr>
        <sz val="11"/>
        <color theme="1"/>
        <rFont val="Calibri"/>
        <family val="2"/>
        <scheme val="minor"/>
      </rPr>
      <t xml:space="preserve">), regardless of whether it’s being in fact tested, and of the role performing the behavior (scope).  
• Even if a requirement is verifiable, TSDs can choose not to test it (or plan not to test it, depending the phase of the PQAP they are in). In this case, they will set the value of this column to </t>
    </r>
    <r>
      <rPr>
        <b/>
        <sz val="11"/>
        <color indexed="8"/>
        <rFont val="Calibri"/>
        <family val="2"/>
      </rPr>
      <t>Unverified</t>
    </r>
    <r>
      <rPr>
        <sz val="11"/>
        <color theme="1"/>
        <rFont val="Calibri"/>
        <family val="2"/>
        <scheme val="minor"/>
      </rPr>
      <t xml:space="preserve">.  
• If the requirement is verifiable and test code provided, use this column to indicate in which component of the test suite they are (or plan) to test for it.  Record whether it is in a </t>
    </r>
    <r>
      <rPr>
        <b/>
        <sz val="11"/>
        <color indexed="8"/>
        <rFont val="Calibri"/>
        <family val="2"/>
      </rPr>
      <t>Test case</t>
    </r>
    <r>
      <rPr>
        <sz val="11"/>
        <color theme="1"/>
        <rFont val="Calibri"/>
        <family val="2"/>
        <scheme val="minor"/>
      </rPr>
      <t xml:space="preserve"> or in the </t>
    </r>
    <r>
      <rPr>
        <b/>
        <sz val="11"/>
        <color indexed="8"/>
        <rFont val="Calibri"/>
        <family val="2"/>
      </rPr>
      <t>Adapter</t>
    </r>
    <r>
      <rPr>
        <sz val="11"/>
        <color theme="1"/>
        <rFont val="Calibri"/>
        <family val="2"/>
        <scheme val="minor"/>
      </rPr>
      <t>.
We don’t use this column to record the way in which the test case was generated.
Not required for Strategy RS.</t>
    </r>
  </si>
  <si>
    <r>
      <rPr>
        <b/>
        <sz val="11"/>
        <color indexed="8"/>
        <rFont val="Arial"/>
        <family val="2"/>
      </rPr>
      <t>3rd:</t>
    </r>
    <r>
      <rPr>
        <sz val="11"/>
        <color indexed="8"/>
        <rFont val="Arial"/>
        <family val="2"/>
      </rPr>
      <t xml:space="preserve"> Fill in the Strategy phase requirements fields for each requirement.    There should be no generic rows from this template left when you are done.</t>
    </r>
  </si>
  <si>
    <t>4th: For complete RS the Derived, Scenario, Verification, Verification comment fields are required.</t>
  </si>
  <si>
    <r>
      <t xml:space="preserve">Derive </t>
    </r>
    <r>
      <rPr>
        <b/>
        <sz val="10"/>
        <color indexed="8"/>
        <rFont val="Arial"/>
        <family val="2"/>
      </rPr>
      <t>normative</t>
    </r>
    <r>
      <rPr>
        <sz val="10"/>
        <color indexed="8"/>
        <rFont val="Arial"/>
        <family val="2"/>
      </rPr>
      <t xml:space="preserve"> requirements only from Section 1.8,  Section 2 [Messages], Section 3[Protocol Details], and  Section 6 &amp; 7[Appendix, Product Behavior]. 
These sections cover the majority of the Protocol Implementation details, the details described in Section 1 and Section 4 are directly/indirectly covered.</t>
    </r>
  </si>
  <si>
    <t>InternalId</t>
  </si>
  <si>
    <t>Review Comment</t>
  </si>
  <si>
    <t>RS Template Version</t>
  </si>
  <si>
    <t>Requirement Traceability Matrix --- trace the Scenario with Requirement</t>
  </si>
  <si>
    <t>Scenarios are specified in the PQAR</t>
  </si>
  <si>
    <t>Total requirements without deleted</t>
  </si>
  <si>
    <t>Requirements covered (A)</t>
  </si>
  <si>
    <t>Should and was covered (B)</t>
  </si>
  <si>
    <t>Requirements should be covered (C)</t>
  </si>
  <si>
    <t>Requirements were covered rate (A/C)</t>
  </si>
  <si>
    <t>Normative, Testable, InScope requirements covered(B/C)</t>
  </si>
  <si>
    <t>Break Down</t>
  </si>
  <si>
    <t>Normative</t>
  </si>
  <si>
    <t>Informative</t>
  </si>
  <si>
    <t>Count</t>
  </si>
  <si>
    <t>Covered by Test Case</t>
  </si>
  <si>
    <t>Covered by Adapter</t>
  </si>
  <si>
    <t>Non-testable</t>
  </si>
  <si>
    <t>Unverified</t>
  </si>
  <si>
    <t>Scenario type</t>
  </si>
  <si>
    <t>Scenario Count</t>
  </si>
  <si>
    <t>Was Covered</t>
  </si>
  <si>
    <t>Should Cover</t>
  </si>
  <si>
    <t>Testable</t>
  </si>
  <si>
    <t>InScope</t>
  </si>
  <si>
    <t>Should and Was</t>
  </si>
  <si>
    <t>Sum(updown)</t>
  </si>
  <si>
    <t>S7</t>
  </si>
  <si>
    <t>S5</t>
  </si>
  <si>
    <t>S1</t>
  </si>
  <si>
    <t>S2</t>
  </si>
  <si>
    <t>S3</t>
  </si>
  <si>
    <t>S4</t>
  </si>
  <si>
    <t>S6</t>
  </si>
  <si>
    <t>S8</t>
  </si>
  <si>
    <t>S9</t>
  </si>
  <si>
    <t>S10</t>
  </si>
  <si>
    <t>Protocol</t>
  </si>
  <si>
    <t>p0</t>
  </si>
  <si>
    <t>Test Case</t>
  </si>
  <si>
    <t>p2</t>
  </si>
  <si>
    <t>p1</t>
  </si>
  <si>
    <t>Adapter</t>
  </si>
  <si>
    <t>3.2.1</t>
  </si>
  <si>
    <t>6</t>
  </si>
  <si>
    <t>Product</t>
  </si>
  <si>
    <t>3.2.2</t>
  </si>
  <si>
    <t>Estimated Checked Requirements</t>
  </si>
  <si>
    <t>Estimated Coverage of normative, in-scope requirements</t>
  </si>
  <si>
    <t>Checkable requirements</t>
  </si>
  <si>
    <t>Estimated Completely checkable requirements</t>
  </si>
  <si>
    <t>Estimated Partially checkable requirements</t>
  </si>
  <si>
    <t>Estimated Unverified requirements</t>
  </si>
  <si>
    <t>Derived requirements</t>
  </si>
  <si>
    <t>MS-SMB_R105076</t>
    <phoneticPr fontId="5" type="noConversion"/>
  </si>
  <si>
    <t>2</t>
  </si>
  <si>
    <t xml:space="preserve">[In Messages]An SMB Version 1.0 Protocol implementation MUST implement CIFS, as specified by section 2 of the [MS-CIFS] specification. </t>
    <phoneticPr fontId="5" type="noConversion"/>
  </si>
  <si>
    <t>MS-SMB_R5076</t>
    <phoneticPr fontId="5" type="noConversion"/>
  </si>
  <si>
    <t>2.1</t>
    <phoneticPr fontId="5" type="noConversion"/>
  </si>
  <si>
    <t>[In Transport]In addition to the transport protocols listed in section 2.1 of [MS-CIFS], the extended version of the protocol supports the use of TCP as a transport layer.</t>
    <phoneticPr fontId="5" type="noConversion"/>
  </si>
  <si>
    <t>MS-SMB_R205076</t>
    <phoneticPr fontId="5" type="noConversion"/>
  </si>
  <si>
    <t>[In Transport]Hereafter, the special TCP-related characteristics that are employed in the application of SMB over TCP are known as the Direct TCP transport.&lt;2&gt;</t>
    <phoneticPr fontId="5" type="noConversion"/>
  </si>
  <si>
    <t>MS-SMB_R5079</t>
    <phoneticPr fontId="5" type="noConversion"/>
  </si>
  <si>
    <t>[In Direct TCP Transport]The extended version of the SMB Version 1.0 Protocol can use direct TCP over IPv4  as a reliable stream-oriented transport for SMB messages.</t>
  </si>
  <si>
    <t>MS-SMB_R5080</t>
  </si>
  <si>
    <t>[In Direct TCP Transport]The extended version of the SMB Protocol can use direct TCP over IPv6 as a reliable stream-oriented transport for SMB messages.</t>
  </si>
  <si>
    <t>MS-SMB_R5081</t>
  </si>
  <si>
    <t>[In Direct TCP Transport]No NetBIOS layer is provided or used.</t>
  </si>
  <si>
    <t>We don't test transport.</t>
  </si>
  <si>
    <t>MS-SMB_R5082</t>
  </si>
  <si>
    <t>[In Direct TCP Transport]TCP provides a full, duplex, sequenced, and reliable transport for the connection.</t>
  </si>
  <si>
    <t>MS-SMB_R5083</t>
  </si>
  <si>
    <t>[In Direct TCP Transport]When using TCP as the reliable connection-oriented transport, the extended version of the SMB Version 1.0 Protocol makes no higher-level attempts to ensure sequenced delivery of messages between a client and server.</t>
    <phoneticPr fontId="5" type="noConversion"/>
  </si>
  <si>
    <t>This requiremetn cannot be observed on the wire because it is higher-level attempts.</t>
  </si>
  <si>
    <t>MS-SMB_R5084</t>
  </si>
  <si>
    <t>[In Direct TCP Transport]The TCP transport has mechanisms to detect failures of either the client node or server node and to deliver such an indication to the client or server software so that it can clean up the state.</t>
  </si>
  <si>
    <t>MS-SMB_R1</t>
  </si>
  <si>
    <t xml:space="preserve">[In Direct TCP Transport]When using Direct TCP as the SMB transport, the implementer MUST establish a TCP connection from an SMB client to a TCP port on the server.                  </t>
  </si>
  <si>
    <t>MS-SMB_R5085</t>
  </si>
  <si>
    <t>[In Direct TCP Transport]The TCP source port used by the SMB client MAY be any TCP port value.</t>
  </si>
  <si>
    <t>We don't test client end point now.</t>
  </si>
  <si>
    <t>MS-SMB_R4</t>
    <phoneticPr fontId="5" type="noConversion"/>
  </si>
  <si>
    <t xml:space="preserve">[In Direct TCP Transport]The SMB server SHOULD listen for connections on port 445. </t>
    <phoneticPr fontId="5" type="noConversion"/>
  </si>
  <si>
    <t>MS-SMB_R10004</t>
    <phoneticPr fontId="5" type="noConversion"/>
  </si>
  <si>
    <t xml:space="preserve">[In Direct TCP Transport]The SMB server listens for connections on port 445 in Windows. </t>
    <phoneticPr fontId="5" type="noConversion"/>
  </si>
  <si>
    <t>MS-SMB_R4:i,MS-SMB_R18:i</t>
    <phoneticPr fontId="5" type="noConversion"/>
  </si>
  <si>
    <t>MS-SMB_R5087</t>
  </si>
  <si>
    <t>[In Direct TCP Transport]This port number[445] has been registered with the Internet Assigned Numbers Authority (IANA) and has been officially assigned for Microsoft-DS.&lt;3&gt;</t>
    <phoneticPr fontId="5" type="noConversion"/>
  </si>
  <si>
    <t>MS-SMB_R6</t>
  </si>
  <si>
    <r>
      <rPr>
        <sz val="11"/>
        <rFont val="Calibri"/>
        <family val="3"/>
        <charset val="134"/>
        <scheme val="minor"/>
      </rPr>
      <t xml:space="preserve">[In Direct TCP Transport]When using Direct TCP as the SMB transport, the implementer MUST prepend a 4-byte Direct TCP transport packet header to each SMB message.  </t>
    </r>
  </si>
  <si>
    <t>MS-SMB_R7</t>
  </si>
  <si>
    <t xml:space="preserve">[In Direct TCP Transport]This transport header [the 4-byte Direct TCP Transport packet header] MUST be formatted as a byte of zero (8 zero bits) followed by 3 bytes that indicate the length of the SMB message that is encapsulated.   </t>
    <phoneticPr fontId="5" type="noConversion"/>
  </si>
  <si>
    <t>MS-SMB_R5092</t>
  </si>
  <si>
    <t>[In Direct TCP Transport]The body of the SMB packet follows as a variable-length payload.</t>
  </si>
  <si>
    <t>MS-SMB_R5093</t>
    <phoneticPr fontId="5" type="noConversion"/>
  </si>
  <si>
    <t>[In Direct TCP Transport] A Direct TCP transport packet has the following structure (in network byte order).</t>
    <phoneticPr fontId="5" type="noConversion"/>
  </si>
  <si>
    <t>MS-SMB_R8</t>
    <phoneticPr fontId="5" type="noConversion"/>
  </si>
  <si>
    <t>[In Direct TCP Transport]Zero (1 byte):The first byte of the Direct TCP transport packet header MUST be zero (0x00).</t>
    <phoneticPr fontId="5" type="noConversion"/>
  </si>
  <si>
    <t>MS-SMB_R5094</t>
  </si>
  <si>
    <t>[In Direct TCP Transport packet]Stream Protocol Length (3 bytes):  The length, in bytes, of the SMB message.</t>
  </si>
  <si>
    <t>MS-SMB_R5095</t>
  </si>
  <si>
    <t>[In Direct TCP Transport packet]Stream Protocol Length (3 bytes): This length is formatted as a 3-byte integer in network byte order.</t>
  </si>
  <si>
    <t>MS-SMB_R5096</t>
  </si>
  <si>
    <t>[In Direct TCP Transport packet]Stream Protocol Length (3 bytes): The length field does not include the 4-byte Direct TCP transport header, it is only the length of the enclosed SMB message.&lt;4&gt;</t>
    <phoneticPr fontId="5" type="noConversion"/>
  </si>
  <si>
    <t>MS-SMB_R5097</t>
  </si>
  <si>
    <t>[In Direct TCP Transport packet]SMB Message (variable):  The body of the SMB packet.</t>
  </si>
  <si>
    <t>MS-SMB_R5098</t>
  </si>
  <si>
    <t>[In Direct TCP Transport packet]SMB Message (variable): The length of an SMB message varies based on the SMB command represented by the message.</t>
  </si>
  <si>
    <t>MS-SMB_R5212</t>
  </si>
  <si>
    <t>2.2</t>
    <phoneticPr fontId="5" type="noConversion"/>
  </si>
  <si>
    <t>[In Message Syntax]A client exchanges messages with a server to access resources on the server. These messages are called SMB messages or SMBs.</t>
    <phoneticPr fontId="5" type="noConversion"/>
  </si>
  <si>
    <t>MS-SMB_R5213</t>
  </si>
  <si>
    <t>2.2</t>
  </si>
  <si>
    <t>[In Message Syntax]Every SMB message has a common format, as defined in [MS-CIFS] section 2.2.</t>
    <phoneticPr fontId="5" type="noConversion"/>
  </si>
  <si>
    <t>MS-SMB_R75</t>
  </si>
  <si>
    <t xml:space="preserve">All SMB messages MUST begin with a fixed-length SMB header (as specified in [MS-CIFS], section 2.2.1). </t>
    <phoneticPr fontId="5" type="noConversion"/>
  </si>
  <si>
    <t>MS-SMB_R5215</t>
  </si>
  <si>
    <t>[In Message Syntax]The header contains a command field that indicates the operation code that the client requests or to which the server responds.</t>
  </si>
  <si>
    <t>MS-SMB_R5216</t>
  </si>
  <si>
    <t>[In Message Syntax]An SMB message is of variable length.</t>
  </si>
  <si>
    <t>MS-SMB_R5217</t>
  </si>
  <si>
    <t>[In Message Syntax]The actual length depends on the SMB command field (and consequent appended data structures) and whether the SMB message is a client request or a server response.</t>
  </si>
  <si>
    <t>MS-SMB_R5218</t>
  </si>
  <si>
    <t>[In Message Syntax]Unless otherwise indicated, numeric fields are integers of the specified byte length.</t>
  </si>
  <si>
    <t>MS-SMB_R5219</t>
  </si>
  <si>
    <t>[In Message Syntax]Unless otherwise specified, multibyte fields (that is, 16-bit, 32-bit, and 64-bit fields) in an SMB message MUST be transmitted in little-endian byte order (least significant byte first).</t>
  </si>
  <si>
    <t>MS-SMB_R77</t>
    <phoneticPr fontId="5" type="noConversion"/>
  </si>
  <si>
    <t>[In Message Syntax]Unless otherwise noted, fields marked as Reserved SHOULD be set to 0 when being sent.</t>
    <phoneticPr fontId="5" type="noConversion"/>
  </si>
  <si>
    <t>MS-SMB_R100077</t>
    <phoneticPr fontId="5" type="noConversion"/>
  </si>
  <si>
    <t>[In Message Syntax]Unless otherwise noted, fields marked as Reserved is set to 0 when being sent in Windows.</t>
    <phoneticPr fontId="5" type="noConversion"/>
  </si>
  <si>
    <t>MS-SMB_R77:i,MS-SMB_R18:i</t>
    <phoneticPr fontId="5" type="noConversion"/>
  </si>
  <si>
    <t>MS-SMB_R5226</t>
  </si>
  <si>
    <t>[In Message Syntax]Unless otherwise noted, fields marked as Unused MUST be ignored upon receipt.</t>
    <phoneticPr fontId="5" type="noConversion"/>
  </si>
  <si>
    <t>server internal behavior</t>
    <phoneticPr fontId="5" type="noConversion"/>
  </si>
  <si>
    <t>MS-SMB_R5227</t>
  </si>
  <si>
    <t>[In Message Syntax]Unless otherwise noted, whatever the values of fields marked as Unused are, reply is the same upon receipt.</t>
    <phoneticPr fontId="5" type="noConversion"/>
  </si>
  <si>
    <t>MS-SMB_R105227</t>
    <phoneticPr fontId="5" type="noConversion"/>
  </si>
  <si>
    <t>[In Message Syntax]Unless otherwise noted, unused or reserved bits in bit fields SHOULD be set to zero when being sent.</t>
    <phoneticPr fontId="5" type="noConversion"/>
  </si>
  <si>
    <t>MS-SMB_R205227</t>
    <phoneticPr fontId="5" type="noConversion"/>
  </si>
  <si>
    <t>[In Message Syntax]Unless otherwise noted, unused or reserved bits in bit fields is set to zero when being sent in Windows.</t>
    <phoneticPr fontId="5" type="noConversion"/>
  </si>
  <si>
    <t>MS-SMB_R105227:i,MS-SMB_R18:i</t>
    <phoneticPr fontId="5" type="noConversion"/>
  </si>
  <si>
    <t>MS-SMB_R305227</t>
    <phoneticPr fontId="5" type="noConversion"/>
  </si>
  <si>
    <t>[In Message Syntax]Unless otherwise noted, unused or reserved bits in bit fields MUST be ignored upon receipt.</t>
    <phoneticPr fontId="5" type="noConversion"/>
  </si>
  <si>
    <t>MS-SMB_R405227</t>
    <phoneticPr fontId="5" type="noConversion"/>
  </si>
  <si>
    <t>[In Message Syntax]Unless otherwise noted, whatever the values of unused or reserved bits in bit fields  are, reply is the same upon receipt.</t>
    <phoneticPr fontId="5" type="noConversion"/>
  </si>
  <si>
    <t>MS-SMB_R305227:p</t>
    <phoneticPr fontId="5" type="noConversion"/>
  </si>
  <si>
    <t>MS-SMB_R5229</t>
    <phoneticPr fontId="5" type="noConversion"/>
  </si>
  <si>
    <t xml:space="preserve">[In Message Syntax]When an error occurs, unless otherwise noted in this specification, an SMB server SHOULD return an Error Response message. </t>
    <phoneticPr fontId="5" type="noConversion"/>
  </si>
  <si>
    <t>MS-SMB_R105229</t>
    <phoneticPr fontId="5" type="noConversion"/>
  </si>
  <si>
    <t xml:space="preserve">[In Message Syntax]When an error occurs, unless otherwise noted in this specification, an SMB server returns an Error Response message in Windows. </t>
    <phoneticPr fontId="5" type="noConversion"/>
  </si>
  <si>
    <t>MS-SMB_R5229:i,MS-SMB_R18:i</t>
    <phoneticPr fontId="5" type="noConversion"/>
  </si>
  <si>
    <t>MS-SMB_R105243</t>
    <phoneticPr fontId="5" type="noConversion"/>
  </si>
  <si>
    <t>[In Message Syntax]An Error Response message is comprised of a complete SMB header, along with an empty parameter and data portion.&lt;5&gt;</t>
    <phoneticPr fontId="5" type="noConversion"/>
  </si>
  <si>
    <t>MS-SMB_R19000</t>
    <phoneticPr fontId="5" type="noConversion"/>
  </si>
  <si>
    <t>2.2.1.1.1</t>
  </si>
  <si>
    <t>[In Pathname Extensions] In addition to the specification in [MS-CIFS] section 2.2.1.1.2, pathnames include the following extension:
Previous Version Tokens -- Support for this feature is optional.</t>
  </si>
  <si>
    <t>MS-SMB_R9001</t>
  </si>
  <si>
    <t>[In Pathname Extensions]Pathnames are allowed to contain a previous version token (or @GMT token), as a directory element in a path.</t>
  </si>
  <si>
    <t>MS-SMB_R19002</t>
    <phoneticPr fontId="5" type="noConversion"/>
  </si>
  <si>
    <t>[In Pathname Extensions]A previous version token indicates that the pathname is a request to access the previous version (or shadow copy) of the file or directory at a particular point in time.</t>
  </si>
  <si>
    <t>MS-SMB_R19003</t>
    <phoneticPr fontId="5" type="noConversion"/>
  </si>
  <si>
    <t>[In Pathname Extensions]This feature is available on any path-based operation (for example, SMB_COM_NT_CREATE_ANDX).</t>
  </si>
  <si>
    <t>MS-SMB_R9004</t>
  </si>
  <si>
    <t>[In Pathname Extensions]A pathname MUST NOT contain more than one previous version token.</t>
  </si>
  <si>
    <t>MS-SMB_R9005</t>
  </si>
  <si>
    <t>[In Pathname Extensions]The same technique can be used to build a path that represents a previous version of a directory as opposed to a file.</t>
  </si>
  <si>
    <t>MS-SMB_R9006</t>
  </si>
  <si>
    <t>[In Pathname Extensions]In this case, the token can appear as either an intermediate path component or as the final path component.</t>
  </si>
  <si>
    <t>MS-SMB_R9007</t>
  </si>
  <si>
    <t>[In Pathname Extensions]In addition, it is possible to request an enumeration of available previous version timestamps (or snapshots) of a file or directory.</t>
  </si>
  <si>
    <t>MS-SMB_R9008</t>
  </si>
  <si>
    <t>[In Pathname Extensions]While the NT_TRANSACT_IOCTL subcommand can be used with the FSCTL_SRV_ENUMERATE_SNAPSHOTS FSCTL code to enumerate available previous version timestamps using a valid Fid (section 2.2.7.2.1), these extensions also present a path-based method to access this functionality.</t>
  </si>
  <si>
    <t>MS-SMB_R9009</t>
  </si>
  <si>
    <t>[In Pathname Extensions]The TRANS2_FIND_FIRST2 subcommand's SMB_FIND_FILE_BOTH_DIRECTORY_INFO Information Level (section 2.2.6.1) has been extended to allow a special previous version wildcard token, @GMT-*.</t>
  </si>
  <si>
    <t>MS-SMB_R9010</t>
  </si>
  <si>
    <t>2.2.1.2.1</t>
  </si>
  <si>
    <t>[In Extended File Attribute (SMB_EXT_FILE_ATTR) Extensions]The list of extended file attributes valid in 32-bit attribute values, as specified in [MS-CIFS] section 2.2.1.2.3, has been extended to include the following attributes:
ATTR_SPARSE 
;ATTR_REPARSE_POINT 
;ATTR_OFFLINE 
;ATTR_NOT_CONTENT_INDEXED 
;ATTR_ENCRYPTED.</t>
  </si>
  <si>
    <t>MS-SMB_R9011</t>
  </si>
  <si>
    <t>[In Extended File Attribute (SMB_EXT_FILE_ATTR) Extensions]The following table lists all possible values[ATTR_READONLY
0x00000001,ATTR_HIDDEN
0x00000002,ATTR_SYSTEM
0x00000004,ATTR_DIRECTORY
0x00000010,ATTR_ARCHIVE
0x00000020,ATTR_NORMAL
0x00000080,ATTR_TEMPORARY
0x00000100,ATTR_SPARSE
0x00000200,ATTR_REPARSE_POINT
0x00000400,ATTR_COMPRESSED
0x00000800,ATTR_OFFLINE
0x00001000,ATTR_NOT_CONTENT_INDEXED
0x00002000,ATTR_ENCRYPTED
0x00004000,Reserved
0xFFFF8048]</t>
  </si>
  <si>
    <t>MS-SMB_R9012</t>
  </si>
  <si>
    <t>[In Extended File Attribute (SMB_EXT_FILE_ATTR) Extensions]Unless otherwise noted, any combination of these values[ATTR_READONLY
0x00000001,ATTR_HIDDEN
0x00000002,ATTR_SYSTEM
0x00000004,ATTR_DIRECTORY
0x00000010,ATTR_ARCHIVE
0x00000020,ATTR_NORMAL
0x00000080,ATTR_TEMPORARY
0x00000100,ATTR_SPARSE
0x00000200,ATTR_REPARSE_POINT
0x00000400,ATTR_COMPRESSED
0x00000800,ATTR_OFFLINE
0x00001000,ATTR_NOT_CONTENT_INDEXED
0x00002000,ATTR_ENCRYPTED
0x00004000,Reserved
0xFFFF8048] is acceptable.</t>
    <phoneticPr fontId="5" type="noConversion"/>
  </si>
  <si>
    <t>MS-SMB_R9013</t>
  </si>
  <si>
    <t>[In Extended File Attribute (SMB_EXT_FILE_ATTR) Extensions]ATTR_READONLY
0x00000001 means 
File is read-only. Applications cannot write or delete the file.</t>
  </si>
  <si>
    <t>MS-SMB_R9014</t>
  </si>
  <si>
    <t>[In Extended File Attribute (SMB_EXT_FILE_ATTR) Extensions]ATTR_HIDDEN
0x00000002
 means 
File is hidden. It is not to be included in an ordinary directory enumeration.</t>
  </si>
  <si>
    <t>MS-SMB_R9015</t>
  </si>
  <si>
    <t>[In Extended File Attribute (SMB_EXT_FILE_ATTR) Extensions]ATTR_SYSTEM
0x00000004
 means 
File is part of or is used exclusively by the operating system.</t>
  </si>
  <si>
    <t>MS-SMB_R9016</t>
  </si>
  <si>
    <t>[In Extended File Attribute (SMB_EXT_FILE_ATTR) Extensions]ATTR_DIRECTORY
0x00000010 means 
File is a directory.</t>
  </si>
  <si>
    <t>MS-SMB_R9017</t>
  </si>
  <si>
    <t>[In Extended File Attribute (SMB_EXT_FILE_ATTR) Extensions]ATTR_ARCHIVE
0x00000020
 means 
File has not been archived since it was last modified.</t>
  </si>
  <si>
    <t>MS-SMB_R9018</t>
  </si>
  <si>
    <t>[In Extended File Attribute (SMB_EXT_FILE_ATTR) Extensions]ATTR_NORMAL
0x00000080
 means 
File has no other attributes set. This value is valid only when used alone.</t>
  </si>
  <si>
    <t>MS-SMB_R9019</t>
  </si>
  <si>
    <t>[In Extended File Attribute (SMB_EXT_FILE_ATTR) Extensions]ATTR_TEMPORARY
0x00000100
 means 
File is temporary.</t>
  </si>
  <si>
    <t>MS-SMB_R9020</t>
  </si>
  <si>
    <t>[In Extended File Attribute (SMB_EXT_FILE_ATTR) Extensions]ATTR_SPARSE
0x00000200
 means 
File is a sparse file.</t>
  </si>
  <si>
    <t>MS-SMB_R9021</t>
  </si>
  <si>
    <t>[In Extended File Attribute (SMB_EXT_FILE_ATTR) Extensions]ATTR_REPARSE_POINT
0x00000400
means 
File or directory has an associated reparse point.</t>
    <phoneticPr fontId="5" type="noConversion"/>
  </si>
  <si>
    <t>MS-SMB_R9022</t>
  </si>
  <si>
    <t>MS-SMB_R9023</t>
  </si>
  <si>
    <t>MS-SMB_R9024</t>
    <phoneticPr fontId="5" type="noConversion"/>
  </si>
  <si>
    <t>[In Extended File Attribute (SMB_EXT_FILE_ATTR) Extensions]ATTR_NOT_CONTENT_INDEXED
0x00002000 means
File or directory SHOULD NOT be indexed by a content indexing service.</t>
    <phoneticPr fontId="5" type="noConversion"/>
  </si>
  <si>
    <t>MS-SMB_R109024</t>
    <phoneticPr fontId="5" type="noConversion"/>
  </si>
  <si>
    <t>[In Extended File Attribute (SMB_EXT_FILE_ATTR) Extensions]ATTR_NOT_CONTENT_INDEXED
0x00002000 means
File or directory is not indexed by a content indexing service in Windows.</t>
    <phoneticPr fontId="5" type="noConversion"/>
  </si>
  <si>
    <t>MS-SMB_R9024:i,MS-SMB_R18:i</t>
  </si>
  <si>
    <t>MS-SMB_R9025</t>
  </si>
  <si>
    <t>[In Extended File Attribute (SMB_EXT_FILE_ATTR) Extensions]ATTR_ENCRYPTED
0x00004000 means
File or directory is encrypted. For a file, this means that all data in the file is encrypted. For a directory, this means that encryption is the default for newly created files and subdirectories.</t>
    <phoneticPr fontId="5" type="noConversion"/>
  </si>
  <si>
    <t>MS-SMB_R9026</t>
  </si>
  <si>
    <t>2.2.1.2.1</t>
    <phoneticPr fontId="5" type="noConversion"/>
  </si>
  <si>
    <t>We don't test client end point now.</t>
    <phoneticPr fontId="5" type="noConversion"/>
  </si>
  <si>
    <t>MS-SMB_R9027</t>
    <phoneticPr fontId="5" type="noConversion"/>
  </si>
  <si>
    <t>Server internal behavior.</t>
    <phoneticPr fontId="5" type="noConversion"/>
  </si>
  <si>
    <t>MS-SMB_R109027</t>
    <phoneticPr fontId="5" type="noConversion"/>
  </si>
  <si>
    <t>MS-SMB_R9027:p</t>
    <phoneticPr fontId="5" type="noConversion"/>
  </si>
  <si>
    <t>MS-SMB_R9028</t>
  </si>
  <si>
    <t>2.2.1.2.2</t>
  </si>
  <si>
    <t>[In File System Attribute Extensions]The list of file system attributes, as specified in [MS-CIFS] section 2.2.8.2.6, has been extended.</t>
    <phoneticPr fontId="5" type="noConversion"/>
  </si>
  <si>
    <t>MS-SMB_R9029</t>
  </si>
  <si>
    <t>[In File System Attribute Extensions]For completeness, the following table lists all of the available attribute flags and their symbolic constants.</t>
  </si>
  <si>
    <t>MS-SMB_R9030</t>
  </si>
  <si>
    <t>[In File System Attribute Extensions]Unless otherwise noted, any combination of the following bits is valid.</t>
  </si>
  <si>
    <t>MS-SMB_R9031</t>
  </si>
  <si>
    <t>[In File System Attribute Extensions]Any bit that is not listed in this section is considered reserved.</t>
  </si>
  <si>
    <t>MS-SMB_R9032</t>
  </si>
  <si>
    <t>[In File System Attribute Extensions]the sender SHOULD set it [bit that is not listed in this section] to zero.</t>
    <phoneticPr fontId="5" type="noConversion"/>
  </si>
  <si>
    <t>MS-SMB_R9033</t>
    <phoneticPr fontId="5" type="noConversion"/>
  </si>
  <si>
    <t>[In File System Attribute Extensions]the receiver MUST ignore it[bit that is not listed in this section].</t>
    <phoneticPr fontId="5" type="noConversion"/>
  </si>
  <si>
    <t>MS-SMB_R109033</t>
    <phoneticPr fontId="5" type="noConversion"/>
  </si>
  <si>
    <t>[In File System Attribute Extensions]Whatever the value of it[any bit that is not listed in this section] is, the receiver's reply is the same.</t>
  </si>
  <si>
    <t>MS-SMB_R9033:p</t>
    <phoneticPr fontId="5" type="noConversion"/>
  </si>
  <si>
    <t>MS-SMB_R9034</t>
  </si>
  <si>
    <t>[In File System Attribute Extensions]FILE_CASE_SENSITIVE_SEARCH
0x00000001
 means 
File system supports case-sensitive file names.</t>
  </si>
  <si>
    <t>MS-SMB_R9035</t>
  </si>
  <si>
    <t>[In File System Attribute Extensions]FILE_CASE_PRESERVED_NAMES
0x00000002 means 
File system preserves the case of file names when it stores the name on disk.</t>
  </si>
  <si>
    <t>MS-SMB_R9036</t>
  </si>
  <si>
    <t>[In File System Attribute Extensions]FILE_UNICODE_ON_DISK
0x00000004
means 
File system supports Unicode in file names.</t>
  </si>
  <si>
    <t>MS-SMB_R9037</t>
  </si>
  <si>
    <t>[In File System Attribute Extensions]FILE_PERSISTENT_ACLS
0x00000008
 means 
File system preserves and enforces access control lists.</t>
    <phoneticPr fontId="5" type="noConversion"/>
  </si>
  <si>
    <t>MS-SMB_R9038</t>
  </si>
  <si>
    <t>[In File System Attribute Extensions]FILE_FILE_COMPRESSION
0x00000010 means 
File system supports file-based compression. This flag is incompatible with FILE_VOLUME_IS_COMPRESSED. This flag does not affect how data is transferred over the network.</t>
  </si>
  <si>
    <t>MS-SMB_R9039</t>
  </si>
  <si>
    <t>[In File System Attribute Extensions]FILE_VOLUME_QUOTAS
0x00000020
 means 
File system supports per-user quotas.</t>
  </si>
  <si>
    <t>MS-SMB_R9040</t>
  </si>
  <si>
    <t>[In File System Attribute Extensions]FILE_SUPPORTS_SPARSE_FILES
0x00000040 means 
File system supports sparse files.</t>
  </si>
  <si>
    <t>MS-SMB_R9041</t>
  </si>
  <si>
    <t>[In File System Attribute Extensions]FILE_SUPPORTS_REPARSE_POINTS
0x00000080
 means 
File system supports reparse points.</t>
  </si>
  <si>
    <t>MS-SMB_R9042</t>
  </si>
  <si>
    <t>[In File System Attribute Extensions]FILE_SUPPORTS_REMOTE_STORAGE
0x00000100
  means 
File system supports remote storage.</t>
  </si>
  <si>
    <t>MS-SMB_R9043</t>
  </si>
  <si>
    <t>[In File System Attribute Extensions]FILE_VOLUME_IS_COMPRESSED
0x00008000 means 
Volume is a compressed volume. This flag is incompatible with FILE_FILE_COMPRESSION. This does not affect how data is transferred over the network.</t>
  </si>
  <si>
    <t>MS-SMB_R9044</t>
  </si>
  <si>
    <t>[In File System Attribute Extensions]FILE_SUPPORTS_OBJECT_IDS
0x00010000 means 
File system supports object identifiers.</t>
  </si>
  <si>
    <t>MS-SMB_R9045</t>
  </si>
  <si>
    <t>[In File System Attribute Extensions]FILE_SUPPORTS_ENCRYPTION
0x00020000
 means 
File system supports encryption.</t>
  </si>
  <si>
    <t>MS-SMB_R9046</t>
  </si>
  <si>
    <t>[In File System Attribute Extensions]FILE_NAMED_STREAMS
0x00040000
 means 
File system supports multiple named data streams for a file.</t>
  </si>
  <si>
    <t>MS-SMB_R9047</t>
  </si>
  <si>
    <t>[In File System Attribute Extensions]FILE_READ_ONLY_VOLUME
0x00080000
 means 
Specified volume is read-only.</t>
  </si>
  <si>
    <t>MS-SMB_R9048</t>
  </si>
  <si>
    <t>[In File System Attribute Extensions]FILE_SEQUENTIAL_WRITE_ONCE
0x00100000 means
Specified volume can be written to one time only.</t>
  </si>
  <si>
    <t>MS-SMB_R9049</t>
  </si>
  <si>
    <t>[In File System Attribute Extensions]FILE_SEQUENTIAL_WRITE_ONCE
0x00100000:The write MUST be performed in sequential order.</t>
  </si>
  <si>
    <t>MS-SMB_R9050</t>
  </si>
  <si>
    <t>[In File System Attribute Extensions]FILE_SUPPORTS_TRANSACTIONS	
0x00200000 means 
File system supports transaction processing.</t>
  </si>
  <si>
    <t>MS-SMB_R9051</t>
  </si>
  <si>
    <t>[In File System Attribute Extensions]FILE_SUPPORTS_HARD_LINKS
0x00400000
  means 
File system supports direct links to other devices and partitions.</t>
  </si>
  <si>
    <t>MS-SMB_R9052</t>
  </si>
  <si>
    <t>[In File System Attribute Extensions]FILE_SUPPORTS_EXTENDED_ATTRIBUTES
0x00800000 means 
File system supports extended attributes (EAs).</t>
  </si>
  <si>
    <t>MS-SMB_R9053</t>
  </si>
  <si>
    <t>[In File System Attribute Extensions]FILE_SUPPORTS_OPEN_BY_FILE_ID
0x01000000
 means 
File system supports open by FileID.</t>
  </si>
  <si>
    <t>MS-SMB_R9054</t>
  </si>
  <si>
    <t>[In File System Attribute Extensions]FILE_SUPPORTS_USN_JOURNAL
0x02000000 means 
File system supports update sequence number (USN) journals.</t>
  </si>
  <si>
    <t>MS-SMB_R9055</t>
  </si>
  <si>
    <t>[In File System Attribute Extensions]Reserved
0xFE007E00:These bits fields SHOULD be set to zero when sending.</t>
  </si>
  <si>
    <t>MS-SMB_R9056</t>
    <phoneticPr fontId="5" type="noConversion"/>
  </si>
  <si>
    <t>[In File System Attribute Extensions]Reserved
0xFE007E00:MUST be ignored when the message is received.</t>
    <phoneticPr fontId="5" type="noConversion"/>
  </si>
  <si>
    <t>MS-SMB_R109056</t>
    <phoneticPr fontId="5" type="noConversion"/>
  </si>
  <si>
    <t>MS-SMB_R9056:p</t>
    <phoneticPr fontId="5" type="noConversion"/>
  </si>
  <si>
    <t>MS-SMB_R9057</t>
  </si>
  <si>
    <t>2.2.1.3</t>
  </si>
  <si>
    <t>[In Unique Identifiers]The list of unique identifiers, specified in [MS-CIFS] section 2.2.1.6, has been extended to include the following new unique identifiers:
64-bit file identifier (FileId),Volume GUID (VolumeGUID),Copychunk Resume Key.</t>
  </si>
  <si>
    <t>MS-SMB_R9058</t>
  </si>
  <si>
    <t>2.2.1.3.1</t>
  </si>
  <si>
    <t>[In FileId Generation]64-bit file identifiers (FileIds) are generated on SMB servers.</t>
  </si>
  <si>
    <t>MS-SMB_R9059</t>
  </si>
  <si>
    <t>[In FileId Generation]The generation of FileIds MUST satisfy the following constraints:The FileId MUST be a 64-bit opaque value.</t>
  </si>
  <si>
    <t>MS-SMB_R9060</t>
  </si>
  <si>
    <t>[In FileId Generation]The generation of FileIds MUST satisfy the following constraints:The FileId MUST be unique for a file on a given object store.&lt;13&gt;</t>
  </si>
  <si>
    <t>MS-SMB_R9061</t>
  </si>
  <si>
    <t>[In FileId Generation]The generation of FileIds MUST satisfy the following constraints:The FileId for a file MUST persist for the lifetime of a file on a given object store.</t>
  </si>
  <si>
    <t>MS-SMB_R9062</t>
  </si>
  <si>
    <t>[In FileId Generation]The generation of FileIds MUST satisfy the following constraints:A FileId MUST NOT be changed when a file is renamed.</t>
  </si>
  <si>
    <t>MS-SMB_R9063</t>
    <phoneticPr fontId="5" type="noConversion"/>
  </si>
  <si>
    <t>[In FileId Generation]The generation of FileIds MUST satisfy the following constraints:When the file is deleted, the FileId MAY be reused.</t>
  </si>
  <si>
    <t>MS-SMB_R109063</t>
    <phoneticPr fontId="5" type="noConversion"/>
  </si>
  <si>
    <t>[In FileId Generation]The generation of FileIds MUST satisfy the following constraints:When the file is deleted, the FileId is not reused in Windows.</t>
    <phoneticPr fontId="5" type="noConversion"/>
  </si>
  <si>
    <t>MS-SMB_R9064</t>
    <phoneticPr fontId="5" type="noConversion"/>
  </si>
  <si>
    <t>[In FileId Generation]The generation of FileIds MUST satisfy the following constraints:All possible values for FileId are valid.</t>
  </si>
  <si>
    <t>Can't ensure "All".</t>
    <phoneticPr fontId="5" type="noConversion"/>
  </si>
  <si>
    <t>MS-SMB_R109064</t>
    <phoneticPr fontId="5" type="noConversion"/>
  </si>
  <si>
    <t>[In FileId Generation]The generation of FileIds MUST satisfy the following constraints:possible values for FileId are valid.</t>
    <phoneticPr fontId="5" type="noConversion"/>
  </si>
  <si>
    <t>MS-SMB_R9064:p</t>
    <phoneticPr fontId="5" type="noConversion"/>
  </si>
  <si>
    <t>MS-SMB_R9065</t>
  </si>
  <si>
    <t>2.2.1.3.2</t>
  </si>
  <si>
    <t>[In VolumeGUID Generation]VolumeGUIDs (Volume Globally Unique Identifiers, or volume identifiers, see also [MS-DTYP] section 2.3.2) are generated on SMB servers.</t>
  </si>
  <si>
    <t>MS-SMB_R9066</t>
  </si>
  <si>
    <t>[In VolumeGUID Generation]The generation of VolumeGUIDs MUST satisfy the following constraints:The VolumeGUID MUST be a 128-bit opaque value.</t>
  </si>
  <si>
    <t>MS-SMB_R9067</t>
    <phoneticPr fontId="5" type="noConversion"/>
  </si>
  <si>
    <t>[In VolumeGUID Generation]The generation of VolumeGUIDs MUST satisfy the following constraints:The VolumeGUID MUST be unique for a logical file system volume on a given server.</t>
    <phoneticPr fontId="5" type="noConversion"/>
  </si>
  <si>
    <t>MS-SMB_R9068</t>
  </si>
  <si>
    <t>MS-SMB_R9069</t>
  </si>
  <si>
    <t>MS-SMB_R9070</t>
    <phoneticPr fontId="5" type="noConversion"/>
  </si>
  <si>
    <t>MS-SMB_R109070</t>
    <phoneticPr fontId="5" type="noConversion"/>
  </si>
  <si>
    <t>MS-SMB_R9071</t>
  </si>
  <si>
    <t>2.2.1.3.3</t>
  </si>
  <si>
    <t>[In Copychunk Resume Key Generation] Copychunk Resume Keys are generated on SMB servers.</t>
  </si>
  <si>
    <t>MS-SMB_R9072</t>
  </si>
  <si>
    <t>[In Copychunk Resume Key Generation] The generation of Copychunk Resume Keys MUST satisfy the following constraints:The Copychunk Resume Key MUST be a 24-byte opaque value generated by an SMB server in response to a request by the client (an SMB_COM_NT_TRANSACTION request with an NT_TRANSACT_IOCTL subcommand for the FSCTL_SRV_REQUEST_RESUME_KEY).</t>
  </si>
  <si>
    <t>MS-SMB_R9073</t>
  </si>
  <si>
    <t>[In Copychunk Resume Key Generation] The generation of Copychunk Resume Keys MUST satisfy the following constraints:The Copychunk Resume Key MUST be unique on the SMB server for a given open file on a server.</t>
  </si>
  <si>
    <t>MS-SMB_R9074</t>
  </si>
  <si>
    <t>[In Copychunk Resume Key Generation] The generation of Copychunk Resume Keys MUST satisfy the following constraints:The Copychunk Resume Key MUST remain valid for the lifetime of the open file on the server.</t>
  </si>
  <si>
    <t>MS-SMB_R9075</t>
  </si>
  <si>
    <t>[In Copychunk Resume Key Generation] The generation of Copychunk Resume Keys MUST satisfy the following constraints:All possible values for the Copychunk Resume Key are valid.</t>
  </si>
  <si>
    <t>MS-SMB_R9076</t>
  </si>
  <si>
    <t>2.2.1.4</t>
  </si>
  <si>
    <t>[In Access Masks]The SMB protocol introduces the use of Access Mask structures, which are based on the ACCESS_MASK data type specified in [MS-DTYP] section 2.4.3.</t>
  </si>
  <si>
    <t>MS-SMB_R9077</t>
  </si>
  <si>
    <t>[In Access Masks]SMB defines two types of access masks for two basic groups: either for a file, pipe, or printer (specified in section 2.2.1.4.1) or for a directory (specified in section 2.2.1.4.2).</t>
  </si>
  <si>
    <t>MS-SMB_R9078</t>
  </si>
  <si>
    <t>[In Access Masks]Each access mask MUST be a combination of zero or more of the bit positions.</t>
  </si>
  <si>
    <t>MS-SMB_R9079</t>
  </si>
  <si>
    <t>2.2.1.4.1</t>
  </si>
  <si>
    <t>[In File_Pipe_Printer_Access_Mask]The following SMB Access Mask structure is defined for use on a file, named pipe, or printer.</t>
  </si>
  <si>
    <t>MS-SMB_R9080</t>
  </si>
  <si>
    <t>MS-SMB_R9081</t>
  </si>
  <si>
    <t>[In File_Pipe_Printer_Access_Mask]FILE_READ_DATA0x00000001:
This value indicates the right to read data from the file or named pipe.</t>
  </si>
  <si>
    <t>MS-SMB_R9082</t>
  </si>
  <si>
    <t>[In File_Pipe_Printer_Access_Mask]FILE_WRITE_DATA0x00000002
:This value indicates the right to write data into the file or named pipe beyond the end of the file.</t>
  </si>
  <si>
    <t>MS-SMB_R9083</t>
  </si>
  <si>
    <t>[In File_Pipe_Printer_Access_Mask]FILE_APPEND_DATA0x00000004
:This value indicates the right to append data into the file or named pipe.</t>
  </si>
  <si>
    <t>MS-SMB_R9084</t>
  </si>
  <si>
    <t>[In File_Pipe_Printer_Access_Mask]FILE_READ_EA0x00000008:
This value indicates the right to read the extended attributes of the file or named pipe.</t>
  </si>
  <si>
    <t>MS-SMB_R9085</t>
  </si>
  <si>
    <t>[In File_Pipe_Printer_Access_Mask]FILE_WRITE_EA0x00000010:
This value indicates the right to write or change the extended attributes to the file or named pipe.</t>
  </si>
  <si>
    <t>MS-SMB_R9086</t>
  </si>
  <si>
    <t>[In File_Pipe_Printer_Access_Mask]FILE_EXECUTE0x00000020:This value indicates the right to execute the file.</t>
  </si>
  <si>
    <t>MS-SMB_R9087</t>
  </si>
  <si>
    <t>[In File_Pipe_Printer_Access_Mask]FILE_READ_ATTRIBUTES0x00000080
:This value indicates the right to read the attributes of the file.</t>
  </si>
  <si>
    <t>MS-SMB_R9088</t>
  </si>
  <si>
    <t>[In File_Pipe_Printer_Access_Mask]FILE_WRITE_ATTRIBUTES0x00000100:
This value indicates the right to change the attributes of the file.</t>
  </si>
  <si>
    <t>MS-SMB_R9089</t>
  </si>
  <si>
    <t>[In File_Pipe_Printer_Access_Mask]DELETE0x00010000
:This value indicates the right to delete the file.</t>
  </si>
  <si>
    <t>MS-SMB_R9090</t>
  </si>
  <si>
    <t>[In File_Pipe_Printer_Access_Mask]READ_CONTROL0x00020000
:This value indicates the right to read the security descriptor for the file or named pipe.</t>
  </si>
  <si>
    <t>MS-SMB_R9091</t>
  </si>
  <si>
    <t>[In File_Pipe_Printer_Access_Mask]WRITE_DAC0x00040000
:This value indicates the right to change the discretionary access control list (DACL) in the security descriptor for the file or named pipe. For the DACL data structure, see ACL in [MS-DTYP] section 2.4.5.</t>
  </si>
  <si>
    <t>MS-SMB_R9092</t>
  </si>
  <si>
    <t>[In File_Pipe_Printer_Access_Mask]WRITE_OWNER0x00080000
:This value indicates the right to change the owner in the security descriptor for the file or named pipe.</t>
  </si>
  <si>
    <t>MS-SMB_R9093</t>
  </si>
  <si>
    <t>[In File_Pipe_Printer_Access_Mask]SYNCHRONIZE0x00100000:
This flag SHOULD be ignored by both clients and servers.</t>
  </si>
  <si>
    <t>Server internal behavior.</t>
  </si>
  <si>
    <t>MS-SMB_R19093</t>
  </si>
  <si>
    <t>[In File_Pipe_Printer_Access_Mask]SYNCHRONIZE0x00100000:Reply SHOULD be the same whether 0 or non-zero is used for Field.</t>
  </si>
  <si>
    <t>MS-SMB_R29093</t>
  </si>
  <si>
    <t>[In File_Pipe_Printer_Access_Mask]SYNCHRONIZE0x00100000:Reply is the same whether 0 or non-zero is used for Field in the Windows.</t>
  </si>
  <si>
    <t>MS-SMB_R9094</t>
  </si>
  <si>
    <t>[In File_Pipe_Printer_Access_Mask]ACCESS_SYSTEM_SECURITY0x01000000
:This value indicates the right to read or change the system access control list (SACL) in the security descriptor for the file or named pipe. For the SACL data structure, see ACL in [MS-DTYP] section 2.4.5.</t>
  </si>
  <si>
    <t>MS-SMB_R9095</t>
  </si>
  <si>
    <t>[In File_Pipe_Printer_Access_Mask]MAXIMUM_ALLOWED
0x02000000:This value indicates that the client is requesting an open to the file with the highest level of access the client has on this file.</t>
  </si>
  <si>
    <t>MS-SMB_R9096</t>
  </si>
  <si>
    <t>[In File_Pipe_Printer_Access_Mask]If no access is granted for the client on this file, the server MUST fail the open with STATUS_ACCESS_DENIED.</t>
  </si>
  <si>
    <t>MS-SMB_R9097</t>
  </si>
  <si>
    <t>[In File_Pipe_Printer_Access_Mask]GENERIC_ALL
0x10000000:This value indicates a request for all the access flags that are previously listed, except MAXIMUM_ALLOWED and ACCESS_SYSTEM_SECURITY.</t>
  </si>
  <si>
    <t>MS-SMB_R9098</t>
  </si>
  <si>
    <t>[In File_Pipe_Printer_Access_Mask]GENERIC_EXECUTE0x20000000 :This value indicates a request for the following combination of access flags listed above: FILE_READ_ATTRIBUTES, FILE_EXECUTE, SYNCHRONIZE, and READ_CONTROL.</t>
  </si>
  <si>
    <t>MS-SMB_R9099</t>
  </si>
  <si>
    <t>[In File_Pipe_Printer_Access_Mask]GENERIC_WRITE0x40000000
:This value indicates a request for the following combination of access flags listed above: FILE_WRITE_DATA, FILE_APPEND_DATA, FILE_WRITE_ATTRIBUTES, FILE_WRITE_EA, SYNCHRONIZE, and READ_CONTROL.</t>
  </si>
  <si>
    <t>MS-SMB_R9100</t>
  </si>
  <si>
    <t>[In File_Pipe_Printer_Access_Mask]GENERIC_READ0x80000000:
This value indicates a request for the following combination of access flags listed above: FILE_READ_DATA, FILE_READ_ATTRIBUTES, FILE_READ_EA, SYNCHRONIZE, and READ_CONTROL.</t>
  </si>
  <si>
    <t>MS-SMB_R9101</t>
  </si>
  <si>
    <t>2.2.1.4.2</t>
  </si>
  <si>
    <t>[In Directory_Access_Mask]The following SMB Access Mask is defined for use on a directory.</t>
    <phoneticPr fontId="5" type="noConversion"/>
  </si>
  <si>
    <t>MS-SMB_R9102</t>
  </si>
  <si>
    <t>[In Directory_Access_Mask]Directory_Access_Mask (4 bytes):For a directory, the value MUST be constructed using the following values:[FILE_LIST_DIRECTORY
0x00000001,FILE_ADD_FILE
0x00000002,FILE_ADD_SUBDIRECTORY
0x00000004,FILE_READ_EA
0x00000008,FILE_WRITE_EA
0x00000010,FILE_TRAVERSE
0x00000020,FILE_DELETE_CHILD
0x00000040,FILE_READ_ATTRIBUTES
0x00000080,FILE_WRITE_ATTRIBUTES
0x00000100,DELETE
0x00010000,READ_CONTROL
0x00020000,WRITE_DAC
0x00040000,WRITE_OWNER
0x00080000,SYNCHRONIZE
0x00100000,ACCESS_SYSTEM_SECURITY
0x01000000,MAXIMUM_ALLOWED
0x02000000,GENERIC_ALL
0x10000000,GENERIC_EXECUTE
0x20000000,GENERIC_WRITE
0x40000000,GENERIC_READ
0x80000000].</t>
  </si>
  <si>
    <t>MS-SMB_R9103</t>
  </si>
  <si>
    <t>[In Directory_Access_Mask]Directory_Access_Mask (4 bytes):FILE_LIST_DIRECTORY0x00000001
:This value indicates the right to enumerate the contents of the directory.</t>
    <phoneticPr fontId="5" type="noConversion"/>
  </si>
  <si>
    <t>MS-SMB_R9104</t>
  </si>
  <si>
    <t>[In Directory_Access_Mask]Directory_Access_Mask (4 bytes):FILE_ADD_FILE0x00000002:
This value indicates the right to create a file under the directory.</t>
    <phoneticPr fontId="5" type="noConversion"/>
  </si>
  <si>
    <t>MS-SMB_R9105</t>
  </si>
  <si>
    <t>[In Directory_Access_Mask]Directory_Access_Mask (4 bytes):FILE_ADD_SUBDIRECTORY0x00000004
This value indicates the right to add a sub-directory under the directory.</t>
    <phoneticPr fontId="5" type="noConversion"/>
  </si>
  <si>
    <t>MS-SMB_R9106</t>
  </si>
  <si>
    <t>[In Directory_Access_Mask]Directory_Access_Mask (4 bytes):FILE_READ_EA0x00000008
This value indicates the right to read the extended attributes of the directory.</t>
    <phoneticPr fontId="5" type="noConversion"/>
  </si>
  <si>
    <t>MS-SMB_R9107</t>
  </si>
  <si>
    <t>[In Directory_Access_Mask]Directory_Access_Mask (4 bytes):FILE_WRITE_EA0x00000010
This value indicates the right to write or change the extended attributes of the directory.</t>
    <phoneticPr fontId="5" type="noConversion"/>
  </si>
  <si>
    <t>MS-SMB_R9108</t>
  </si>
  <si>
    <t>[In Directory_Access_Mask]Directory_Access_Mask (4 bytes):FILE_TRAVERSE0x00000020
:This value indicates the right to traverse this directory if the server enforces traversal checking.</t>
    <phoneticPr fontId="5" type="noConversion"/>
  </si>
  <si>
    <t>MS-SMB_R9109</t>
  </si>
  <si>
    <t>[In Directory_Access_Mask]Directory_Access_Mask (4 bytes):FILE_DELETE_CHILD0x00000040:
This value indicates the right to delete the files and directories within this directory.</t>
    <phoneticPr fontId="5" type="noConversion"/>
  </si>
  <si>
    <t>MS-SMB_R9110</t>
  </si>
  <si>
    <t>[In Directory_Access_Mask]Directory_Access_Mask (4 bytes):FILE_READ_ATTRIBUTES0x00000080
:This value indicates the right to read the attributes of the directory.</t>
    <phoneticPr fontId="5" type="noConversion"/>
  </si>
  <si>
    <t>MS-SMB_R9111</t>
  </si>
  <si>
    <t>[In Directory_Access_Mask]Directory_Access_Mask (4 bytes):FILE_WRITE_ATTRIBUTES0x00000100:
This value indicates the right to change the attributes of the directory.</t>
    <phoneticPr fontId="5" type="noConversion"/>
  </si>
  <si>
    <t>MS-SMB_R9112</t>
  </si>
  <si>
    <t>[In Directory_Access_Mask]Directory_Access_Mask (4 bytes):DELETE0x00010000
:This value indicates the right to delete the directory.</t>
    <phoneticPr fontId="5" type="noConversion"/>
  </si>
  <si>
    <t>MS-SMB_R9113</t>
  </si>
  <si>
    <t>[In Directory_Access_Mask]Directory_Access_Mask (4 bytes):READ_CONTROL0x00020000
:This value indicates the right to read the security descriptor for the directory.</t>
    <phoneticPr fontId="5" type="noConversion"/>
  </si>
  <si>
    <t>MS-SMB_R9114</t>
  </si>
  <si>
    <t>[In Directory_Access_Mask]Directory_Access_Mask (4 bytes):WRITE_DAC
0x00040000:This value indicates the right to change the DACL in the security descriptor for the directory.</t>
    <phoneticPr fontId="5" type="noConversion"/>
  </si>
  <si>
    <t>MS-SMB_R9115</t>
  </si>
  <si>
    <t>[In Directory_Access_Mask]Directory_Access_Mask (4 bytes):WRITE_OWNER0x00080000
This value indicates the right to change the owner in the security descriptor for the directory.</t>
    <phoneticPr fontId="5" type="noConversion"/>
  </si>
  <si>
    <t>MS-SMB_R9116</t>
  </si>
  <si>
    <t>[In Directory_Access_Mask]Directory_Access_Mask (4 bytes):SYNCHRONIZE0x00100000
:This flag SHOULD be ignored by both clients and servers.</t>
  </si>
  <si>
    <t>MS-SMB_R19116</t>
  </si>
  <si>
    <t>[In Directory_Access_Mask]Directory_Access_Mask (4 bytes):SYNCHRONIZE0x00100000
:Reply SHOULD be the same whether 0 or non-zero is used for Field.</t>
  </si>
  <si>
    <t>MS-SMB_R29116</t>
  </si>
  <si>
    <t>[In Directory_Access_Mask]Directory_Access_Mask (4 bytes):SYNCHRONIZE0x00100000
:Reply is the same whether 0 or non-zero is used for Field in the Windows.</t>
  </si>
  <si>
    <t>MS-SMB_R9117</t>
  </si>
  <si>
    <t>[In Directory_Access_Mask]Directory_Access_Mask (4 bytes):ACCESS_SYSTEM_SECURITY
0x01000000:This value indicates the right to read or change the SACL in the security descriptor for the directory.</t>
    <phoneticPr fontId="5" type="noConversion"/>
  </si>
  <si>
    <t>MS-SMB_R9118</t>
  </si>
  <si>
    <t>[In Directory_Access_Mask]Directory_Access_Mask (4 bytes):MAXIMUM_ALLOWED
0x02000000:This value indicates that the client is requesting an open to the directory with the highest level of access that the client has on this directory.</t>
    <phoneticPr fontId="5" type="noConversion"/>
  </si>
  <si>
    <t>MS-SMB_R9119</t>
  </si>
  <si>
    <t>[In Directory_Access_Mask]Directory_Access_Mask (4 bytes):MAXIMUM_ALLOWED
0x02000000:If no access is granted for the client on this directory, then the server MUST fail the open with STATUS_ACCESS_DENIED.</t>
    <phoneticPr fontId="5" type="noConversion"/>
  </si>
  <si>
    <t>MS-SMB_R9120</t>
  </si>
  <si>
    <t>[In Directory_Access_Mask]Directory_Access_Mask (4 bytes):GENERIC_ALL0x10000000
This value indicates a request for all of the access flags that are listed above, except MAXIMUM_ALLOWED and ACCESS_SYSTEM_SECURITY.</t>
  </si>
  <si>
    <t>MS-SMB_R9121</t>
  </si>
  <si>
    <t>[In Directory_Access_Mask]Directory_Access_Mask (4 bytes):GENERIC_EXECUTE0x20000000:
This value indicates a request for the following access flags listed above: FILE_READ_ATTRIBUTES, FILE_TRAVERSE, SYNCHRONIZE, and READ_CONTROL.</t>
    <phoneticPr fontId="5" type="noConversion"/>
  </si>
  <si>
    <t>MS-SMB_R9122</t>
  </si>
  <si>
    <t>[In Directory_Access_Mask]Directory_Access_Mask (4 bytes):GENERIC_WRITE0x40000000:
This value indicates a request for the following access flags listed above: FILE_ADD_FILE, FILE_ADD_SUBDIRECTORY, FILE_WRITE_ATTRIBUTES, FILE_WRITE_EA, SYNCHRONIZE, and READ_CONTROL.</t>
    <phoneticPr fontId="5" type="noConversion"/>
  </si>
  <si>
    <t>MS-SMB_R9123</t>
  </si>
  <si>
    <t>[In Directory_Access_Mask]Directory_Access_Mask (4 bytes):GENERIC_READ0x80000000
This value indicates a request for the following access flags listed above: FILE_LIST_DIRECTORY, FILE_READ_ATTRIBUTES, FILE_READ_EA, SYNCHRONIZE, and READ_CONTROL.</t>
    <phoneticPr fontId="5" type="noConversion"/>
  </si>
  <si>
    <t>MS-SMB_R9124</t>
  </si>
  <si>
    <t>2.2.2.1</t>
  </si>
  <si>
    <t>[In SMB_COM Command Codes]No new defined constants are introduced for this section.&lt;14&gt;</t>
  </si>
  <si>
    <t>MS-SMB_R9125</t>
  </si>
  <si>
    <t>2.2.2.2</t>
  </si>
  <si>
    <t>[In Transaction Subcommand Codes]In addition to the transaction subcommand codes specified in [MS-CIFS] section 2.2.2.2, the following modifications and extensions apply.</t>
    <phoneticPr fontId="5" type="noConversion"/>
  </si>
  <si>
    <t>MS-SMB_R9126</t>
  </si>
  <si>
    <t>[In Transaction Subcommand Codes]In the following tables, the Description column is also used to specify changes in a particular subcommand's current usage status.</t>
  </si>
  <si>
    <t>MS-SMB_R9127</t>
  </si>
  <si>
    <t>[In Transaction Subcommand Codes]Transaction Codes used with SMB_COM_TRANSACTION:TRANS_RAW_READ_NMPIPE
0x0036
:This command code has changed from deprecated to obsolescent.</t>
  </si>
  <si>
    <t>MS-SMB_R9128</t>
  </si>
  <si>
    <t>[In Transaction Subcommand Codes]Transaction Codes used with SMB_COM_TRANSACTION:TRANS_CALL_NMPIPE
0x0054
:This command code has changed from current to obsolescent.</t>
  </si>
  <si>
    <t>MS-SMB_R9129</t>
  </si>
  <si>
    <t>[In Transaction Subcommand Codes]Transaction Codes used with SMB_COM_TRANSACTION2:TRANS2_SET_FS_INFORMATION
0x0004:
Set information on a file system on the server. This command code has changed from reserved but not implemented to current.</t>
  </si>
  <si>
    <t>MS-SMB_R9130</t>
  </si>
  <si>
    <t>[In Transaction Subcommand Codes]Transaction Codes used with SMB_COM_NT_TRANSACT:NT_TRANSACT_QUERY_QUOTA
0x0007:
Query a server for a user's disk quota information. This command code is new to these extensions.</t>
  </si>
  <si>
    <t>MS-SMB_R9131</t>
  </si>
  <si>
    <t>[In Transaction Subcommand Codes]Transaction Codes used with SMB_COM_NT_TRANSACT:NT_TRANSACT_SET_QUOTA
0x0008
:Set a user's disk quota information on a server. This command code is new to these extensions.</t>
  </si>
  <si>
    <t>MS-SMB_R9132</t>
  </si>
  <si>
    <t>MS-SMB_R9133</t>
  </si>
  <si>
    <t>2.2.2.3</t>
  </si>
  <si>
    <t>[In  Information Level Codes]The following new Information Level codes are specified in addition to those defined in [MS-CIFS] section 2.2.2.3.</t>
  </si>
  <si>
    <t>MS-SMB_R9134</t>
  </si>
  <si>
    <t>2.2.2.3.1</t>
  </si>
  <si>
    <t>[In  FIND Information Level Codes]The following new Information Level codes are specified in addition to those specified in [MS-CIFS] section 2.2.2.3.1.&lt;15&gt;</t>
  </si>
  <si>
    <t>MS-SMB_R9135</t>
  </si>
  <si>
    <t>[In  FIND Information Level Codes]SMB_FIND_FILE_ID_FULL_DIRECTORY_INFO
0x0105:
Returns the SMB_FIND_ FULL_DIRECTORY_INFO data with a FileId.</t>
  </si>
  <si>
    <t>MS-SMB_R9136</t>
  </si>
  <si>
    <t>[In  FIND Information Level Codes]SMB_FIND_FILE_ID_BOTH_DIRECTORY_INFO
0x0106:
Returns the SMB_FIND_FILE_ID_BOTH_DIRECTORY_INFO data with a FileId.</t>
  </si>
  <si>
    <t>MS-SMB_R9137</t>
  </si>
  <si>
    <t>2.2.2.3.2</t>
  </si>
  <si>
    <t>[In QUERY_FS Information Level Codes]No new SMB-specific Information Level codes are specified for these extensions.</t>
  </si>
  <si>
    <t>MS-SMB_R9138</t>
  </si>
  <si>
    <t>2.2.2.3.3</t>
  </si>
  <si>
    <t>[In QUERY Information Level Codes]No new SMB-specific Information Level codes are specified for these extensions.</t>
  </si>
  <si>
    <t>MS-SMB_R9139</t>
  </si>
  <si>
    <t>2.2.2.3.4</t>
  </si>
  <si>
    <t>[In SET Information Level Codes]No new SMB-specific Information Level codes are specified for these extensions.</t>
  </si>
  <si>
    <t>MS-SMB_R9140</t>
  </si>
  <si>
    <t>2.2.2.3.5</t>
  </si>
  <si>
    <t>[In Pass-through Information Level Codes]This document provides an extension of a new Information Level code value range called pass-through Information Levels, which can be used to set or query information on the server.</t>
  </si>
  <si>
    <t>MS-SMB_R9141</t>
  </si>
  <si>
    <t>[In Pass-through Information Level Codes]These Information Levels allow SMB clients to directly query Information Levels native to the underlying object store.&lt;16&gt;</t>
  </si>
  <si>
    <t>MS-SMB_R9142</t>
  </si>
  <si>
    <t>[In Pass-through Information Level Codes]Servers indicate support for these new pass-through Information Levels by setting the new CAP_INFOLEVEL_PASSTHRU capability flag in an SMB_COM_NEGOTIATE server response (section 2.2.4.5.2).</t>
  </si>
  <si>
    <t>MS-SMB_R9143</t>
  </si>
  <si>
    <t>[In Pass-through Information Level Codes]To access these new Information Levels, a client adds the constant SMB_INFO_PASSTHROUGH (0x03e8) to the desired native information class level value.</t>
  </si>
  <si>
    <t>MS-SMB_R9144</t>
  </si>
  <si>
    <t>[In Pass-through Information Level Codes]This value is then sent in the InformationLevel field of the particular SMB_COM_TRANSACTION2 subcommand being used to access the Information Levels.</t>
  </si>
  <si>
    <t>MS-SMB_R9145</t>
  </si>
  <si>
    <t>2.2.2.3.6</t>
  </si>
  <si>
    <t>In addition, SMB_COM_TRANSACTION2 Information Levels in the range 0x200 to 0x3E0 (inclusive) are reserved for third-party extensions, as described in section 1.8.&lt;17&gt;</t>
  </si>
  <si>
    <t>MS-SMB_R9146</t>
  </si>
  <si>
    <t>2.2.2.4</t>
  </si>
  <si>
    <t>[In SMB Error Classes and Codes]The following is a list of 32-bit status codes that are required to implement these extensions, their associated values, and a description of what they represent.&lt;18&gt;</t>
  </si>
  <si>
    <t>MS-SMB_R9147</t>
  </si>
  <si>
    <t>[In SMB Error Classes and Codes]0x00000000STATUS_SUCCESS
 means The client request is successful.</t>
  </si>
  <si>
    <t>MS-SMB_R9148</t>
  </si>
  <si>
    <t>[In SMB Error Classes and Codes]0x00010002STATUS_INVALID_SMB means 
An invalid SMB client request is received by the server.</t>
  </si>
  <si>
    <t>MS-SMB_R9149</t>
  </si>
  <si>
    <t>[In SMB Error Classes and Codes]0x00050002STATUS_SMB_BAD_TID
 means The client request received by the server contains an invalid TID value.</t>
  </si>
  <si>
    <t>MS-SMB_R9150</t>
  </si>
  <si>
    <t>[In SMB Error Classes and Codes]0x00160002STATUS_SMB_BAD_COMMAND
 meansThe client request received by the server contains an unknown SMB command code.</t>
  </si>
  <si>
    <t>MS-SMB_R9151</t>
  </si>
  <si>
    <t>[In SMB Error Classes and Codes]0x005B0002STATUS_SMB_BAD_UID
 means The client request to the server contains an invalid UID value.</t>
  </si>
  <si>
    <t>MS-SMB_R9152</t>
  </si>
  <si>
    <t>[In SMB Error Classes and Codes]0x00FB0002
STATUS_SMB_USE_STANDARD
means The client request received by the server is for a non-standard SMB operation (for example, an SMB_COM_READ_MPX request on a non-disk share ).</t>
  </si>
  <si>
    <t>MS-SMB_R9153</t>
  </si>
  <si>
    <t>[In SMB Error Classes and Codes]The client SHOULD send another request with a different SMB command to perform this operation.</t>
  </si>
  <si>
    <t>MS-SMB_R9154</t>
  </si>
  <si>
    <t>[In SMB Error Classes and Codes]0x80000005STATUS_BUFFER_OVERFLOW
 means The data was too large to fit into the specified buffer.</t>
  </si>
  <si>
    <t>MS-SMB_R9155</t>
  </si>
  <si>
    <t>[In SMB Error Classes and Codes]0x80000006STATUS_NO_MORE_FILES means 
No more files were found that match the file specification.</t>
  </si>
  <si>
    <t>MS-SMB_R9156</t>
  </si>
  <si>
    <t>[In SMB Error Classes and Codes]0x8000002DSTATUS_STOPPED_ON_SYMLINK
 means The create operation stopped after reaching a symbolic link.</t>
  </si>
  <si>
    <t>MS-SMB_R9157</t>
  </si>
  <si>
    <t>[In SMB Error Classes and Codes]0xC0000002STATUS_NOT_IMPLEMENTED
 means The requested operation is not implemented.</t>
  </si>
  <si>
    <t>MS-SMB_R9158</t>
  </si>
  <si>
    <t>[In SMB Error Classes and Codes]0xC000000DSTATUS_INVALID_PARAMETER
 means The parameter specified in the request is not valid.</t>
  </si>
  <si>
    <t>MS-SMB_R9159</t>
  </si>
  <si>
    <t>[In SMB Error Classes and Codes]0xC000000ESTATUS_NO_SUCH_DEVICE means 
A device that does not exist was specified.</t>
  </si>
  <si>
    <t>MS-SMB_R9160</t>
  </si>
  <si>
    <t>[In SMB Error Classes and Codes]0xC0000010STATUS_INVALID_DEVICE_REQUEST means 
The specified request is not a valid operation for the target device.</t>
  </si>
  <si>
    <t>MS-SMB_R9161</t>
  </si>
  <si>
    <t>[In SMB Error Classes and Codes]0xC0000016STATUS_MORE_PROCESSING_REQUIRED means 
If extended security has been negotiated, then this error code can be returned in the SMB_COM_SESSION_SETUP_ANDX response from the server to indicate that additional authentication information is to be exchanged. See section 2.2.4.6 for details.</t>
    <phoneticPr fontId="5" type="noConversion"/>
  </si>
  <si>
    <t>MS-SMB_R9162</t>
  </si>
  <si>
    <t>[In SMB Error Classes and Codes]0xC0000022STATUS_ACCESS_DENIED means 
The client did not have the required permission needed for the operation.</t>
  </si>
  <si>
    <t>MS-SMB_R9163</t>
  </si>
  <si>
    <t>[In SMB Error Classes and Codes]0xC0000023STATUS_BUFFER_TOO_SMALL
 means The buffer is too small to contain the entry. No information has been written to the buffer.</t>
  </si>
  <si>
    <t>MS-SMB_R9164</t>
  </si>
  <si>
    <t>[In SMB Error Classes and Codes]0xC0000034STATUS_OBJECT_NAME_NOT_FOUND means 
The object name is not found.</t>
  </si>
  <si>
    <t>MS-SMB_R9165</t>
  </si>
  <si>
    <t>[In SMB Error Classes and Codes]0xC0000035STATUS_OBJECT_NAME_COLLISION means 
The object name already exists.</t>
  </si>
  <si>
    <t>MS-SMB_R9166</t>
  </si>
  <si>
    <t>[In SMB Error Classes and Codes]0xC000003A
STATUS_OBJECT_PATH_NOT_FOUND means The path to the directory specified was not found.</t>
  </si>
  <si>
    <t>MS-SMB_R9167</t>
  </si>
  <si>
    <t>[In SMB Error Classes and Codes]0xC000003A
STATUS_OBJECT_PATH_NOT_FOUND:This error is also returned on a create request if the operation requires the creation of more than one new directory level for the path specified.</t>
  </si>
  <si>
    <t>MS-SMB_R9168</t>
  </si>
  <si>
    <t>[In SMB Error Classes and Codes]0xC00000A5
STATUS_BAD_IMPERSONATION_LEVEL means A specified impersonation level is invalid.</t>
  </si>
  <si>
    <t>MS-SMB_R9169</t>
  </si>
  <si>
    <t>[In SMB Error Classes and Codes]0xC00000A5
STATUS_BAD_IMPERSONATION_LEVEL:This error is also used to indicate that a required impersonation level was not provided.</t>
  </si>
  <si>
    <t>MS-SMB_R9170</t>
  </si>
  <si>
    <t>[In SMB Error Classes and Codes]0xC00000B5STATUS_IO_TIMEOUT
 means The specified I/O operation was not completed before the time-out period expired.</t>
  </si>
  <si>
    <t>MS-SMB_R9171</t>
  </si>
  <si>
    <t>[In SMB Error Classes and Codes]0xC00000BASTATUS_FILE_IS_A_DIRECTORY means 
The file that was specified as a target is a directory and the caller specified that it could be anything but a directory.</t>
  </si>
  <si>
    <t>MS-SMB_R9172</t>
  </si>
  <si>
    <t>[In SMB Error Classes and Codes]0xC00000BBSTATUS_NOT_SUPPORTED
 means The client request is not supported.</t>
  </si>
  <si>
    <t>MS-SMB_R9173</t>
  </si>
  <si>
    <t>[In SMB Error Classes and Codes]0xC00000C9
STATUS_NETWORK_NAME_DELETED
 means The network name specified by the client has been deleted on the server.</t>
  </si>
  <si>
    <t>MS-SMB_R9174</t>
  </si>
  <si>
    <t>[In SMB Error Classes and Codes]0xC00000C9
STATUS_NETWORK_NAME_DELETED:This error is returned if the client specifies an incorrect TID or the share on the server represented by the TID was deleted.</t>
  </si>
  <si>
    <t>MS-SMB_R9175</t>
  </si>
  <si>
    <t>[In SMB Error Classes and Codes]0xC0000203
STATUS_USER_SESSION_DELETED means The user session specified by the client has been deleted on the server.</t>
  </si>
  <si>
    <t>MS-SMB_R9176</t>
  </si>
  <si>
    <t>[In SMB Error Classes and Codes]0xC0000203
STATUS_USER_SESSION_DELETED:This error is returned by the server if the client sends an incorrect UID.</t>
  </si>
  <si>
    <t>MS-SMB_R9177</t>
  </si>
  <si>
    <t>[In SMB Error Classes and Codes]0xC000035C
STATUS_NETWORK_SESSION_EXPIRED:The client's session has expired.</t>
  </si>
  <si>
    <t>MS-SMB_R9178</t>
  </si>
  <si>
    <t>[In SMB Error Classes and Codes]0xC000035C
STATUS_NETWORK_SESSION_EXPIRED:therefore, the client MUST re-authenticate to continue accessing remote resources.</t>
  </si>
  <si>
    <t>MS-SMB_R9179</t>
  </si>
  <si>
    <t>[In SMB Error Classes and Codes]0xC000205ASTATUS_SMB_TOO_MANY_UIDS
 means The client has requested too many UID values from the server or the client already has an SMB session setup with this UID value.</t>
  </si>
  <si>
    <t>MS-SMB_R9180</t>
  </si>
  <si>
    <t>2.2.2.5</t>
  </si>
  <si>
    <t>[In Session Key Protection Hash]The SSKeyHash is a well-known constant array.</t>
  </si>
  <si>
    <t>MS-SMB_R9181</t>
  </si>
  <si>
    <t>2.2.3.1</t>
  </si>
  <si>
    <t>[In SMB Header Extensions] All client requests MUST begin with a fixed-size SMB header, as specified in [MS-CIFS] section 2.2.3.1.</t>
  </si>
  <si>
    <t>MS-SMB_R9182</t>
    <phoneticPr fontId="5" type="noConversion"/>
  </si>
  <si>
    <t>[In SMB Header Extensions] All server responses, with the exception of the SMB_COM_READ_RAW response message, as specified in [MS-CIFS] section 2.2.4.22.2, MUST begin with the same fixed-size SMB header.</t>
  </si>
  <si>
    <t>Can't ensure "All".</t>
  </si>
  <si>
    <t>MS-SMB_R9183</t>
    <phoneticPr fontId="5" type="noConversion"/>
  </si>
  <si>
    <t>[In SMB Header Extensions] The server responses[SMB_COM_READ_ANDX ], with the exception of the SMB_COM_READ_RAW response message, as specified in [MS-CIFS] section 2.2.4.22.2, MUST begin with the same fixed-size SMB header.</t>
  </si>
  <si>
    <t>MS-SMB_R9182:p</t>
    <phoneticPr fontId="5" type="noConversion"/>
  </si>
  <si>
    <t>MS-SMB_R5274</t>
  </si>
  <si>
    <t>2.2.3.1</t>
    <phoneticPr fontId="5" type="noConversion"/>
  </si>
  <si>
    <t xml:space="preserve">[In SMB Header Extensions]Flags2 (2 bytes):  The Flags2 field contains individual bit flags that, depending on the negotiated SMB dialect, indicate various client and server capabilities. </t>
    <phoneticPr fontId="5" type="noConversion"/>
  </si>
  <si>
    <t>MS-SMB_R5275</t>
  </si>
  <si>
    <t>[In SMB Header Extensions]Flags2 (2 bytes): This field is defined as specified in [MS-CIFS] section 2.2.3.1.</t>
    <phoneticPr fontId="5" type="noConversion"/>
  </si>
  <si>
    <t>This requirement will be verified in MS-CIFS.</t>
  </si>
  <si>
    <t>MS-SMB_R105275</t>
    <phoneticPr fontId="5" type="noConversion"/>
  </si>
  <si>
    <t>[In SMB Header Extensions]There are several new Flags2 values in the SMB header that are not in [MS-CIFS], but are part of these extensions.</t>
    <phoneticPr fontId="5" type="noConversion"/>
  </si>
  <si>
    <t>MS-SMB_R107</t>
  </si>
  <si>
    <r>
      <t>[In SMB Header Extensions]Flags2 (2 bytes):Unused bit fields SHOULD&lt;</t>
    </r>
    <r>
      <rPr>
        <sz val="11"/>
        <rFont val="Calibri"/>
        <family val="3"/>
        <charset val="134"/>
        <scheme val="minor"/>
      </rPr>
      <t>19&gt; be set to zero by the sender when sending an SMB message .</t>
    </r>
  </si>
  <si>
    <t>MS-SMB_R11107</t>
  </si>
  <si>
    <r>
      <t>[In SMB Header Extensions]Flags2</t>
    </r>
    <r>
      <rPr>
        <sz val="11"/>
        <color theme="1"/>
        <rFont val="Calibri"/>
        <family val="2"/>
        <scheme val="minor"/>
      </rPr>
      <t xml:space="preserve"> (2 bytes):Unused bit fields </t>
    </r>
    <r>
      <rPr>
        <sz val="11"/>
        <color theme="1"/>
        <rFont val="Calibri"/>
        <family val="2"/>
        <scheme val="minor"/>
      </rPr>
      <t xml:space="preserve"> MUST be ignored </t>
    </r>
    <r>
      <rPr>
        <sz val="11"/>
        <rFont val="Calibri"/>
        <family val="2"/>
        <scheme val="minor"/>
      </rPr>
      <t xml:space="preserve">when received by the receiver. </t>
    </r>
  </si>
  <si>
    <t>Server internal behavior</t>
    <phoneticPr fontId="5" type="noConversion"/>
  </si>
  <si>
    <t>MS-SMB_R5277</t>
  </si>
  <si>
    <t>[In SMB Header Extensions]Flags2 (2 bytes): Reply is the same whether 0 or non-zero is used for Field.</t>
  </si>
  <si>
    <t>MS-SMB_R11107:p</t>
    <phoneticPr fontId="5" type="noConversion"/>
  </si>
  <si>
    <t>MS-SMB_R5278</t>
  </si>
  <si>
    <t>[In SMB Header Extensions]Flags2 (2 bytes): This field is constructed using the values listed in section 2.2.3.1 of [MS-CIFS], as well as the following additional values: SMB_FLAGS2_COMPRESSED
0x0008, SMB_FLAGS2_SMB_SECURITY_SIGNATURE_REQUIRED
0x0010, SMB_FLAGS2_IS_LONG_NAME
0x0040, SMB_FLAGS2_REPARSE_PATH
0x0400,SMB_FLAGS2_EXTENDED_SECURITY
0x0800.</t>
    <phoneticPr fontId="5" type="noConversion"/>
  </si>
  <si>
    <t>MS-SMB_R5279</t>
  </si>
  <si>
    <t xml:space="preserve">[In SMB Header Extensions]If [SMB_FLAGS2_COMPRESSED
0x0008] set by the client, the client is requesting compressed data for an SMB_COM_READ_ANDX request. </t>
    <phoneticPr fontId="5" type="noConversion"/>
  </si>
  <si>
    <t>MS-SMB_R105279</t>
    <phoneticPr fontId="5" type="noConversion"/>
  </si>
  <si>
    <t>MS-SMB_R114</t>
  </si>
  <si>
    <t>[In SMB Header Extensions]This bit field [SMB_FLAGS2_COMPRESSED
0x0008] SHOULD only be set to one when NT LAN Manager or later is negotiated for the SMB dialect.</t>
  </si>
  <si>
    <t>Non-testable</t>
    <phoneticPr fontId="5" type="noConversion"/>
  </si>
  <si>
    <t>Can't ensure "Only".</t>
    <phoneticPr fontId="5" type="noConversion"/>
  </si>
  <si>
    <t>MS-SMB_R11114</t>
  </si>
  <si>
    <t>[In SMB Header Extensions]This bit field [SMB_FLAGS2_COMPRESSED
0x0008] SHOULD  be set to one when NT LAN Manager or later is negotiated for the SMB dialect.</t>
  </si>
  <si>
    <t>MS-SMB_R115</t>
  </si>
  <si>
    <t>[In SMB Header Extensions]This bit field [SMB_FLAGS2_COMPRESSED
0x0008] is set to one when NT LAN Manager or later is negotiated for the SMB dialect in Windows.</t>
    <phoneticPr fontId="5" type="noConversion"/>
  </si>
  <si>
    <t>MS-SMB_R5294</t>
    <phoneticPr fontId="5" type="noConversion"/>
  </si>
  <si>
    <t xml:space="preserve">[In SMB Header Extensions]This flag[SMB_FLAGS2_SMB_SECURITY_SIGNATURE_REQUIRED
0x0010] MUST be set by the client on the first SMB_COM_SESSION_SETUP_ANDX request (section 2.2.4.6.1) sent to a server that supports extended security if the client requires all further communication with this server to be signed.&lt;20&gt; </t>
    <phoneticPr fontId="5" type="noConversion"/>
  </si>
  <si>
    <t>MS-SMB_R5295</t>
  </si>
  <si>
    <t>[In SMB Header Extensions]SMB_FLAGS2_SMB_SECURITY_SIGNATURE_REQUIRED
0x0010: If the server does not support signing, it MUST disconnect the client by closing the underlying transport connection.</t>
    <phoneticPr fontId="5" type="noConversion"/>
  </si>
  <si>
    <t>MS-SMB_R5296</t>
    <phoneticPr fontId="5" type="noConversion"/>
  </si>
  <si>
    <t>[In SMB Header Extensions]Clients MUST ignore this value[SMB_FLAGS2_SMB_SECURITY_SIGNATURE_REQUIRED
0x0010] for other requests and responses.</t>
    <phoneticPr fontId="5" type="noConversion"/>
  </si>
  <si>
    <t>MS-SMB_R5297</t>
  </si>
  <si>
    <t>[In SMB Header Extensions]Servers MUST ignore this value[SMB_FLAGS2_SMB_SECURITY_SIGNATURE_REQUIRED
0x0010] for all other requests[except the first SMB_COM_SESSION_SETUP_ANDX request].</t>
    <phoneticPr fontId="5" type="noConversion"/>
  </si>
  <si>
    <t>server internal behavior</t>
  </si>
  <si>
    <t>MS-SMB_R5298</t>
  </si>
  <si>
    <t>[In SMB Header Extensions]Whatever the values of this flag[Flags2: SMB_FLAGS2_SMB_SECURITY_SIGNATURE_REQUIRED 0x0010] on other requests[except the first SMB_COM_SESSION_SETUP_ANDX request], servers' reply are the same.</t>
    <phoneticPr fontId="5" type="noConversion"/>
  </si>
  <si>
    <t>MS-SMB_R5297:p</t>
  </si>
  <si>
    <t>MS-SMB_R5299</t>
  </si>
  <si>
    <t>MS-SMB_R129</t>
    <phoneticPr fontId="5" type="noConversion"/>
  </si>
  <si>
    <t>[In SMB Header Extensions]This bit field SHOULD only be set to one when NT LAN Manager or later is negotiated for the SMB dialect, the client supports extended security, and the client is configured to require security signatures.</t>
  </si>
  <si>
    <t>MS-SMB_R5300</t>
  </si>
  <si>
    <t>[In SMB Header Extensions]If [Flags2: SMB_FLAGS2_IS_LONG_NAME 0x0040] set, the path contained in the message[negotiated SMB dialect] contains long names[larger than 8.3 names].</t>
  </si>
  <si>
    <t>MS-SMB_R5301</t>
  </si>
  <si>
    <t>[In SMB Header Extensions]otherwise[if Flags2: SMB_FLAGS2_IS_LONG_NAME 0x0040 is not set], the paths are restricted to 8.3 names.</t>
    <phoneticPr fontId="5" type="noConversion"/>
  </si>
  <si>
    <t>MS-SMB_R131</t>
  </si>
  <si>
    <r>
      <t xml:space="preserve">[In SMB Header Extensions]This bit field[Flags2: SMB_FLAGS2_IS_LONG_NAME 0x0040] SHOULD </t>
    </r>
    <r>
      <rPr>
        <sz val="11"/>
        <rFont val="Calibri"/>
        <family val="3"/>
        <charset val="134"/>
        <scheme val="minor"/>
      </rPr>
      <t>only be set to one when NT LAN Manager or later is negotiated for the SMB dialect.</t>
    </r>
  </si>
  <si>
    <t>MS-SMB_R11132</t>
  </si>
  <si>
    <t>[In SMB Header Extensions]This bit field[Flags2: SMB_FLAGS2_IS_LONG_NAME 0x0040] SHOULD be set to one when NT LAN Manager or later is negotiated for the SMB dialect.</t>
  </si>
  <si>
    <t>MS-SMB_R131:p</t>
  </si>
  <si>
    <t>MS-SMB_R132</t>
  </si>
  <si>
    <t>[In SMB Header Extensions]This bit field[Flags2: SMB_FLAGS2_IS_LONG_NAME 0x0040] is set to one when NT LAN Manager or later is negotiated for the SMB dialect in WIndows.</t>
  </si>
  <si>
    <t>MS-SMB_R11132:i,MS-SMB_R18:i</t>
    <phoneticPr fontId="5" type="noConversion"/>
  </si>
  <si>
    <t>MS-SMB_R5303</t>
  </si>
  <si>
    <t>[In SMB Header Extensions]If[Flags2: SMB_FLAGS2_REPARSE_PATH 0x0400] set, the path in the request MUST contain an @GMT token (that is, a Previous Version token), as specified in section 2.2.1.1.1.</t>
    <phoneticPr fontId="5" type="noConversion"/>
  </si>
  <si>
    <t>MS-SMB_R134</t>
  </si>
  <si>
    <r>
      <t>[In SMB Header Extensions]</t>
    </r>
    <r>
      <rPr>
        <sz val="11"/>
        <rFont val="Calibri"/>
        <family val="3"/>
        <charset val="134"/>
        <scheme val="minor"/>
      </rPr>
      <t>This bit field[Flags2: SMB_FLAGS2_REPARSE_PATH 0x0400] SHOULD be set to one only when  NT LAN Manager or later is negotiated for the SMB dialect.</t>
    </r>
  </si>
  <si>
    <t>MS-SMB_R135</t>
  </si>
  <si>
    <t>MS-SMB_R5305</t>
    <phoneticPr fontId="5" type="noConversion"/>
  </si>
  <si>
    <t xml:space="preserve">[In SMB Header Extensions]Flags2: SMB_FLAGS2_EXTENDED_SECURITY 0x0800 Indicates that the client or server supports SPNEGO authentication, as specified in section 3.2.5.2 for client behavior and section 3.3.5.2 for server behavior. </t>
  </si>
  <si>
    <t>MS-SMB_R138</t>
  </si>
  <si>
    <r>
      <t>[In SMB Header Extensions]</t>
    </r>
    <r>
      <rPr>
        <sz val="11"/>
        <rFont val="Calibri"/>
        <family val="3"/>
        <charset val="134"/>
        <scheme val="minor"/>
      </rPr>
      <t>This bit field[Flags2: SMB_FLAGS2_EXTENDED_SECURITY
0x0800] SHOULD be set to one only when NTLM 0.12 or later is negotiated for the SMB dialect dialect and the client or server supports extended security.</t>
    </r>
  </si>
  <si>
    <t>MS-SMB_R139</t>
  </si>
  <si>
    <t>[In SMB Header Extensions]This bit field[Flags2: SMB_FLAGS2_EXTENDED_SECURITY
0x0800] is set to onewhen NTLM 0.12 or later is negotiated for the SMB dialect dialect and the client or server supports extended security  in Windows .</t>
  </si>
  <si>
    <t>MS-SMB_R138:i,MS-SMB_R18:i</t>
  </si>
  <si>
    <t>MS-SMB_R5322</t>
  </si>
  <si>
    <t xml:space="preserve">[In SMB Header]PIDHigh (2 bytes):  This field MUST give the 2 high bytes of the process identifier (PID) if the client is using 32-bit process IDs, as specified in [MS-CIFS] section 2.2.3.1. </t>
    <phoneticPr fontId="5" type="noConversion"/>
  </si>
  <si>
    <t>MS-SMB_R5323</t>
  </si>
  <si>
    <t>[In SMB Header]PidHigh (2 bytes):If a client uses 16-bit process IDs, this field MUST be set to zero.&lt;21&gt;</t>
    <phoneticPr fontId="5" type="noConversion"/>
  </si>
  <si>
    <t>MS-SMB_R10203</t>
    <phoneticPr fontId="5" type="noConversion"/>
  </si>
  <si>
    <t>2.2.4.1.1</t>
    <phoneticPr fontId="5" type="noConversion"/>
  </si>
  <si>
    <t xml:space="preserve">[In Client Request Extensions]An SMB_COM_OPEN_ANDX request is sent by a client to open a file or named pipe on a server. </t>
    <phoneticPr fontId="5" type="noConversion"/>
  </si>
  <si>
    <t>MS-SMB_R20203</t>
    <phoneticPr fontId="5" type="noConversion"/>
  </si>
  <si>
    <t>[In Client Request Extensions]The new flag value in the Flags field of the SMB_COM_OPEN_ANDX request, SMB_OPEN_EXTENDED_RESPONSE, is used to trigger new behavior that is specified in this document. All other fields are as specified in [MS-CIFS] section 2.2.4.41.1.</t>
    <phoneticPr fontId="5" type="noConversion"/>
  </si>
  <si>
    <t>MS-SMB_R105338</t>
    <phoneticPr fontId="5" type="noConversion"/>
  </si>
  <si>
    <t>[In Client Request Extensions]This command has been deprecated. Client implementations SHOULD use SMB_COM_NT_CREATE_ANDX.</t>
    <phoneticPr fontId="5" type="noConversion"/>
  </si>
  <si>
    <t>MS-SMB_R105351</t>
    <phoneticPr fontId="5" type="noConversion"/>
  </si>
  <si>
    <t xml:space="preserve">[In Client Request Extensions]Flags (2 bytes):A 16-bit field of bit flags. For completeness, all flags[SMB_OPEN_QUERY_INFORMATION
0x0001,SMB_OPEN_OPLOCK
0x0002,SMB_OPEN_OPBATCH
0x0004,SMB_OPEN_EXTENDED_RESPONSE
0x0010,Reserved
0xFFE8] are listed in the following table. </t>
    <phoneticPr fontId="5" type="noConversion"/>
  </si>
  <si>
    <t>MS-SMB_R205351</t>
    <phoneticPr fontId="5" type="noConversion"/>
  </si>
  <si>
    <t>[In Client Request Extensions]Flags (2 bytes):Bit values listed as reserved SHOULD be set to zero by the client.</t>
    <phoneticPr fontId="5" type="noConversion"/>
  </si>
  <si>
    <t>MS-SMB_R305351</t>
    <phoneticPr fontId="5" type="noConversion"/>
  </si>
  <si>
    <t>[In Client Request Extensions]Flags (2 bytes):Bit values listed as reserved MUST be ignored by the server.</t>
    <phoneticPr fontId="5" type="noConversion"/>
  </si>
  <si>
    <t>MS-SMB_R405351</t>
    <phoneticPr fontId="5" type="noConversion"/>
  </si>
  <si>
    <t>[In Client Request Extensions]Flags (2 bytes):whatever the Bit values listed as reserved are, reply is the same by the server.</t>
    <phoneticPr fontId="5" type="noConversion"/>
  </si>
  <si>
    <t>MS-SMB_R505351</t>
    <phoneticPr fontId="5" type="noConversion"/>
  </si>
  <si>
    <t>[In Client Request Extensions]Flags (2 bytes):If [SMB_OPEN_QUERY_INFORMATION
0x0001] set, the client is requesting additional info in the response.</t>
    <phoneticPr fontId="5" type="noConversion"/>
  </si>
  <si>
    <t>MS-SMB_R605351</t>
    <phoneticPr fontId="5" type="noConversion"/>
  </si>
  <si>
    <t>[In Client Request Extensions]Flags (2 bytes):The server MUST set FileDataSize, FileAttrs, AccessRights, ResourceType, and NMPipeStatus in the response.</t>
    <phoneticPr fontId="5" type="noConversion"/>
  </si>
  <si>
    <t>MS-SMB_R705351</t>
    <phoneticPr fontId="5" type="noConversion"/>
  </si>
  <si>
    <t>[In Client Request Extensions]Flags (2 bytes):If [SMB_OPEN_QUERY_INFORMATION
0x0001]not set, the server MUST set these fields to zero.</t>
    <phoneticPr fontId="5" type="noConversion"/>
  </si>
  <si>
    <t>MS-SMB_R805351</t>
    <phoneticPr fontId="5" type="noConversion"/>
  </si>
  <si>
    <t>[In Client Request Extensions]Flags (2 bytes):If[SMB_OPEN_OPLOCK
0x0002] set, the client is requesting an oplock.</t>
    <phoneticPr fontId="5" type="noConversion"/>
  </si>
  <si>
    <t>MS-SMB_R905351</t>
    <phoneticPr fontId="5" type="noConversion"/>
  </si>
  <si>
    <t>[In Client Request Extensions]Flags (2 bytes):If[SMB_OPEN_OPBATCH
0x0004] set, the client is requesting a batch oplock.</t>
    <phoneticPr fontId="5" type="noConversion"/>
  </si>
  <si>
    <t>MS-SMB_R115351</t>
    <phoneticPr fontId="5" type="noConversion"/>
  </si>
  <si>
    <t>MS-SMB_R125351</t>
    <phoneticPr fontId="5" type="noConversion"/>
  </si>
  <si>
    <t>[In Client Request Extensions]Flags (2 bytes):Reserved
0xFFE8:Reserved.</t>
    <phoneticPr fontId="5" type="noConversion"/>
  </si>
  <si>
    <t>MS-SMB_R135351</t>
    <phoneticPr fontId="5" type="noConversion"/>
  </si>
  <si>
    <t>[In Client Request Extensions]Flags (2 bytes):Reserved
0xFFE8:SHOULD be set to zero by the client.</t>
    <phoneticPr fontId="5" type="noConversion"/>
  </si>
  <si>
    <t>MS-SMB_R145351</t>
    <phoneticPr fontId="5" type="noConversion"/>
  </si>
  <si>
    <t>[In Client Request Extensions]Flags (2 bytes):Reserved
0xFFE8:MUST be ignored by the server.</t>
    <phoneticPr fontId="5" type="noConversion"/>
  </si>
  <si>
    <t>MS-SMB_R155351</t>
    <phoneticPr fontId="5" type="noConversion"/>
  </si>
  <si>
    <t>[In Client Request Extensions]Flags (2 bytes):Reserved
0xFFE8:Reply is the same whether 0 or non-zero is used for Field</t>
    <phoneticPr fontId="5" type="noConversion"/>
  </si>
  <si>
    <t>MS-SMB_R9190</t>
    <phoneticPr fontId="5" type="noConversion"/>
  </si>
  <si>
    <t>2.2.4.1.2</t>
  </si>
  <si>
    <t>[In Server Response Extensions]If the client requested extended information by setting SMB_OPEN_EXTENDED_RESPONSE, then a successful response takes the following format.</t>
  </si>
  <si>
    <t>MS-SMB_R9192</t>
    <phoneticPr fontId="5" type="noConversion"/>
  </si>
  <si>
    <t>[In Server Response Extensions]Aside from WordCount, ResourceType, ServerFID, Reserved, MaximalAccessRights, and GuestMaximalAccessRights fields, all other fields are as specified in [MS-CIFS] section 2.2.4.41.2.</t>
  </si>
  <si>
    <t>MS-SMB_R9893</t>
    <phoneticPr fontId="5" type="noConversion"/>
  </si>
  <si>
    <t>[In Server Response Extensions]WordCount (1 byte):  The value of this field MUST be 0x13.</t>
  </si>
  <si>
    <t>MS-SMB_R9894</t>
  </si>
  <si>
    <t>[In Server Response Extensions]ResourceType (2 bytes):  The file type. This field SHOULD&lt;22&gt; be interpreted as follows.</t>
  </si>
  <si>
    <t>MS-SMB_R9895</t>
  </si>
  <si>
    <t>[In Server Response Extensions]FileTypeDisk0x0000
 means File or Directory</t>
  </si>
  <si>
    <t>MS-SMB_R9896</t>
  </si>
  <si>
    <t>[In Server Response Extensions]FileTypeByteModePipe0x0001 means 
Byte mode named pipe</t>
  </si>
  <si>
    <t>MS-SMB_R9897</t>
  </si>
  <si>
    <t>[In Server Response Extensions]FileTypeMessageModePipe0x0002
 means Message mode named pipe</t>
  </si>
  <si>
    <t>MS-SMB_R9898</t>
  </si>
  <si>
    <t>[In Server Response Extensions]FileTypePrinter0x0003
 means Printer Device</t>
  </si>
  <si>
    <t>MS-SMB_R9899</t>
  </si>
  <si>
    <t>[In Server Response Extensions]FileTypeUnknown0xFFFF means 
Unknown file type</t>
  </si>
  <si>
    <t>MS-SMB_R9900</t>
  </si>
  <si>
    <t>MS-SMB_R9901</t>
    <phoneticPr fontId="5" type="noConversion"/>
  </si>
  <si>
    <t>[In Server Response Extensions]Reserved (2 bytes):  An unused value that SHOULD be set to zero when sending this message.</t>
  </si>
  <si>
    <t>MS-SMB_R109901</t>
    <phoneticPr fontId="5" type="noConversion"/>
  </si>
  <si>
    <t>[In Server Response Extensions]Reserved (2 bytes):  An unused value that is set to zero when sending this message in Windows.</t>
    <phoneticPr fontId="5" type="noConversion"/>
  </si>
  <si>
    <t>MS-SMB_R9902</t>
  </si>
  <si>
    <t>[In Server Response Extensions]Reserved (2 bytes): The client MUST ignore this field when receiving this message.</t>
  </si>
  <si>
    <t>MS-SMB_R9903</t>
  </si>
  <si>
    <t>[In Server Response Extensions] MaximalAccessRights (4 bytes):  The maximum access rights that this user has on this object.</t>
  </si>
  <si>
    <t>MS-SMB_R9904</t>
  </si>
  <si>
    <t>[In Server Response Extensions] MaximalAccessRights (4 bytes): This field MUST be encoded in an ACCESS_MASK format, as specified in section 2.2.1.4.</t>
  </si>
  <si>
    <t>MS-SMB_R9905</t>
  </si>
  <si>
    <t>[In Server Response Extensions] GuestMaximalAccessRights (4 bytes):  The maximum access rights that the guest account has on this file.</t>
  </si>
  <si>
    <t>MS-SMB_R9906</t>
  </si>
  <si>
    <t>[In Server Response Extensions] GuestMaximalAccessRights (4 bytes): This field MUST be encoded in an ACCESS_MASK format, as specified in section 2.2.1.4.</t>
  </si>
  <si>
    <t>MS-SMB_R9907</t>
  </si>
  <si>
    <t>[In Server Response Extensions] GuestMaximalAccessRights (4 bytes): Support and exact specifications of the notion of a guest account is implementation specific.</t>
  </si>
  <si>
    <t>MS-SMB_R9908</t>
  </si>
  <si>
    <t>[In Server Response Extensions] GuestMaximalAccessRights (4 bytes): Implementations that do not support the notion of a guest account MUST set this field to zero.&lt;24&gt;</t>
  </si>
  <si>
    <t>MS-SMB_R9909</t>
    <phoneticPr fontId="5" type="noConversion"/>
  </si>
  <si>
    <t>[In Server Response Extensions] ByteCount (2 bytes):  The value of this field SHOULD&lt;25&gt; be set to zero.</t>
  </si>
  <si>
    <t>MS-SMB_R109909</t>
    <phoneticPr fontId="5" type="noConversion"/>
  </si>
  <si>
    <t>MS-SMB_R9910</t>
  </si>
  <si>
    <t>[In Server Response Extensions] ByteCount (2 bytes): No data is sent by this message.</t>
  </si>
  <si>
    <t>MS-SMB_R9911</t>
  </si>
  <si>
    <t>2.2.4.2.1</t>
  </si>
  <si>
    <t>[In Client Request Extensions]An SMB_COM_READ_ANDX request is sent by a client to read from a file or named pipe on a server.</t>
  </si>
  <si>
    <t>MS-SMB_R9912</t>
  </si>
  <si>
    <t>[In Client Request Extensions]These extensions overload the Timeout field with the new Timeout_or_MaxCountHigh field, which allows the use of read lengths above 0xFFFF when CAP_LARGE_READX has been negotiated. All other fields are defined as specified in [MS-CIFS] section 2.2.4.42.1.</t>
  </si>
  <si>
    <t>MS-SMB_R9913</t>
  </si>
  <si>
    <t>[In Client Request Extensions]Timeout_or_MaxCountHigh (4 bytes):  This field is extended to be treated as a union of a 32-bit Timeout field and a 16-bit MaxCountHigh field.</t>
  </si>
  <si>
    <t>MS-SMB_R9914</t>
  </si>
  <si>
    <t>[In Client Request Extensions]Timeout_or_MaxCountHigh (4 bytes): For read operations on named pipes, this field MUST be used and interpreted as the 32-bit Timeout field.</t>
  </si>
  <si>
    <t>MS-SMB_R9915</t>
  </si>
  <si>
    <t>MS-SMB_R9916</t>
  </si>
  <si>
    <t>[In Client Request Extensions]Timeout (4 bytes):  For read operations on files, this field MUST be used and interpreted as the 16-bit MaxCountHigh field followed by a 16-bit Reserved field.</t>
  </si>
  <si>
    <t>MS-SMB_R9917</t>
  </si>
  <si>
    <t>[In Client Request Extensions]MaxCountHigh (2 bytes):  This field is a 16-bit integer.</t>
  </si>
  <si>
    <t>MS-SMB_R9918</t>
  </si>
  <si>
    <t>[In Client Request Extensions]MaxCountHigh (2 bytes): If the read being requested is larger than 0xFFFF bytes in size, then the client MUST use the MaxCountHigh field to hold the two most significant bytes of the requested size, which allows for 32-bit read lengths to be requested when combined with MaxCountOfBytesToReturn.</t>
  </si>
  <si>
    <t>MS-SMB_R9919</t>
  </si>
  <si>
    <t>MS-SMB_R9920</t>
  </si>
  <si>
    <t>[In Client Request Extensions]Reserved (2 bytes):  Unlike most other reserved fields, this field can sometimes take specific values.</t>
  </si>
  <si>
    <t>MS-SMB_R9921</t>
  </si>
  <si>
    <t>[In Client Request Extensions]Reserved (2 bytes):  The Reserved field SHOULD be set to zero by the client if MaxCountHigh is zero</t>
  </si>
  <si>
    <t>MS-SMB_R9922</t>
  </si>
  <si>
    <t>[In Client Request Extensions]Reserved (2 bytes):The Reserved field  SHOULD be set to 0xFFFF by the client if MaxCountHigh is 0xFFFF.</t>
  </si>
  <si>
    <t>MS-SMB_R9923</t>
  </si>
  <si>
    <t>[In Client Request Extensions]Reserved (2 bytes):  For all other values, this field SHOULD be set to zero by the client.</t>
  </si>
  <si>
    <t>MS-SMB_R9924</t>
  </si>
  <si>
    <t>[In Client Request Extensions]Reserved (2 bytes):  For all values, this field MUST be ignored by the server.</t>
  </si>
  <si>
    <t>MS-SMB_R9925</t>
  </si>
  <si>
    <t>2.2.4.2.2</t>
  </si>
  <si>
    <t>[In Server Response Extensions] A successful response takes the following format.</t>
  </si>
  <si>
    <t>MS-SMB_R9926</t>
  </si>
  <si>
    <t>[In Server Response Extensions]Aside from the first two bytes of the SMB_Parameters.Words.Reserved2[] field being extended for use as the new DataLengthHigh field, all other fields are defined as specified in [MS-CIFS] section 2.2.4.42.2.</t>
  </si>
  <si>
    <t>MS-SMB_R9927</t>
  </si>
  <si>
    <t>MS-SMB_R9928</t>
  </si>
  <si>
    <t>MS-SMB_R9929</t>
  </si>
  <si>
    <t>[In Server Response Extensions]Otherwise[If the data read is smaller than  0x00010000 bytes (64KB) in length] this field MUST be set to zero.</t>
  </si>
  <si>
    <t>MS-SMB_R9930</t>
  </si>
  <si>
    <t>[In Server Response Extensions]Reserved2 (8 bytes):  This field MUST be set to zero by the server.</t>
  </si>
  <si>
    <t>MS-SMB_R9931</t>
  </si>
  <si>
    <t>[In Server Response Extensions]Reserved2 (8 bytes):  This field MUST be ignored by the client.</t>
  </si>
  <si>
    <t>MS-SMB_R9932</t>
  </si>
  <si>
    <t>[In Server Response Extensions]Reserved2 (8 bytes): The last 4 words are reserved in order to make the SMB_COM_READ_ANDX response the same size as the SMB_COM_WRITE_ANDX response.</t>
  </si>
  <si>
    <t>MS-SMB_R9933</t>
  </si>
  <si>
    <t>2.2.4.3.1</t>
  </si>
  <si>
    <t>[In Client Request Extensions]An SMB_COM_WRITE_ANDX request is sent by a client to write data to a file or named pipe on a server.</t>
  </si>
  <si>
    <t>MS-SMB_R9934</t>
  </si>
  <si>
    <t>[In Client Request Extensions]These extensions allocate the SMB_Parameters.Words.Reserved field for use as the DataLengthHigh field.</t>
  </si>
  <si>
    <t>MS-SMB_R9935</t>
  </si>
  <si>
    <t>[In Client Request Extensions]This field is used when the CAP_LARGE_WRITEX capability has been negotiated to allow for file writes larger than 0xFFFF bytes in length. All other fields are defined as specified in [MS-CIFS] section 2.2.4.43.1.</t>
  </si>
  <si>
    <t>MS-SMB_R9936</t>
  </si>
  <si>
    <t>[In Client Request Extensions]DataLengthHigh (2 bytes):  This field contains the two most significant bytes of the length of the data to write to the file.</t>
  </si>
  <si>
    <t>MS-SMB_R9937</t>
  </si>
  <si>
    <t>[In Client Request Extensions]DataLengthHigh (2 bytes): If the number of bytes to be written is greater than or equal to 0x00010000( 64 kilobytes), then the client MUST set the two least significant bytes of the length in the DataLength field of the request and the two most significant bytes of the length in the DataLengthHigh field.</t>
  </si>
  <si>
    <t>MS-SMB_R9938</t>
  </si>
  <si>
    <t>2.2.4.3.2</t>
  </si>
  <si>
    <t>[In Server Response Extensions]A successful response takes the following format.</t>
  </si>
  <si>
    <t>MS-SMB_R9939</t>
  </si>
  <si>
    <t>[In Server Response Extensions]These extensions allocate the first two bytes of the SMB_Parameters.Words.Reserved field for use as the CountHigh field.</t>
  </si>
  <si>
    <t>MS-SMB_R9940</t>
  </si>
  <si>
    <t>[In Server Response Extensions]This field is used when the CAP_LARGE_WRITEX capability has been negotiated to allow for file writes larger than 0xFFFF bytes in length. All other fields are defined as specified in [MS-CIFS] section 2.2.4.43.2.</t>
  </si>
  <si>
    <t>MS-SMB_R9941</t>
  </si>
  <si>
    <t>[In Server Response Extensions]CountHigh (2 bytes):  This field contains the two most significant bytes of the count of bytes written.</t>
  </si>
  <si>
    <t>MS-SMB_R9942</t>
  </si>
  <si>
    <t>MS-SMB_R109942</t>
    <phoneticPr fontId="5" type="noConversion"/>
  </si>
  <si>
    <t>MS-SMB_R9943</t>
  </si>
  <si>
    <t>[In Server Response Extensions]Reserved (2 bytes):  This field is reserved.</t>
  </si>
  <si>
    <t>MS-SMB_R9944</t>
  </si>
  <si>
    <t>[In Server Response Extensions]Reserved (2 bytes):  Servers MUST set this field to zero.</t>
  </si>
  <si>
    <t>MS-SMB_R9945</t>
  </si>
  <si>
    <t>[In Server Response Extensions]Reserved (2 bytes):  clients MUST ignore this field upon receipt.</t>
  </si>
  <si>
    <t>MS-SMB_R9946</t>
  </si>
  <si>
    <t>2.2.4.4</t>
  </si>
  <si>
    <t>[In SMB_COM_TRANSACTION2 (0x32) Extensions]The SMB_COM_TRANSACTION2 request is sent by a client to execute a specific operation of various types on the server.</t>
  </si>
  <si>
    <t>MS-SMB_R9947</t>
  </si>
  <si>
    <t>[In SMB_COM_TRANSACTION2 (0x32) Extensions]These operations include file enumeration, query and set file attribute operations, and DFS referral retrieval. The general format of the SMB_COM_TRANSACTION2 command requests and responses is given in [MS-CIFS] sections 2.2.4.46 and 2.2.4.47. Execution of SMB_COM_TRANSACTION2 is defined as specified in [MS-CIFS] sections 3.2.4.1.5, 3.2.5.1.4, and 3.3.5.1.5.</t>
  </si>
  <si>
    <t>MS-SMB_R9948</t>
  </si>
  <si>
    <t>[In SMB_COM_TRANSACTION2 (0x32) Extensions]Valid SMB_COM_TRANSACTION2 subcommand codes, also known as "Trans2 subcommands", are specified in section 2.2.2.2. The format and syntax of these subcommands are specified in section 2.2.6 and in [MS-CIFS] section 2.2.6.</t>
  </si>
  <si>
    <t>MS-SMB_R9949</t>
  </si>
  <si>
    <t>2.2.4.5.1</t>
  </si>
  <si>
    <t>[In Client Request Extensions]All fields are defined as specified in [MS-CIFS] section 2.2.4.52.1.</t>
  </si>
  <si>
    <t>MS-SMB_R9950</t>
  </si>
  <si>
    <t>[In Client Request Extensions]In order to support the extension in this document, the client MUST include the NT LAN Manager dialect (identified by the "NT LM 0.12" dialect string) in the SMB_Data.Bytes.Dialects[] array of the request.</t>
  </si>
  <si>
    <t>MS-SMB_R9951</t>
  </si>
  <si>
    <t>[In Client Request Extensions]When set, the SMB_Header.Flags2 SMB_FLAGS2_EXTENDED_SECURITY flag indicates support for specification [RFC2743] and GSS authentication (see section 3.1.5.1), and indicates to the server that it should send an Extended Security response (see section 2.2.4.5.2).</t>
  </si>
  <si>
    <t>MS-SMB_R9952</t>
  </si>
  <si>
    <t>2.2.4.5.2.1</t>
  </si>
  <si>
    <t>[In Extended Security Response] If the selected dialect is NT LAN Manager and the client has indicated extended security is being used, a successful response MUST take the following form[SMB_Parameters
  {
  UCHAR  WordCount;
  Words
    {
    USHORT   DialectIndex;
    UCHAR    SecurityMode;
    USHORT   MaxMpxCount;
    USHORT   MaxNumberVcs;
    ULONG    MaxBufferSize;
    ULONG    MaxRawSize;
    ULONG    SessionKey;
    ULONG    Capabilities;
    FILETIME SystemTime;
    SHORT    ServerTimeZone;
    UCHAR    ChallengeLength;
    }
  }
SMB_Data
  {
  USHORT ByteCount;
  Bytes
    {
    USHORT ServerGUID;
    UCHAR  SecurityBlob[];
    }
].</t>
    <phoneticPr fontId="5" type="noConversion"/>
  </si>
  <si>
    <t>MS-SMB_R9953</t>
  </si>
  <si>
    <t>[In Extended Security Response]Aside from the additional notes to the SMB_Parameters.Words.MaxBufferSize and SMB_Parameters.Words.ChallengeLength fields, the new SMB_Parameters.Words.Capabilities bits, and the SMB_Data.Bytes.ServerGuid and SMB_Data.Bytes.SecurityBlob fields, all other fields are defined as specified in [MS-CIFS] section 2.2.4.52.2.</t>
  </si>
  <si>
    <t>MS-SMB_R9954</t>
  </si>
  <si>
    <t>[In Extended Security Response]MaxBufferSize (4 bytes):  Maximum size, in bytes, of the server buffer for receiving SMB messages.</t>
  </si>
  <si>
    <t>MS-SMB_R9955</t>
  </si>
  <si>
    <t>[In Extended Security Response]MaxBufferSize (4 bytes): This value accounts for the size of the largest SMB message that the client can send to the server, measured from the start of the SMB header to the end of the packet.</t>
  </si>
  <si>
    <t>MS-SMB_R9956</t>
  </si>
  <si>
    <t>MS-SMB_R9957</t>
    <phoneticPr fontId="5" type="noConversion"/>
  </si>
  <si>
    <t>MS-SMB_R9958</t>
    <phoneticPr fontId="5" type="noConversion"/>
  </si>
  <si>
    <t>[In Extended Security Response]MaxBufferSize (4 bytes):  The  only exceptions in which this maximum buffer size MUST be exceeded are:When the SMB_COM_WRITE_RAW command is used and both the client and server support the CAP_RAW_MODE capability.</t>
    <phoneticPr fontId="5" type="noConversion"/>
  </si>
  <si>
    <t>[In Extended Security Response]MaxBufferSize (4 bytes):  The exceptions in which this maximum buffer size MUST be exceeded are:When the SMB_COM_WRITE_RAW command is used and both the client and server support the CAP_RAW_MODE capability.</t>
    <phoneticPr fontId="5" type="noConversion"/>
  </si>
  <si>
    <t>MS-SMB_R9959</t>
  </si>
  <si>
    <t>[In Extended Security Response]Capabilities (4 bytes):  A 32-bit field providing a set of server capability indicators.</t>
  </si>
  <si>
    <t>MS-SMB_R9960</t>
  </si>
  <si>
    <t>[In Extended Security Response]Capabilities (4 bytes): This bit field is used to indicate to the client which features are supported by the server.</t>
  </si>
  <si>
    <t>MS-SMB_R9961</t>
  </si>
  <si>
    <t>[In Extended Security Response]Capabilities (4 bytes):  Any value[CAP_RAW_MODE
0x00000001,CAP_MPX_MODE
0x00000002, CAP_UNICODE
0x00000004,CAP_LARGE_FILES
0x00000008,CAP_NT_SMBS
0x00000010,CAP_RPC_REMOTE_APIS
0x00000020,CAP_STATUS32
0x00000040,CAP_LEVEL_II_OPLOCKS
0x00000080,CAP_LOCK_AND_READ
0x00000100,CAP_NT_FIND
0x00000200,CAP_DFS
0x00001000,CAP_INFOLEVEL_PASSTHRU
0x00002000,CAP_LARGE_READX
0x00004000 ,CAP_LARGE_WRITEX
0x00008000,CAP_LWIO
0x00010000,CAP_UNIX
0x00800000,CAP_COMPRESSED_DATA
0x02000000,CAP_DYNAMIC_REAUTH
0x20000000,CAP_PERSISTENT_HANDLES
0x40000000,CAP_EXTENDED_SECURITY
0x80000000]not listed in the following table is unused.</t>
  </si>
  <si>
    <t>MS-SMB_R9962</t>
  </si>
  <si>
    <t>[In Extended Security Response]Capabilities (4 bytes):  The server MUST set the unused bits to zero.</t>
  </si>
  <si>
    <t>MS-SMB_R9963</t>
  </si>
  <si>
    <t>[In Extended Security Response]Capabilities (4 bytes):  The client MUST ignore these bits[CAP_RAW_MODE
0x00000001,CAP_MPX_MODE
0x00000002, CAP_UNICODE
0x00000004,CAP_LARGE_FILES
0x00000008,CAP_NT_SMBS
0x00000010,CAP_RPC_REMOTE_APIS
0x00000020,CAP_STATUS32
0x00000040,CAP_LEVEL_II_OPLOCKS
0x00000080,CAP_LOCK_AND_READ
0x00000100,CAP_NT_FIND
0x00000200,CAP_DFS
0x00001000,CAP_INFOLEVEL_PASSTHRU
0x00002000,CAP_LARGE_READX
0x00004000 ,CAP_LARGE_WRITEX
0x00008000,CAP_LWIO
0x00010000,CAP_UNIX
0x00800000,CAP_COMPRESSED_DATA
0x02000000,CAP_DYNAMIC_REAUTH
0x20000000,CAP_PERSISTENT_HANDLES
0x40000000,CAP_EXTENDED_SECURITY
0x80000000].</t>
  </si>
  <si>
    <t>MS-SMB_R9964</t>
  </si>
  <si>
    <t>[In Extended Security Response]These extensions provide the following new capability bits:
CAP_COMPRESSED_DATA
,CAP_DYNAMIC_REAUTH
,CAP_EXTENDED_SECURITY
,	CAP_INFOLEVEL_PASSTHRU
,	CAP_LARGE_WRITEX
,CAP_LWIO
,CAP_UNIX.</t>
  </si>
  <si>
    <t>MS-SMB_R9965</t>
  </si>
  <si>
    <t>MS-SMB_R9966</t>
  </si>
  <si>
    <t>[In Extended Security Response]Raw mode is not supported over connectionless transports.</t>
  </si>
  <si>
    <t>MS-SMB_R9967</t>
  </si>
  <si>
    <t>MS-SMB_R9968</t>
  </si>
  <si>
    <t>[In Extended Security Response]MPX mode is supported only over connectionless transports.</t>
  </si>
  <si>
    <t>MS-SMB_R9969</t>
  </si>
  <si>
    <t>[In Extended Security Response]CAP_UNICODE0x00000004 means 
The server supports UTF-16LE Unicode strings.</t>
  </si>
  <si>
    <t>MS-SMB_R9970</t>
  </si>
  <si>
    <t>[In Extended Security Response]CAP_LARGE_FILES0x00000008
 means The server supports large files with 64-bit offsets.</t>
  </si>
  <si>
    <t>MS-SMB_R9971</t>
  </si>
  <si>
    <t>[In Extended Security Response]CAP_NT_SMBS0x00000010
 means The server supports SMB commands particular to the NT LAN Manager dialect.</t>
  </si>
  <si>
    <t>MS-SMB_R9972</t>
  </si>
  <si>
    <t>MS-SMB_R9973</t>
  </si>
  <si>
    <t>[In Extended Security Response]CAP_STATUS32 0x00000040
 means The server is capable of responding with 32-bit status codes in the Status field of the SMB header (for more information, see [MS-CIFS] 2.2.3.1). CAP_STATUS32 can also be referred to as CAP_NT_STATUS.</t>
  </si>
  <si>
    <t>MS-SMB_R9974</t>
  </si>
  <si>
    <t>[In Extended Security Response]CAP_LEVEL_II_OPLOCKS 0x00000080 means The server supports level II opportunistic locks (oplocks).</t>
  </si>
  <si>
    <t>MS-SMB_R5392</t>
  </si>
  <si>
    <t>[In Extended Security Response]CAP_LOCK_AND_READ 0x00000100 means The server supports the SMB_COM_LOCK_AND_READ command requests.</t>
  </si>
  <si>
    <t>MS-SMB_R5393</t>
  </si>
  <si>
    <t>[In Extended Security Response] CAP_NT_FIND 0x00000200 means The server supports the TRANS2_FIND_FIRST2 request.</t>
  </si>
  <si>
    <t>MS-SMB_R9975</t>
    <phoneticPr fontId="5" type="noConversion"/>
  </si>
  <si>
    <t>MS-SMB_R5394</t>
  </si>
  <si>
    <t>[In Extended Security Response]CAP_NT_FIND 0x00000200 means The server supports the TRANS2_FIND_NEXT2 request.</t>
  </si>
  <si>
    <t>MS-SMB_R5395</t>
  </si>
  <si>
    <t>[In Extended Security Response]CAP_NT_FIND 0x00000200 means The server supports the FIND_CLOSE2 command request.</t>
  </si>
  <si>
    <t>MS-SMB_R5396</t>
  </si>
  <si>
    <t>[Capabilities: CAP_DFS 0x00001000]The server is aware of the DFS Referral Protocol, as specified in [MS-DFSC].</t>
  </si>
  <si>
    <t>MS-SMB_R5397</t>
  </si>
  <si>
    <t>MS-SMB_R9976</t>
    <phoneticPr fontId="5" type="noConversion"/>
  </si>
  <si>
    <t xml:space="preserve">[In Extended Security Response]CAP_INFOLEVEL_PASSTHRU
0x00002000 means The server supports pass-through Information Levels, as specified in section 2.2.2.3. </t>
    <phoneticPr fontId="5" type="noConversion"/>
  </si>
  <si>
    <t>MS-SMB_R9977</t>
    <phoneticPr fontId="5" type="noConversion"/>
  </si>
  <si>
    <t>MS-SMB_R5400</t>
  </si>
  <si>
    <t>[Capabilities: CAP_LARGE_READX 0x00004000]The server supports large read operations.</t>
  </si>
  <si>
    <t>MS-SMB_R5401</t>
  </si>
  <si>
    <t>This capability[Capabilities: CAP_LARGE_READX 0x00004000] affects the maximum size, in bytes, of the server buffer for sending an SMB_COM_READ_ANDX response to the client.</t>
  </si>
  <si>
    <t>MS-SMB_R5402</t>
  </si>
  <si>
    <t>When this capability is set by the server (and set by the client in the SMB_COM_SESSION_SETUP_ANDX request), then the maximum server buffer size for sending data can exceed the MaxBufferSize field.</t>
    <phoneticPr fontId="5" type="noConversion"/>
  </si>
  <si>
    <t>MS-SMB_R5403</t>
  </si>
  <si>
    <t>MS-SMB_R5404</t>
  </si>
  <si>
    <t>[Capabilities: CAP_LARGE_READX 0x00004000]When signing is active on a connection, then clients MUST limit read lengths to the "MaxBufferSize" value negotiated by the server irrespective of the value of the CAP_LARGE_READX flag.</t>
    <phoneticPr fontId="5" type="noConversion"/>
  </si>
  <si>
    <t>MS-SMB_R5405</t>
  </si>
  <si>
    <t>[Capabilities: CAP_LARGE_WRITEX 0x00008000]The server supports large write operations.</t>
  </si>
  <si>
    <t>MS-SMB_R5406</t>
  </si>
  <si>
    <t>This capability[Capabilities: CAP_LARGE_WRITEX 0x00008000] affects the maximum size, in bytes, of the server buffer for receiving an SMB_COM_WRITE_ANDX client request.</t>
  </si>
  <si>
    <t>MS-SMB_R5407</t>
  </si>
  <si>
    <t>When this capability is set by the server (and set by the client in the SMB_COM_SESSION_SETUP_ANDX request), then the maximum server buffer size of bytes it writes can exceed the MaxBufferSize field.</t>
    <phoneticPr fontId="5" type="noConversion"/>
  </si>
  <si>
    <t>MS-SMB_R5408</t>
  </si>
  <si>
    <t>MS-SMB_R5409</t>
  </si>
  <si>
    <t>[Capabilities: CAP_LARGE_WRITEX 0x00008000]When signing is active on a connection, then clients MUST limit write lengths to the "MaxBufferSize"  value negotiated by the server irrespective of the value of the CAP_LARGE_WRITEX flag.</t>
    <phoneticPr fontId="5" type="noConversion"/>
  </si>
  <si>
    <t>MS-SMB_R5410</t>
  </si>
  <si>
    <t>MS-SMB_R5411</t>
  </si>
  <si>
    <t>MS-SMB_R5412</t>
  </si>
  <si>
    <t>MS-SMB_R5413</t>
  </si>
  <si>
    <t>MS-SMB_R5414</t>
  </si>
  <si>
    <t>MS-SMB_R5415</t>
  </si>
  <si>
    <t>[Capabilities: CAP_EXTENDED_SECURITY 0x80000000]The server supports extended security for authentication, as specified in section 3.2.4.2.4.</t>
    <phoneticPr fontId="5" type="noConversion"/>
  </si>
  <si>
    <t>MS-SMB_R5416</t>
  </si>
  <si>
    <t>This bit[Capabilities: CAP_EXTENDED_SECURITY 0x80000000] is used in conjunction with the SMB_FLAGS2_EXTENDED_SECURITY SMB_Header.Flags2 flag, as specified in section 2.2.3.1.</t>
    <phoneticPr fontId="5" type="noConversion"/>
  </si>
  <si>
    <t>MS-SMB_R239</t>
    <phoneticPr fontId="5" type="noConversion"/>
  </si>
  <si>
    <t>ChallengeLength (1 byte):  When the CAP_EXTENDED_SECURITY bit is set, the server MUST set this value to zero.</t>
    <phoneticPr fontId="5" type="noConversion"/>
  </si>
  <si>
    <t>MS-SMB_R5424</t>
  </si>
  <si>
    <t>[In Extended Security Response]ChallengeLength (1 byte):[If the CAP_EXTENDED_SECURITY bit is set], clients MUST ignore this value.</t>
    <phoneticPr fontId="5" type="noConversion"/>
  </si>
  <si>
    <t>MS-SMB_R241</t>
  </si>
  <si>
    <t xml:space="preserve">[In Extended Security Response]ByteCount (2 bytes):This field MUST be greater than or equal to 0x0010. </t>
    <phoneticPr fontId="5" type="noConversion"/>
  </si>
  <si>
    <t>MS-SMB_R5426</t>
  </si>
  <si>
    <t xml:space="preserve">[In Extended Security Response]ServerGUID (16 bytes):This field MUST be a GUID generated by the server to uniquely identify this server. </t>
    <phoneticPr fontId="5" type="noConversion"/>
  </si>
  <si>
    <t>Normative</t>
    <phoneticPr fontId="5" type="noConversion"/>
  </si>
  <si>
    <t>MS-SMB_R5427</t>
  </si>
  <si>
    <t>2.2.4.5.2.1</t>
    <phoneticPr fontId="5" type="noConversion"/>
  </si>
  <si>
    <t>[In Extended Security Response]ServerGUID (16 bytes): This field SHOULD NOT be used by a client as a secure method of identifying a server because it can be forged.</t>
    <phoneticPr fontId="5" type="noConversion"/>
  </si>
  <si>
    <t>MS-SMB_R5428</t>
  </si>
  <si>
    <t xml:space="preserve">[In Extended Security Response]ServerGUID (16 bytes):A client SHOULD use this information to detect whether connections to different textual names resolve to the same target server when direct TCP is used. </t>
    <phoneticPr fontId="5" type="noConversion"/>
  </si>
  <si>
    <t>MS-SMB_R5429</t>
  </si>
  <si>
    <t>MS-SMB_R5430</t>
    <phoneticPr fontId="5" type="noConversion"/>
  </si>
  <si>
    <t>MS-SMB_R105430</t>
    <phoneticPr fontId="5" type="noConversion"/>
  </si>
  <si>
    <t>MS-SMB_R5430:i,MS-SMB_R18:i</t>
    <phoneticPr fontId="5" type="noConversion"/>
  </si>
  <si>
    <t>Adapter</t>
    <phoneticPr fontId="5" type="noConversion"/>
  </si>
  <si>
    <t>MS-SMB_R9200</t>
    <phoneticPr fontId="5" type="noConversion"/>
  </si>
  <si>
    <t>2.2.4.5.2.2</t>
  </si>
  <si>
    <t>[In Non-Extended Security Response]If extended security is not being used and the NT LAN Manager dialect has been selected, then a successful response MUST take the following form[SMB_Parameters
  {
  UCHAR  WordCount;
  Words
    {
    USHORT   DialectIndex;
    UCHAR    SecurityMode;
    USHORT   MaxMpxCount;
    USHORT   MaxNumberVcs;
    ULONG    MaxBufferSize;
    ULONG    MaxRawSize;
    ULONG    SessionKey;
    ULONG    Capabilities;
    FILETIME SystemTime;
    SHORT    ServerTimeZone;
    UCHAR    ChallengeLength;
    }
  }
SMB_Data
  {
  USHORT ByteCount;
  Bytes
    {
    UCHAR      Challenge[];
    SMB_STRING DomainName[];
    SMB_STRING ServerName[];
    }
  }
].</t>
    <phoneticPr fontId="5" type="noConversion"/>
  </si>
  <si>
    <t>MS-SMB_R9201</t>
  </si>
  <si>
    <t>[In Non-Extended Security Response]Aside from the new SMB_Parameters.Words.Capabilities bits, the additional notes to the SMB_Parameters.Words.MaxBufferSize field, and the SMB_Data.Bytes.ServerName field, all other fields are defined as specified in [MS-CIFS] section 2.2.4.52.2.</t>
  </si>
  <si>
    <t>MS-SMB_R9202</t>
  </si>
  <si>
    <t>[In Non-Extended Security Response]The SMB_Parameters.Words.ChallengeLength field and the entire SMB_Data block are included from [MS-CIFS] to highlight the differences between the Extended and Non-Extended Security responses.</t>
  </si>
  <si>
    <t>MS-SMB_R9203</t>
  </si>
  <si>
    <t>[In Non-Extended Security Response]In order to determine whether the SMB_Data.Bytes.ServerName field is present, the client MUST check the SMB_Data.ByteCount field to determine whether additional data is present beyond the NULL terminator of the SMB_Data.Bytes.DomainName string.</t>
  </si>
  <si>
    <t>MS-SMB_R9204</t>
  </si>
  <si>
    <t>[In Non-Extended Security Response]MaxBufferSize (4 bytes):  Maximum size, in bytes, of the server buffer for receiving SMB messages.</t>
  </si>
  <si>
    <t>MS-SMB_R9205</t>
  </si>
  <si>
    <t>[In Non-Extended Security Response]MaxBufferSize (4 bytes): This value accounts for the size of the largest SMB message that the client can send to the server, measured from the start of the SMB header to the end of the packet.</t>
  </si>
  <si>
    <t>MS-SMB_R9206</t>
  </si>
  <si>
    <t>MS-SMB_R9207</t>
  </si>
  <si>
    <t>[In Non-Extended Security Response]MaxBufferSize (4 bytes): The only exceptions in which this maximum buffer size MUST be exceeded are:
When the SMB_COM_WRITE_ANDX command is used and both the client and server support the CAP_LARGE_WRITEX capability (see the Capabilities field for more information).</t>
  </si>
  <si>
    <t>MS-SMB_R9208</t>
  </si>
  <si>
    <t>[In Non-Extended Security Response]MaxBufferSize (4 bytes): The only exceptions in which this maximum buffer size MUST be exceeded are:When the SMB_COM_WRITE_RAW command is used and both the client and server support the CAP_RAW_MODE capability.</t>
  </si>
  <si>
    <t>MS-SMB_R9209</t>
  </si>
  <si>
    <t>[In Non-Extended Security Response]Capabilities (4 bytes):  A 32-bit field providing a set of server capability indicators.</t>
  </si>
  <si>
    <t>MS-SMB_R9210</t>
  </si>
  <si>
    <t>[In Non-Extended Security Response]Capabilities (4 bytes):  This bit field is used to indicate to the client which features are supported by the server.</t>
  </si>
  <si>
    <t>MS-SMB_R9211</t>
  </si>
  <si>
    <t>[In Non-Extended Security Response]Capabilities (4 bytes):  Any value not listed in the following table is unused.</t>
  </si>
  <si>
    <t>MS-SMB_R9212</t>
  </si>
  <si>
    <t>[In Non-Extended Security Response]Capabilities (4 bytes):  The server MUST set the unused bits to zero in a response.</t>
  </si>
  <si>
    <t>MS-SMB_R9213</t>
  </si>
  <si>
    <t>[In Non-Extended Security Response]Capabilities (4 bytes):  the client MUST ignore these bits.</t>
  </si>
  <si>
    <t>MS-SMB_R9214</t>
  </si>
  <si>
    <t>[In Non-Extended Security Response]Capabilities (4 bytes):  There are several new capability bits:
CAP_COMPRESSED_DATA
,CAP_DYNAMIC_REAUTH
,CAP_EXTENDED_SECURITY
,	CAP_INFOLEVEL_PASSTHRU
,	CAP_LARGE_WRITEX
,CAP_LWIO
,	CAP_UNIX.</t>
  </si>
  <si>
    <t>MS-SMB_R9215</t>
    <phoneticPr fontId="5" type="noConversion"/>
  </si>
  <si>
    <t>[In Non-Extended Security Response]Capabilities (4 bytes):  Any value not listed in the following table SHOULD be unused.</t>
  </si>
  <si>
    <t>Can't ensure "Any".</t>
    <phoneticPr fontId="5" type="noConversion"/>
  </si>
  <si>
    <t>MS-SMB_R109215</t>
    <phoneticPr fontId="5" type="noConversion"/>
  </si>
  <si>
    <t>[In Non-Extended Security Response]Capabilities (4 bytes): value not listed in the following table SHOULD be unused.</t>
    <phoneticPr fontId="5" type="noConversion"/>
  </si>
  <si>
    <t>MS-SMB_R9215:p</t>
  </si>
  <si>
    <t>MS-SMB_R209215</t>
    <phoneticPr fontId="5" type="noConversion"/>
  </si>
  <si>
    <t>[In Non-Extended Security Response]Capabilities (4 bytes): value not listed in the following table is unused in Windows.</t>
    <phoneticPr fontId="5" type="noConversion"/>
  </si>
  <si>
    <t>MS-SMB_R109215:i,MS-SMB_R18:i</t>
    <phoneticPr fontId="5" type="noConversion"/>
  </si>
  <si>
    <t>MS-SMB_R9216</t>
    <phoneticPr fontId="5" type="noConversion"/>
  </si>
  <si>
    <t>[In Non-Extended Security Response]Capabilities (4 bytes):  A server SHOULD set the unused bits to zero in a response.</t>
  </si>
  <si>
    <t>MS-SMB_R109216</t>
    <phoneticPr fontId="5" type="noConversion"/>
  </si>
  <si>
    <t>[In Non-Extended Security Response]Capabilities (4 bytes):  A server is set the unused bits to zero in a response in Windows.</t>
    <phoneticPr fontId="5" type="noConversion"/>
  </si>
  <si>
    <t>MS-SMB_R9216:i,MS-SMB_R18:i</t>
    <phoneticPr fontId="5" type="noConversion"/>
  </si>
  <si>
    <t>MS-SMB_R9217</t>
  </si>
  <si>
    <t>[In Non-Extended Security Response]Capabilities (4 bytes):  a client MUST ignore these bits.</t>
    <phoneticPr fontId="5" type="noConversion"/>
  </si>
  <si>
    <t>MS-SMB_R9218</t>
  </si>
  <si>
    <t>[In Non-Extended Security Response]Capabilities (4 bytes):  The table of server capabilities is provided in the previous section.</t>
  </si>
  <si>
    <t>MS-SMB_R9219</t>
  </si>
  <si>
    <t>[In Non-Extended Security Response] ChallengeLength (1 byte):  This field MUST be either 0x00 or 0x08 and is the length of the random challenge used in challenge/response authentication.</t>
  </si>
  <si>
    <t>MS-SMB_R9220</t>
  </si>
  <si>
    <t>[In Non-Extended Security Response] ChallengeLength (1 byte):  If the server does not support challenge/response authentication, then this field MUST be 0x00.</t>
  </si>
  <si>
    <t>MS-SMB_R9221</t>
  </si>
  <si>
    <t>[In Non-Extended Security Response] ChallengeLength (1 byte): This field is often referred to as EncryptionKeyLength.</t>
  </si>
  <si>
    <t>MS-SMB_R9222</t>
  </si>
  <si>
    <t>[In Non-Extended Security Response] ByteCount (2 bytes):  This field MUST be greater than or equal to 0x0003.</t>
  </si>
  <si>
    <t>MS-SMB_R9223</t>
  </si>
  <si>
    <t>[In Non-Extended Security Response] Challenge (variable):  An array of unsigned bytes that MUST be the length of the number of bytes specified in the ChallengeLength field.</t>
  </si>
  <si>
    <t>MS-SMB_R9224</t>
  </si>
  <si>
    <t>[In Non-Extended Security Response] Challenge (variable):  An array of unsigned bytes MUST represent the server challenge.</t>
  </si>
  <si>
    <t>MS-SMB_R9225</t>
  </si>
  <si>
    <t>MS-SMB_R5505</t>
  </si>
  <si>
    <t>2.2.4.5.2.2</t>
    <phoneticPr fontId="5" type="noConversion"/>
  </si>
  <si>
    <t>[In Non-Extended Security Response]DomainName (variable):  The name of the domain or workgroup to which the server belongs.</t>
    <phoneticPr fontId="5" type="noConversion"/>
  </si>
  <si>
    <t>MS-SMB_R5506</t>
  </si>
  <si>
    <t>[In Non-Extended Security Response]ServerName (variable):  A variable-length, NULL-terminated Unicode string that contains the name of the Server.</t>
    <phoneticPr fontId="5" type="noConversion"/>
  </si>
  <si>
    <t>MS-SMB_R5507</t>
    <phoneticPr fontId="5" type="noConversion"/>
  </si>
  <si>
    <t>2.2.4.6.1</t>
    <phoneticPr fontId="5" type="noConversion"/>
  </si>
  <si>
    <t>[In Client Request Extensions]An SMB_COM_SESSION_SETUP_ANDX request MUST be sent by a client to begin user authentication on an SMB connection and establish an SMB session.</t>
    <phoneticPr fontId="5" type="noConversion"/>
  </si>
  <si>
    <t>MS-SMB_R5508</t>
  </si>
  <si>
    <t>[In Client Request Extensions]When extended security is being used (see section 3.2.4.2.4), the request MUST take the following form.</t>
    <phoneticPr fontId="5" type="noConversion"/>
  </si>
  <si>
    <t>MS-SMB_R5509</t>
  </si>
  <si>
    <t>[In Client Request Extensions]Aside from the SecurityBlobLength field, the additional capabilities used in the Capabilities field, and the ByteCount and SecurityBlob fields, all other fields are as specified in [MS-CIFS] section 2.2.4.53.1</t>
    <phoneticPr fontId="5" type="noConversion"/>
  </si>
  <si>
    <t>MS-SMB_R5510</t>
  </si>
  <si>
    <t>[In Client Request Extensions]WordCount (1 byte):  The value of this field MUST be 0x0C.</t>
    <phoneticPr fontId="5" type="noConversion"/>
  </si>
  <si>
    <t>MS-SMB_R5532</t>
  </si>
  <si>
    <t>[In Client Request Extensions]SecurityBlobLength (2 bytes):  This value MUST specify the length in bytes of the variable-length SecurityBlob field that is contained within the request.</t>
    <phoneticPr fontId="5" type="noConversion"/>
  </si>
  <si>
    <t>MS-SMB_R5536</t>
    <phoneticPr fontId="5" type="noConversion"/>
  </si>
  <si>
    <t>[In Client Request Extensions]Capabilities (4 bytes):  A set of client capabilities.</t>
    <phoneticPr fontId="5" type="noConversion"/>
  </si>
  <si>
    <t>MS-SMB_R5537</t>
  </si>
  <si>
    <t>MS-SMB_R5539</t>
    <phoneticPr fontId="5" type="noConversion"/>
  </si>
  <si>
    <t>server internal behavior, cannot be observed on the wire</t>
  </si>
  <si>
    <t>MS-SMB_R5541</t>
  </si>
  <si>
    <t>2.2.4</t>
  </si>
  <si>
    <t>[In Client Request Extensions]ByteCount (2 bytes):  If SMB_FLAGS2_UNICODE is set in the SMB_Header.Flags2 field, then this field MUST be greater than or equal to 0x0004.</t>
    <phoneticPr fontId="5" type="noConversion"/>
  </si>
  <si>
    <t>MS-SMB_R5542</t>
    <phoneticPr fontId="5" type="noConversion"/>
  </si>
  <si>
    <t>[In Client Request Extensions]ByteCount (2 bytes):If SMB_FLAGS2_UNICODE is not set, then this field MUST be greater than or equal to 0x0002.</t>
    <phoneticPr fontId="5" type="noConversion"/>
  </si>
  <si>
    <t>MS-SMB_R5544</t>
  </si>
  <si>
    <t>[In Client Request Extensions]SecurityBlob (variable):This field MUST be the authentication token sent to the server, as specified in section 3.2.4.2.4 and in [RFC2743].</t>
    <phoneticPr fontId="5" type="noConversion"/>
  </si>
  <si>
    <t>MS-SMB_R5545</t>
    <phoneticPr fontId="5" type="noConversion"/>
  </si>
  <si>
    <t xml:space="preserve">[In Client Request Extensions]NativeOS (variable):  A string that represents the native operating system of the SMB client. </t>
    <phoneticPr fontId="5" type="noConversion"/>
  </si>
  <si>
    <t>MS-SMB_R5546</t>
    <phoneticPr fontId="5" type="noConversion"/>
  </si>
  <si>
    <t>[In Client Request Extensions]NativeOS (variable):If SMB_FLAGS2_UNICODE is set in the Flags2 field of the SMB header of the request, then the name string MUST be a NULL-terminated array of 16-bit Unicode characters.</t>
    <phoneticPr fontId="5" type="noConversion"/>
  </si>
  <si>
    <t>MS-SMB_R5547</t>
  </si>
  <si>
    <t>[In Client Request Extensions]NativeOS (variable): Otherwise[If SMB_FLAGS2_UNICODE is not set in the Flags2 field of the SMB header of the request], the name string MUST be a NULL-terminated array of OEM characters.</t>
    <phoneticPr fontId="5" type="noConversion"/>
  </si>
  <si>
    <t>MS-SMB_R5548</t>
  </si>
  <si>
    <t>MS-SMB_R5549</t>
  </si>
  <si>
    <t>[In Client Request Extensions]NativeLanMan (variable):  A string that represents the native LAN manager type of the client.</t>
    <phoneticPr fontId="5" type="noConversion"/>
  </si>
  <si>
    <t>MS-SMB_R5550</t>
  </si>
  <si>
    <t xml:space="preserve">[In Client Request Extensions]NativeLANMan (variable): If SMB_FLAGS2_UNICODE is set in the Flags2 field of the SMB header of the request, then the name string MUST be a NULL-terminated array of 16-bit Unicode characters. </t>
    <phoneticPr fontId="5" type="noConversion"/>
  </si>
  <si>
    <t>MS-SMB_R5551</t>
    <phoneticPr fontId="5" type="noConversion"/>
  </si>
  <si>
    <t>[In Client Request Extensions]NativeLANMan (variable): Otherwise[If SMB_FLAGS2_UNICODE is not set in the Flags2 field of the SMB header of the request], the name string MUST be a NULL-terminated array of OEM characters.</t>
    <phoneticPr fontId="5" type="noConversion"/>
  </si>
  <si>
    <t>MS-SMB_R5552</t>
  </si>
  <si>
    <t>MS-SMB_R5553</t>
    <phoneticPr fontId="5" type="noConversion"/>
  </si>
  <si>
    <t>2.2.4.6.2</t>
    <phoneticPr fontId="5" type="noConversion"/>
  </si>
  <si>
    <t>[In Server Response Extensions]When extended security is being used (see section 3.2.4.2.4), a successful response MUST take the following form[SMB_Parameters
  {
  UCHAR  WordCount;
  Words
    {
    UCHAR  AndXCommand;
    UCHAR  AndXReserved;
    USHORT AndXOffset;
    USHORT Action;
    USHORT SecurityBlobLength;
    }
  }
SMB_Data
  {
  USHORT ByteCount;
  Bytes
    {
    UCHAR      SecurityBlob[SecurityBlobLength];
    SMB_STRING NativeOS;
    SMB_STRING NativeLanMan;
    SMB_STRING PrimaryDomain;
    }
  }
].</t>
    <phoneticPr fontId="5" type="noConversion"/>
  </si>
  <si>
    <t>MS-SMB_R5554</t>
  </si>
  <si>
    <t>[In Server Response Extensions]Aside from the SecurityBlobLength field, the additional capabilities used in the Capabilities field, and the ByteCount and SecurityBlob fields, all of the other fields are as specified in [MS-CIFS] section 2.2.4.53.2.</t>
    <phoneticPr fontId="5" type="noConversion"/>
  </si>
  <si>
    <t>MS-SMB_R323</t>
    <phoneticPr fontId="5" type="noConversion"/>
  </si>
  <si>
    <t xml:space="preserve">[In Server Response Extensions]WordCount (1 byte):  The value of this field MUST be 0x04. </t>
    <phoneticPr fontId="5" type="noConversion"/>
  </si>
  <si>
    <t>MS-SMB_R5555</t>
  </si>
  <si>
    <t>[In Server Response Extensions]Action (2 bytes):A 16-bit field. The two lowest-order bits have been defined.</t>
    <phoneticPr fontId="5" type="noConversion"/>
  </si>
  <si>
    <t>MS-SMB_R105555</t>
    <phoneticPr fontId="5" type="noConversion"/>
  </si>
  <si>
    <t>[In Server Response Extensions]If[SMB_SETUP_GUEST
0x0001] clear (0x0000), then the user successfully authenticated and is logged in.</t>
    <phoneticPr fontId="5" type="noConversion"/>
  </si>
  <si>
    <t>MS-SMB_R205555</t>
    <phoneticPr fontId="5" type="noConversion"/>
  </si>
  <si>
    <t>[In Server Response Extensions]If [SMB_SETUP_GUEST
0x0001]set (0x0001), then authentication failed but the server has granted guest access; the user is logged in as a Guest.</t>
    <phoneticPr fontId="5" type="noConversion"/>
  </si>
  <si>
    <t>MS-SMB_R305555</t>
    <phoneticPr fontId="5" type="noConversion"/>
  </si>
  <si>
    <t>[In Server Response Extensions]This bit[SMB_SETUP_USE_LANMAN_KEY
0x0002] is not used with extended security and MUST be clear (0x0000).</t>
    <phoneticPr fontId="5" type="noConversion"/>
  </si>
  <si>
    <t>MS-SMB_R5565</t>
  </si>
  <si>
    <t>[In Server Response Extensions]Action (2 bytes): The server's response does not specify whether the access granted is of type Anonymous. However, the security system can provide that information once authorization completes.</t>
    <phoneticPr fontId="5" type="noConversion"/>
  </si>
  <si>
    <t>MS-SMB_R329</t>
  </si>
  <si>
    <r>
      <t xml:space="preserve">[In Server Response Extensions]SecurityBlobLength (2 bytes):  This value MUST specify the length in bytes of the </t>
    </r>
    <r>
      <rPr>
        <sz val="11"/>
        <rFont val="Calibri"/>
        <family val="3"/>
        <charset val="134"/>
        <scheme val="minor"/>
      </rPr>
      <t xml:space="preserve">variable-length SecurityBlob that is contained within the response.  </t>
    </r>
  </si>
  <si>
    <t>MS-SMB_R5567</t>
  </si>
  <si>
    <t>[In Server Response Extensions]ByteCount (2 bytes):  If SMB_FLAGS2_UNICODE is set in the SMB_Header.Flags2 field, then this field MUST be greater than or equal to 0x0006.</t>
    <phoneticPr fontId="5" type="noConversion"/>
  </si>
  <si>
    <t>MS-SMB_R5568</t>
  </si>
  <si>
    <t>[In Server Response Extensions]ByteCount (2 bytes): If SMB_FLAGS2_UNICODE is not set, then this field MUST be greater than or equal to 0x0003.</t>
    <phoneticPr fontId="5" type="noConversion"/>
  </si>
  <si>
    <t>MS-SMB_R5569</t>
    <phoneticPr fontId="5" type="noConversion"/>
  </si>
  <si>
    <t>[In Server Response Extensions]SecurityBlob (variable): This value MUST contain the authentication token being returned to the client, as specified in section 3.3.5.3 and [RFC2743].</t>
    <phoneticPr fontId="5" type="noConversion"/>
  </si>
  <si>
    <t>MS-SMB_R5570</t>
  </si>
  <si>
    <t>[In Server Response Extensions]NativeOS (variable):  A string that represents the native operating system of the server.</t>
    <phoneticPr fontId="5" type="noConversion"/>
  </si>
  <si>
    <t>MS-SMB_R332</t>
  </si>
  <si>
    <t xml:space="preserve">[In Server Response Extensions,NativeOS (variable)]If SMB_FLAGS2_UNICODE is set in the Flags2 field of the SMB header of the response, the string MUST be a null-terminated array of 16-bit Unicode characters. </t>
    <phoneticPr fontId="5" type="noConversion"/>
  </si>
  <si>
    <t>MS-SMB_R333</t>
  </si>
  <si>
    <r>
      <t>[In Server Response Extensions]NativeOS (variable):  Otherwise</t>
    </r>
    <r>
      <rPr>
        <sz val="11"/>
        <rFont val="Calibri"/>
        <family val="3"/>
        <charset val="134"/>
        <scheme val="minor"/>
      </rPr>
      <t>[If SMB_FLAGS2_UNICODE is not set in the Flags2 field of the SMB header of the response], the string MUST be a null-terminated array of OEM characters.</t>
    </r>
  </si>
  <si>
    <t>MS-SMB_R334</t>
  </si>
  <si>
    <t>MS-SMB_R5571</t>
  </si>
  <si>
    <t>[In Server Response Extensions]NativeLANMan (variable):  A string that represents the native LAN Manager type of the server.</t>
    <phoneticPr fontId="5" type="noConversion"/>
  </si>
  <si>
    <t>MS-SMB_R5572</t>
  </si>
  <si>
    <t>[In Server Response Extensions]NativeLANMan (variable):  If SMB_FLAGS2_UNICODE is set in the Flags2 field of the SMB header of the response, the string MUST be a null-terminated array of 16-bit Unicode characters.</t>
    <phoneticPr fontId="5" type="noConversion"/>
  </si>
  <si>
    <t>MS-SMB_R337</t>
  </si>
  <si>
    <r>
      <t>[In Server Response Extensions]NativeLANMan (variable):  Otherwise</t>
    </r>
    <r>
      <rPr>
        <sz val="11"/>
        <rFont val="Calibri"/>
        <family val="3"/>
        <charset val="134"/>
        <scheme val="minor"/>
      </rPr>
      <t xml:space="preserve">[If SMB_FLAGS2_UNICODE is not set in the Flags2 field of the SMB header of the response], the string MUST be a null-terminated array of OEM characters. </t>
    </r>
  </si>
  <si>
    <t>MS-SMB_R338</t>
    <phoneticPr fontId="5" type="noConversion"/>
  </si>
  <si>
    <t>MS-SMB_R5573</t>
  </si>
  <si>
    <t>[In Server Response Extensions]PrimaryDomain (variable):  The value of the PrimaryDomain field represents the primary domain or workgroup name of the server.</t>
    <phoneticPr fontId="5" type="noConversion"/>
  </si>
  <si>
    <t>MS-SMB_R5574</t>
  </si>
  <si>
    <t>[In Server Response Extensions]PrimaryDomain (variable):  If SMB_FLAGS2_UNICODE is set in the Flags2 field of the SMB header of the response, the string MUST be a null-terminated array of 16-bit Unicode characters.</t>
    <phoneticPr fontId="5" type="noConversion"/>
  </si>
  <si>
    <t>MS-SMB_R5575</t>
  </si>
  <si>
    <t>[In Server Response Extensions]PrimaryDomain (variable):  Otherwise[If SMB_FLAGS2_UNICODE is not set in the Flags2 field of the SMB header of the response], the string MUST be a null-terminated array of OEM characters.</t>
    <phoneticPr fontId="5" type="noConversion"/>
  </si>
  <si>
    <t>MS-SMB_R347</t>
  </si>
  <si>
    <t xml:space="preserve">[In Server Response Extensions]PrimaryDomain (variable): If the string consists of Unicode characters, this field MUST be aligned to start on a 2-byte boundary from the start of the SMB header. </t>
    <phoneticPr fontId="5" type="noConversion"/>
  </si>
  <si>
    <t>MS-SMB_R5576</t>
  </si>
  <si>
    <t>2.2.4.7.1</t>
    <phoneticPr fontId="5" type="noConversion"/>
  </si>
  <si>
    <t>[In Client Request Extensions]An SMB_COM_TREE_CONNECT_ANDX request MUST be sent by a client to establish a tree connect to a share.</t>
    <phoneticPr fontId="5" type="noConversion"/>
  </si>
  <si>
    <t>MS-SMB_R5577</t>
  </si>
  <si>
    <t xml:space="preserve">[In Client Request Extensions]These extensions define new flags (TREE_CONNECT_ANDX_EXTENDED_SIGNATURES and TREE_CONNECT_ANDX_EXTENDED_RESPONSE) in the SMB_Parameters.Words.Flags field that are used to trigger the new behavior defined in this specification. </t>
    <phoneticPr fontId="5" type="noConversion"/>
  </si>
  <si>
    <t>MS-SMB_R105579</t>
    <phoneticPr fontId="5" type="noConversion"/>
  </si>
  <si>
    <t>[In Client Request Extensions]The full field description from [MS-CIFS] is included for completeness. All other fields are as specified in [MS-CIFS] section 2.2.4.55.1.</t>
    <phoneticPr fontId="5" type="noConversion"/>
  </si>
  <si>
    <t>MS-SMB_R5590</t>
  </si>
  <si>
    <t>[In Client Request Extensions]Flags (2 bytes):  A set of options that modify the SMB_COM_TREE_CONNECT_ANDX request.</t>
    <phoneticPr fontId="5" type="noConversion"/>
  </si>
  <si>
    <t>MS-SMB_R5591</t>
  </si>
  <si>
    <t>[In Client Request Extensions]Flags (2 bytes):  The entire flag set is given here with its symbolic constants.</t>
    <phoneticPr fontId="5" type="noConversion"/>
  </si>
  <si>
    <t>MS-SMB_R5592</t>
  </si>
  <si>
    <t>[In Client Request Extensions]Flags (2 bytes):  Any combination of the following flags[TREE_CONNECT_ANDX_DISCONNECT_TID 0x0001, TREE_CONNECT_ANDX_EXTENDED_SIGNATURES 0x0004, TREE_CONNECT_ANDX_EXTENDED_RESPONSE 0x0008] is valid.</t>
    <phoneticPr fontId="5" type="noConversion"/>
  </si>
  <si>
    <t>MS-SMB_R5593</t>
  </si>
  <si>
    <t>[In Client Request Extensions]Flags (2 bytes):  Any values not given as follows[TREE_CONNECT_ANDX_DISCONNECT_TID 0x0001, TREE_CONNECT_ANDX_EXTENDED_SIGNATURES 0x0004, TREE_CONNECT_ANDX_EXTENDED_RESPONSE 0x0008] are considered reserved.</t>
    <phoneticPr fontId="5" type="noConversion"/>
  </si>
  <si>
    <t>MS-SMB_R5594</t>
  </si>
  <si>
    <t>[In Client Request Extensions]Flags (2 bytes):  The client MUST set them to zero.</t>
    <phoneticPr fontId="5" type="noConversion"/>
  </si>
  <si>
    <t>MS-SMB_R5595</t>
  </si>
  <si>
    <t>[In Client Request Extensions]Flags (2 bytes):  the server MUST ignore them.</t>
    <phoneticPr fontId="5" type="noConversion"/>
  </si>
  <si>
    <t>MS-SMB_R5596</t>
  </si>
  <si>
    <t>[In Client Request Extensions]Flags (2 bytes): whatever these values are, the server's reply is the same.</t>
    <phoneticPr fontId="5" type="noConversion"/>
  </si>
  <si>
    <t>MS-SMB_R5595:p</t>
  </si>
  <si>
    <t>[In Client Request Extensions,TREE_CONNECT_ANDX_DISCONNECT_TID]If set, the tree connect specified by the TID in the SMB header of the request SHOULD be disconnected when the server sends the response.</t>
    <phoneticPr fontId="5" type="noConversion"/>
  </si>
  <si>
    <t>MS-SMB_R10357</t>
    <phoneticPr fontId="5" type="noConversion"/>
  </si>
  <si>
    <t>MS-SMB_R357:i,MS-SMB_R18:i</t>
    <phoneticPr fontId="5" type="noConversion"/>
  </si>
  <si>
    <t>MS-SMB_R5597</t>
  </si>
  <si>
    <t>[In Client Request Extensions,Flags: TREE_CONNECT_ANDX_DISCONNECT_TID
0x0001]If this tree disconnect fails, the error SHOULD be ignored.</t>
    <phoneticPr fontId="5" type="noConversion"/>
  </si>
  <si>
    <t>MS-SMB_R5600</t>
  </si>
  <si>
    <t>[In Client Request Extensions,Flags: TREE_CONNECT_ANDX_EXTENDED_SIGNATURES 0x0004] If set, then the client is requesting signing key protection, as specified in sections 3.2.4.2.5 and 3.2.5.4.</t>
    <phoneticPr fontId="5" type="noConversion"/>
  </si>
  <si>
    <t>MS-SMB_R5601</t>
  </si>
  <si>
    <t>[In Client Request Extensions,Flags: TREE_CONNECT_ANDX_EXTENDED_RESPONSE 0x0008] If set, then the client is requesting extended information in the SMB_COM_TREE_CONNECT_ANDX response.</t>
    <phoneticPr fontId="5" type="noConversion"/>
  </si>
  <si>
    <t>MS-SMB_R5617</t>
  </si>
  <si>
    <t>2.2.4.7.2</t>
    <phoneticPr fontId="5" type="noConversion"/>
  </si>
  <si>
    <t>MS-SMB_R5618</t>
  </si>
  <si>
    <t>[In Server Response Extensions]Aside from the WordCount, MaximalShareAccessRights, and GuestMaximalShareAccessRights fields, and the new OptionalSupport flags, all other fields are defined as specified in [MS-CIFS] section 2.2.4.55.2.</t>
    <phoneticPr fontId="5" type="noConversion"/>
  </si>
  <si>
    <t>MS-SMB_R376</t>
  </si>
  <si>
    <t>[In Server Response Extensions]WordCount (1 byte):  The value of this field MUST be 0x07.</t>
    <phoneticPr fontId="5" type="noConversion"/>
  </si>
  <si>
    <t>MS-SMB_R105644</t>
    <phoneticPr fontId="5" type="noConversion"/>
  </si>
  <si>
    <t xml:space="preserve">[In Server Response Extensions]OptionalSupport (2 bytes):  The following OptionalSupport bit fields are new extensions: SMB_CSC_MASK, SMB_UNIQUE_FILE_NAME, and SMB_EXTENDED_SIGNATURES. </t>
    <phoneticPr fontId="5" type="noConversion"/>
  </si>
  <si>
    <t>MS-SMB_R115644</t>
    <phoneticPr fontId="5" type="noConversion"/>
  </si>
  <si>
    <t xml:space="preserve">[In Server Response Extensions]OptionalSupport (2 bytes): Values from [MS-CIFS] are included for completeness. </t>
    <phoneticPr fontId="5" type="noConversion"/>
  </si>
  <si>
    <t>MS-SMB_R205644</t>
    <phoneticPr fontId="5" type="noConversion"/>
  </si>
  <si>
    <t xml:space="preserve">[In Server Response Extensions]OptionalSupport (2 bytes): The values of SMB_CSC_MASK each have their own name and are included for reference purposes only. </t>
    <phoneticPr fontId="5" type="noConversion"/>
  </si>
  <si>
    <t>MS-SMB_R305644</t>
    <phoneticPr fontId="5" type="noConversion"/>
  </si>
  <si>
    <t>2.2.4.7.2</t>
  </si>
  <si>
    <t xml:space="preserve">[In Server Response Extensions]OptionalSupport (2 bytes): Any combination of the following flags[SMB_SUPPORT_SEARCH_BITS 0x0001,SMB_SHARE_IS_IN_DFS 0x0002,SMB_CSC_MASK 0x000C,SMB_UNIQUE_FILE_NAME 0x0010,SMB_EXTENDED_SIGNATURES 0x0020] MUST be supported. </t>
  </si>
  <si>
    <t>Can't ensure "Any"</t>
    <phoneticPr fontId="5" type="noConversion"/>
  </si>
  <si>
    <t>MS-SMB_R35644</t>
  </si>
  <si>
    <t xml:space="preserve">[In Server Response Extensions]OptionalSupport (2 bytes):Combination of the following flags[SMB_SUPPORT_SEARCH_BITS 0x0001,SMB_SHARE_IS_IN_DFS 0x0002,SMB_CSC_MASK 0x000C,SMB_UNIQUE_FILE_NAME 0x0010,SMB_EXTENDED_SIGNATURES 0x0020] MUST be supported. </t>
  </si>
  <si>
    <t>MS-SMB_R305644:p</t>
    <phoneticPr fontId="5" type="noConversion"/>
  </si>
  <si>
    <t>MS-SMB_R405644</t>
    <phoneticPr fontId="5" type="noConversion"/>
  </si>
  <si>
    <t>[In Server Response Extensions]OptionalSupport (2 bytes): All undefined values are considered reserved.</t>
    <phoneticPr fontId="5" type="noConversion"/>
  </si>
  <si>
    <t>MS-SMB_R505644</t>
    <phoneticPr fontId="5" type="noConversion"/>
  </si>
  <si>
    <t>[In Server Response Extensions]OptionalSupport (2 bytes): The server SHOULD set them to zero.</t>
    <phoneticPr fontId="5" type="noConversion"/>
  </si>
  <si>
    <t>MS-SMB_R515644</t>
    <phoneticPr fontId="5" type="noConversion"/>
  </si>
  <si>
    <t>[In Server Response Extensions]OptionalSupport (2 bytes): The server is set them to zero in Windows.</t>
    <phoneticPr fontId="5" type="noConversion"/>
  </si>
  <si>
    <t>MS-SMB_R505644:i,MS-SMB_R18:i</t>
  </si>
  <si>
    <t>MS-SMB_R605644</t>
    <phoneticPr fontId="5" type="noConversion"/>
  </si>
  <si>
    <t>[In Server Response Extensions]OptionalSupport (2 bytes): the client MUST ignore them.</t>
    <phoneticPr fontId="5" type="noConversion"/>
  </si>
  <si>
    <t>MS-SMB_R705644</t>
    <phoneticPr fontId="5" type="noConversion"/>
  </si>
  <si>
    <t xml:space="preserve">[In Server Response Extensions]OptionalSupport (2 bytes): If [SMB_SUPPORT_SEARCH_BITS
0x0001]set, then the server supports the use of SMB_FILE_ATTRIBUTES Search Attributes in client directory search requests, as specified in [MS-CIFS].
</t>
  </si>
  <si>
    <t>MS-SMB_R805644</t>
    <phoneticPr fontId="5" type="noConversion"/>
  </si>
  <si>
    <t>[In Server Response Extensions]OptionalSupport (2 bytes): If[SMB_SHARE_IS_IN_DFS
0x0002] set, this share is managed by Distributed File System (DFS), as specified in [MS-DFSC].</t>
  </si>
  <si>
    <t>MS-SMB_R5645</t>
    <phoneticPr fontId="5" type="noConversion"/>
  </si>
  <si>
    <t>[In Server Response Extensions]OptionalSupport (2 bytes):  For SMB_CSC_MASK
0x000C, value 0 means clients are allowed to cache files that the user requests for offline use, but there is no automatic file-by-file reintegration.</t>
    <phoneticPr fontId="5" type="noConversion"/>
  </si>
  <si>
    <t>MS-SMB_R5646</t>
  </si>
  <si>
    <t xml:space="preserve">[In Server Response Extensions]OptionalSupport (2 bytes):  For SMB_CSC_MASK
0x000C, value 1 means SMB_CSC_CACHE_AUTO_REINT Clients are allowed to automatically cache the files that a user or application modifies for offline use. </t>
    <phoneticPr fontId="5" type="noConversion"/>
  </si>
  <si>
    <t>MS-SMB_R5647</t>
    <phoneticPr fontId="5" type="noConversion"/>
  </si>
  <si>
    <t>[In Server Response Extensions]OptionalSupport (2 bytes):  For SMB_CSC_MASK
0x000C, value 1 means  Automatic file-by-file reintegration MUST be permitted.</t>
    <phoneticPr fontId="5" type="noConversion"/>
  </si>
  <si>
    <t>MS-SMB_R5648</t>
    <phoneticPr fontId="5" type="noConversion"/>
  </si>
  <si>
    <t>[In Server Response Extensions]OptionalSupport (2 bytes):  For SMB_CSC_MASK
0x000C, value 2 means SMB_CSC_CACHE_VDO Clients are allowed to automatically cache the files that a user or application modifies for offline use.</t>
    <phoneticPr fontId="5" type="noConversion"/>
  </si>
  <si>
    <t>MS-SMB_R5649</t>
  </si>
  <si>
    <t>[In Server Response Extensions]OptionalSupport (2 bytes):  For SMB_CSC_MASK
0x000C, value 3 means Clients are permitted to work from their local cache even while online.</t>
  </si>
  <si>
    <t>MS-SMB_R5650</t>
  </si>
  <si>
    <t>[In SMB_COM_TREE_CONNECT_ANDX Server Response]OptionalSupport (2 bytes): For SMB_CSC_MASK, value SMB_CSC_NO_CACHING
12 (binary 11) means SMB_CSC_NO_CACHING No offline caching is allowed for this share.</t>
    <phoneticPr fontId="5" type="noConversion"/>
  </si>
  <si>
    <t>MS-SMB_R105650</t>
    <phoneticPr fontId="5" type="noConversion"/>
  </si>
  <si>
    <t xml:space="preserve">[In Server Response Extensions]OptionalSupport (2 bytes):If[SMB_UNIQUE_FILE_NAME
0x0010] set, then the server is using long file names only and does not support short file names. </t>
    <phoneticPr fontId="5" type="noConversion"/>
  </si>
  <si>
    <t>MS-SMB_R205650</t>
    <phoneticPr fontId="5" type="noConversion"/>
  </si>
  <si>
    <t xml:space="preserve">[In Server Response Extensions]OptionalSupport (2 bytes):If [SMB_UNIQUE_FILE_NAME
0x0010] set, then the server allows the client to assume that there is no name aliasing for this share (in other words, a single file cannot have two different names). </t>
    <phoneticPr fontId="5" type="noConversion"/>
  </si>
  <si>
    <t>MS-SMB_R305650</t>
    <phoneticPr fontId="5" type="noConversion"/>
  </si>
  <si>
    <t>[In Server Response Extensions]OptionalSupport (2 bytes):If[SMB_UNIQUE_FILE_NAME
0x0010] set, then the server permits the client to cache directory enumerations and file metadata based on the pathname.</t>
    <phoneticPr fontId="5" type="noConversion"/>
  </si>
  <si>
    <t>MS-SMB_R405650</t>
    <phoneticPr fontId="5" type="noConversion"/>
  </si>
  <si>
    <t>MS-SMB_R505650</t>
    <phoneticPr fontId="5" type="noConversion"/>
  </si>
  <si>
    <t>[In Server Response Extensions]OptionalSupport (2 bytes):The client MUST NOT cache remote file system information for more than 60 seconds.</t>
    <phoneticPr fontId="5" type="noConversion"/>
  </si>
  <si>
    <t>MS-SMB_R605650</t>
    <phoneticPr fontId="5" type="noConversion"/>
  </si>
  <si>
    <t>[In Server Response Extensions]OptionalSupport (2 bytes):If[SMB_UNIQUE_FILE_NAME
0x0010] set, then the server is using signing key protection (see section 3.3.5.4), as requested by the client.</t>
    <phoneticPr fontId="5" type="noConversion"/>
  </si>
  <si>
    <t>MS-SMB_R5651</t>
  </si>
  <si>
    <t>[In Server Response Extensions]MaximalShareAccessRights (4 bytes): This field MUST specify the maximum rights that the user has to this share based on the security enforced by the share.</t>
    <phoneticPr fontId="5" type="noConversion"/>
  </si>
  <si>
    <t>MS-SMB_R5652</t>
    <phoneticPr fontId="5" type="noConversion"/>
  </si>
  <si>
    <t>[In Server Response ExtensionsMaximalShareAccessRights (4 bytes): This field MUST be encoded in an ACCESS_MASK format, as specified in section 2.2.1.4.</t>
    <phoneticPr fontId="5" type="noConversion"/>
  </si>
  <si>
    <t>MS-SMB_R5653</t>
  </si>
  <si>
    <t>[In Server Response Extensions]GuestMaximalShareAccessRights (4 bytes): This field MUST specify the maximum rights that the guest account has on this share based on the security enforced by the share.</t>
    <phoneticPr fontId="5" type="noConversion"/>
  </si>
  <si>
    <t>MS-SMB_R5655</t>
  </si>
  <si>
    <t>MS-SMB_R5656</t>
  </si>
  <si>
    <t>[In Server Response Extensions]GuestMaximalShareAccessRights (4 bytes): Implementations that do not support the notion of a guest account MUST set this field to zero, which implies no access.</t>
    <phoneticPr fontId="5" type="noConversion"/>
  </si>
  <si>
    <t>MS-SMB_R105656</t>
    <phoneticPr fontId="5" type="noConversion"/>
  </si>
  <si>
    <t>[In Server Response Extensions]GuestMaximalShareAccessRights (4 bytes):This field MUST be encoded in an ACCESS_MASK format, as specified in section 2.2.1.4.</t>
    <phoneticPr fontId="5" type="noConversion"/>
  </si>
  <si>
    <t>MS-SMB_R9230</t>
  </si>
  <si>
    <t>2.2.4.8</t>
  </si>
  <si>
    <t>[In SMB_COM_NT_TRANSACT (0xA0) Extensions]The SMB_COM_NT_TRANSACT request is sent by a client to specify operations on the server. The operations include file open, file create, device I/O control, notify directory change, and set and query security descriptors.</t>
  </si>
  <si>
    <t>MS-SMB_R9231</t>
  </si>
  <si>
    <t>[In SMB_COM_NT_TRANSACT (0xA0) Extensions]The general format of the SMB_COM_NT_TRANSACT command requests and responses is given in [MS-CIFS] sections 2.2.4.62 and 2.2.4.63. Execution of SMB_COM_NT_TRANSACT is as specified in [MS-CIFS] sections 3.2.4.1.5, 3.2.5.1.4, and 3.3.5.1.5.</t>
  </si>
  <si>
    <t>MS-SMB_R9232</t>
  </si>
  <si>
    <t xml:space="preserve">[In SMB_COM_NT_TRANSACT (0xA0) Extensions]Valid SMB_COM_NT_TRANSACT subcommand codes, also known as "NT Trans subcommand" codes, are specified in section 2.2.2.2. </t>
  </si>
  <si>
    <t>MS-SMB_R9233</t>
  </si>
  <si>
    <t>[In SMB_COM_NT_TRANSACT (0xA0) Extensions]The format and syntax of these subcommands are specified in section 2.2.7 and in [MS-CIFS] section 2.2.7.</t>
  </si>
  <si>
    <t>MS-SMB_R9234</t>
  </si>
  <si>
    <t>2.2.4.9.1</t>
  </si>
  <si>
    <t>[In Client Request Extensions]An SMB_COM_NT_CREATE_ANDX request is sent by a client to open a file or device on the server.</t>
  </si>
  <si>
    <t>MS-SMB_R9235</t>
  </si>
  <si>
    <t>[In Client Request Extensions]This extension adds the following:An additional flag bit is added to the Flags field of the SMB_COM_NT_CREATE_ANDX request.</t>
  </si>
  <si>
    <t>MS-SMB_R9236</t>
  </si>
  <si>
    <t>[In Client Request Extensions,This extension adds the following:]This extension adds the following:The additional flag, NT_CREATE_REQUEST_EXTENDED_RESPONSE, is used to request an extended response from the server.</t>
  </si>
  <si>
    <t>MS-SMB_R9237</t>
  </si>
  <si>
    <t>[In Client Request Extensions,This extension adds the following:]An additional parameter value is added to the ImpersonationLevel field.</t>
  </si>
  <si>
    <t>MS-SMB_R9238</t>
  </si>
  <si>
    <t>[In Client Request Extensions,This extension adds the following:]SECURITY_DELEGATION is added to allow the server to call other servers while impersonating the original client.</t>
  </si>
  <si>
    <t>MS-SMB_R9239</t>
  </si>
  <si>
    <t>MS-SMB_R9240</t>
  </si>
  <si>
    <t>[In Client Request Extensions]Flags (4 bytes):  A set of flags that modify the client request, as defined in the table below. NT_CREATE_REQUEST_EXTENDED_RESPONSE is new to MS-SMB.</t>
  </si>
  <si>
    <t>MS-SMB_R9241</t>
  </si>
  <si>
    <t>[In Client Request Extensions]Flags (4 bytes): All other flags[NT_CREATE_REQUEST_OPLOCK
0x00000002, NT_CREATE_REQUEST_OPBATCH
0x00000004,NT_CREATE_OPEN_TARGET_DIR
0x00000008,NT_CREATE_REQUEST_EXTENDED_RESPONSE
0x00000010]are included in the table for completeness.</t>
  </si>
  <si>
    <t>MS-SMB_R9242</t>
  </si>
  <si>
    <t>[In Client Request Extensions]Flags (4 bytes): Unused bits SHOULD be set to zero by the client when sending a request</t>
  </si>
  <si>
    <t>MS-SMB_R9243</t>
    <phoneticPr fontId="5" type="noConversion"/>
  </si>
  <si>
    <t>[In Client Request Extensions]Flags (4 bytes): Unused bits MUST be ignored when received by the server.</t>
  </si>
  <si>
    <t>MS-SMB_R109243</t>
    <phoneticPr fontId="5" type="noConversion"/>
  </si>
  <si>
    <t>MS-SMB_R9243:p</t>
    <phoneticPr fontId="5" type="noConversion"/>
  </si>
  <si>
    <t>MS-SMB_R9244</t>
  </si>
  <si>
    <t>[In Client Request Extensions]Flags (4 bytes): If [NT_CREATE_REQUEST_OPLOCK
0x00000002]set, then the client is requesting an oplock.</t>
  </si>
  <si>
    <t>MS-SMB_R9245</t>
  </si>
  <si>
    <t>[In Client Request Extensions]Flags (4 bytes): If[NT_CREATE_REQUEST_OPBATCH
0x00000004] set, then the client is requesting a batch oplock.</t>
  </si>
  <si>
    <t>MS-SMB_R9246</t>
  </si>
  <si>
    <t>[In Client Request Extensions]Flags (4 bytes): If [NT_CREATE_OPEN_TARGET_DIR
0x00000008]set, then the client indicates that the parent directory of the target is to be opened.</t>
  </si>
  <si>
    <t>MS-SMB_R9247</t>
  </si>
  <si>
    <t>[In Client Request Extensions]Flags (4 bytes): If the target does exist, then it might require a delete access check for the parent directory.</t>
  </si>
  <si>
    <t>MS-SMB_R9248</t>
  </si>
  <si>
    <t>[In Client Request Extensions]Flags (4 bytes): If [NT_CREATE_REQUEST_EXTENDED_RESPONSE
0x00000010]set, then the client is requesting extended information in the response.</t>
  </si>
  <si>
    <t>MS-SMB_R5809</t>
    <phoneticPr fontId="5" type="noConversion"/>
  </si>
  <si>
    <t>2.2.4.9.1</t>
    <phoneticPr fontId="5" type="noConversion"/>
  </si>
  <si>
    <t>MS-SMB_R1004000</t>
    <phoneticPr fontId="5" type="noConversion"/>
  </si>
  <si>
    <t>6</t>
    <phoneticPr fontId="5" type="noConversion"/>
  </si>
  <si>
    <t>Server</t>
    <phoneticPr fontId="5" type="noConversion"/>
  </si>
  <si>
    <t>MS-SMB_R5810</t>
  </si>
  <si>
    <t>[In SMB_COM_NT_CREATE_ANDX Client Request]ImpersonationLevel (4 bytes): Security impersonation levels govern the degree to which a server process can act on behalf of a client process.</t>
  </si>
  <si>
    <t xml:space="preserve">   </t>
  </si>
  <si>
    <t>MS-SMB_R5811</t>
  </si>
  <si>
    <t>[In SMB_COM_NT_CREATE_ANDX Client Request]ImpersonationLevel (4 bytes): This field MUST be set to one of the following values.[SECURITY_ANONYMOUS 0x00000000, SECURITY_IDENTIFICATION 0x00000001, SECURITY_IMPERSONATION 0x00000002, SECURITY_DELEGATION 0x00000003].</t>
  </si>
  <si>
    <t>MS-SMB_R5812</t>
  </si>
  <si>
    <t>[ImpersonationLevel: SECURITY_ANONYMOUS 0x00000000]The server cannot obtain identification information about the client.</t>
  </si>
  <si>
    <t>MS-SMB_R5813</t>
  </si>
  <si>
    <t>[ImpersonationLevel: SECURITY_ANONYMOUS 0x00000000]The server cannot impersonate the client.</t>
  </si>
  <si>
    <t>MS-SMB_R5814</t>
  </si>
  <si>
    <t>[ImpersonationLevel: SECURITY_IDENTIFICATION 0x00000001]The server can obtain security information about the client, such as security identifiers (SIDs) and privileges.</t>
  </si>
  <si>
    <t>MS-SMB_R5815</t>
  </si>
  <si>
    <t>[ImpersonationLevel: SECURITY_IDENTIFICATION 0x00000001]The server cannot impersonate the client.</t>
  </si>
  <si>
    <t>MS-SMB_R5816</t>
  </si>
  <si>
    <t>[ImpersonationLevel: SECURITY_IDENTIFICATION 0x00000001]This is useful for servers that export their own objects; for example, database products that export tables and views.</t>
  </si>
  <si>
    <t>MS-SMB_R5817</t>
  </si>
  <si>
    <t>[ImpersonationLevel: SECURITY_IDENTIFICATION 0x00000001]Using the retrieved client-security information, the server can make access-validation decisions without being capable of using other services that are using the client's security context.</t>
  </si>
  <si>
    <t>MS-SMB_R5818</t>
  </si>
  <si>
    <t xml:space="preserve">[ImpersonationLevel: SECURITY_IMPERSONATION 0x00000002]The server can impersonate the client's security context on the server system. </t>
  </si>
  <si>
    <t>MS-SMB_R5819</t>
  </si>
  <si>
    <t>[ImpersonationLevel: SECURITY_IMPERSONATION 0x00000002]The server cannot impersonate the client on other remote systems.</t>
  </si>
  <si>
    <t>MS-SMB_R5820</t>
  </si>
  <si>
    <t>[ImpersonationLevel: SECURITY_DELEGATION 0x00000003]The server can impersonate the client's security context on the server system and on remote systems.</t>
  </si>
  <si>
    <t>MS-SMB_R105842</t>
    <phoneticPr fontId="5" type="noConversion"/>
  </si>
  <si>
    <t>2.2.4.9.2</t>
    <phoneticPr fontId="5" type="noConversion"/>
  </si>
  <si>
    <t xml:space="preserve">[In Server Response Extensions]A successful response takes the following format. </t>
    <phoneticPr fontId="5" type="noConversion"/>
  </si>
  <si>
    <t>Informative</t>
    <phoneticPr fontId="5" type="noConversion"/>
  </si>
  <si>
    <t>MS-SMB_R5842</t>
  </si>
  <si>
    <t>[In Server Response Extensions]If the server receives more than one SMB_COM_NT_CREATE_ANDX request from a client before it sends back any response, then the server can respond to these requests in any order.</t>
    <phoneticPr fontId="5" type="noConversion"/>
  </si>
  <si>
    <t>MS-SMB_R5843</t>
  </si>
  <si>
    <t>2.2.4.9.2</t>
  </si>
  <si>
    <t xml:space="preserve">[In Server Response Extensions]When a client requests extended information, then the response takes the form described below. </t>
  </si>
  <si>
    <t>MS-SMB_R5844</t>
    <phoneticPr fontId="5" type="noConversion"/>
  </si>
  <si>
    <t>[In Server Response Extensions]Aside from the WordCount, NMPipeStatus_or_FileStatusFlags, FileId, VolumeGUID, FileId, MaximalAccessRights, and GuestMaximalAccessRights fields, all other fields are as specified in [MS-CIFS] section 2.2.4.64.2.</t>
  </si>
  <si>
    <t>MS-SMB_R502</t>
  </si>
  <si>
    <t>MS-SMB_R19248</t>
    <phoneticPr fontId="5" type="noConversion"/>
  </si>
  <si>
    <t>MS-SMB_R109248</t>
    <phoneticPr fontId="5" type="noConversion"/>
  </si>
  <si>
    <t>MS-SMB_R19248:i,MS-SMB_R18:i</t>
    <phoneticPr fontId="5" type="noConversion"/>
  </si>
  <si>
    <t>MS-SMB_R9249</t>
  </si>
  <si>
    <t>[In Server Response Extensions]NMPipeStatus_or_FileStatusFlags (2 bytes):  A union between the NMPipeStatus field and the new FileStatusFlags field.</t>
    <phoneticPr fontId="5" type="noConversion"/>
  </si>
  <si>
    <t>MS-SMB_R9250</t>
  </si>
  <si>
    <t>MS-SMB_R9251</t>
  </si>
  <si>
    <t>[In Server Response Extensions]NMPipeStatus (2 bytes):  A 16-bit field that shows the status of the opened named pipe. This field is formatted as an SMB_NMPIPE_STATUS ([MS-CIFS] section 2.2.1.3).</t>
    <phoneticPr fontId="5" type="noConversion"/>
  </si>
  <si>
    <t>MS-SMB_R9252</t>
  </si>
  <si>
    <t>[In Server Response Extensions]NMPipeStatus (2 bytes): If the ResourceType field is FileTypeDisk, then this field MUST be the FileStatusFlags field.</t>
    <phoneticPr fontId="5" type="noConversion"/>
  </si>
  <si>
    <t>MS-SMB_R9253</t>
  </si>
  <si>
    <t xml:space="preserve">[In Server Response Extensions]FileStatusFlags (2 bytes):  A 16-bit field that shows extra information about the opened file or directory. </t>
    <phoneticPr fontId="5" type="noConversion"/>
  </si>
  <si>
    <t>MS-SMB_R9254</t>
  </si>
  <si>
    <t>[In Server Response Extensions]FileStatusFlags (2 bytes): Any combination of the following flags is valid.</t>
    <phoneticPr fontId="5" type="noConversion"/>
  </si>
  <si>
    <t>MS-SMB_R9255</t>
    <phoneticPr fontId="5" type="noConversion"/>
  </si>
  <si>
    <t>[In Server Response Extensions]FileStatusFlags (2 bytes): Unused bit fields SHOULD be set to zero by the server.</t>
    <phoneticPr fontId="5" type="noConversion"/>
  </si>
  <si>
    <t>MS-SMB_R109255</t>
    <phoneticPr fontId="5" type="noConversion"/>
  </si>
  <si>
    <t>[In Server Response Extensions]FileStatusFlags (2 bytes): Unused bit fields are set to zero by the server in Windows.</t>
    <phoneticPr fontId="5" type="noConversion"/>
  </si>
  <si>
    <t>MS-SMB_R9255:i,MS-SMB_R18:i</t>
    <phoneticPr fontId="5" type="noConversion"/>
  </si>
  <si>
    <t>MS-SMB_R9256</t>
  </si>
  <si>
    <t>[In Server Response Extensions]FileStatusFlags (2 bytes): Unused bit fields MUST be ignored by the client.</t>
    <phoneticPr fontId="5" type="noConversion"/>
  </si>
  <si>
    <t>MS-SMB_R9257</t>
  </si>
  <si>
    <t>[In Server Response Extensions]FileStatusFlags (2 bytes):  Value NO_EAS
0x0001 means The file or directory has no extended attributes..</t>
    <phoneticPr fontId="5" type="noConversion"/>
  </si>
  <si>
    <t>MS-SMB_R5890</t>
  </si>
  <si>
    <t>[In Server Response Extensions]FileStatusFlags (2 bytes): Value NO_SUBSTREAMS 0x0002 means the file or directory has no data streams other than the main data stream.</t>
    <phoneticPr fontId="5" type="noConversion"/>
  </si>
  <si>
    <t>MS-SMB_R9258</t>
    <phoneticPr fontId="5" type="noConversion"/>
  </si>
  <si>
    <t xml:space="preserve">[In Server Response Extensions]FileStatusFlags (2 bytes): Value NO_REPARSETAG
0x0004 means The file or directory is not a reparse point.
</t>
    <phoneticPr fontId="5" type="noConversion"/>
  </si>
  <si>
    <t>MS-SMB_R9259</t>
    <phoneticPr fontId="5" type="noConversion"/>
  </si>
  <si>
    <t>[In Server Response Extensions]FileStatusFlags (2 bytes): For all other values[except NO_EAS
0x0001,NO_SUBSTREAMS
0x0002,NO_REPARSETAG
0x0004]of ResourceType, this field SHOULD be set to zero by the server when sending a response.</t>
    <phoneticPr fontId="5" type="noConversion"/>
  </si>
  <si>
    <t>MS-SMB_R119259</t>
    <phoneticPr fontId="5" type="noConversion"/>
  </si>
  <si>
    <t>[In Server Response Extensions]FileStatusFlags (2 bytes): For  other values[except FileTypeDisk, FileTypeByteModePipe  and FileTypeMessageModePipe]of ResourceType, this field SHOULD be set to zero by the server when sending a response.</t>
    <phoneticPr fontId="5" type="noConversion"/>
  </si>
  <si>
    <t>MS-SMB_R9259:p</t>
  </si>
  <si>
    <t>MS-SMB_R109259</t>
    <phoneticPr fontId="5" type="noConversion"/>
  </si>
  <si>
    <t>[In Server Response Extensions]FileStatusFlags (2 bytes): For  other values[except FileTypeDisk, FileTypeByteModePipe  and FileTypeMessageModePipe]of ResourceType, this field is set to zero by the server when sending a response in Windows.</t>
    <phoneticPr fontId="5" type="noConversion"/>
  </si>
  <si>
    <t>MS-SMB_R119259:i,MS-SMB_R18:i</t>
    <phoneticPr fontId="5" type="noConversion"/>
  </si>
  <si>
    <t>MS-SMB_R9260</t>
  </si>
  <si>
    <t>[In Server Response Extensions]FileStatusFlags (2 bytes): For all other values[except NO_EAS
0x0001,NO_SUBSTREAMS
0x0002,NO_REPARSETAG
0x0004]of ResourceType, this field MUST be ignored when received by the client.</t>
    <phoneticPr fontId="5" type="noConversion"/>
  </si>
  <si>
    <t>MS-SMB_R5909</t>
  </si>
  <si>
    <t>[In Server Response Extensions]VolumeGUID (16 bytes):  This field MUST be a GUID value that uniquely identifies the volume on which the file resides.</t>
    <phoneticPr fontId="5" type="noConversion"/>
  </si>
  <si>
    <t>MS-SMB_R530</t>
  </si>
  <si>
    <t>MS-SMB_R5910</t>
  </si>
  <si>
    <t>[In Server Response Extensions]FileId (8 bytes):  This field MUST be a 64-bit opaque value that uniquely identifies this file on a volume.</t>
    <phoneticPr fontId="5" type="noConversion"/>
  </si>
  <si>
    <t>MS-SMB_R5911</t>
  </si>
  <si>
    <t>[In Server Response Extensions]FileId (8 bytes): This field MUST be set to zero if the underlying file system does not support unique FileId numbers on a volume.</t>
    <phoneticPr fontId="5" type="noConversion"/>
  </si>
  <si>
    <t>Underlying file system is not in our scope.</t>
  </si>
  <si>
    <t>MS-SMB_R2499</t>
  </si>
  <si>
    <t>MS-SMB_R5912</t>
  </si>
  <si>
    <t xml:space="preserve">[In Server Response Extensions]MaximalAccessRights (4 bytes):The maximum access rights that the user opening the file has been granted for this file open. </t>
    <phoneticPr fontId="5" type="noConversion"/>
  </si>
  <si>
    <t>MS-SMB_R5913</t>
  </si>
  <si>
    <t>[In Server Response Extensions]MaximalAccessRights (4 bytes):This field MUST be encoded in an ACCESS_MASK format, as specified in section 2.2.1.4.</t>
    <phoneticPr fontId="5" type="noConversion"/>
  </si>
  <si>
    <t>MS-SMB_R5914</t>
  </si>
  <si>
    <t xml:space="preserve">[In Server Response Extensions]GuestMaximalAccessRights (4 bytes):  The maximum access rights that the guest account has when opening this file. </t>
    <phoneticPr fontId="5" type="noConversion"/>
  </si>
  <si>
    <t>MS-SMB_R5915</t>
  </si>
  <si>
    <t>[In Server Response Extensions]GuestMaximalAccessRights (4 bytes): This field MUST be encoded in an ACCESS_MASK format, as specified in section 2.2.1.4.</t>
    <phoneticPr fontId="5" type="noConversion"/>
  </si>
  <si>
    <t>MS-SMB_R5916</t>
  </si>
  <si>
    <t xml:space="preserve">[In Server Response Extensions]GuestMaximalAccessRights (4 bytes):  Note that the notion of a guest account is implementation specific. </t>
    <phoneticPr fontId="5" type="noConversion"/>
  </si>
  <si>
    <t>MS-SMB_R5917</t>
  </si>
  <si>
    <t>MS-SMB_R539</t>
  </si>
  <si>
    <t>MS-SMB_R6106</t>
  </si>
  <si>
    <t>2.2.5.1</t>
    <phoneticPr fontId="5" type="noConversion"/>
  </si>
  <si>
    <t xml:space="preserve">[In TRANS_RAW_READ_NMPIPE (0x0036)]The TRANS_RAW_READ_NMPIPE subcommand allows for a raw read of data from a named pipe. </t>
    <phoneticPr fontId="5" type="noConversion"/>
  </si>
  <si>
    <t>MS-SMB_R6107</t>
  </si>
  <si>
    <t>[In TRANS_RAW_READ_NMPIPE (0x0036)]This method of reading data from a named pipe ignores message boundaries even if the pipe was set up as a message mode pipe.</t>
    <phoneticPr fontId="5" type="noConversion"/>
  </si>
  <si>
    <t>MS-SMB_R9265</t>
    <phoneticPr fontId="5" type="noConversion"/>
  </si>
  <si>
    <t>2.2.5.1</t>
  </si>
  <si>
    <t>MS-SMB_R9266</t>
  </si>
  <si>
    <t>[In TRANS_RAW_READ_NMPIPE (0x0036)]Aside from its new status as obsolescent, this subcommand is exactly as described in [MS-CIFS] section 2.2.5.2.</t>
  </si>
  <si>
    <t>MS-SMB_R9267</t>
  </si>
  <si>
    <t>2.2.5.2</t>
  </si>
  <si>
    <t>[In TRANS_CALL_NMPIPE (0x0054)]The TRANS_CALL_NMPIPE subcommand allows a client to connect to a named pipe, write to the named pipe, read from the named pipe, and close the named pipe in a single command.</t>
  </si>
  <si>
    <t>MS-SMB_R9268</t>
  </si>
  <si>
    <t>MS-SMB_R9269</t>
  </si>
  <si>
    <t>[In TRANS_CALL_NMPIPE (0x0054)]Aside from its new status as obsolescent, this subcommand is exactly as described in [MS-CIFS] section 2.2.5.11.</t>
  </si>
  <si>
    <t>MS-SMB_R9270</t>
  </si>
  <si>
    <t>2.2.6.1.1</t>
  </si>
  <si>
    <t>[In Client Request Extensions] A TRANS2_FIND_FIRST2 subcommand of SMB_COM_TRANSACTION2 is sent by the client to retrieve an enumeration of files, as specified in [MS-CIFS] section 2.2.6.2.1.</t>
  </si>
  <si>
    <t>MS-SMB_R9271</t>
  </si>
  <si>
    <t>[In Client Request Extensions]The list of valid Information Level values has been extended, as specified in section 2.2.2.3.1, to include SMB_FIND_FILE_ID_FULL_DIRECTORY_INFO and SMB_FIND_FILE_ID_BOTH_DIRECTORY_INFO.</t>
  </si>
  <si>
    <t>MS-SMB_R9272</t>
  </si>
  <si>
    <t>[In Client Request Extensions] Extensions are also presented to the SMB_FIND_FILE_BOTH_DIRECTORY_INFO Information Level, as specified in section 2.2.8.1.1.</t>
  </si>
  <si>
    <t>MS-SMB_R9273</t>
  </si>
  <si>
    <t>[In Client Request Extensions] This Information Level now provides support for accessing enumerations of available previous version timestamps of files or directories.</t>
  </si>
  <si>
    <t>MS-SMB_R9274</t>
  </si>
  <si>
    <t>[In Client Request Extensions] Aside from the Information Level extensions and the FileName field, all of the other fields are as specified in [MS-CIFS] 2.2.6.2.1.</t>
  </si>
  <si>
    <t>MS-SMB_R9275</t>
  </si>
  <si>
    <t>MS-SMB_R9276</t>
  </si>
  <si>
    <t>MS-SMB_R9277</t>
  </si>
  <si>
    <t>[In Client Request Extensions] InformationLevel (2 bytes): This field contains an Information Level code, which determines the information contained in the response.</t>
  </si>
  <si>
    <t>MS-SMB_R9278</t>
  </si>
  <si>
    <t>[In Client Request Extensions] InformationLevel (2 bytes): The list of valid Information Level codes is specified in section 2.2.2.3.1.</t>
  </si>
  <si>
    <t>MS-SMB_R9279</t>
  </si>
  <si>
    <t>[In Client Request Extensions] InformationLevel (2 bytes): A client that has not negotiated long names support MUST request only SMB_INFO_STANDARD.</t>
  </si>
  <si>
    <t>MS-SMB_R9280</t>
  </si>
  <si>
    <t>[In Client Request Extensions] InformationLevel (2 bytes): If a client that has not negotiated long names support requests an InformationLevel other than SMB_INFO_STANDARD, then the server MUST return a status of STATUS_INVALID_PARAMETER (ERRDOS/ERRinvalidparam).</t>
  </si>
  <si>
    <t>MS-SMB_R9281</t>
  </si>
  <si>
    <t>2.2.6.1.2</t>
  </si>
  <si>
    <t>[In  Server Response Extensions]A server MUST send a TRANS2_FIND_FIRST2 response in reply to a client TRANS2_FIND_FIRST2 subcommand request when the request is successful, as specified in [MS-CIFS] section 2.2.6.2.2.</t>
  </si>
  <si>
    <t>MS-SMB_R9282</t>
  </si>
  <si>
    <t>[In  Server Response Extensions]Thus subcommand also supports two new Information Levels, as well as extensions to the SMB_FIND_FILE_BOTH_DIRECTORY_INFO Information Level, as defined in section 2.2.2.3.1.</t>
  </si>
  <si>
    <t>MS-SMB_R9283</t>
  </si>
  <si>
    <t>[In  Server Response Extensions]The format of the file information returned for these two Information Levels (and the format of information for a TRANS2_FIND_FIRST2 response for the special FileName pattern @GMT token) is listed in section 2.2.8.1.</t>
  </si>
  <si>
    <t>MS-SMB_R9284</t>
  </si>
  <si>
    <t>[In  Server Response Extensions]If a client does not support long names (that is, SMB_FLAGS2_KNOWS_LONG_NAMES is not set in the Flags2 field of the SMB Header), then any TRANS2_FIND_FIRST2 request with an Information Level other than SMB_INFO_STANDARD, or any TRANS2_FIND_NEXT2 request with an Information Level other than SMB_INFO_STANDARD or SMB_FIND_FILE_ID_BOTH_DIRECTORY_INFO, MUST be failed with STATUS_INVALID_PARAMETER.</t>
  </si>
  <si>
    <t>MS-SMB_R9285</t>
  </si>
  <si>
    <t>2.2.6.2.1</t>
  </si>
  <si>
    <t>[In Client Request Extensions]The TRANS2_FIND_NEXT2 subcommand of the SMB_COM_TRANSACTION2 request is sent by a client to continue a file enumeration, as specified in [MS-CIFS] sections 2.2.6.3.1.</t>
  </si>
  <si>
    <t>MS-SMB_R9286</t>
  </si>
  <si>
    <t>[In Client Request Extensions]The request format is identical to the request format that is specified in [MS-CIFS] section 2.2.6.3.1, except that two new Information Levels have been added and one has been extended. See section 2.2.6.1.1 for details.</t>
  </si>
  <si>
    <t>MS-SMB_R9287</t>
  </si>
  <si>
    <t>2.2.6.2.2</t>
  </si>
  <si>
    <t>[In Server Response Extensions]The server MUST send a TRANS2_FIND_NEXT2 response in reply to a client TRANS2_FIND_NEXT2 subcommand request when the request is successful.</t>
  </si>
  <si>
    <t>MS-SMB_R9288</t>
  </si>
  <si>
    <t>[In Server Response Extensions]The format of this packet is identical to what is specified in [MS-CIFS] section 2.2.6.3.2, except that two new Information Levels have been added and one has been extended. See section 2.2.6.1.2 for details.</t>
  </si>
  <si>
    <t>MS-SMB_R9289</t>
  </si>
  <si>
    <t>2.2.6.3</t>
  </si>
  <si>
    <t>[In TRANS2_QUERY_FS_INFORMATION (0x0003)]This subcommand supports new pass-through Information Level capabilities, as specified in section 2.2.2.3.5.</t>
  </si>
  <si>
    <t>MS-SMB_R9290</t>
  </si>
  <si>
    <t>2.2.6.3.1</t>
  </si>
  <si>
    <t>[In Client Request Extensions]A TRANS2_QUERY_FS_INFORMATION subcommand of the SMB_COM_TRANSACTION2 is sent by the client to request attribute information about the file system, as specified in [MS-CIFS] section 2.2.6.4.1.</t>
  </si>
  <si>
    <t>MS-SMB_R9291</t>
  </si>
  <si>
    <t>2.2.6.3.2</t>
  </si>
  <si>
    <t>[In Server Response Extensions]A server MUST send a TRANS2_QUERY_FS_INFORMATION response in reply to an SMB_COM_TRANSACTION2 client request with a TRANS2_QUERY_FS_INFORMATION subcommand when the request is successful, as specified in [MS-CIFS] section 2.2.6.4.2.</t>
  </si>
  <si>
    <t>MS-SMB_R9292</t>
  </si>
  <si>
    <t>2.2.6.4</t>
  </si>
  <si>
    <t>[In TRANS2_SET_FS_INFORMATION (0x0004)]The TRANS2_SET_FS_INFORMATION subcommand of the SMB_COM_TRANSACTION2 command (section 2.2.4.4) is sent by the client to set file system attribute information on the server.</t>
  </si>
  <si>
    <t>MS-SMB_R9293</t>
  </si>
  <si>
    <t>MS-SMB_R9294</t>
  </si>
  <si>
    <t>MS-SMB_R9295</t>
  </si>
  <si>
    <t>[In TRANS2_SET_FS_INFORMATION (0x0004)]The TRANS2_SET_FS_INFORMATION request and response formats are special cases of SMB_COM_TRANSACTION2 command.</t>
  </si>
  <si>
    <t>MS-SMB_R9296</t>
  </si>
  <si>
    <t>[In TRANS2_SET_FS_INFORMATION (0x0004)]Only the TRANS2_SET_FS_INFORMATION specifics are described here.</t>
  </si>
  <si>
    <t>MS-SMB_R9297</t>
  </si>
  <si>
    <t>2.2.6.4.1</t>
  </si>
  <si>
    <t>[In Client Request]WordCount (1 byte): This field MUST be 0x0F.</t>
  </si>
  <si>
    <t>MS-SMB_R9298</t>
  </si>
  <si>
    <t>[In Client Request]TotalParameterCount (2 bytes): This field MUST be 0x0004.</t>
  </si>
  <si>
    <t>MS-SMB_R9299</t>
  </si>
  <si>
    <t>[In Client Request]TotalDataCount (2 bytes): This field MUST be greater than or equal to 0x0000.</t>
  </si>
  <si>
    <t>MS-SMB_R9300</t>
  </si>
  <si>
    <t>[In Client Request]SetupCount (1 byte): This field MUST be 0x01.</t>
  </si>
  <si>
    <t>MS-SMB_R9301</t>
  </si>
  <si>
    <t>[In Client Request]Setup (2 bytes): This field MUST be TRANS2_SET_FS_INFORMATION (0x0004).</t>
  </si>
  <si>
    <t>MS-SMB_R9302</t>
  </si>
  <si>
    <t>[In Client Request]FID (2 bytes):  A valid Fid that represents the open file on the server that is to have its file attributes changed.</t>
  </si>
  <si>
    <t>MS-SMB_R9303</t>
  </si>
  <si>
    <t>[In Client Request]InformationLevel (2 bytes):  The Information Level of the request.</t>
  </si>
  <si>
    <t>MS-SMB_R9304</t>
  </si>
  <si>
    <t>[In Client Request]InformationLevel (2 bytes):  This field MUST be a pass-through Information Level, as described in section 2.2.2.3.5.</t>
  </si>
  <si>
    <t>MS-SMB_R9305</t>
  </si>
  <si>
    <t>[In Client Request]The Trans2_Data block carries the structure of the Information Level specified by the request’s Trans2_Parameters.InformationLevel field.</t>
  </si>
  <si>
    <t>MS-SMB_R9306</t>
  </si>
  <si>
    <t>[In Client Request]Since this subcommand only accepts pass-through Information Levels, the structure of this section is implementation specific.</t>
  </si>
  <si>
    <t>MS-SMB_R9307</t>
  </si>
  <si>
    <t>2.2.6.4.2</t>
  </si>
  <si>
    <t>[In Server Response]A server MUST send a TRANS2_SET_FS_INFORMATION response in reply to a client TRANS2_SET_FS_INFORMATION subcommand request when the request is successful.</t>
  </si>
  <si>
    <t>MS-SMB_R6183</t>
  </si>
  <si>
    <t>MS-SMB_R9309</t>
  </si>
  <si>
    <t>[In Server Response]No Trans2_Parameters are sent by this message.</t>
    <phoneticPr fontId="5" type="noConversion"/>
  </si>
  <si>
    <t>MS-SMB_R9310</t>
  </si>
  <si>
    <t>[In Server Response]No Trans2_Data is sent by this message.</t>
    <phoneticPr fontId="5" type="noConversion"/>
  </si>
  <si>
    <t>MS-SMB_R119310</t>
    <phoneticPr fontId="5" type="noConversion"/>
  </si>
  <si>
    <t>[In Server Response]When SMBSTATUS code is negotiated and Access denied,the server returns SMBSTATUS class/code pair ERRDOS(0x01)/ERRnoaccess (0x0005).</t>
    <phoneticPr fontId="5" type="noConversion"/>
  </si>
  <si>
    <t>MS-SMB_R119311</t>
  </si>
  <si>
    <t>MS-SMB_R119312</t>
  </si>
  <si>
    <t>MS-SMB_R119313</t>
  </si>
  <si>
    <t>[In Server Response]When SMBSTATUS code is negotiated and the Fid supplied is invalid,the server returns SMBSTATUS class/code pair ERRDOS(0x01)/ERRbadfid(0x0006).</t>
    <phoneticPr fontId="5" type="noConversion"/>
  </si>
  <si>
    <t>MS-SMB_R119314</t>
  </si>
  <si>
    <t>[In Server Response]When SMBSTATUS code is negotiated and the Fid supplied is invalid,the server returns STATUS_INVALID_HANDLE(0xC0000008).</t>
    <phoneticPr fontId="5" type="noConversion"/>
  </si>
  <si>
    <t>MS-SMB_R119315</t>
  </si>
  <si>
    <t>[In Server Response]When in the Xenix server implementation and the Fid supplied is invalid,the server returns ENOENT.</t>
    <phoneticPr fontId="5" type="noConversion"/>
  </si>
  <si>
    <t>MS-SMB_R119316</t>
  </si>
  <si>
    <t>[In Server Response]When SMBSTATUS code is negotiated and the server is out of resources,the server returns SMBSTATUS class/code pair ERRDOS(0x01)/ERRnomem(0x0008).</t>
    <phoneticPr fontId="5" type="noConversion"/>
  </si>
  <si>
    <t>MS-SMB_R119317</t>
  </si>
  <si>
    <t>MS-SMB_R119318</t>
  </si>
  <si>
    <t>[In Server Response]When SMBSTATUS code is negotiated and the server is out of resources,the server returns STATUS_INSUFF_SERVER_RESOURCES(0xC0000205).</t>
    <phoneticPr fontId="5" type="noConversion"/>
  </si>
  <si>
    <t>MS-SMB_R119319</t>
  </si>
  <si>
    <t>[In Server Response]When in the Xenix server implementation and the server is out of resources, the server returns ENOMEM .</t>
    <phoneticPr fontId="5" type="noConversion"/>
  </si>
  <si>
    <t>MS-SMB_R119320</t>
  </si>
  <si>
    <t>MS-SMB_R119321</t>
  </si>
  <si>
    <t>MS-SMB_R119322</t>
  </si>
  <si>
    <t>MS-SMB_R119323</t>
  </si>
  <si>
    <t>MS-SMB_R119324</t>
  </si>
  <si>
    <t>[In Server Response]When SMBSTATUS code is negotiated and Invalid SMB,the server returns SMBSTATUS class/code pair ERRSRV(0x02)/ERRerror(0x0001).</t>
    <phoneticPr fontId="5" type="noConversion"/>
  </si>
  <si>
    <t>MS-SMB_R119325</t>
  </si>
  <si>
    <t>[In Server Response]When in the Xenix server implementation and Invalid SMB, the server returns STATUS_INVALID_SMB(0x00010002).</t>
    <phoneticPr fontId="5" type="noConversion"/>
  </si>
  <si>
    <t>MS-SMB_R119326</t>
  </si>
  <si>
    <t>[In Server Response]When SMBSTATUS code is negotiated and The TID is no longer valid,the server returns SMBSTATUS class/code pair ERRSRV(0x02)/ERRinvtid(0x0005).</t>
    <phoneticPr fontId="5" type="noConversion"/>
  </si>
  <si>
    <t>MS-SMB_R119327</t>
  </si>
  <si>
    <t>[In Server Response]When in the Xenix server implementation and The TID is no longer valid, the server returns STATUS_INVALID_HANDLE(0xC0000008)STATUS_SMB_BAD_TID(0x00050002).</t>
    <phoneticPr fontId="5" type="noConversion"/>
  </si>
  <si>
    <t>MS-SMB_R119328</t>
  </si>
  <si>
    <t>[In Server Response]When SMBSTATUS code is negotiated and The UID supplied is not known to the session,the server returns SMBSTATUS class/code pair ERRSRV(0x02)/ERRbaduid(0x005B).</t>
    <phoneticPr fontId="5" type="noConversion"/>
  </si>
  <si>
    <t>MS-SMB_R119329</t>
  </si>
  <si>
    <t>[In Server Response]When in the Xenix server implementation and The UID supplied is not known to the session, the server returns STATUS_INVALID_HANDLE(0xC0000008)STATUS_SMB_BAD_UID(0x005B0002).</t>
    <phoneticPr fontId="5" type="noConversion"/>
  </si>
  <si>
    <t>MS-SMB_R119330</t>
  </si>
  <si>
    <t>[In Server Response]When SMBSTATUS code is negotiated and The Fid supplied is on write-protected media,the server returns SMBSTATUS class/code pair ERRHRD(0x03)/ERRnowrite(0x0013).</t>
    <phoneticPr fontId="5" type="noConversion"/>
  </si>
  <si>
    <t>MS-SMB_R119331</t>
  </si>
  <si>
    <t>[In Server Response]When in the Xenix server implementation and The Fid supplied is on write-protected media, the server returns STATUS_MEDIA_WRITE_PROTECTED(0xC00000A2).</t>
    <phoneticPr fontId="5" type="noConversion"/>
  </si>
  <si>
    <t>MS-SMB_R119332</t>
  </si>
  <si>
    <t>[In Server Response]When SMBSTATUS code is negotiated and Disk I/O error,the server returns SMBSTATUS class/code pair ERRHRD(0x03)/ERRdata(0x0017).</t>
    <phoneticPr fontId="5" type="noConversion"/>
  </si>
  <si>
    <t>MS-SMB_R119333</t>
  </si>
  <si>
    <t>[In Server Response]When SMBSTATUS code is negotiated and Disk I/O error,the server returns STATUS_DATA_ERROR(0xC000003E).</t>
    <phoneticPr fontId="5" type="noConversion"/>
  </si>
  <si>
    <t>MS-SMB_R119334</t>
  </si>
  <si>
    <t>[In Server Response]When in the Xenix server implementation and Disk I/O error, the server returns EIO</t>
    <phoneticPr fontId="5" type="noConversion"/>
  </si>
  <si>
    <t>MS-SMB_R9311</t>
  </si>
  <si>
    <t>2.2.6.5</t>
  </si>
  <si>
    <t>[In TRANS2_QUERY_PATH_INFORMATION (0x0005)]This subcommand supports new pass-through Information Level capabilities, as specified in section 2.2.2.3.5.</t>
  </si>
  <si>
    <t>MS-SMB_R9312</t>
  </si>
  <si>
    <t>2.2.6.5.1</t>
  </si>
  <si>
    <t>[In Client Request Extensions]A TRANS2_QUERY_PATH_INFORMATION subcommand of SMB_COM_TRANSACTION2 is sent by the client to request attribute information for a file or directory by specifying the path, as specified in [MS-CIFS], section 2.2.6.6.1.</t>
  </si>
  <si>
    <t>MS-SMB_R9313</t>
  </si>
  <si>
    <t>2.2.6.5.2</t>
  </si>
  <si>
    <t>[In  Server Response Extensions]A server MUST send a TRANS2_QUERY_PATH_INFORMATION response in reply to an SMB_COM_TRANSACTION2 client request with a TRANS2_QUERY_PATH_INFORMATION subcommand when the request is successful, as specified in [MS-CIFS] section 2.2.6.6.2.</t>
  </si>
  <si>
    <t>MS-SMB_R9314</t>
  </si>
  <si>
    <t>2.2.6.6</t>
  </si>
  <si>
    <t>[In TRANS2_SET_PATH_INFORMATION (0x0006)]This subcommand supports new pass-through Information Level capabilities, as specified in section 2.2.2.3.5.</t>
  </si>
  <si>
    <t>MS-SMB_R9315</t>
  </si>
  <si>
    <t>2.2.6.6.1</t>
  </si>
  <si>
    <t>[In Client Request Extensions]A TRANS2_SET_PATH_INFORMATION subcommand of SMB_COM_TRANSACTION2 is sent by the client to request a change of attribute information for a file or directory by path, as specified in [MS-CIFS] section 2.2.6.7.1.</t>
  </si>
  <si>
    <t>MS-SMB_R9316</t>
  </si>
  <si>
    <t>2.2.6.6.2</t>
  </si>
  <si>
    <t>[In  Server Response Extensions]A server MUST send a TRANS2_SET_PATH_INFORMATION response in reply to an SMB_COM_TRANSACTION2 (section 2.2.4.4) client request with a TRANS2_SET_PATH_INFORMATION subcommand when the request is successful,as specified in [MS-CIFS] section 2.2.6.7.2.</t>
  </si>
  <si>
    <t>MS-SMB_R9317</t>
  </si>
  <si>
    <t>2.2.6.7</t>
  </si>
  <si>
    <t>[In TRANS2_QUERY_FILE_INFORMATION (0x0007)]This subcommand supports new pass-through Information Level capabilities, as specified in section 2.2.2.3.5.</t>
  </si>
  <si>
    <t>MS-SMB_R3095</t>
  </si>
  <si>
    <t>2.2.6.7.1</t>
  </si>
  <si>
    <t>[In Client Request Extensions]A TRANS2_QUERY_FILE_INFORMATION subcommand of SMB_COM_TRANSACTION2 is sent by a client to request attribute information for a file or directory that has been opened, as specified in [MS-CIFS] section 2.2.6.8.1.</t>
    <phoneticPr fontId="5" type="noConversion"/>
  </si>
  <si>
    <t>MS-SMB_R9319</t>
  </si>
  <si>
    <t>2.2.6.7.2</t>
  </si>
  <si>
    <t>[In Server Response Extensions]A server MUST send a TRANS2_QUERY_PATH_INFORMATION response in reply to an SMB_COM_TRANSACTION2 client request with a TRANS2_QUERY_PATH_INFORMATION subcommand when the request is successful.</t>
  </si>
  <si>
    <t>MS-SMB_R9320</t>
  </si>
  <si>
    <t>[In Server Response Extensions]The Trans2_Data block of the transaction response contains the information requested by the Information Level in the request, as specified in [MS-CIFS] section 2.2.6.8.2.</t>
  </si>
  <si>
    <t>MS-SMB_R9321</t>
  </si>
  <si>
    <t>2.2.6.8</t>
  </si>
  <si>
    <t>[In TRANS2_SET_FILE_INFORMATION (0x0008)]This subcommand supports new pass-through Information Level capabilities, as specified in section 2.2.2.3.5.</t>
  </si>
  <si>
    <t>MS-SMB_R9322</t>
  </si>
  <si>
    <t>2.2.6.8.1</t>
  </si>
  <si>
    <t>[In Client Request Extensions]A TRANS2_SET_FILE_INFORMATION subcommand of SMB_COM_TRANSACTION2 is sent by the client to request a change of attribute information for a file or directory that has been opened, as specified in [MS-CIFS] section 2.2.6.9.1.</t>
  </si>
  <si>
    <t>MS-SMB_R9323</t>
  </si>
  <si>
    <t>2.2.6.8.2</t>
  </si>
  <si>
    <t>[In Server Response Extensions]A server MUST send a TRANS2_SET_FILE_INFORMATION response in reply to an SMB_COM_TRANSACTION2 client request with a TRANS2_SET_FILE_INFORMATION subcommand when the request is successful, as specified in [MS-CIFS] section 2.2.6.9.2.</t>
  </si>
  <si>
    <t>MS-SMB_R9324</t>
  </si>
  <si>
    <t>2.2.7.1</t>
  </si>
  <si>
    <t>[In NT_TRANSACT_CREATE (0x0001) Extensions]An SMB_COM_NT_CREATE_ANDX request is sent by a client to open a file or device on the server.</t>
  </si>
  <si>
    <t>MS-SMB_R9325</t>
  </si>
  <si>
    <t>[In NT_TRANSACT_CREATE (0x0001) Extensions]This extension adds an additional parameter value to the ImpersonationLevel field.</t>
  </si>
  <si>
    <t>MS-SMB_R9326</t>
  </si>
  <si>
    <t>[In NT_TRANSACT_CREATE (0x0001) Extensions]SECURITY_DELEGATION is added to allow the server to call other servers while impersonating the original client.</t>
  </si>
  <si>
    <t>MS-SMB_R9327</t>
  </si>
  <si>
    <t>MS-SMB_R9328</t>
  </si>
  <si>
    <t>[In NT_TRANSACT_CREATE (0x0001) Extensions]Security impersonation levels govern the degree to which a server process can act on behalf of a client process.</t>
  </si>
  <si>
    <t>MS-SMB_R9329</t>
  </si>
  <si>
    <t>[In NT_TRANSACT_CREATE (0x0001) Extensions]This field MUST be set to one of the following values[SECURITY_ANONYMOUS
0x00000000,SECURITY_IDENTIFICATION
0x00000001,SECURITY_IMPERSONATION
0x00000002,SECURITY_DELEGATION
0x00000003.]</t>
  </si>
  <si>
    <t>MS-SMB_R9330</t>
  </si>
  <si>
    <t>[In NT_TRANSACT_CREATE (0x0001) Extensions]Impersonation is specified in [MS-SECO] section 5.</t>
  </si>
  <si>
    <t>MS-SMB_R9331</t>
  </si>
  <si>
    <t>[In NT_TRANSACT_CREATE (0x0001) Extensions]SECURITY_ANONYMOUS
0x00000000 means The server cannot obtain identification information about the client, and it cannot impersonate the client.</t>
  </si>
  <si>
    <t>MS-SMB_R9332</t>
  </si>
  <si>
    <t>[In NT_TRANSACT_CREATE (0x0001) Extensions]SECURITY_IDENTIFICATION
0x00000001 means The server can obtain security information about the client, such as   security identifiers (SIDs) and privileges, but it cannot impersonate the client.</t>
  </si>
  <si>
    <t>MS-SMB_R9333</t>
  </si>
  <si>
    <t>[In NT_TRANSACT_CREATE (0x0001) Extensions]This is useful for servers that export their own objects.</t>
  </si>
  <si>
    <t>MS-SMB_R9334</t>
  </si>
  <si>
    <t>[In NT_TRANSACT_CREATE (0x0001) Extensions]Using the retrieved client-security information, the server can make access-validation decisions without being capable of using other services that are using the client's security context.</t>
  </si>
  <si>
    <t>MS-SMB_R9335</t>
  </si>
  <si>
    <t>[In NT_TRANSACT_CREATE (0x0001) Extensions]SECURITY_IMPERSONATION
0x00000002 means The server can impersonate the client's security context on the server system. The server cannot impersonate the client on other remote systems.</t>
  </si>
  <si>
    <t>MS-SMB_R9336</t>
  </si>
  <si>
    <t>[In NT_TRANSACT_CREATE (0x0001) Extensions]SECURITY_DELEGATION
0x00000003 means The server can impersonate the client's security context on the server system and on remote systems.</t>
  </si>
  <si>
    <t>MS-SMB_R9337</t>
  </si>
  <si>
    <t>2.2.7.2</t>
  </si>
  <si>
    <t>[In NT_TRANSACT_IOCTL (0x0002)]An SMB_COM_NT_TRANSACT (section 2.2.4.8) command with an NT_TRANSACT_IOCTL subcommand is sent by a client to pass an IOCTL or file system control (FSCTL) command to a server.</t>
  </si>
  <si>
    <t>MS-SMB_R9338</t>
  </si>
  <si>
    <t>[In NT_TRANSACT_IOCTL (0x0002)]The NT_TRANSACT_IOCTL subcommand is specified in [MS-CIFS] section 2.2.7.2.</t>
  </si>
  <si>
    <t>MS-SMB_R9339</t>
  </si>
  <si>
    <t>2.2.7.2.1</t>
  </si>
  <si>
    <t>[In  Client Request Extensions]The NT_TRANSACT_IOCTL request is a special case of the SMB_COM_NT_TRANSACT command request. Only the NT_TRANSACT_IOCTL specifics are described here.</t>
  </si>
  <si>
    <t>MS-SMB_R9340</t>
  </si>
  <si>
    <t>MS-SMB_R9341</t>
  </si>
  <si>
    <t>MS-SMB_R9342</t>
  </si>
  <si>
    <t>[In  Client Request Extensions]If an application requests an undefined FSCTL or IOCTL operation, then the client SHOULD still pass the request through to the server.</t>
  </si>
  <si>
    <t>MS-SMB_R9343</t>
  </si>
  <si>
    <t>MS-SMB_R9344</t>
  </si>
  <si>
    <t>[In  Client Request Extensions]FSCTL_SRV_ENUMERATE_SNAPSHOTS:Enumerate previous versions of a file.</t>
  </si>
  <si>
    <t>MS-SMB_R9345</t>
  </si>
  <si>
    <t>MS-SMB_R9346</t>
  </si>
  <si>
    <t>MS-SMB_R9347</t>
  </si>
  <si>
    <t>[In  Client Request Extensions]FSCTL_SRV_ENUMERATE_SNAPSHOTS Request:This FSCTL is used to enumerate available previous version timestamps (snapshots) of a file or directory.</t>
  </si>
  <si>
    <t>MS-SMB_R9348</t>
  </si>
  <si>
    <t>[In  Client Request Extensions]FSCTL_SRV_ENUMERATE_SNAPSHOTS Request:The FSCTL_SRV_ENUMERATE_SNAPSHOTS request format is a special case of the NT_TRANSACT_IOCTL subcommand.</t>
  </si>
  <si>
    <t>MS-SMB_R9349</t>
  </si>
  <si>
    <t>[In  Client Request Extensions]FSCTL_SRV_ENUMERATE_SNAPSHOTS Request:Only the FSCTL_SRV_ENUMERATE_SNAPSHOTS request specifics are described here.</t>
  </si>
  <si>
    <t>MS-SMB_R9350</t>
  </si>
  <si>
    <t>[In  Client Request Extensions]WordCount (1 byte): The value of this field MUST be 0x17.</t>
  </si>
  <si>
    <t>MS-SMB_R9351</t>
  </si>
  <si>
    <t>MS-SMB_R9352</t>
  </si>
  <si>
    <t>[In  Client Request Extensions]FunctionCode (4 bytes): This field MUST be 0x00144064.</t>
  </si>
  <si>
    <t>MS-SMB_R9353</t>
  </si>
  <si>
    <t>[In  Client Request Extensions]FID (2 bytes): This field MUST contain a valid Fid representing a valid Open on a file.</t>
  </si>
  <si>
    <t>MS-SMB_R9354</t>
  </si>
  <si>
    <t>[In Client Request Extensions]This is the file for which snapshots are being requested.</t>
    <phoneticPr fontId="5" type="noConversion"/>
  </si>
  <si>
    <t>MS-SMB_R9355</t>
  </si>
  <si>
    <t>[In  Client Request Extensions]IsFctl (1 byte): MUST be TRUE (any non-zero value).</t>
  </si>
  <si>
    <t>MS-SMB_R9356</t>
  </si>
  <si>
    <t>[In  Client Request Extensions]IsFlags (1 byte) : MUST be zero (0x00).</t>
  </si>
  <si>
    <t>MS-SMB_R9357</t>
  </si>
  <si>
    <t>[In  Client Request Extensions]No NT Trans parameters are sent in this request.</t>
  </si>
  <si>
    <t>MS-SMB_R9358</t>
  </si>
  <si>
    <t>[In  Client Request Extensions]No NT Trans data is sent in this request.</t>
  </si>
  <si>
    <t>MS-SMB_R9359</t>
  </si>
  <si>
    <t>[In  Client Request Extensions]FSCTL_SRV_REQUEST_RESUME_KEY Request:This FSCTL is used to retrieve an opaque file reference for server-side data movement operations, as specified in section 3.2.4.11.2.</t>
  </si>
  <si>
    <t>MS-SMB_R9360</t>
  </si>
  <si>
    <t>[In  Client Request Extensions]FSCTL_SRV_REQUEST_RESUME_KEY Request:The FSCTL_SRV_REQUEST_RESUME_KEY request format is a special case of the NT_TRANSACT_IOCTL subcommand.</t>
  </si>
  <si>
    <t>MS-SMB_R9361</t>
  </si>
  <si>
    <t>[In  Client Request Extensions]FSCTL_SRV_REQUEST_RESUME_KEY Request:Only the FSCTL_SRV_REQUEST_RESUME_KEY request specifics are described here.</t>
  </si>
  <si>
    <t>MS-SMB_R9362</t>
  </si>
  <si>
    <t>[In  Client Request Extensions,FSCTL_SRV_REQUEST_RESUME_KEY Request:] WordCount (1 byte): The value of this field MUST be 0x17.</t>
  </si>
  <si>
    <t>MS-SMB_R9363</t>
  </si>
  <si>
    <t>[In  Client Request Extensions,FSCTL_SRV_REQUEST_RESUME_KEY Request:] MaxDataCount (4 bytes): This field MUST be greater than or equal to 0x001D.</t>
  </si>
  <si>
    <t>MS-SMB_R9364</t>
  </si>
  <si>
    <t>[In  Client Request Extensions,FSCTL_SRV_REQUEST_RESUME_KEY Request:] FunctionCode (4 bytes): This field MUST be 0x00140078.</t>
  </si>
  <si>
    <t>MS-SMB_R9365</t>
  </si>
  <si>
    <t>[In  Client Request Extensions,FSCTL_SRV_REQUEST_RESUME_KEY Request:] FID (2 bytes): This field MUST contain a valid Fid that represents a valid Open on a file.</t>
  </si>
  <si>
    <t>MS-SMB_R9366</t>
  </si>
  <si>
    <t>[In  Client Request Extensions,FSCTL_SRV_REQUEST_RESUME_KEY Request:] FID (2 bytes): This file is the source file for a server-side data copy operation.</t>
  </si>
  <si>
    <t>MS-SMB_R9367</t>
  </si>
  <si>
    <t>[In  Client Request Extensions,FSCTL_SRV_REQUEST_RESUME_KEY Request:]IsFctl (1 byte): MUST be TRUE (any non-zero value).</t>
  </si>
  <si>
    <t>MS-SMB_R9368</t>
  </si>
  <si>
    <t>[In  Client Request Extensions,FSCTL_SRV_REQUEST_RESUME_KEY Request:]IsFlags (1 byte): MUST be zero (0x00).</t>
  </si>
  <si>
    <t>MS-SMB_R9369</t>
  </si>
  <si>
    <t>[In  Client Request Extensions,FSCTL_SRV_REQUEST_RESUME_KEY Request:]No NT Trans parameters are sent in this request.</t>
  </si>
  <si>
    <t>MS-SMB_R9370</t>
  </si>
  <si>
    <t>[In  Client Request Extensions,FSCTL_SRV_REQUEST_RESUME_KEY Request:]No NT Trans data is sent in this request.</t>
  </si>
  <si>
    <t>MS-SMB_R9371</t>
  </si>
  <si>
    <t>[In  Client Request Extensions,FSCTL_SRV_COPYCHUNK Request]This FSCTL is used for server-side data movement, as specified in section 3.2.4.11.2.</t>
  </si>
  <si>
    <t>MS-SMB_R9372</t>
  </si>
  <si>
    <t>[In  Client Request Extensions,FSCTL_SRV_COPYCHUNK Request]The FSCTL_SRV_COPYCHUNK request format is a special case of NT_TRANSACT_IOCTL subcommand.</t>
  </si>
  <si>
    <t>MS-SMB_R9373</t>
  </si>
  <si>
    <t>[In  Client Request Extensions,FSCTL_SRV_COPYCHUNK Request]Only the FSCTL_SRV_COPYCHUNK request specifics are described here.</t>
  </si>
  <si>
    <t>MS-SMB_R9374</t>
  </si>
  <si>
    <t>[In  Client Request Extensions,FSCTL_SRV_COPYCHUNK Request]WordCount (1 byte): The value of this field MUST be 0x17.</t>
  </si>
  <si>
    <t>MS-SMB_R9375</t>
  </si>
  <si>
    <t>[In  Client Request Extensions,FSCTL_SRV_COPYCHUNK Request]TotalDataCount (4 bytes): This field MUST be greater than or equal to 0x0034.</t>
  </si>
  <si>
    <t>MS-SMB_R9376</t>
  </si>
  <si>
    <t>[In  Client Request Extensions,FSCTL_SRV_COPYCHUNK Request]MaxDataCount (4 bytes): This field MUST be greater than or equal to 0x001D.</t>
  </si>
  <si>
    <t>MS-SMB_R9377</t>
  </si>
  <si>
    <t>[In  Client Request Extensions,FSCTL_SRV_COPYCHUNK Request]FunctionCode (4 bytes): This field MUST be 0x00144078.</t>
  </si>
  <si>
    <t>MS-SMB_R9378</t>
  </si>
  <si>
    <t>[In  Client Request Extensions,FSCTL_SRV_COPYCHUNK Request]FID (2 bytes): This field MUST contain a valid Fid that represents a valid Open on a file.</t>
  </si>
  <si>
    <t>MS-SMB_R9379</t>
  </si>
  <si>
    <t>[In  Client Request Extensions,FSCTL_SRV_COPYCHUNK Request]This file is the destination file for a server-side data copy operation.</t>
  </si>
  <si>
    <t>MS-SMB_R9380</t>
  </si>
  <si>
    <t>[In  Client Request Extensions,FSCTL_SRV_COPYCHUNK Request]IsFctl (1 byte): This field MUST be TRUE (any non-zero value).</t>
  </si>
  <si>
    <t>MS-SMB_R9381</t>
  </si>
  <si>
    <t>[In  Client Request Extensions,FSCTL_SRV_COPYCHUNK Request]IsFlags (1 byte): The value of this field MUST be zero (0x00).</t>
  </si>
  <si>
    <t>MS-SMB_R9382</t>
  </si>
  <si>
    <t>[In  Client Request Extensions,FSCTL_SRV_COPYCHUNK Request]No NT Trans parameters are sent in this request.</t>
  </si>
  <si>
    <t>MS-SMB_R9383</t>
  </si>
  <si>
    <t>[In  Client Request Extensions]CopychunkResumeKey (24 bytes):  An opaque 24-byte server copychunk resume key for a source file in a server-side file copy operation.</t>
  </si>
  <si>
    <t>MS-SMB_R9384</t>
  </si>
  <si>
    <t>[In  Client Request Extensions]CopychunkResumeKey (24 bytes): This field value is received from a previous FSCTL_SRV_REQUEST_RESUME_KEY server response.</t>
  </si>
  <si>
    <t>MS-SMB_R9385</t>
  </si>
  <si>
    <t>[In  Client Request Extensions]ChunkCount (4 bytes):  The number of entries, or "copychunks", in the CopyChunkList.</t>
  </si>
  <si>
    <t>MS-SMB_R9386</t>
  </si>
  <si>
    <t>[In  Client Request Extensions]ChunkCount (4 bytes): This field also represents the number of server-side data movement operations being requested.</t>
  </si>
  <si>
    <t>MS-SMB_R9387</t>
  </si>
  <si>
    <t>[In  Client Request Extensions]ChunkCount (4 bytes): This field MUST NOT be zero.</t>
  </si>
  <si>
    <t>MS-SMB_R9388</t>
  </si>
  <si>
    <t>[In  Client Request Extensions]Reserved (4 bytes):  A reserved field.</t>
  </si>
  <si>
    <t>MS-SMB_R9389</t>
  </si>
  <si>
    <t>[In  Client Request Extensions]Reserved (4 bytes): This field SHOULD be set to zero when sending the request.</t>
  </si>
  <si>
    <t>MS-SMB_R9390</t>
  </si>
  <si>
    <t>[In  Client Request Extensions]Reserved (4 bytes): This field MUST be ignored by the server when the message is received.</t>
  </si>
  <si>
    <t>MS-SMB_R109390</t>
    <phoneticPr fontId="5" type="noConversion"/>
  </si>
  <si>
    <t>[In  Client Request Extensions]Reserved (4 bytes):reply is the same whether zero or non-zero is used this field.</t>
    <phoneticPr fontId="5" type="noConversion"/>
  </si>
  <si>
    <t>MS-SMB_R9391</t>
  </si>
  <si>
    <t>[In  Client Request Extensions]CopychunkList (variable):  A concatenated list of copychunks. Each entry is formatted as a SRV_COPYCHUNK structure.</t>
  </si>
  <si>
    <t>MS-SMB_R9392</t>
  </si>
  <si>
    <t>2.2.7.2.1.1</t>
  </si>
  <si>
    <t>[In SRV_COPYCHUNK]SourceOffset (8 bytes):  The offset, in bytes, into the source file from which data is being copied.</t>
  </si>
  <si>
    <t>MS-SMB_R9393</t>
  </si>
  <si>
    <t>[In SRV_COPYCHUNK]DestinationOffset (8 bytes):  The offset, in bytes, into the destination file to which data is being copied.</t>
  </si>
  <si>
    <t>MS-SMB_R9394</t>
  </si>
  <si>
    <t>[In SRV_COPYCHUNK]CopyLength (4 bytes):  The number of bytes to copy from the source file to the destination file.</t>
  </si>
  <si>
    <t>MS-SMB_R9395</t>
  </si>
  <si>
    <t>MS-SMB_R9396</t>
  </si>
  <si>
    <t>[In SRV_COPYCHUNK]Reserved (4 bytes):  This field MUST be ignored upon receipt by the server.</t>
  </si>
  <si>
    <t>MS-SMB_R109396</t>
    <phoneticPr fontId="5" type="noConversion"/>
  </si>
  <si>
    <t>[In SRV_COPYCHUNK]Reserved (4 bytes): reply is the same whether zero or non-zero is used in this field.</t>
    <phoneticPr fontId="5" type="noConversion"/>
  </si>
  <si>
    <t>MS-SMB_R9397</t>
  </si>
  <si>
    <t>2.2.7.2.2</t>
  </si>
  <si>
    <t>[In Server Response Extensions]An SMB_COM_NT_TRANSACT (section 2.2.4.8) response for an NT_TRANSACT_IOCTL ([MS-CIFS] section 2.2.7.2) subcommand MUST be sent by a server in reply to a successful NT_TRANSACT_IOCTL request.</t>
  </si>
  <si>
    <t>MS-SMB_R9398</t>
  </si>
  <si>
    <t>[In Server Response Extensions]The NT_TRANSACT_IOCTL response is a special case of the SMB_COM_NT_TRANSACT command response. Only the NT_TRANSACT_IOCTL specifics are described here.</t>
  </si>
  <si>
    <t>MS-SMB_R9399</t>
  </si>
  <si>
    <t>2.2.7.2.2.1</t>
  </si>
  <si>
    <t>[In FSCTL_SRV_ENUMERATE_SNAPSHOTS Response]The FSCTL_SRV_ENUMERATE_SNAPSHOTS response format is a special case of the NT_TRANSACT_IOCTL subcommand.</t>
  </si>
  <si>
    <t>MS-SMB_R9400</t>
  </si>
  <si>
    <t>[In FSCTL_SRV_ENUMERATE_SNAPSHOTS Response]Only the FSCTL_SRV_ENUMERATE_SNAPSHOTS response specifics are described here.</t>
  </si>
  <si>
    <t>MS-SMB_R9401</t>
  </si>
  <si>
    <t>[In FSCTL_SRV_ENUMERATE_SNAPSHOTS Response]No NT Trans parameters are sent in this response.</t>
  </si>
  <si>
    <t>MS-SMB_R9402</t>
  </si>
  <si>
    <t>[In FSCTL_SRV_ENUMERATE_SNAPSHOTS Response]NumberOfSnapShots (4 bytes):  The number of snapshots that the underlying object store contains of this file.</t>
  </si>
  <si>
    <t>MS-SMB_R9403</t>
  </si>
  <si>
    <t>[In FSCTL_SRV_ENUMERATE_SNAPSHOTS Response]NumberOfSnapShotsReturned (4 bytes):  This value MUST be the number of snapshots that are returned in this response.</t>
  </si>
  <si>
    <t>MS-SMB_R9404</t>
  </si>
  <si>
    <t>[In FSCTL_SRV_ENUMERATE_SNAPSHOTS Response]NumberOfSnapShotsReturned (4 bytes):  If this value is less than NumberofSnapshots, then there are more snapshots than were able to fit in this response.</t>
  </si>
  <si>
    <t>MS-SMB_R9405</t>
  </si>
  <si>
    <t>[In FSCTL_SRV_ENUMERATE_SNAPSHOTS Response]SnapShotArraySize (4 bytes):  The length, in bytes, of the SnapShotMultiSZ field.</t>
  </si>
  <si>
    <t>MS-SMB_R9406</t>
  </si>
  <si>
    <t>[In FSCTL_SRV_ENUMERATE_SNAPSHOTS Response]SnapShotMultiSZ (variable):  A concatenated list of available snapshots.</t>
  </si>
  <si>
    <t>MS-SMB_R9407</t>
  </si>
  <si>
    <t>[In FSCTL_SRV_ENUMERATE_SNAPSHOTS Response]SnapShotMultiSZ (variable):  Each snapshot MUST be encoded as a NULL-terminated sequence of 16-bit Unicode characters.</t>
  </si>
  <si>
    <t>MS-SMB_R9408</t>
  </si>
  <si>
    <t>[In FSCTL_SRV_ENUMERATE_SNAPSHOTS Response]SnapShotMultiSZ (variable):  Each snapshot MUST take on the following form: @GMT-YYYY.MM.DD-HH.MM.SS.</t>
  </si>
  <si>
    <t>MS-SMB_R9409</t>
  </si>
  <si>
    <t>[In FSCTL_SRV_ENUMERATE_SNAPSHOTS Response]SnapShotMultiSZ (variable):  The concatenated list MUST be terminated by two additional 16-bit Unicode NULL characters.</t>
  </si>
  <si>
    <t>MS-SMB_R9410</t>
  </si>
  <si>
    <t>[In FSCTL_SRV_ENUMERATE_SNAPSHOTS Response]SnapShotMultiSZ (variable):  If the response contains no snapshots, then the server SHOULD set this field to two 16-bit Unicode NULL characters.</t>
  </si>
  <si>
    <t>MS-SMB_R109410</t>
    <phoneticPr fontId="5" type="noConversion"/>
  </si>
  <si>
    <t>[In FSCTL_SRV_ENUMERATE_SNAPSHOTS Response]SnapShotMultiSZ (variable):  If the response contains no snapshots, then the server  sets this field to two 16-bit Unicode NULL characters in Windows.</t>
    <phoneticPr fontId="5" type="noConversion"/>
  </si>
  <si>
    <t>MS-SMB_R9410:i,MS-SMB_R18:i</t>
  </si>
  <si>
    <t>MS-SMB_R9411</t>
  </si>
  <si>
    <t>2.2.7.2.2.2</t>
  </si>
  <si>
    <t>[In FSCTL_SRV_REQUEST_RESUME_KEY Response]The FSCTL_SRV_REQUEST_RESUME_KEY response format is a special case of the NT_TRANSACT_IOCTL subcommand. Only the FSCTL_SRV_REQUEST_RESUME_KEY response specifics are described here.</t>
  </si>
  <si>
    <t>MS-SMB_R9412</t>
  </si>
  <si>
    <t>[In FSCTL_SRV_REQUEST_RESUME_KEY Response]Although this FSCTL includes support for returning extended context information for a copychunk resume key, this feature is considered reserved but not implemented and is not used in this response.</t>
  </si>
  <si>
    <t>MS-SMB_R9413</t>
  </si>
  <si>
    <t>[In FSCTL_SRV_REQUEST_RESUME_KEY Response]No NT Trans parameters are sent in this response.</t>
  </si>
  <si>
    <t>MS-SMB_R9414</t>
  </si>
  <si>
    <t>[In FSCTL_SRV_REQUEST_RESUME_KEY Response]CopychunkResumeKey (24 bytes):  A 24-byte copychunk resume key generated by the server that can be subsequently used by the client to uniquely identify the open source file in a FSCTL_SRV_COPYCHUNK request.</t>
  </si>
  <si>
    <t>MS-SMB_R9415</t>
  </si>
  <si>
    <t>[In FSCTL_SRV_REQUEST_RESUME_KEY Response]CopychunkResumeKey (24 bytes):The client MUST NOT attach any interpretation to this key.</t>
  </si>
  <si>
    <t>MS-SMB_R9416</t>
  </si>
  <si>
    <t>[In FSCTL_SRV_REQUEST_RESUME_KEY Response]CopychunkResumeKey (24 bytes):The client MUST treat it as an opaque value.</t>
  </si>
  <si>
    <t>MS-SMB_R9417</t>
  </si>
  <si>
    <t>[In FSCTL_SRV_REQUEST_RESUME_KEY Response]ContextLength (4 bytes):  The length, in bytes, of the Context field.</t>
  </si>
  <si>
    <t>MS-SMB_R9418</t>
    <phoneticPr fontId="5" type="noConversion"/>
  </si>
  <si>
    <t>[In FSCTL_SRV_REQUEST_RESUME_KEY Response]ContextLength (4 bytes):  Since this feature is not used, this field SHOULD be set to zero by the server.</t>
  </si>
  <si>
    <t>MS-SMB_R109418</t>
    <phoneticPr fontId="5" type="noConversion"/>
  </si>
  <si>
    <t>[In FSCTL_SRV_REQUEST_RESUME_KEY Response]ContextLength (4 bytes):  Since this feature is not used, this field is set to zero by the server in Windows.</t>
    <phoneticPr fontId="5" type="noConversion"/>
  </si>
  <si>
    <t>MS-SMB_R9418:i,MS-SMB_R18:i</t>
    <phoneticPr fontId="5" type="noConversion"/>
  </si>
  <si>
    <t>MS-SMB_R9419</t>
  </si>
  <si>
    <t>[In FSCTL_SRV_REQUEST_RESUME_KEY Response]ContextLength (4 bytes):  Since this feature is not used, this field MUST be ignored by the client.</t>
  </si>
  <si>
    <t>MS-SMB_R9420</t>
  </si>
  <si>
    <t>[In FSCTL_SRV_REQUEST_RESUME_KEY Response]Context (variable):  The copychunk resume key's extended context information.</t>
  </si>
  <si>
    <t>MS-SMB_R9421</t>
  </si>
  <si>
    <t>MS-SMB_R9422</t>
  </si>
  <si>
    <t>2.2.7.2.2.3</t>
  </si>
  <si>
    <t>[In FSCTL_SRV_COPYCHUNK Response]The FSCTL_SRV_COPYCHUNK response format is a special case of NT_TRANSACT_IOCTL subcommand. Only the FSCTL_SRV_COPYCHUNK response specifics are described here.</t>
  </si>
  <si>
    <t>MS-SMB_R9423</t>
  </si>
  <si>
    <t>[In FSCTL_SRV_COPYCHUNK Response]No NT Trans parameters are sent in this response.</t>
  </si>
  <si>
    <t>MS-SMB_R9424</t>
  </si>
  <si>
    <t>[In FSCTL_SRV_COPYCHUNK Response]ChunksWritten (4 bytes):  This field MUST represent the number of copychunk operations successfully processed by the server.</t>
  </si>
  <si>
    <t>MS-SMB_R9425</t>
  </si>
  <si>
    <t>[In FSCTL_SRV_COPYCHUNK Response]ChunkBytesWritten (4 bytes):  This field is unused.</t>
  </si>
  <si>
    <t>MS-SMB_R9426</t>
  </si>
  <si>
    <t>[In FSCTL_SRV_COPYCHUNK Response]ChunkBytesWritten (4 bytes):  This field MUST be set to zero by the server.</t>
  </si>
  <si>
    <t>MS-SMB_R9427</t>
  </si>
  <si>
    <t>[In FSCTL_SRV_COPYCHUNK Response]ChunkBytesWritten (4 bytes):  This field MUST be ignored by the client.</t>
  </si>
  <si>
    <t>MS-SMB_R3415</t>
  </si>
  <si>
    <t>[In FSCTL_SRV_COPYCHUNK Response]TotalBytesWritten (4 bytes):  This field MUST represent the total number of bytes written to the destination file across all copychunk operations.</t>
    <phoneticPr fontId="5" type="noConversion"/>
  </si>
  <si>
    <t>MS-SMB_R9429</t>
  </si>
  <si>
    <t>2.2.7.3</t>
  </si>
  <si>
    <t>[In   NT_TRANSACT_QUERY_QUOTA (0x0007)]An SMB_COM_NT_TRANSACT (section 2.2.4.8) command with an NT_TRANSACT_QUERY_QUOTA subcommand code is used by a client to query quota information for a user or multiple users.</t>
  </si>
  <si>
    <t>MS-SMB_R9430</t>
  </si>
  <si>
    <t>[In   NT_TRANSACT_QUERY_QUOTA (0x0007)]This subcommand is new to these extensions.</t>
  </si>
  <si>
    <t>MS-SMB_R9431</t>
  </si>
  <si>
    <t>2.2.7.3.1</t>
  </si>
  <si>
    <t>[In Client Request]The NT_TRANSACT_QUERY_QUOTA request is a special case of the SMB_COM_NT_TRANSACT command request. Only the NT_TRANSACT_QUERY_QUOTA specifics are described here.</t>
  </si>
  <si>
    <t>MS-SMB_R9432</t>
  </si>
  <si>
    <t>[In Client Request]At least one of NT_Trans_Parameters.SidListLength or NT_Trans_Parameters.StartSidLength MUST be zero.</t>
  </si>
  <si>
    <t>MS-SMB_R9433</t>
  </si>
  <si>
    <t>[In Client Request]If both[NT_Trans_Parameters.SidListLength and  NT_Trans_Parameters.StartSidLength] are zero, then the quota information for all SIDs on the underlying object store of a share MUST be enumerated by the server.</t>
  </si>
  <si>
    <t>MS-SMB_R9434</t>
  </si>
  <si>
    <t>[In Client Request]WordCount (1 byte): The value of this field MUST be 0x13.</t>
  </si>
  <si>
    <t>MS-SMB_R9435</t>
  </si>
  <si>
    <t>[In Client Request]SetupCount (1 bytes): This field MUST be 0x00.</t>
  </si>
  <si>
    <t>MS-SMB_R9436</t>
  </si>
  <si>
    <t>[In Client Request]FID (2 bytes):  An Fid to a file or directory</t>
  </si>
  <si>
    <t>MS-SMB_R9437</t>
  </si>
  <si>
    <t>[In Client Request]FID (2 bytes): The quota information of the object store underlying the file or directory MUST be queried.</t>
  </si>
  <si>
    <t>MS-SMB_R9438</t>
  </si>
  <si>
    <t>[In Client Request]ReturnSingleEntry (1 byte):  If TRUE (any non-zero value), then this field indicates that the server behavior is to be restricted to only return a single SID's quota information instead of filling the entire buffer.</t>
  </si>
  <si>
    <t>MS-SMB_R9439</t>
  </si>
  <si>
    <t>[In Client Request]RestartScan (1 byte):  If TRUE (any non-zero value), then this field indicates that the scan of quota information is to be restarted.</t>
  </si>
  <si>
    <t>MS-SMB_R9440</t>
  </si>
  <si>
    <t>[In Client Request]SidListLength (4 bytes):  If non-zero, then this field indicates that the client is requesting quota information of a particular set of SIDs.</t>
  </si>
  <si>
    <t>MS-SMB_R9441</t>
  </si>
  <si>
    <t>[In Client Request]SidListLength (4 bytes):  If non-zero, then this field  MUST represent the length of the NT_Trans_Data.SidList field.</t>
  </si>
  <si>
    <t>MS-SMB_R9442</t>
  </si>
  <si>
    <t>[In Client Request]StartSidLength (4 bytes):  If non-zero, then this field indicates that the SidList field contains a start SID (that is, a single SID entry indicating to the server where to start user quota information enumeration).</t>
  </si>
  <si>
    <t>MS-SMB_R9443</t>
  </si>
  <si>
    <t>[In Client Request]StartSidLength (4 bytes):  If non-zero, then this field MUST represent the length, in bytes, of that SidList entry.</t>
  </si>
  <si>
    <t>MS-SMB_R9444</t>
  </si>
  <si>
    <t>[In Client Request]StartSidOffset (4 bytes):  If StartSidLength is non-zero, then this field MUST represent the offset from the start of the NT_Trans_Data to the specific SidList entry at which to begin user quota information enumeration.</t>
  </si>
  <si>
    <t>MS-SMB_R9445</t>
    <phoneticPr fontId="5" type="noConversion"/>
  </si>
  <si>
    <t>[In Client Request]StartSidOffset (4 bytes): Otherwise[If StartSidLength is zero], this field SHOULD be set to zero.</t>
  </si>
  <si>
    <t>MS-SMB_R9446</t>
  </si>
  <si>
    <t>[In Client Request]StartSidOffset (4 bytes): Otherwise[If StartSidLength is zero], this field  MUST be ignored by the server.</t>
  </si>
  <si>
    <t>MS-SMB_R109446</t>
    <phoneticPr fontId="5" type="noConversion"/>
  </si>
  <si>
    <t>[In Client Request]StartSidOffset (4 bytes): reply is the same whether zero or non-zero is used for field.</t>
    <phoneticPr fontId="5" type="noConversion"/>
  </si>
  <si>
    <t>MS-SMB_R9447</t>
  </si>
  <si>
    <t>[In Client Request]SidList (variable):  A list of one or more SIDs that are formatted as a FILE_GET_QUOTA_INFORMATION structure, as specified in [MS-FSCC] section 2.4.33.1.</t>
  </si>
  <si>
    <t>MS-SMB_R9448</t>
  </si>
  <si>
    <t>[In Client Request]SidList (variable): If SidListLength is non-zero, then this field MUST contain a list of one or more SIDs for which quota information is being requested.</t>
  </si>
  <si>
    <t>MS-SMB_R9449</t>
  </si>
  <si>
    <t>[In Client Request]SidList (variable): If StartSidLength is non-zero, then this field MUST contain a start SID.</t>
  </si>
  <si>
    <t>MS-SMB_R9450</t>
  </si>
  <si>
    <t>[In Client Request]SidList (variable): If both SidListLength and StartSidLength are zero, then this field MUST NOT be included in the request.</t>
  </si>
  <si>
    <t>MS-SMB_R9451</t>
  </si>
  <si>
    <t>2.2.7.3.2</t>
  </si>
  <si>
    <t>[In Server Response]An SMB_COM_NT_TRANSACT (section 2.2.4.8) response for an NT_TRANSACT_QUERY_QUOTA subcommand MUST be sent by a server in reply to a client NT_TRANSACT_QUERY_QUOTA subcommand request when the request is successful.</t>
  </si>
  <si>
    <t>MS-SMB_R9452</t>
  </si>
  <si>
    <t>[In Server Response]The NT_TRANSACT_QUERY_QUOTA response is a special case of the SMB_COM_NT_TRANSACT command response. Only the NT_TRANSACT_QUERY_QUOTA specifics are described here.</t>
  </si>
  <si>
    <t>MS-SMB_R9453</t>
  </si>
  <si>
    <t>[In Server Response]DataLength (4 bytes):  The length, in bytes, of the returned user quota information.</t>
  </si>
  <si>
    <t>MS-SMB_R9454</t>
  </si>
  <si>
    <t>[In Server Response]DataLength (4 bytes):  This field MUST be equal to the SMB_Parameters.Words.TotalDataCount field.</t>
  </si>
  <si>
    <t>MS-SMB_R9455</t>
  </si>
  <si>
    <t>[In Server Response]  QuotaInformation (variable):  A concatenated list of FILE_QUOTA_INFORMATION structures, as specified in [MS-FSCC] section 2.4.33.</t>
  </si>
  <si>
    <t>MS-SMB_R9456</t>
  </si>
  <si>
    <t>2.2.7.4</t>
  </si>
  <si>
    <t>[In NT_TRANSACT_SET_QUOTA (0x0008)]An SMB_COM_NT_TRANSACT (section 2.2.4.8) request with an NT_TRANSACT_SET_QUOTA subcommand code is sent by a client to set user quota information on the underlying object store of a server. This subcommand is new to these extensions.</t>
  </si>
  <si>
    <t>MS-SMB_R9457</t>
  </si>
  <si>
    <t>2.2.7.4.1</t>
  </si>
  <si>
    <t>[In Client Request]The NT_TRANSACT_SET_QUOTA request is a special case of the SMB_COM_NT_TRANSACT command request. Only the NT_TRANSACT_SET_QUOTA specifics are described here.</t>
  </si>
  <si>
    <t>MS-SMB_R9458</t>
  </si>
  <si>
    <t>MS-SMB_R9459</t>
  </si>
  <si>
    <t>MS-SMB_R9460</t>
  </si>
  <si>
    <t>[In Client Request]FID (2 bytes):  An Fid to a file or directory.</t>
  </si>
  <si>
    <t>MS-SMB_R9461</t>
  </si>
  <si>
    <t>[In Client Request]FID (2 bytes): The quota information of the object store underlying the file or directory MUST be modified.</t>
  </si>
  <si>
    <t>MS-SMB_R9462</t>
  </si>
  <si>
    <t>[In Client Request]QuotaInformation (variable):  A concatenated list of FILE_QUOTA_INFORMATION structures, as specified in [MS-FSCC] section 2.4.33.</t>
  </si>
  <si>
    <t>MS-SMB_R9463</t>
  </si>
  <si>
    <t>2.2.7.4.2</t>
  </si>
  <si>
    <t>[In Server Response]An SMB_COM_NT_TRANSACT (section 2.2.4.8) response for the NT_TRANSACT_SET_QUOTA subcommand MUST be sent by a server in reply to a client NT_TRANSACT_SET_QUOTA request when the request is successful.</t>
  </si>
  <si>
    <t>MS-SMB_R9464</t>
  </si>
  <si>
    <t>[In Server Response]The NT_TRANSACT_SET_QUOTA response is a special case of the SMB_COM_NT_TRANSACT command response. Only the NT_TRANSACT_SET_QUOTA specifics are described here.</t>
  </si>
  <si>
    <t>MS-SMB_R9465</t>
  </si>
  <si>
    <t>[In Server Response]No NT Trans parameters are returned in this response.</t>
    <phoneticPr fontId="5" type="noConversion"/>
  </si>
  <si>
    <t>MS-SMB_R9466</t>
  </si>
  <si>
    <t>[In Server Response]No NT Trans data is returned in this response.</t>
    <phoneticPr fontId="5" type="noConversion"/>
  </si>
  <si>
    <t>MS-SMB_R119466</t>
    <phoneticPr fontId="5" type="noConversion"/>
  </si>
  <si>
    <t>[In Server Response]When SMBSTATUS code is negotiated and Quotas are not enabled on the volume, the server returns SMBSTATUS class/code pair ERRDOS(0x01)/ERRbadfunc(0x0001).</t>
    <phoneticPr fontId="5" type="noConversion"/>
  </si>
  <si>
    <t>MS-SMB_R119467</t>
  </si>
  <si>
    <t>[In Server Response]When in the Xenix server implementation and Quotas are not enabled on the volume, the server returns  STATUS_INVALID_DEVICE_REQUEST(0xC0000008).</t>
    <phoneticPr fontId="5" type="noConversion"/>
  </si>
  <si>
    <t>MS-SMB_R119468</t>
  </si>
  <si>
    <t>[In Server Response]When SMBSTATUS code is negotiated and The Fid is invalid, the server returns SMBSTATUS class/code pair ERRDOS(0x01)/ERRbadfid(0x0006).</t>
    <phoneticPr fontId="5" type="noConversion"/>
  </si>
  <si>
    <t>MS-SMB_R1109468</t>
    <phoneticPr fontId="5" type="noConversion"/>
  </si>
  <si>
    <t>[In Server Response]When SMBSTATUS code is negotiated and The Fid is invalid, the server returns STATUS_INVALID_HANDLE(0xC0000008).</t>
    <phoneticPr fontId="5" type="noConversion"/>
  </si>
  <si>
    <t>MS-SMB_R119469</t>
  </si>
  <si>
    <t>[In Server Response]When in the Xenix server implementation and The Fid is invalid,the server returns  EBADF.</t>
  </si>
  <si>
    <t>MS-SMB_R119470</t>
  </si>
  <si>
    <t>[In Server Response]When SMBSTATUS code is negotiated and Access denied, the server returns SMBSTATUS class/code pair ERRDOS(0x01)/ERRnoaccess(0x0005).</t>
  </si>
  <si>
    <t>MS-SMB_R1109470</t>
    <phoneticPr fontId="5" type="noConversion"/>
  </si>
  <si>
    <t>[In Server Response]When SMBSTATUS code is negotiated and Access denied, the server returns STATUS_ACCESS_DENIED(0xC0000022).</t>
  </si>
  <si>
    <t>MS-SMB_R119471</t>
  </si>
  <si>
    <t>[In Server Response]When in the Xenix server implementation and Access denied,the server returns EPERM.</t>
    <phoneticPr fontId="5" type="noConversion"/>
  </si>
  <si>
    <t>MS-SMB_R119472</t>
  </si>
  <si>
    <t>[In Server Response]When SMBSTATUS code is negotiated and A parameter is invalid, the server returns SMBSTATUS class/code pair ERRDOS(0x01)/ERRinvalidparam(0x0057).</t>
    <phoneticPr fontId="5" type="noConversion"/>
  </si>
  <si>
    <t>MS-SMB_R119473</t>
  </si>
  <si>
    <t>[In Server Response]When in the Xenix server implementation and A parameter is invalid,the server returns STATUS_INVALID_PARAMETER(0xC000000D).</t>
    <phoneticPr fontId="5" type="noConversion"/>
  </si>
  <si>
    <t>MS-SMB_R119474</t>
  </si>
  <si>
    <t>[In Server Response]When SMBSTATUS code is negotiated and The  StartSid parameter did not contain a valid SID, the server returns SMBSTATUS class/code pair ERRDOS(0x01)/ERRinvalidsid(0x0539).</t>
    <phoneticPr fontId="5" type="noConversion"/>
  </si>
  <si>
    <t>MS-SMB_R119475</t>
  </si>
  <si>
    <t>[In Server Response]When in the Xenix server implementation and The  StartSid parameter did not contain a valid SID,the server returns STATUS_INVALID_SID(0xC0000078).</t>
    <phoneticPr fontId="5" type="noConversion"/>
  </si>
  <si>
    <t>MS-SMB_R119476</t>
  </si>
  <si>
    <t>[In Server Response]When SMBSTATUS code is negotiated and Invalid SMB, the server returns SMBSTATUS class/code pair ERRSRV(0x02)/ERRerror(0x0001).</t>
    <phoneticPr fontId="5" type="noConversion"/>
  </si>
  <si>
    <t>MS-SMB_R119477</t>
  </si>
  <si>
    <t>[In Server Response]When in the Xenix server implementation and Invalid SMB,the server returns STATUS_INVALID_SMB(0x00010002).</t>
    <phoneticPr fontId="5" type="noConversion"/>
  </si>
  <si>
    <t>MS-SMB_R119478</t>
  </si>
  <si>
    <t>[In Server Response]When SMBSTATUS code is negotiated and The TID is no longer valid, the server returns SMBSTATUS class/code pair ERRSRV(0x02)/ERRinvtid(0x0005).</t>
    <phoneticPr fontId="5" type="noConversion"/>
  </si>
  <si>
    <t>MS-SMB_R119479</t>
  </si>
  <si>
    <t>[In Server Response]When in the Xenix server implementation and The TID is no longer valid,the server returns STATUS_BAD_TID(0x00050002).</t>
    <phoneticPr fontId="5" type="noConversion"/>
  </si>
  <si>
    <t>MS-SMB_R119480</t>
  </si>
  <si>
    <t>[In Server Response]When SMBSTATUS code is negotiated and The server is out of resources, the server returns SMBSTATUS class/code pair ERRSRV(0x02)/ERRnomem(0x0008).</t>
    <phoneticPr fontId="5" type="noConversion"/>
  </si>
  <si>
    <t>MS-SMB_R1109480</t>
    <phoneticPr fontId="5" type="noConversion"/>
  </si>
  <si>
    <t>[In Server Response]When SMBSTATUS code is negotiated and The server is out of resources, the server returnsSTATUS_INSUFF_SERVER_RESOURCES(0xC0000205).</t>
    <phoneticPr fontId="5" type="noConversion"/>
  </si>
  <si>
    <t>MS-SMB_R119481</t>
  </si>
  <si>
    <t>[In Server Response]When in the Xenix server implementation and The server is out of resources,the server returns ENOMEM.</t>
    <phoneticPr fontId="5" type="noConversion"/>
  </si>
  <si>
    <t>MS-SMB_R119482</t>
  </si>
  <si>
    <t>[In Server Response]When SMBSTATUS code is negotiated and The UID supplied is not known to the session, the server returns SMBSTATUS class/code pair ERRSRV(0x02)/ERRbaduid(0x005B).</t>
    <phoneticPr fontId="5" type="noConversion"/>
  </si>
  <si>
    <t>MS-SMB_R119483</t>
  </si>
  <si>
    <t>[In Server Response]When in the Xenix server implementation and The UID supplied is not known to the session,the server returns STATUS_BAD_UID(0x005B0002).</t>
    <phoneticPr fontId="5" type="noConversion"/>
  </si>
  <si>
    <t>MS-SMB_R119484</t>
  </si>
  <si>
    <t>[In Server Response]When SMBSTATUS code is negotiated and The SidList parameter did not contain a valid, properly formed list, the server returns SMBSTATUS class ERRSRV(0x02).</t>
    <phoneticPr fontId="5" type="noConversion"/>
  </si>
  <si>
    <t>MS-SMB_R119485</t>
  </si>
  <si>
    <t>[In Server Response]When in the Xenix server implementation and The SidList parameter did not contain a valid,the server returns STATUS_QUOTA_LIST_INCONSISTENT(0xC0000266).</t>
    <phoneticPr fontId="5" type="noConversion"/>
  </si>
  <si>
    <t>MS-SMB_R119486</t>
  </si>
  <si>
    <t>[In Server Response]When SMBSTATUS code is negotiated and The number of bytes of changed data exceeded the MaxParameterCount field in the client request,  the server returns SMBSTATUS class/code pair ERRSRV(0x02)/ERRmoredata(0x00EA).</t>
    <phoneticPr fontId="5" type="noConversion"/>
  </si>
  <si>
    <t>MS-SMB_R119487</t>
  </si>
  <si>
    <t>[In Server Response]When in the Xenix server implementation and The number of bytes of changed data exceeded the MaxParameterCount field in the client request, the server returns STATUS_BUFFER_OVERFLOW(0x80000005).</t>
    <phoneticPr fontId="5" type="noConversion"/>
  </si>
  <si>
    <t>MS-SMB_R119488</t>
  </si>
  <si>
    <t>MS-SMB_R1109488</t>
    <phoneticPr fontId="5" type="noConversion"/>
  </si>
  <si>
    <t>MS-SMB_R119489</t>
  </si>
  <si>
    <t>[In Server Response]When in the Xenix server implementation and Disk I/O error, the server returns EIO.</t>
    <phoneticPr fontId="5" type="noConversion"/>
  </si>
  <si>
    <t>MS-SMB_R119490</t>
  </si>
  <si>
    <t>[In Server Response]When SMBSTATUS code is negotiated and Attempt to modify a read-only file system,the server returns SMBSTATUS class/code pair ERRHRD(0x03)/ERRnowrite(0x0013).</t>
    <phoneticPr fontId="5" type="noConversion"/>
  </si>
  <si>
    <t>MS-SMB_R1109490</t>
    <phoneticPr fontId="5" type="noConversion"/>
  </si>
  <si>
    <t>[In Server Response]When SMBSTATUS code is negotiated and Attempt to modify a read-only file system,the server returns STATUS_MEDIA_WRITE_PROTECTED(0xC00000A2).</t>
    <phoneticPr fontId="5" type="noConversion"/>
  </si>
  <si>
    <t>MS-SMB_R119491</t>
  </si>
  <si>
    <t>[In Server Response]When in the Xenix server implementation and Attempt to modify a read-only file system, the server returns EROFS.</t>
    <phoneticPr fontId="5" type="noConversion"/>
  </si>
  <si>
    <t>MS-SMB_R9467</t>
  </si>
  <si>
    <t>2.2.8.1.1</t>
  </si>
  <si>
    <t>[In SMB_FIND_FILE_BOTH_DIRECTORY_INFO Extensions]If the query being executed is a request for the enumeration of available previous versions (section 2.2.1.1.1), then the returned structure is identical to the structure that is specified in [MS-CIFS] section 2.2.8.1.7. However, the fields have a slightly different definition.</t>
    <phoneticPr fontId="5" type="noConversion"/>
  </si>
  <si>
    <t>MS-SMB_R1755</t>
  </si>
  <si>
    <t>[In SMB_FIND_FILE_BOTH_DIRECTORY_INFO Extensions]FileIndex (4 bytes):  This field MUST be set to zero  when sending a response.</t>
    <phoneticPr fontId="5" type="noConversion"/>
  </si>
  <si>
    <t>MS-SMB_R3427</t>
  </si>
  <si>
    <t>[In SMB_FIND_FILE_BOTH_DIRECTORY_INFO Extensions]FileIndex (4 bytes):  This field MUST be ignored when the client receives this message.</t>
  </si>
  <si>
    <t>MS-SMB_R3429</t>
  </si>
  <si>
    <t>[In SMB_FIND_FILE_BOTH_DIRECTORY_INFO Extensions]CreationTime (8 bytes): A FILETIME time stamp of when the previous version represented by the @GMT token  was created. The FILETIME format is defined in [MS-DTYP], section 2.3.1.</t>
  </si>
  <si>
    <t>MS-SMB_R3430</t>
  </si>
  <si>
    <t>[In SMB_FIND_FILE_BOTH_DIRECTORY_INFO Extensions]LastAccessTime (8 bytes):A FILETIME time stamp of when the previous version represented by the @GMT token was last accessed.</t>
  </si>
  <si>
    <t>MS-SMB_R3431</t>
  </si>
  <si>
    <t>[In SMB_FIND_FILE_BOTH_DIRECTORY_INFO Extensions]LastWriteTime (8 bytes): A FILETIME time stamp of when the previous version represented by the @GMT token last had data written to it.</t>
    <phoneticPr fontId="5" type="noConversion"/>
  </si>
  <si>
    <t>MS-SMB_R3432</t>
  </si>
  <si>
    <t>[In SMB_FIND_FILE_BOTH_DIRECTORY_INFO Extensions]LastChangeTime (8 bytes):  A FILETIME time stamp of when the previous version represented by the @GMT token was last changed.</t>
  </si>
  <si>
    <t>MS-SMB_R1757</t>
  </si>
  <si>
    <t>[In SMB_FIND_FILE_BOTH_DIRECTORY_INFO Extensions]EndOfFile (8 bytes):  This LARGE_INTEGER field MUST be set to zero when sending a response.</t>
  </si>
  <si>
    <t>MS-SMB_R3434</t>
  </si>
  <si>
    <t>[In SMB_FIND_FILE_BOTH_DIRECTORY_INFO Extensions]EndOfFile (8 bytes):  This LARGE_INTEGER field MUST be ignored when the client receives this message.</t>
  </si>
  <si>
    <t>MS-SMB_R1759</t>
  </si>
  <si>
    <t>[In SMB_FIND_FILE_BOTH_DIRECTORY_INFO Extensions]AllocationSize (8 bytes):  This LARGE_INTEGER field MUST be set to zero when sending a response.</t>
    <phoneticPr fontId="5" type="noConversion"/>
  </si>
  <si>
    <t>MS-SMB_R3437</t>
  </si>
  <si>
    <t>[In SMB_FIND_FILE_BOTH_DIRECTORY_INFO Extensions]AllocationSize (8 bytes):  This LARGE_INTEGER field  MUST be ignored when the client receives this message.</t>
    <phoneticPr fontId="5" type="noConversion"/>
  </si>
  <si>
    <t>MS-SMB_R3465</t>
  </si>
  <si>
    <t>2.2.8.1.1</t>
    <phoneticPr fontId="5" type="noConversion"/>
  </si>
  <si>
    <t>[In SMB_FIND_FILE_BOTH_DIRECTORY_INFO Extensions]AllocationSize (8 bytes):  This LARGE_INTEGER field MUST be ignored when the client receives this message.</t>
    <phoneticPr fontId="5" type="noConversion"/>
  </si>
  <si>
    <t>MS-SMB_R1775</t>
  </si>
  <si>
    <t>[In SMB_FIND_FILE_BOTH_DIRECTORY_INFO Extensions]ExtFileAttributes (4 bytes):  Extended attributes for this file that MUST be marked as a DIRECTORY.</t>
    <phoneticPr fontId="5" type="noConversion"/>
  </si>
  <si>
    <t>MS-SMB_R3468</t>
  </si>
  <si>
    <t>[In SMB_FIND_FILE_BOTH_DIRECTORY_INFO Extensions]FileNameLength (4 bytes):  Length, in bytes, of the FileName field.</t>
    <phoneticPr fontId="5" type="noConversion"/>
  </si>
  <si>
    <t>MS-SMB_R1776</t>
  </si>
  <si>
    <t>[In SMB_FIND_FILE_BOTH_DIRECTORY_INFO Extensions]EaSize (4 bytes):  This field MUST be set to zero when sending a response .</t>
    <phoneticPr fontId="5" type="noConversion"/>
  </si>
  <si>
    <t>MS-SMB_R3470</t>
  </si>
  <si>
    <t>[In SMB_FIND_FILE_BOTH_DIRECTORY_INFO Extensions]EaSize (4 bytes):  This field MUST be ignored when the client receives this message.</t>
    <phoneticPr fontId="5" type="noConversion"/>
  </si>
  <si>
    <t>MS-SMB_R3473</t>
  </si>
  <si>
    <t>[In SMB_FIND_FILE_BOTH_DIRECTORY_INFO Extensions]Reserved (1 byte):  An 8-bit unsigned integer used to maintain byte alignment.</t>
    <phoneticPr fontId="5" type="noConversion"/>
  </si>
  <si>
    <t>MS-SMB_R3474</t>
  </si>
  <si>
    <t>[In SMB_FIND_FILE_BOTH_DIRECTORY_INFO Extensions]Reserved (1 byte):  This field MUST be 0x00.</t>
    <phoneticPr fontId="5" type="noConversion"/>
  </si>
  <si>
    <t>MS-SMB_R103474</t>
    <phoneticPr fontId="5" type="noConversion"/>
  </si>
  <si>
    <t xml:space="preserve">[In SMB_FIND_FILE_BOTH_DIRECTORY_INFO Extensions]ShortName (24 bytes):  The 8.3 name for the file formatted as @GMT~XXX where XXX is an array index value in decimal of an array of snapshots returned, starting at an array index value of zero. </t>
  </si>
  <si>
    <t>MS-SMB_R3476</t>
  </si>
  <si>
    <t>[In SMB_FIND_FILE_BOTH_DIRECTORY_INFO Extensions]ShortName (24 bytes):The ShortName field MUST be formatted as an array of 16-bit Unicode characters</t>
    <phoneticPr fontId="5" type="noConversion"/>
  </si>
  <si>
    <t>MS-SMB_R103476</t>
    <phoneticPr fontId="5" type="noConversion"/>
  </si>
  <si>
    <t>[In SMB_FIND_FILE_BOTH_DIRECTORY_INFO Extensions]ShortName (24 bytes):The ShortName field MUST NOT be NULL terminated.</t>
    <phoneticPr fontId="5" type="noConversion"/>
  </si>
  <si>
    <t>MS-SMB_R203476</t>
    <phoneticPr fontId="5" type="noConversion"/>
  </si>
  <si>
    <t>[In SMB_FIND_FILE_BOTH_DIRECTORY_INFO Extensions]FileName (variable):  An @GMT token that represents an available previous version for the file or directory.</t>
    <phoneticPr fontId="5" type="noConversion"/>
  </si>
  <si>
    <t>MS-SMB_R9468</t>
    <phoneticPr fontId="5" type="noConversion"/>
  </si>
  <si>
    <t>2.2.8.1.2</t>
    <phoneticPr fontId="5" type="noConversion"/>
  </si>
  <si>
    <t>MS-SMB_R9469</t>
    <phoneticPr fontId="5" type="noConversion"/>
  </si>
  <si>
    <t>[In SMB_FIND_FILE_ID_FULL_DIRECTORY_INFO]FileIndex (4 bytes):  This field MUST be set to zero when sending a response.</t>
    <phoneticPr fontId="5" type="noConversion"/>
  </si>
  <si>
    <t>MS-SMB_R9470</t>
    <phoneticPr fontId="5" type="noConversion"/>
  </si>
  <si>
    <t>[In SMB_FIND_FILE_ID_FULL_DIRECTORY_INFO]FileIndex (4 bytes):  This field  MUST be ignored when the client receives this message.</t>
    <phoneticPr fontId="5" type="noConversion"/>
  </si>
  <si>
    <t>MS-SMB_R9471</t>
  </si>
  <si>
    <t>[In SMB_FIND_FILE_ID_FULL_DIRECTORY_INFO]EndOfFile (8 bytes):  This LARGE_INTEGER field MUST be set to zero when sending a response.</t>
    <phoneticPr fontId="5" type="noConversion"/>
  </si>
  <si>
    <t>MS-SMB_R9472</t>
    <phoneticPr fontId="5" type="noConversion"/>
  </si>
  <si>
    <t>[In SMB_FIND_FILE_ID_FULL_DIRECTORY_INFO]EndOfFile (8 bytes):  This LARGE_INTEGER field MUST be ignored when the client receives this message.</t>
    <phoneticPr fontId="5" type="noConversion"/>
  </si>
  <si>
    <t>MS-SMB_R9473</t>
    <phoneticPr fontId="5" type="noConversion"/>
  </si>
  <si>
    <t>[In SMB_FIND_FILE_ID_FULL_DIRECTORY_INFO]AllocationSize (8 bytes):  This LARGE_INTEGER field MUST be set to zero when sending a response.</t>
    <phoneticPr fontId="5" type="noConversion"/>
  </si>
  <si>
    <t>MS-SMB_R9474</t>
    <phoneticPr fontId="5" type="noConversion"/>
  </si>
  <si>
    <t>[In SMB_FIND_FILE_ID_FULL_DIRECTORY_INFO]AllocationSize (8 bytes):  This LARGE_INTEGER field  MUST be ignored when the client receives this message.</t>
    <phoneticPr fontId="5" type="noConversion"/>
  </si>
  <si>
    <t>MS-SMB_R9475</t>
    <phoneticPr fontId="5" type="noConversion"/>
  </si>
  <si>
    <t>[In SMB_FIND_FILE_ID_FULL_DIRECTORY_INFO]ExtFileAttributes (4 bytes):  Extended attributes for this file that MUST be marked as a DIRECTORY.</t>
    <phoneticPr fontId="5" type="noConversion"/>
  </si>
  <si>
    <t>MS-SMB_R9476</t>
    <phoneticPr fontId="5" type="noConversion"/>
  </si>
  <si>
    <t>[In SMB_FIND_FILE_ID_FULL_DIRECTORY_INFO]FileNameLength (4 bytes):  The length, in bytes, of the FileName field.</t>
    <phoneticPr fontId="5" type="noConversion"/>
  </si>
  <si>
    <t>MS-SMB_R9477</t>
    <phoneticPr fontId="5" type="noConversion"/>
  </si>
  <si>
    <t>[In SMB_FIND_FILE_ID_FULL_DIRECTORY_INFO]EaSize (4 bytes):  This field MUST be set to zero when sending a response.</t>
    <phoneticPr fontId="5" type="noConversion"/>
  </si>
  <si>
    <t>MS-SMB_R9478</t>
    <phoneticPr fontId="5" type="noConversion"/>
  </si>
  <si>
    <t>[In SMB_FIND_FILE_ID_FULL_DIRECTORY_INFO]EaSize (4 bytes):  This field MUST be ignored when the client receives this message.</t>
    <phoneticPr fontId="5" type="noConversion"/>
  </si>
  <si>
    <t>MS-SMB_R9479</t>
    <phoneticPr fontId="5" type="noConversion"/>
  </si>
  <si>
    <t>[In SMB_FIND_FILE_ID_FULL_DIRECTORY_INFO]FileId (8 bytes):  A LARGE_INTEGER that serves as an internal file system identifier.</t>
    <phoneticPr fontId="5" type="noConversion"/>
  </si>
  <si>
    <t>MS-SMB_R9480</t>
    <phoneticPr fontId="5" type="noConversion"/>
  </si>
  <si>
    <t>[In SMB_FIND_FILE_ID_FULL_DIRECTORY_INFO]This number MUST be unique for each file on a given volume.</t>
    <phoneticPr fontId="5" type="noConversion"/>
  </si>
  <si>
    <t>MS-SMB_R9481</t>
    <phoneticPr fontId="5" type="noConversion"/>
  </si>
  <si>
    <t>[In SMB_FIND_FILE_ID_FULL_DIRECTORY_INFO]If a remote file system does not support unique FileId values, then the FileId field MUST be set to zero.</t>
    <phoneticPr fontId="5" type="noConversion"/>
  </si>
  <si>
    <t>MS-SMB_R9482</t>
    <phoneticPr fontId="5" type="noConversion"/>
  </si>
  <si>
    <t>2.2.8.1.3</t>
    <phoneticPr fontId="5" type="noConversion"/>
  </si>
  <si>
    <t>MS-SMB_R9483</t>
    <phoneticPr fontId="5" type="noConversion"/>
  </si>
  <si>
    <t>[In SMB_FIND_FILE_ID_BOTH_DIRECTORY_INFO]FileIndex (4 bytes):  This field MUST be set to zero when sending a response.</t>
    <phoneticPr fontId="5" type="noConversion"/>
  </si>
  <si>
    <t>MS-SMB_R9484</t>
    <phoneticPr fontId="5" type="noConversion"/>
  </si>
  <si>
    <t>[In SMB_FIND_FILE_ID_BOTH_DIRECTORY_INFO]FileIndex (4 bytes):  This field MUST be ignored when the client receives this message.</t>
    <phoneticPr fontId="5" type="noConversion"/>
  </si>
  <si>
    <t>MS-SMB_R9485</t>
    <phoneticPr fontId="5" type="noConversion"/>
  </si>
  <si>
    <t>[In SMB_FIND_FILE_ID_BOTH_DIRECTORY_INFO]AllocationSize (8 bytes):  This LARGE_INTEGER field MUST be set to zero when sending a response.</t>
    <phoneticPr fontId="5" type="noConversion"/>
  </si>
  <si>
    <t>MS-SMB_R9486</t>
    <phoneticPr fontId="5" type="noConversion"/>
  </si>
  <si>
    <t>[In SMB_FIND_FILE_ID_BOTH_DIRECTORY_INFO]AllocationSize (8 bytes):  This LARGE_INTEGER field MUST be ignored when the client receives this message.</t>
    <phoneticPr fontId="5" type="noConversion"/>
  </si>
  <si>
    <t>MS-SMB_R9487</t>
    <phoneticPr fontId="5" type="noConversion"/>
  </si>
  <si>
    <t>[In SMB_FIND_FILE_ID_BOTH_DIRECTORY_INFO]ExtFileAttributes (4 bytes):  This field represents the extended attributes for this file that MUST be marked as a DIRECTORY.</t>
    <phoneticPr fontId="5" type="noConversion"/>
  </si>
  <si>
    <t>MS-SMB_R9488</t>
    <phoneticPr fontId="5" type="noConversion"/>
  </si>
  <si>
    <t>[In SMB_FIND_FILE_ID_BOTH_DIRECTORY_INFO]EaSize (4 bytes):  This field MUST be set to zero when sending a response.</t>
    <phoneticPr fontId="5" type="noConversion"/>
  </si>
  <si>
    <t>MS-SMB_R9489</t>
    <phoneticPr fontId="5" type="noConversion"/>
  </si>
  <si>
    <t>[In SMB_FIND_FILE_ID_BOTH_DIRECTORY_INFO]EaSize (4 bytes):  This field MUST be ignored when the client receives this message.</t>
    <phoneticPr fontId="5" type="noConversion"/>
  </si>
  <si>
    <t>MS-SMB_R9490</t>
    <phoneticPr fontId="5" type="noConversion"/>
  </si>
  <si>
    <t>[In SMB_FIND_FILE_ID_BOTH_DIRECTORY_INFO] Reserved (1 byte):  An 8-bit unsigned integer that is used to maintain 64-bit alignment.</t>
    <phoneticPr fontId="5" type="noConversion"/>
  </si>
  <si>
    <t>MS-SMB_R9491</t>
    <phoneticPr fontId="5" type="noConversion"/>
  </si>
  <si>
    <t>[In SMB_FIND_FILE_ID_BOTH_DIRECTORY_INFO] Reserved (1 byte):  This member MUST be 0x00.</t>
    <phoneticPr fontId="5" type="noConversion"/>
  </si>
  <si>
    <t>MS-SMB_R9492</t>
    <phoneticPr fontId="5" type="noConversion"/>
  </si>
  <si>
    <t>[In SMB_FIND_FILE_ID_BOTH_DIRECTORY_INFO]Reserved2 (2 bytes):  A 16-bit unsigned integer that is used to maintain 64-bit alignment.</t>
    <phoneticPr fontId="5" type="noConversion"/>
  </si>
  <si>
    <t>MS-SMB_R9493</t>
    <phoneticPr fontId="5" type="noConversion"/>
  </si>
  <si>
    <t>[In SMB_FIND_FILE_ID_BOTH_DIRECTORY_INFO]Reserved2 (2 bytes):This member MUST be 0x0000.</t>
    <phoneticPr fontId="5" type="noConversion"/>
  </si>
  <si>
    <t>MS-SMB_R9494</t>
    <phoneticPr fontId="5" type="noConversion"/>
  </si>
  <si>
    <t>[In SMB_FIND_FILE_ID_BOTH_DIRECTORY_INFO]FileId (8 bytes):  A LARGE_INTEGER that serves as an internal file system identifier.</t>
    <phoneticPr fontId="5" type="noConversion"/>
  </si>
  <si>
    <t>MS-SMB_R9495</t>
    <phoneticPr fontId="5" type="noConversion"/>
  </si>
  <si>
    <t>[In SMB_FIND_FILE_ID_BOTH_DIRECTORY_INFO]FileId (8 bytes):This number MUST be unique for each file on a given volume.</t>
    <phoneticPr fontId="5" type="noConversion"/>
  </si>
  <si>
    <t>MS-SMB_R9496</t>
    <phoneticPr fontId="5" type="noConversion"/>
  </si>
  <si>
    <t>[In SMB_FIND_FILE_ID_BOTH_DIRECTORY_INFO]FileId (8 bytes):If a remote file system does not support unique FileId values, then the FileId field MUST be set to zero.</t>
  </si>
  <si>
    <t>MS-SMB_R3477</t>
  </si>
  <si>
    <t>[In SMB_FIND_FILE_ID_BOTH_DIRECTORY_INFO] Reserved2 (2 bytes):  A 16-bit unsigned integer that is used to maintain 64-bit alignment.</t>
  </si>
  <si>
    <t>MS-SMB_R3478</t>
  </si>
  <si>
    <t>[In SMB_FIND_FILE_ID_BOTH_DIRECTORY_INFO] Reserved2 (2 bytes):  This member MUST be 0x0000.</t>
    <phoneticPr fontId="5" type="noConversion"/>
  </si>
  <si>
    <t>MS-SMB_R3479</t>
  </si>
  <si>
    <t>[In SMB_FIND_FILE_ID_BOTH_DIRECTORY_INFO]FileId (8 bytes):  A LARGE_INTEGER that serves as an internal file system identifier.</t>
  </si>
  <si>
    <t>MS-SMB_R3480</t>
  </si>
  <si>
    <t>[In SMB_FIND_FILE_ID_BOTH_DIRECTORY_INFO]FileId (8 bytes):  This number MUST be unique for each file on a given volume.</t>
  </si>
  <si>
    <t>MS-SMB_R3481</t>
  </si>
  <si>
    <t>[In SMB_FIND_FILE_ID_BOTH_DIRECTORY_INFO]FileId (8 bytes):  If a remote file system does not support unique FileId values, the FileId field MUST be set to zero.</t>
  </si>
  <si>
    <t>MS-SMB_R9497</t>
    <phoneticPr fontId="5" type="noConversion"/>
  </si>
  <si>
    <t>2.2.8.2.1</t>
  </si>
  <si>
    <t>MS-SMB_R109497</t>
    <phoneticPr fontId="5" type="noConversion"/>
  </si>
  <si>
    <t>MS-SMB_R9498</t>
  </si>
  <si>
    <t>2.2.8.3</t>
  </si>
  <si>
    <t>[In QUERY Information Level Extensions]No new SMB-specific Information Levels are specified for these extensions.</t>
  </si>
  <si>
    <t>MS-SMB_R9499</t>
  </si>
  <si>
    <t>2.2.8.4</t>
  </si>
  <si>
    <t>MS-SMB_R8300</t>
  </si>
  <si>
    <t>[In Protocol Details] An SMB implementation MUST implement CIFS, as specified by section 3 of the [MS-CIFS] specification.</t>
  </si>
  <si>
    <t>MS-SMB_R8301</t>
  </si>
  <si>
    <t>3.1.1</t>
  </si>
  <si>
    <t xml:space="preserve">[In Abstract Data Model] This section specifies a conceptual model of possible data organization that an implementation maintains in order to participate in this protocol. </t>
  </si>
  <si>
    <t>MS-SMB_R8302</t>
  </si>
  <si>
    <t xml:space="preserve">[In Abstract Data Model]The described organization is provided to explain how the protocol behaves. </t>
  </si>
  <si>
    <t>MS-SMB_R8303</t>
  </si>
  <si>
    <t>[In Abstract Data Model] This document does not mandate that implementations adhere to this model as long as their external behavior is consistent with what is described in this document.</t>
  </si>
  <si>
    <t>MS-SMB_R8304</t>
  </si>
  <si>
    <t>[In Abstract Data Model] The following elements extend the global abstract data model that is specified in [MS-CIFS] section 3.1.1.</t>
  </si>
  <si>
    <t>MS-SMB_R8305</t>
  </si>
  <si>
    <t>3.1.1.1</t>
  </si>
  <si>
    <t>[In Global] There are no global parameters defined as common to both client and server.</t>
  </si>
  <si>
    <t>MS-SMB_R1941</t>
  </si>
  <si>
    <t>3.1.4.1</t>
  </si>
  <si>
    <t>The calling of MD5 cannot be observed on the wire for server role.</t>
  </si>
  <si>
    <t>MS-SMB_R3977</t>
  </si>
  <si>
    <t>[In Sending Any Message]The resulting 8-byte signature MUST be copied into the SecuritySignature field of the SMB header,after which the message can be transmitted.</t>
  </si>
  <si>
    <t>Whether the result signature is copied is server internal behavior.</t>
  </si>
  <si>
    <t>MS-SMB_R3987</t>
  </si>
  <si>
    <t>3.1.5.1</t>
  </si>
  <si>
    <t>MS-SMB_R3988</t>
  </si>
  <si>
    <t>[In Receiving Any Message]The resulting 8-byte signature is compared with the original value of the SMB_Header.SecuritySignature field.</t>
  </si>
  <si>
    <t>MS-SMB_R3989</t>
  </si>
  <si>
    <t>[In Receiving Any Message]If the signature received with the message does not match the signature that is calculated, then the message MUST be discarded.</t>
  </si>
  <si>
    <t>Whether the message is discarded is server internal behavior.</t>
  </si>
  <si>
    <t>MS-SMB_R3990</t>
  </si>
  <si>
    <t>[In Receiving Any Message]If the signature received with the message does not match the signature calculated, no further processing on it[the message] is done.</t>
  </si>
  <si>
    <t>MS-SMB_R3991</t>
    <phoneticPr fontId="5" type="noConversion"/>
  </si>
  <si>
    <t>[In Receiving Any Message]The receiver MAY also terminate the connection by disconnecting the underlying transport connection and cleaning up any state associated with the connection.</t>
  </si>
  <si>
    <t>MS-SMB_R103991</t>
    <phoneticPr fontId="5" type="noConversion"/>
  </si>
  <si>
    <t>[In Receiving Any Message]The receiver does not also terminate the connection by disconnecting the underlying transport connection and cleaning up any state associated with the connection in Windows.</t>
    <phoneticPr fontId="5" type="noConversion"/>
  </si>
  <si>
    <t>MS-SMB_R3995</t>
  </si>
  <si>
    <t>3.1.6</t>
  </si>
  <si>
    <t>[In Timer Events]There are no timers common to both client and server.</t>
  </si>
  <si>
    <t>MS-SMB_R3996</t>
  </si>
  <si>
    <t>3.1.7</t>
  </si>
  <si>
    <t>[In Other Local Events]There are no local events common to both client and server.</t>
  </si>
  <si>
    <t>MS-SMB_R8306</t>
  </si>
  <si>
    <t>MS-SMB_R8307</t>
  </si>
  <si>
    <t xml:space="preserve">[In Abstract Data Model] The described organization is provided to explain how the protocol behaves. </t>
  </si>
  <si>
    <t>MS-SMB_R8308</t>
  </si>
  <si>
    <t>MS-SMB_R8309</t>
  </si>
  <si>
    <t>[In Abstract Data Model] The following elements extend the client abstract data model specified in [MS-CIFS] section 3.2.1.</t>
  </si>
  <si>
    <t>MS-SMB_R8310</t>
  </si>
  <si>
    <t>3.2.1.1</t>
  </si>
  <si>
    <t xml:space="preserve">[In Global] Client.MessageSigningPolicy: A state that determines whether or not this node signs messages. </t>
  </si>
  <si>
    <t>MS-SMB_R8311</t>
  </si>
  <si>
    <t>[In Global]Client.MessageSigningPolicy:  This parameter has four possible values:[Required,Preferred,Declined,Disabled].</t>
  </si>
  <si>
    <t>MS-SMB_R8312</t>
  </si>
  <si>
    <t xml:space="preserve">[In Global]  Client.MessageSigningPolicy: Required -- Message signing is required. </t>
  </si>
  <si>
    <t>MS-SMB_R8313</t>
  </si>
  <si>
    <t xml:space="preserve">[In Global]  Client.MessageSigningPolicy: Required -- Any connection to a server that does not use signing MUST be disconnected. </t>
  </si>
  <si>
    <t>MS-SMB_R8314</t>
  </si>
  <si>
    <t xml:space="preserve">[In Global]  Client.MessageSigningPolicy: Preferred -- Message signing is enabled. </t>
  </si>
  <si>
    <t>MS-SMB_R8315</t>
  </si>
  <si>
    <t>[In Global]  Client.MessageSigningPolicy: Preferred -- If the other node enables signing, signing MUST be used.</t>
  </si>
  <si>
    <t>MS-SMB_R8316</t>
  </si>
  <si>
    <t>[In Global]  Client.MessageSigningPolicy: Preferred -- If the other node requires signing, signing MUST be used.</t>
  </si>
  <si>
    <t>MS-SMB_R8317</t>
  </si>
  <si>
    <t xml:space="preserve">[In Global]  Client.MessageSigningPolicy: Declined -- Message signing is disabled unless the other party requires it. </t>
  </si>
  <si>
    <t>MS-SMB_R8318</t>
  </si>
  <si>
    <t xml:space="preserve">[In Global]  Client.MessageSigningPolicy: Declined -- If the other party requires message signing, it MUST be used. </t>
  </si>
  <si>
    <t>MS-SMB_R8319</t>
  </si>
  <si>
    <t>[In Global]  Client.MessageSigningPolicy: Declined -- Otherwise[If the other party does not require message signing], message signing MUST NOT be used.</t>
  </si>
  <si>
    <t>MS-SMB_R8320</t>
  </si>
  <si>
    <t xml:space="preserve">[In Global]  Client.MessageSigningPolicy: Disabled -- Message signing is disabled. </t>
  </si>
  <si>
    <t>MS-SMB_R8321</t>
  </si>
  <si>
    <t>[In Global]  Client.MessageSigningPolicy: Disabled -- Message signing MUST NOT be used.</t>
  </si>
  <si>
    <t>MS-SMB_R8322</t>
  </si>
  <si>
    <t>[In Global] Client.SupportsExtendedSecurity: A flag that indicates whether the client supports Generic Security Services (GSS), as specified in [RFC2743], for selecting the authentication protocol.</t>
  </si>
  <si>
    <t>MS-SMB_R4006</t>
  </si>
  <si>
    <t>3.2.1.2</t>
  </si>
  <si>
    <t>[In Per SMB Connection]Client.Connection.GSSNegotiateToken: A byte array containing the token received during an extended security negotiation and remembered for authentication.</t>
  </si>
  <si>
    <t>MS-SMB_R3999</t>
  </si>
  <si>
    <t>MS-SMB_R4017</t>
  </si>
  <si>
    <t>3.2.1.3</t>
  </si>
  <si>
    <t>[In Per SMB Session] Client.Session.AuthenticationState: A session can be in one of three states: InProgress, Valid, Expired.</t>
  </si>
  <si>
    <t>MS-SMB_R4018</t>
  </si>
  <si>
    <t>[In Per SMB Session] Client.Session.AuthenticationState:  InProgress -- A session setup (an extended SMB_COM_SESSION_SETUP_ANDX exchange as described in section 3.2.4.2.4.1) is in progress for this session.</t>
  </si>
  <si>
    <t>MS-SMB_R4019</t>
  </si>
  <si>
    <t>[In Per SMB Session] Client.Session.AuthenticationState:  Valid-- A session setup exchange has successfully completed; the session is valid and a UID for the session has been assigned by the server.</t>
  </si>
  <si>
    <t>MS-SMB_R4020</t>
  </si>
  <si>
    <t>[In Per SMB Session] Client.Session.AuthenticationState: Expired -- The Kerberos ticket for this session has expired and the session needs to be re-established.</t>
  </si>
  <si>
    <t>MS-SMB_R8323</t>
  </si>
  <si>
    <t xml:space="preserve">[In Per SMB Session] Client.Session.SessionKeyState: The session key state. </t>
  </si>
  <si>
    <t>MS-SMB_R8324</t>
  </si>
  <si>
    <t>[In Per SMB Session] Client.Session.SessionKeyState:This can be either Unavailable or Available.</t>
  </si>
  <si>
    <t>MS-SMB_R8068</t>
  </si>
  <si>
    <t>[In Per SMB Session]Client.Session.UserCredentials:  An opaque implementation-specific entity that identifies the credentials that were used to authenticate to the server.</t>
  </si>
  <si>
    <t>MS-SMB_R4030</t>
  </si>
  <si>
    <t>3.2.1.4</t>
  </si>
  <si>
    <t>[In Per Tree Connect]Client.TreeConnect.GuestMaximalShareAccessRights: The GuestMaximalShareAccessRights value as returned in the SMB_COM_TREE_CONNECT_ANDX server response (section 2.2.4.7.2).</t>
  </si>
  <si>
    <t>MS-SMB_R4029</t>
  </si>
  <si>
    <t>[In Per Tree Connect]Client.TreeConnect.MaximalShareAccessRights: The MaximalShareAccessRights value as returned in the SMB_COM_TREE_CONNECT_ANDX server response (section 2.2.4.7.2).</t>
  </si>
  <si>
    <t>MS-SMB_R4031</t>
  </si>
  <si>
    <t>[In Timers] There are no new client timers other than those specified in [MS-CIFS].</t>
  </si>
  <si>
    <t>MS-SMB_R4032</t>
  </si>
  <si>
    <t>3.2.3</t>
  </si>
  <si>
    <t>[In Initialization] Initialization of the following additional parameters[Client.MessageSigningPolicy ,Client.SupportsExtendedSecurity ,Client.Connection.GSSNegotiateToken ,Client.Connection.ServerGUID ,Client.Session.AuthenticationState ,Client.Session.SessionKeyState ,Client.Session.UserCredentials ] is required beyond that specified in [MS-CIFS].</t>
  </si>
  <si>
    <t>MS-SMB_R8325</t>
  </si>
  <si>
    <t>MS-SMB_R8326</t>
  </si>
  <si>
    <t>[In Initialization] The value of this is not constrained by the values of any other policies.</t>
  </si>
  <si>
    <t>MS-SMB_R4039</t>
  </si>
  <si>
    <t xml:space="preserve">[In Initialization]When an SMB connection is established, the following values MUST be initialized:
Client.Connection.GSSNegotiateToken is set to an empty array. </t>
  </si>
  <si>
    <t>MS-SMB_R8327</t>
  </si>
  <si>
    <t>[In Initialization] When an SMB connection is established, the following values MUST be initialized:
Client.Connection.ServerGUID is set to the GUID of the server.</t>
  </si>
  <si>
    <t>MS-SMB_R8328</t>
  </si>
  <si>
    <t>[In Initialization] When an SMB session is established on an SMB connection, the following value MUST be initialized: 
Client.Session.AuthenticationState MUST be set to InProgress.</t>
  </si>
  <si>
    <t>MS-SMB_R8329</t>
  </si>
  <si>
    <t>[In Initialization] When an SMB session is established on an SMB connection, the following value MUST be initialized: Client.Session.SessionKeyState MUST be set to Unavailable.</t>
  </si>
  <si>
    <t>MS-SMB_R8330</t>
  </si>
  <si>
    <t>[In Initialization] When an SMB session is established on an SMB connection, the following value MUST be initialized: Client.Session.UserCredentials MUST be empty.</t>
  </si>
  <si>
    <t>MS-SMB_R8331</t>
  </si>
  <si>
    <t>[In Initialization] All other values are initialized as specified in [MS-CIFS] section 3.2.3.</t>
  </si>
  <si>
    <t>MS-SMB_R8332</t>
  </si>
  <si>
    <t>3.2.4.1</t>
  </si>
  <si>
    <t>[In Sending Any Message] The following global details are presented to a client that sends any message in addition to what is specified in [MS-CIFS] section 3.2.4.1.</t>
  </si>
  <si>
    <t>MS-SMB_R8333</t>
  </si>
  <si>
    <t>3.2.4.1.1</t>
  </si>
  <si>
    <t xml:space="preserve">[In Scanning a Path for a Previous Version Token] The application requests a previous version of a file by placing a time indicator in the path as a directory element, as specified in section 2.2.1.1.1. </t>
  </si>
  <si>
    <t>MS-SMB_R8334</t>
  </si>
  <si>
    <t>[In Scanning a Path for a Previous Version Token] For any path-based operation (for example,SMB_COM_NT_CREATE_ANDX) the client SHOULD scan the file path being provided by the application for an appropriately formatted @GMT token.</t>
  </si>
  <si>
    <t>MS-SMB_R8335</t>
  </si>
  <si>
    <t>MS-SMB_R8336</t>
  </si>
  <si>
    <t>3.2.4.2.1</t>
  </si>
  <si>
    <t>[In Connection Establishment] Processing of this event is handled as specified in [MS-CIFS] section 3.2.4.2.1.</t>
  </si>
  <si>
    <t>MS-SMB_R4078</t>
  </si>
  <si>
    <t>3.2.4.2.2</t>
  </si>
  <si>
    <t>MS-SMB_R8337</t>
  </si>
  <si>
    <t>3.2.4.2.3</t>
  </si>
  <si>
    <t>[In Capabilities Negotiation] Processing of this event is handled as specified in [MS-CIFS] section 3.2.4.2.3, with the addition that the new capabilities flags (specified in section 2.2.4.5.2) are also to be considered in the list of possible capabilities.</t>
  </si>
  <si>
    <t>MS-SMB_R8338</t>
  </si>
  <si>
    <t>3.2.4.2.4</t>
  </si>
  <si>
    <t xml:space="preserve">[In User Authentication] Processing of this event is handled as specified in [MS-CIFS] section 3.2.4.2.4, with the following additions:
If Client.Connection.ShareLevelAccessControl is FALSE:
If one or more connections to the server exist for Client.ConnectionTable[ServerName], then the client MUST traverse the Connections . </t>
  </si>
  <si>
    <t>MS-SMB_R8339</t>
  </si>
  <si>
    <t xml:space="preserve">[In User Authentication] Processing of this event is handled as specified in [MS-CIFS] section 3.2.4.2.4, with the following additions:
If Client.Connection.ShareLevelAccessControl is FALSE:
If one or more connections to the server exist for Client.ConnectionTable[ServerName], then the client MUST search the Client.Connection.SessionTable for a Session that corresponds to the user that establishes the connection to the share. </t>
  </si>
  <si>
    <t>MS-SMB_R8340</t>
  </si>
  <si>
    <t>[In User Authentication,Processing of this event is handled as specified in [MS-CIFS] section 3.2.4.2.4, with the following additions:
If Client.Connection.ShareLevelAccessControl is FALSE:] The client MUST search for a valid Session by either a security context or a UID representing the user.</t>
  </si>
  <si>
    <t>MS-SMB_R8341</t>
  </si>
  <si>
    <t>[In User Authentication,Processing of this event is handled as specified in [MS-CIFS] section 3.2.4.2.4, with the following additions:
If Client.Connection.ShareLevelAccessControl is FALSE: The client MUST search for a valid Session by either a security context or a UID representing the user.]
If a Connection with an existing Session for this user is found, then the client MUST reuse the connection and continue processing.</t>
  </si>
  <si>
    <t>MS-SMB_R8342</t>
  </si>
  <si>
    <t>MS-SMB_R8343</t>
  </si>
  <si>
    <t xml:space="preserve">[In User Authentication] If no valid Connections exist, a new SMB connection MUST be established. </t>
  </si>
  <si>
    <t>MS-SMB_R8344</t>
  </si>
  <si>
    <t xml:space="preserve">[In User Authentication] If no valid Connections exist, the client MUST attempt to establish a new authenticated Session for the user. </t>
  </si>
  <si>
    <t>MS-SMB_R8345</t>
  </si>
  <si>
    <t xml:space="preserve">[In User Authentication] if the client chooses not to reuse an existing connection, a new SMB connection MUST be established. </t>
  </si>
  <si>
    <t>MS-SMB_R8346</t>
  </si>
  <si>
    <t xml:space="preserve">[In User Authentication] if the client chooses not to reuse an existing connection, the client MUST attempt to establish a new authenticated Session for the user. </t>
  </si>
  <si>
    <t>MS-SMB_R8347</t>
  </si>
  <si>
    <t>[In User Authentication] The user’s credentials, --typically a username or principal and an associated password or password hash,-- MUST be stored in Client.Session.UserCredentials.</t>
  </si>
  <si>
    <t>MS-SMB_R8348</t>
  </si>
  <si>
    <t>MS-SMB_R4098</t>
  </si>
  <si>
    <t>MS-SMB_R4103</t>
  </si>
  <si>
    <t>[In User Authentication]Extended Security: If Client.Connection.ServerCapabilities has the CAP_EXTENDED_SECURITY flag set (which indicates that the server supports extended security), then the client MUST construct an SMB_COM_SESSION_SETUP_ANDX request, as specified in section 2.2.4.6.1.</t>
  </si>
  <si>
    <t>MS-SMB_R4105</t>
  </si>
  <si>
    <t>MS-SMB_R4106</t>
  </si>
  <si>
    <t xml:space="preserve">[In User Authentication]Extended Security: In either case[pass the GSSNegotiateToken or ignore the GSSNegotiateToken], the client MUST initiate the GSS authentication protocol via the GSS_Init_sec_context() interface, as specified in [RFC2743], passing in the input Client.Connection.GSSNegotiateToken as previously described, along with the credentials from Client.Session.UserCredentials. </t>
  </si>
  <si>
    <t>MS-SMB_R8099</t>
  </si>
  <si>
    <t>MS-SMB_R4108</t>
  </si>
  <si>
    <t xml:space="preserve">[In User Authentication]Extended Security: The client MUST then create an SMB_COM_SESSION_SETUP_ANDX request  (section 2.2.4.6.1) message. </t>
  </si>
  <si>
    <t>MS-SMB_R4109</t>
  </si>
  <si>
    <t>[In User Authentication]Extended Security: The client MUST set CAP_EXTENDED_SECURITY in the Capabilities field.</t>
  </si>
  <si>
    <t>MS-SMB_R4110</t>
  </si>
  <si>
    <t>[In User Authentication]Extended Security: The client MUST set SMB_FLAGS2_EXTENDED_SECURITY in the SMB_Header.Flags2 field.</t>
  </si>
  <si>
    <t>MS-SMB_R4111</t>
  </si>
  <si>
    <t>[In User Authentication]Extended Security: The client MUST set the SMB_Data.Bytes.SecurityBlob field to the GSS output token generated by the GSS_Init_sec_context() interface.</t>
  </si>
  <si>
    <t>MS-SMB_R4112</t>
  </si>
  <si>
    <t>[In User Authentication]Extended Security: The client MUST set the SMB_Parameters.Words.SecurityBlobLength to the length of the GSS output token.</t>
  </si>
  <si>
    <t>MS-SMB_R4113</t>
  </si>
  <si>
    <t>[In User Authentication]Extended Security: The UID field in the SMB header MUST be set to zero.</t>
  </si>
  <si>
    <t>MS-SMB_R4141</t>
  </si>
  <si>
    <t>3.2.4.2.4.1</t>
  </si>
  <si>
    <t>[In Sequence Diagram]For the user to be successfully authenticated and to establish a session, the client MUST follow a security negotiation scheme that can involve one or more roundtrips of SMB_COM_SESSION_SETUP_ANDX request and response.</t>
  </si>
  <si>
    <t>MS-SMB_R4142</t>
  </si>
  <si>
    <t>[In Sequence Diagram]In each roundtrip, the server and client exchange security tokens.</t>
  </si>
  <si>
    <t>MS-SMB_R4143</t>
  </si>
  <si>
    <t>[In Sequence Diagram]The exchange of security tokens MUST continue until either the client or the server determines that authentication has failed or both sides decide that authentication is complete.</t>
  </si>
  <si>
    <t>MS-SMB_R4144</t>
  </si>
  <si>
    <t>[In Sequence Diagram]If authentication fails, then the client drops the connection and indicates the error (see the following diagram for details).</t>
  </si>
  <si>
    <t>MS-SMB_R4145</t>
  </si>
  <si>
    <t>[In Sequence Diagram]If authentication succeeds, then the application protocol can be assured of the identity of the participants as far as the supporting authentication protocol can accomplish.</t>
  </si>
  <si>
    <t>MS-SMB_R4146</t>
  </si>
  <si>
    <t>[In Sequence Diagram]In the sequence diagram that follows[Figure 2: User authentication and session establishment sequence], requests with straight line arrows stand for the requests that the client MUST send.</t>
    <phoneticPr fontId="5" type="noConversion"/>
  </si>
  <si>
    <t>MS-SMB_R4148</t>
  </si>
  <si>
    <t>[In Sequence Diagram]Requests with dotted line arrows stand for the requests the client may send.</t>
  </si>
  <si>
    <t>MS-SMB_R8380</t>
  </si>
  <si>
    <t>[In Sequence Diagram] The server MUST respond to each client request that it receives.</t>
  </si>
  <si>
    <t>MS-SMB_R4150</t>
  </si>
  <si>
    <t>[In Sequence Diagram]The diagram[Figure 2: User authentication and session establishment sequence] illustrates the sequence of events during the protocol negotiation and session establishment process.</t>
  </si>
  <si>
    <t>MS-SMB_R8381</t>
  </si>
  <si>
    <t xml:space="preserve">[In Sequence Diagram] After the initial SMB_COM_NEGOTIATE command exchange has been completed, the SMB_COM_NEGOTIATE exchange MUST NOT be repeated over the same SMB connection. </t>
  </si>
  <si>
    <t>MS-SMB_R8382</t>
  </si>
  <si>
    <t>[In Sequence Diagram] The parameters returned in the SMB_COM_NEGOTIATE response MUST be used when creating new sessions over the same connection.</t>
  </si>
  <si>
    <t>MS-SMB_R8383</t>
  </si>
  <si>
    <t>[In Sequence Diagram] Session Setup Roundtrip:
The SMB_COM_NEGOTIATE Server response is processed as described in [MS-CIFS] section 3.2.5.2.</t>
  </si>
  <si>
    <t>MS-SMB_R8384</t>
  </si>
  <si>
    <t>[In Sequence Diagram] Session Setup Roundtrip: The protocol extensions in this document apply only to the NT LM 0.12 dialect of SMB. For further information on SMB dialects, see [MS-CIFS] section 1.7.</t>
  </si>
  <si>
    <t>MS-SMB_R4151</t>
  </si>
  <si>
    <t xml:space="preserve">[In Sequence Diagram]Session Setup Roundtrip: 
If the NT LM 0.12 dialect is successfully negotiated, then the SMB client examines the Capabilities field in the SMB_COM_NEGOTIATE server response (section 2.2.4.5.2). </t>
  </si>
  <si>
    <t>MS-SMB_R8385</t>
  </si>
  <si>
    <t xml:space="preserve">[In Sequence Diagram]Session Setup Roundtrip: If the CAP_EXTENDED_SECURITY bit is clear (0x00000000), then the SMB server does not support extended security. </t>
  </si>
  <si>
    <t>MS-SMB_R8386</t>
  </si>
  <si>
    <t>[In Sequence Diagram]Session Setup Roundtrip: In order for authentication to proceed, the SMB client MUST build a non-extended SMB_COM_SESSION_SETUP_ANDX request.</t>
  </si>
  <si>
    <t>MS-SMB_R4162</t>
  </si>
  <si>
    <t>[In Sequence Diagram]Session Setup Roundtrip: In order for authentication to proceed, the SMB client MUST set the WordCount field to 0x0d.</t>
  </si>
  <si>
    <t>MS-SMB_R8387</t>
  </si>
  <si>
    <t>[In Sequence Diagram] Session Setup Roundtrip: Authentication then proceeds as described in [MS-CIFS] section 3.2.4.2.4.</t>
  </si>
  <si>
    <t>MS-SMB_R8388</t>
  </si>
  <si>
    <t>[In Sequence Diagram] Session Setup Roundtrip: If the CAP_EXTENDED_SECURITY bit is set (0x80000000), then the SMB server does support extended security.</t>
  </si>
  <si>
    <t>MS-SMB_R8389</t>
  </si>
  <si>
    <t xml:space="preserve">[In Sequence Diagram] Session Setup Roundtrip: The SMB client MUST build an SMB_COM_SESSION_SETUP_ANDX request in the extended form, as specified in section 2.2.4.6.1. </t>
  </si>
  <si>
    <t>MS-SMB_R8390</t>
  </si>
  <si>
    <t xml:space="preserve">[In Sequence Diagram] Session Setup Roundtrip: The request is sent to the SMB server, and the server builds an extended SMB_COM_SESSION_SETUP_ANDX server response (section 2.2.4.6.2.). </t>
  </si>
  <si>
    <t>MS-SMB_R8391</t>
  </si>
  <si>
    <t>[In Sequence Diagram] Session Setup Roundtrip: The security BLOB in the session setup response is built as specified in [RFC2743].</t>
  </si>
  <si>
    <t>MS-SMB_R4178</t>
  </si>
  <si>
    <t>[In Sequence Diagram] Session Setup Roundtrip:Upon receiving the extended SMB_COM_SESSION_SETUP_ANDX server response (section 2.2.4.6.2), the SMB client invokes the local security package to determine whether the session setup request SHOULD be completed, aborted, or continued.</t>
  </si>
  <si>
    <t>MS-SMB_R8392</t>
  </si>
  <si>
    <t>[In Sequence Diagram] Session Setup Roundtrip: A completed session indicates that the server has enough information to establish the session.</t>
  </si>
  <si>
    <t>MS-SMB_R8393</t>
  </si>
  <si>
    <t xml:space="preserve">[In Sequence Diagram] Session Setup Roundtrip: An aborted session indicates that the server cannot proceed with the session setup because of an error in the information presented by the client, or otherwise. </t>
  </si>
  <si>
    <t>MS-SMB_R4179</t>
  </si>
  <si>
    <t>[In Sequence Diagram] Session Setup Roundtrip: If the session setup has to be continued, the security package on the client and/or server requires an additional roundtrip before the session setup can be established.</t>
  </si>
  <si>
    <t>MS-SMB_R4180</t>
  </si>
  <si>
    <t>[In Sequence Diagram] Session Setup Roundtrip:This[If the session setup has to be continued, the security package on the client and/or server needs an additional roundtrip before the session setup can be established.] is especially true of new security packages that support mutual authentication between the client and server.</t>
  </si>
  <si>
    <t>MS-SMB_R4181</t>
  </si>
  <si>
    <t>[In Sequence Diagram] Session Setup Roundtrip: In the case of extended security, the SMB protocol does not make the distinction between NTLM and Kerberos;therefore, the sequence defined previously in this section is the same in both cases.</t>
  </si>
  <si>
    <t>MS-SMB_R4182</t>
  </si>
  <si>
    <t>[In Sequence Diagram] Session Setup Roundtrip:The protocol terminates after one round of session setup request and response is exchanged in the case of NTLM.</t>
  </si>
  <si>
    <t>MS-SMB_R4183</t>
  </si>
  <si>
    <t>[In Sequence Diagram] Session Setup Roundtrip:It can require multiple trips in the case of other security packages before the session setup is established.</t>
  </si>
  <si>
    <t>MS-SMB_R4184</t>
  </si>
  <si>
    <t>MS-SMB_R4185</t>
  </si>
  <si>
    <t>MS-SMB_R4186</t>
  </si>
  <si>
    <t>MS-SMB_R8394</t>
  </si>
  <si>
    <t>3.2.4.2.5</t>
  </si>
  <si>
    <t>MS-SMB_R8395</t>
  </si>
  <si>
    <t>[In Connecting to the Share (Tree Connect),Processing of this event is handled as specified in [MS-CIFS] section 3.2.4.2.5, with the following additions:] If not[If a tree connect is not established to the target share in Client.Connection.TreeConnectTable], then the client creates an SMB_COM_TREE_CONNECT_ANDX request, as specified in section 2.2.4.7.1, to connect to the target share.</t>
  </si>
  <si>
    <t>MS-SMB_R4194</t>
  </si>
  <si>
    <t>MS-SMB_R4195</t>
  </si>
  <si>
    <t>MS-SMB_R4196</t>
  </si>
  <si>
    <t>[In Connecting to the Share (Tree Connect)] Extended Information Response :The client sends this message[SMB_COM_TREE_CONNECT_ANDX request] to the server.</t>
  </si>
  <si>
    <t>MS-SMB_R4203</t>
  </si>
  <si>
    <t>3.2.4.3</t>
  </si>
  <si>
    <t>[In Application Requests Opening a File] The processing of this event is handled as specified in [MS-CIFS] sections 3.2.4.5 and 3.2.4.6, with the following additions: The application can request that additional information be returned for the Open, in particular maximal access information.</t>
  </si>
  <si>
    <t>MS-SMB_R4204</t>
  </si>
  <si>
    <t>MS-SMB_R8396</t>
  </si>
  <si>
    <t>3.2.4.3.1</t>
  </si>
  <si>
    <t xml:space="preserve">[In SMB_COM_NT_CREATE_ANDX Request] To access these extensions, the application can also provide:
RequestExtendedResponse: A BOOLEAN. </t>
  </si>
  <si>
    <t>MS-SMB_R8397</t>
  </si>
  <si>
    <t>[In SMB_COM_NT_CREATE_ANDX Request, to access these extensions, the application can also provide:] RequestExtendedResponse: If TRUE, then it indicates that the application is requesting a server to send an extended response.</t>
  </si>
  <si>
    <t>MS-SMB_R8398</t>
  </si>
  <si>
    <t>[In SMB_COM_NT_CREATE_ANDX Request] If the application is requesting an extended server response, then the client MUST set the NT_CREATE_REQUEST_EXTENDED_RESPONSE flag in the SMB_Parameters.Flags field of the request.</t>
  </si>
  <si>
    <t>MS-SMB_R8399</t>
  </si>
  <si>
    <t>3.2.4.3.2</t>
  </si>
  <si>
    <t xml:space="preserve">[In SMB_COM_OPEN_ANDX Request (deprecated)] To access these extensions, the application can also provide:
RequestExtendedResponse: A BOOLEAN. </t>
  </si>
  <si>
    <t>MS-SMB_R8400</t>
  </si>
  <si>
    <t xml:space="preserve">[In SMB_COM_OPEN_ANDX Request (deprecated), to access these extensions, the application can also provide:] If TRUE, then it indicates that the application is requesting a server to send an extended response. </t>
  </si>
  <si>
    <t>MS-SMB_R8401</t>
  </si>
  <si>
    <t>MS-SMB_R8402</t>
  </si>
  <si>
    <t>3.2.4.4</t>
  </si>
  <si>
    <t xml:space="preserve">[In Application Requests Reading from a File, Named Pipe, or Device] Processing of this event is handled as specified in [MS-CIFS] section 3.2.4.13, with the following additions:
The SMB_COM_READ_ANDX command request has been extended as specified below.
Timeout_or_MaxCountHigh:
The Timeout field specified in [MS-CIFS] section 2.2.4.42.1 has been extended to be the Timeout_or_MaxCountHigh field. </t>
  </si>
  <si>
    <t>MS-SMB_R8403</t>
  </si>
  <si>
    <t>[In Application Requests Reading from a File, Named Pipe, or Device,Processing of this event is handled as specified in [MS-CIFS] section 3.2.4.13, with the following additions:
The SMB_COM_READ_ANDX command request has been extended as specified below.
Timeout_or_MaxCountHigh:] This field is treated as a union of a 32-bit Timeout field and a 16-bit unsigned integer named MaxCountHigh, as specified in section 2.2.4.2.1.</t>
  </si>
  <si>
    <t>MS-SMB_R8404</t>
  </si>
  <si>
    <t xml:space="preserve">[In Application Requests Reading from a File, Named Pipe, or Device,Processing of this event is handled as specified in [MS-CIFS] section 3.2.4.13, with the following additions:The SMB_COM_READ_ANDX command request has been extended as specified below.
Timeout_or_MaxCountHigh:] For pipe reads, the client MUST use Timeout_or_MaxCountHigh as the Timeout field. </t>
  </si>
  <si>
    <t>MS-SMB_R8405</t>
  </si>
  <si>
    <t>MS-SMB_R8406</t>
  </si>
  <si>
    <t>[In Application Requests Reading from a File, Named Pipe, or Device,Processing of this event is handled as specified in [MS-CIFS] section 3.2.4.13, with the following additions:The SMB_COM_READ_ANDX command request has been extended as specified below.
Timeout_or_MaxCountHigh:] The latter value indicates to the server that the operation MUST NOT time out.</t>
  </si>
  <si>
    <t>MS-SMB_R8407</t>
  </si>
  <si>
    <t xml:space="preserve">[In Application Requests Reading from a File, Named Pipe, or Device,Processing of this event is handled as specified in [MS-CIFS] section 3.2.4.13, with the following additions:The SMB_COM_READ_ANDX command request has been extended as specified below.
Timeout_or_MaxCountHigh:] For file reads, the client MUST use this as the MaxCountHigh field. </t>
  </si>
  <si>
    <t>MS-SMB_R4225</t>
  </si>
  <si>
    <t xml:space="preserve">[In Application Requests Reading from a File, Named Pipe, or Device,Processing of this event is handled as specified in [MS-CIFS] section 3.2.4.13, with the following additions:The SMB_COM_READ_ANDX command request has been extended as specified below.
Timeout_or_MaxCountHigh:] If the count of bytes to read is larger than 0xFFFF bytes in length, then the client MUST use the MaxCountHigh field to hold the two most significant bytes of the count, thus allowing for a 32-bit read count. </t>
  </si>
  <si>
    <t>MS-SMB_R4226</t>
  </si>
  <si>
    <t xml:space="preserve">[In Application Requests Reading from a File, Named Pipe, or Device,Processing of this event is handled as specified in [MS-CIFS] section 3.2.4.13, with the following additions:The SMB_COM_READ_ANDX command request has been extended as specified below.
Timeout_or_MaxCountHigh:] If the read count is not larger than 0xFFFF, then the client MUST set MaxCountHigh to zero. </t>
  </si>
  <si>
    <t>MS-SMB_R8408</t>
  </si>
  <si>
    <t>3.2.4.4.1</t>
  </si>
  <si>
    <t xml:space="preserve">[In Large Read Support] If the CAP_LARGE_READX bit is set in Client.Connection.ServerCapabilities, then the client is allowed to issue a read of a size larger than Client.Connection.MaxBufferSize using an SMB_COM_READ_ANDX request. </t>
  </si>
  <si>
    <t>MS-SMB_R8409</t>
  </si>
  <si>
    <t>MS-SMB_R8410</t>
  </si>
  <si>
    <t xml:space="preserve">[In Large Read Support,If the CAP_LARGE_READX bit is set in Client.Connection.ServerCapabilities, then the client is allowed to issue a read of a size larger than Client.Connection.MaxBufferSize using an SMB_COM_READ_ANDX request. ] If a large read is being issued and the object being read is not a file, then the count of bytes to read MUST be placed into the MaxCountOfBytesToReturn field. </t>
  </si>
  <si>
    <t>MS-SMB_R8411</t>
  </si>
  <si>
    <t>[In Large Read Support,If the CAP_LARGE_READX bit is set in Client.Connection.ServerCapabilities, then the client is allowed to issue a read of a size larger than Client.Connection.MaxBufferSize using an SMB_COM_READ_ANDX request. ] This field[MaxCountOfBytesToReturn] is a 16-bit unsigned integer;therefore, the maximum count of bytes that can be read is 0xFFFF bytes (64K - 1 byte).</t>
  </si>
  <si>
    <t>MS-SMB_R8412</t>
  </si>
  <si>
    <t>[In Large Read Support,If the CAP_LARGE_READX bit is set in Client.Connection.ServerCapabilities, then the client is allowed to issue a read of a size larger than Client.Connection.MaxBufferSize using an SMB_COM_READ_ANDX request. ] If a large read is being issued and the object being read is a file, then the two least significant bytes of the count of bytes to read MUST be placed into the MaxCountOfBytesToReturn field .</t>
  </si>
  <si>
    <t>MS-SMB_R8413</t>
  </si>
  <si>
    <t>[In Large Read Support,If the CAP_LARGE_READX bit is set in Client.Connection.ServerCapabilities, then the client is allowed to issue a read of a size larger than Client.Connection.MaxBufferSize using an SMB_COM_READ_ANDX request. ] If a large read is being issued and the object being read is a file, then the two most significant bytes of the count MUST be placed into the MaxCountHigh field.</t>
  </si>
  <si>
    <t>MS-SMB_R8414</t>
  </si>
  <si>
    <t>3.2.4.5</t>
  </si>
  <si>
    <t>[In Application Requests Writing to a File, Named Pipe, or Device] Processing of this event is handled as specified in [MS-CIFS] section 3.2.4.14 with the following additions:
The SMB_COM_WRITE_ANDX command request has been extended as specified in section 3.2.5.8.</t>
  </si>
  <si>
    <t>MS-SMB_R4264</t>
  </si>
  <si>
    <t xml:space="preserve">[In Application Requests Writing to a File, Named Pipe, or Device,Processing of this event is handled as specified in [MS-CIFS] section 3.2.4.14 with the following additions:]Large Write Support: If the CAP_LARGE_WRITEX bit is set in Client.Connection.ServerCapabilities, then the client is allowed to issue a write of a size larger than Client.Connection.MaxBufferSize using an SMB_COM_WRITE_ANDX request. </t>
  </si>
  <si>
    <t>MS-SMB_R4265</t>
  </si>
  <si>
    <t>[In Application Requests Writing to a File, Named Pipe, or Device,Processing of this event is handled as specified in [MS-CIFS] section 3.2.4.14 with the following additions:]Large Write Support: Otherwise[If the CAP_LARGE_WRITEX bit is not set in Client.Connection.ServerCapabilities], it MUST split the write into multiple requests to write the entire amount of data.</t>
  </si>
  <si>
    <t>MS-SMB_R8415</t>
  </si>
  <si>
    <t>3.2.4.6</t>
  </si>
  <si>
    <t>[In Application Requests a Directory Enumeration] Processing of this event is handled as specified in [MS-CIFS] section 3.2.4.27, with the following additions:
The TRANS2_FIND_FIRST2 subcommand request has been extended as specified below.</t>
  </si>
  <si>
    <t>MS-SMB_R4270</t>
  </si>
  <si>
    <t>[In Application Requests a Directory Enumeration]New Information Levels: To request the new Information Levels specified in section 2.2.6.1.1, the client MUST set the InformationLevel field of the TRANS2_FIND_FIRST2 request to the corresponding Information Level.</t>
  </si>
  <si>
    <t>MS-SMB_R4271</t>
  </si>
  <si>
    <t>[In Application Requests a Directory Enumeration]Enumerating Previous Versions:An application is allowed to request an enumeration of available previous versions of a file or directory using a TRANS2_FIND_FIRST2 request (see section 2.2.1.1.1).</t>
  </si>
  <si>
    <t>MS-SMB_R4272</t>
  </si>
  <si>
    <t>[In Application Requests a Directory Enumeration]Enumerating Previous Versions: To do this[An application is allowed to request an enumeration of available previous versions of a file or directory using a TRANS2_FIND_FIRST2 request (see section 2.2.1.1.1)], the request MUST have the @GMT token wildcard, @GMT-*, as part of the search pattern in the FileName field.</t>
  </si>
  <si>
    <t>MS-SMB_R4273</t>
  </si>
  <si>
    <t>[In Application Requests a Directory Enumeration]Enumerating Previous Versions: To do this[An application is allowed to request an enumeration of available previous versions of a file or directory using a TRANS2_FIND_FIRST2 request (see section 2.2.1.1.1)], it[the request] MUST use the SMB_FIND_FILE_BOTH_DIRECTORY_INFO Information Level.</t>
  </si>
  <si>
    <t>MS-SMB_R4274</t>
  </si>
  <si>
    <t>[In Application Requests a Directory Enumeration]Enumerating Previous Versions:This extension is not available for Information Levels other than SMB_FIND_FILE_BOTH_DIRECTORY_INFO.</t>
  </si>
  <si>
    <t>MS-SMB_R4275</t>
  </si>
  <si>
    <t>MS-SMB_R4278</t>
  </si>
  <si>
    <t>[In Application Requests a Directory Enumeration]Because it is a path-based operation, this request follows the same previous version token parsing rules as specified in section 3.2.4.1.1.</t>
  </si>
  <si>
    <t>MS-SMB_R4279</t>
  </si>
  <si>
    <t>[In Application Requests a Directory Enumeration]The message[SMB_COM_TRANSACTION2 request] is sent to the server.</t>
  </si>
  <si>
    <t>MS-SMB_R8417</t>
  </si>
  <si>
    <t>3.2.4.7</t>
  </si>
  <si>
    <t>[In Application Requests Querying File Attributes]Processing of this event is handled as specified in [MS-CIFS] section 3.2.4.11, with the following additions:[Pass-through Information Levels,File Streams].</t>
  </si>
  <si>
    <t>MS-SMB_R8418</t>
  </si>
  <si>
    <t xml:space="preserve">[In Application Requests Querying File Attributes] Pass-through Information Levels: The extension adds support for pass-through Information Levels, as defined in section 2.2.2.3. </t>
  </si>
  <si>
    <t>MS-SMB_R8419</t>
  </si>
  <si>
    <t>MS-SMB_R8420</t>
  </si>
  <si>
    <t xml:space="preserve">[In Application Requests Querying File Attributes] Pass-through Information Levels: If the CAP_INFOLEVEL_PASSTHRU bit in Client.Connection.ServerCapabilities is set, and the application query is for a native Windows NT information file information class (see [MS-FSCC] section 2.4 for possible values), then the client MAY place the resulting value in the InformationLevel field of a TRANS2_QUERY_FILE_INFORMATION or TRANS2_QUERY_PATH_INFORMATION request. </t>
  </si>
  <si>
    <t>MS-SMB_R4289</t>
  </si>
  <si>
    <t>MS-SMB_R8416</t>
  </si>
  <si>
    <t>MS-SMB_R4290</t>
  </si>
  <si>
    <t>[In Application Requests Querying File Attributes]Pass-through Information Levels:If an appropriate SMB Information Level is not available, then the server MUST fail the request with STATUS_NOT_SUPPORTED.</t>
  </si>
  <si>
    <t>MS-SMB_R4293</t>
  </si>
  <si>
    <t>MS-SMB_R2073</t>
  </si>
  <si>
    <t>MS-SMB_R4297</t>
  </si>
  <si>
    <t>MS-SMB_R2076</t>
  </si>
  <si>
    <t>MS-SMB_R4300</t>
  </si>
  <si>
    <t>[In Application Requests Querying File Attributes]Previous Version Tokens:Because the TRANS2_QUERY_PATH_INFORMATION subcommand request is a path-based operation, the path SHOULD be scanned for previous version tokens by the client, as specified in section 3.2.4.1.1.</t>
  </si>
  <si>
    <t>MS-SMB_R8421</t>
  </si>
  <si>
    <t>3.2.4.8</t>
  </si>
  <si>
    <t>[In Application Requests Setting File Attributes] Processing of this event is handled as specified in [MS-CIFS] section 3.2.4.12, with the following additions:[Pass-Through Information Levels,Previous Version Tokens].</t>
  </si>
  <si>
    <t>MS-SMB_R8422</t>
  </si>
  <si>
    <t xml:space="preserve">[In Application Requests Setting File Attributes] Pass-Through Information Levels:The extension adds support for pass-through Information Levels, as defined in section 2.2.2.3. </t>
  </si>
  <si>
    <t>MS-SMB_R8423</t>
  </si>
  <si>
    <t>MS-SMB_R8424</t>
  </si>
  <si>
    <t>[In Application Requests Setting File Attributes] Pass-Through Information Levels:If the CAP_INFOLEVEL_PASSTHRU bit in Client.Connection.ServerCapabilities is set and the application query is for a native Windows NT information file information class (see [MS-FSCC] section 2.4 for possible values), then the client MAY place the resulting value in the InformationLevel field of a TRANS2_SET_FILE_INFORMATION or TRANS2_SET_PATH_INFORMATION request.</t>
  </si>
  <si>
    <t>MS-SMB_R8425</t>
  </si>
  <si>
    <t xml:space="preserve">[In Application Requests Setting File Attributes] Pass-Through Information Levels:The serialized native structure is placed in the Trans2_Data block of the request and the SMB_Parameters.TotalDataCount is set to the length of this buffer. </t>
  </si>
  <si>
    <t>MS-SMB_R8426</t>
  </si>
  <si>
    <t>[In Application Requests Setting File Attributes] Pass-Through Information Levels:Otherwise[If the CAP_INFOLEVEL_PASSTHRU bit in Client.Connection.ServerCapabilities is not set], it[the client] MUST choose an appropriate, existing SMB Information Level.</t>
  </si>
  <si>
    <t>MS-SMB_R8427</t>
  </si>
  <si>
    <t>MS-SMB_R8428</t>
  </si>
  <si>
    <t>[In Application Requests Setting File Attributes] Pass-Through Information Levels:Otherwise[if the application query is not for a native Windows NT information file information class (see [MS-FSCC] section 2.4 for possible values)], it[the client] MUST choose an appropriate, existing SMB Information Level.</t>
  </si>
  <si>
    <t>MS-SMB_R8429</t>
  </si>
  <si>
    <t>MS-SMB_R8430</t>
  </si>
  <si>
    <t xml:space="preserve">[In Application Requests Setting File Attributes] Pass-Through Information Levels: If an appropriate SMB Information Level is not available, then the server MUST fail the request with STATUS_NOT_SUPPORTED. </t>
  </si>
  <si>
    <t>MS-SMB_R4317</t>
  </si>
  <si>
    <t>[In Application Requests Setting File Attributes] Previous Version Tokens: Because the TRANS2_SET_PATH_INFORMATION subcommand request is a path-based operation, the path SHOULD be scanned for previous version tokens by the client, as specified in section 3.2.4.1.1.</t>
  </si>
  <si>
    <t>MS-SMB_R8431</t>
  </si>
  <si>
    <t>3.2.4.9</t>
  </si>
  <si>
    <t xml:space="preserve">[In Application Requests Querying File System Attributes] The processing of this event is handled as specified in [MS-CIFS] section 3.2.4.25, with the following additions:
Support of pass-through Information Levels for the querying file system attributes through the use of the TRANS2_QUERY_FS_INFORMATION subcommand is defined in section 2.2.2.3. </t>
  </si>
  <si>
    <t>MS-SMB_R8432</t>
  </si>
  <si>
    <t>MS-SMB_R8433</t>
  </si>
  <si>
    <t xml:space="preserve">[In Application Requests Querying File System Attributes,The processing of this event is handled as specified in [MS-CIFS] section 3.2.4.25, with the following additions:] If the CAP_INFOLEVEL_PASSTHRU bit in Client.Connection.ServerCapabilities is set and the application query is for a native Windows NT file information class (see [MS-FSCC] section 2.5 for possible values), then the client MAY place the resulting value in the InformationLevel field of a TRANS2_QUERY_FS_INFORMATION request. </t>
  </si>
  <si>
    <t>MS-SMB_R8434</t>
  </si>
  <si>
    <t>[In Application Requests Querying File System Attributes,The processing of this event is handled as specified in [MS-CIFS] section 3.2.4.25, with the following additions:] Otherwise[If the CAP_INFOLEVEL_PASSTHRU bit in Client.Connection.ServerCapabilities is not set ], it MUST choose an appropriate, existing SMB Information Level.</t>
  </si>
  <si>
    <t>MS-SMB_R8435</t>
  </si>
  <si>
    <t>MS-SMB_R8436</t>
  </si>
  <si>
    <t>[In Application Requests Querying File System Attributes,The processing of this event is handled as specified in [MS-CIFS] section 3.2.4.25, with the following additions:] Otherwise[if the application query is not for a native Windows NT file information class (see [MS-FSCC] section 2.5 for possible values)], it MUST choose an appropriate, existing SMB Information Level.</t>
  </si>
  <si>
    <t>MS-SMB_R8437</t>
  </si>
  <si>
    <t>MS-SMB_R8438</t>
  </si>
  <si>
    <t xml:space="preserve">[In Application Requests Querying File System Attributes,The processing of this event is handled as specified in [MS-CIFS] section 3.2.4.25, with the following additions:] If an appropriate SMB Information Level is not available, then the server MUST fail the request with STATUS_NOT_SUPPORTED. </t>
  </si>
  <si>
    <t>MS-SMB_R8157</t>
    <phoneticPr fontId="5" type="noConversion"/>
  </si>
  <si>
    <t>3.2.4.10</t>
  </si>
  <si>
    <t>[In Application Requests Setting File System Attributes]The application MUST provide the following:An Open that identifies a file on the file system that will have its attributes set.</t>
  </si>
  <si>
    <t>MS-SMB_R8158</t>
  </si>
  <si>
    <t>[In Application Requests Setting File System Attributes]The application MUST provide the following: The Information Level that defines the format of the data to set. Valid Information Levels are specified in [MS-FSCC] section 2.5.</t>
  </si>
  <si>
    <t>MS-SMB_R8159</t>
  </si>
  <si>
    <t xml:space="preserve">[In Application Requests Setting File System Attributes]The application MUST provide the following: A buffer that contains the attribute data to be set on the server. </t>
  </si>
  <si>
    <t>MS-SMB_R118160</t>
  </si>
  <si>
    <t>[In Application Requests Setting File System Attributes]The application MUST provide the following: The buffer is formatted as specified in the subsection of [MS-FSCC] section 2.5 that corresponds to the Information Level supplied by application.</t>
  </si>
  <si>
    <t>MS-SMB_R8439</t>
  </si>
  <si>
    <t xml:space="preserve">[In Application Requests Setting File System Attributes] This operation supports the use of pass-through Information Levels only. </t>
  </si>
  <si>
    <t>MS-SMB_R8440</t>
  </si>
  <si>
    <r>
      <t xml:space="preserve">[In Application Requests Setting File System Attributes] If the CAP_INFOLEVEL_PASSTHRU flag in Client.Connection.ServerCapabilities is not set, then the </t>
    </r>
    <r>
      <rPr>
        <sz val="11"/>
        <rFont val="Calibri"/>
        <family val="2"/>
        <scheme val="minor"/>
      </rPr>
      <t>client</t>
    </r>
    <r>
      <rPr>
        <sz val="11"/>
        <color theme="1"/>
        <rFont val="Calibri"/>
        <family val="2"/>
        <scheme val="minor"/>
      </rPr>
      <t xml:space="preserve"> MUST fail the request with STATUS_NOT_SUPPORTED.</t>
    </r>
  </si>
  <si>
    <t>MS-SMB_R8441</t>
  </si>
  <si>
    <t>[In Application Requests Setting File System Attributes] The client MUST construct a TRANS2_SET_FS_INFORMATION subcommand request, as specified in section 2.2.6.4.1.</t>
  </si>
  <si>
    <t>MS-SMB_R8442</t>
  </si>
  <si>
    <t xml:space="preserve">[In Application Requests Setting File System Attributes] The client MUST use Open.TreeConnect and Open.Session to send the request to the server. </t>
  </si>
  <si>
    <t>MS-SMB_R8443</t>
  </si>
  <si>
    <t>[In Application Requests Setting File System Attributes] The request MUST be sent to the server, as specified in section 3.2.4.1.</t>
  </si>
  <si>
    <t>MS-SMB_R8444</t>
  </si>
  <si>
    <t>3.2.4.11</t>
  </si>
  <si>
    <t>MS-SMB_R8445</t>
  </si>
  <si>
    <t>[In Application Requests Sending an I/O Control to a File or Device]  Processing of this event is handled as specified in [MS-CIFS] section 3.2.4.22, with the following additions:Three I/O control codes specific to the extension are described in the following subsections.</t>
  </si>
  <si>
    <t>MS-SMB_R4359</t>
  </si>
  <si>
    <t>3.2.4.11.1</t>
  </si>
  <si>
    <t>MS-SMB_R8167</t>
    <phoneticPr fontId="5" type="noConversion"/>
  </si>
  <si>
    <t>[In Application Requests Enumerating Available Previous Versions]The request is sent to the server.</t>
  </si>
  <si>
    <t>MS-SMB_R4361</t>
  </si>
  <si>
    <t>3.2.4.11.2</t>
  </si>
  <si>
    <t>[In NT_TRANSACT_IOCTL Client Request]An outline of the steps taken for a server-side data copy of an entire file follows.</t>
    <phoneticPr fontId="5" type="noConversion"/>
  </si>
  <si>
    <t>MS-SMB_R4362</t>
  </si>
  <si>
    <t>[In NT_TRANSACT_IOCTL Client Request]Similar steps can be used to copy partial ranges within a file.</t>
  </si>
  <si>
    <t>MS-SMB_R4363</t>
  </si>
  <si>
    <t>[In NT_TRANSACT_IOCTL Client Request]The client issues a query for the copychunk resume key on the source file.</t>
  </si>
  <si>
    <t>MS-SMB_R4364</t>
  </si>
  <si>
    <t>[In NT_TRANSACT_IOCTL Client Request]The client MUST then pass this value into each iteration of the copychunk FSCTL that copies a given range on the server side.</t>
  </si>
  <si>
    <t>MS-SMB_R4365</t>
  </si>
  <si>
    <t>[In NT_TRANSACT_IOCTL Client Request]The client continues to issue these copy requests for subsequent data ranges until the entire file has been copied.</t>
  </si>
  <si>
    <t>MS-SMB_R8446</t>
  </si>
  <si>
    <t>3.2.4.11.2.1</t>
  </si>
  <si>
    <t>[In Issue a Query for the Copychunk Resume Key of the Source File] To request a copychunk resume key for an open file, the client constructs an NT_TRANSACT_IOCTL FSCTL_SRV_REQUEST_ RESUME_KEY request, as specified in section 2.2.7.2.1.</t>
  </si>
  <si>
    <t>MS-SMB_R8447</t>
  </si>
  <si>
    <t xml:space="preserve">[In Issue a Query for the Copychunk Resume Key of the Source File] The Fid of the source file (Client.Open.FID) is placed in the FID field of the client request along with the FSCTL_SRV_REQUEST_RESUME_KEY function code. </t>
  </si>
  <si>
    <t>MS-SMB_R8448</t>
  </si>
  <si>
    <t xml:space="preserve">[In Issue a Query for the Copychunk Resume Key of the Source File] No NT_Trans_Data block is required. </t>
  </si>
  <si>
    <t>MS-SMB_R8449</t>
  </si>
  <si>
    <t>[In Issue a Query for the Copychunk Resume Key of the Source File] The request is sent to the server.</t>
  </si>
  <si>
    <t>MS-SMB_R4371</t>
  </si>
  <si>
    <t>3.2.4.11.2.2</t>
  </si>
  <si>
    <t xml:space="preserve">[In Issue CopyChunk FSCTL Against Target File for Initial/subsequent Data Range]To request a server-side copy of a data range, the client constructs an NT_TRANSACT_IOCTL FSCTL_SRV_COPYCHUNK request, as specified in section 2.2.7.2.1. </t>
  </si>
  <si>
    <t>MS-SMB_R4372</t>
  </si>
  <si>
    <t>[In Issue CopyChunk FSCTL Against Target File for Initial/subsequent Data Range] The copychunk resume key retrieved for the source file and the range of data blocks to be copied are placed in the NT_Trans_Data.Data buffer of the transaction request[SMB_COM_NT_TRANSACTION (section 2.2.14) request].</t>
  </si>
  <si>
    <t>MS-SMB_R8450</t>
  </si>
  <si>
    <t>[In Issue CopyChunk FSCTL Against Target File for Initial/subsequent Data Range] The Fid of the destination file (Client.Open.FID) is placed in the FID field of the request along with the FSCTL_SRV_COPYCHUNK function code.</t>
  </si>
  <si>
    <t>MS-SMB_R4375</t>
  </si>
  <si>
    <t>[In Issue CopyChunk FSCTL Against Target File for Initial/subsequent Data Range] This request [SMB_COM_NT_TRANSACTION request] is sent to the server.</t>
  </si>
  <si>
    <t>MS-SMB_R8451</t>
  </si>
  <si>
    <t>3.2.4.12</t>
  </si>
  <si>
    <t>MS-SMB_R8452</t>
  </si>
  <si>
    <t>3.2.4.13</t>
  </si>
  <si>
    <t>[In Application Requests Querying Quota Information] The application MUST provide:
A valid Open to a file or directory on a share.</t>
  </si>
  <si>
    <t>MS-SMB_R8453</t>
  </si>
  <si>
    <t xml:space="preserve">[In Application Requests Querying Quota Information,The application MUST provide:] The quota information on the object store that underlies the file or directory is the quota information to be queried. </t>
  </si>
  <si>
    <t>MS-SMB_R8454</t>
  </si>
  <si>
    <t xml:space="preserve">[In Application Requests Querying Quota Information,The application MUST provide:] A buffer to receive the quota information and the maximum number of bytes to receive. </t>
  </si>
  <si>
    <t>MS-SMB_R8455</t>
  </si>
  <si>
    <t xml:space="preserve">[In Application Requests Querying Quota Information,The application MUST provide:] RestartScan: A BOOLEAN that indicates whether or not a scan on the volume is to be  restarted. </t>
  </si>
  <si>
    <t>MS-SMB_R8456</t>
  </si>
  <si>
    <t xml:space="preserve">[In Application Requests Querying Quota Information,The application MUST provide:] ReturnSingleEntry: A BOOLEAN.  </t>
  </si>
  <si>
    <t>MS-SMB_R8457</t>
  </si>
  <si>
    <t>[In Application Requests Querying Quota Information,The application MUST provide:] ReturnSingleEntry: If TRUE, then the server MUST return a single user quota information entry.</t>
  </si>
  <si>
    <t>MS-SMB_R8458</t>
  </si>
  <si>
    <t xml:space="preserve">[In Application Requests Querying Quota Information,The application MUST provide:] A security identifier (SID) list, a start SID, or no SID.  </t>
  </si>
  <si>
    <t>MS-SMB_R8459</t>
  </si>
  <si>
    <t>[In Application Requests Querying Quota Information,The application MUST provide:] If the application provides both an SID list and a start SID, then the client MUST fail the request with STATUS_INVALID_PARAMETER.</t>
  </si>
  <si>
    <t>MS-SMB_R8460</t>
  </si>
  <si>
    <t>[In Application Requests Querying Quota Information] The client MUST construct an NT_TRANSACT_QUERY_QUOTA subcommand request, as specified in section 2.2.7.3.1, with the following additional requirements:
NT_Trans_Parameters.FID MUST be set to the Fid of the application-supplied Open.</t>
  </si>
  <si>
    <t>MS-SMB_R8461</t>
  </si>
  <si>
    <t xml:space="preserve">[In Application Requests Querying Quota Information,The client MUST construct an NT_TRANSACT_QUERY_QUOTA subcommand request, as specified in section 2.2.7.3.1, with the following additional requirements:] NT_Trans_Parameters.ReturnSingleEntry MUST be set to the value of the application-supplied ReturnSingleEntry BOOLEAN. </t>
  </si>
  <si>
    <t>MS-SMB_R8462</t>
  </si>
  <si>
    <t xml:space="preserve">[In Application Requests Querying Quota Information,The client MUST construct an NT_TRANSACT_QUERY_QUOTA subcommand request, as specified in section 2.2.7.3.1, with the following additional requirements:] NT_Trans_Parameters.RestartScan MUST be set to the value of the application-supplied RestartScan BOOLEAN. </t>
  </si>
  <si>
    <t>MS-SMB_R8463</t>
  </si>
  <si>
    <t xml:space="preserve">[In Application Requests Querying Quota Information,The client MUST construct an NT_TRANSACT_QUERY_QUOTA subcommand request, as specified in section 2.2.7.3.1, with the following additional requirements:] The NT_Trans_Data.SidList field is set to either the application-supplied SID list or start SID. </t>
  </si>
  <si>
    <t>MS-SMB_R8464</t>
  </si>
  <si>
    <t>[In Application Requests Querying Quota Information,The client MUST construct an NT_TRANSACT_QUERY_QUOTA subcommand request, as specified in section 2.2.7.3.1, with the following additional requirements:] If neither[SID list or start SID] were supplied, then this field[NT_Trans_Data.SidList] is not included.</t>
  </si>
  <si>
    <t>MS-SMB_R8465</t>
  </si>
  <si>
    <t>[In Application Requests Querying Quota Information,The client MUST construct an NT_TRANSACT_QUERY_QUOTA subcommand request, as specified in section 2.2.7.3.1, with the following additional requirements:] The NT_Trans_Parameters fields of SidListLength, StartSidLength, and StartSidOffset MUST be set according to the following rules:
If the application provides a SID list (a list of SIDs that represents users whose quota information is to be queried), then the client MUST set the SidList field of the request to this list .</t>
  </si>
  <si>
    <t>MS-SMB_R8466</t>
  </si>
  <si>
    <t xml:space="preserve">[In Application Requests Querying Quota Information,The client MUST construct an NT_TRANSACT_QUERY_QUOTA subcommand request, as specified in section 2.2.7.3.1, with the following additional requirements:] The NT_Trans_Parameters fields of SidListLength, StartSidLength, and StartSidOffset MUST be set according to the following rules:
If the application provides a SID list (a list of SIDs that represents users whose quota information is to be queried), then the client MUST set SidListLength to the length of the list. </t>
  </si>
  <si>
    <t>MS-SMB_R8467</t>
  </si>
  <si>
    <t>[In Application Requests Querying Quota Information,The client MUST construct an NT_TRANSACT_QUERY_QUOTA subcommand request, as specified in section 2.2.7.3.1, with the following additional requirements:] The NT_Trans_Parameters fields of SidListLength, StartSidLength, and StartSidOffset MUST be set according to the following rules:In this case[the client MUST set the SidList field of the request to this list and set SidListLength to the length of the list], StartSidLength and StartSidOffset MUST be zero.</t>
  </si>
  <si>
    <t>MS-SMB_R8468</t>
  </si>
  <si>
    <t xml:space="preserve">[In Application Requests Querying Quota Information,The client MUST construct an NT_TRANSACT_QUERY_QUOTA subcommand request, as specified in section 2.2.7.3.1, with the following additional requirements:] The NT_Trans_Parameters fields of SidListLength, StartSidLength, and StartSidOffset MUST be set according to the following rules: If the application provides a start SID(a single SID that indicates to the server where to start user quota information enumeration), then the client MUST set StartSidLength to the length of the SID. </t>
  </si>
  <si>
    <t>MS-SMB_R8469</t>
  </si>
  <si>
    <t xml:space="preserve">[In Application Requests Querying Quota Information,The client MUST construct an NT_TRANSACT_QUERY_QUOTA subcommand request, as specified in section 2.2.7.3.1, with the following additional requirements:] The NT_Trans_Parameters fields of SidListLength, StartSidLength, and StartSidOffset MUST be set according to the following rules: If the application provides a start SID(a single SID that indicates to the server where to start user quota information enumeration), then the client MUST set StartSidOffset to the offset in bytes of the NT_Trans_Data.SidList field relative to the start of the SMB header. </t>
  </si>
  <si>
    <t>MS-SMB_R8470</t>
  </si>
  <si>
    <t>[In Application Requests Querying Quota Information,The client MUST construct an NT_TRANSACT_QUERY_QUOTA subcommand request, as specified in section 2.2.7.3.1, with the following additional requirements:] The NT_Trans_Parameters fields of SidListLength, StartSidLength, and StartSidOffset MUST be set according to the following rules: In this case[the client MUST set StartSidLength to the length of the SID and StartSidOffset to the offset in bytes of the NT_Trans_Data.SidList field relative to the start of the SMB header], SidListLength MUST be zero.</t>
  </si>
  <si>
    <t>MS-SMB_R8471</t>
  </si>
  <si>
    <t>[In Application Requests Querying Quota Information,The client MUST construct an NT_TRANSACT_QUERY_QUOTA subcommand request, as specified in section 2.2.7.3.1, with the following additional requirements:] The NT_Trans_Parameters fields of SidListLength, StartSidLength, and StartSidOffset MUST be set according to the following rules: If the application does not provide a SID list, then StartSidLength, StartSidOffset, and SidListLength MUST be zero.</t>
  </si>
  <si>
    <t>MS-SMB_R8472</t>
  </si>
  <si>
    <t>[In Application Requests Querying Quota Information,The client MUST construct an NT_TRANSACT_QUERY_QUOTA subcommand request, as specified in section 2.2.7.3.1, with the following additional requirements:] The NT_Trans_Parameters fields of SidListLength, StartSidLength, and StartSidOffset MUST be set according to the following rules: If the application does not provide a start SID, then StartSidLength, StartSidOffset, and SidListLength MUST be zero.</t>
  </si>
  <si>
    <t>MS-SMB_R4400</t>
  </si>
  <si>
    <t>[In Application Requests Querying Quota Information,The client MUST construct an NT_TRANSACT_QUERY_QUOTA subcommand request, as specified in section 2.2.7.3.1, with the following additional requirements:] The NT_Trans_Parameters fields of SidListLength, StartSidLength, and StartSidOffset MUST be set according to the following rules: If the application provides both a SID list and a start SID,then the client MUST fail the request with STATUS_INVALID_PARAMETER.</t>
  </si>
  <si>
    <t>MS-SMB_R4401</t>
  </si>
  <si>
    <t>[In Application Requests Querying Quota Information]The request [SMB_COM_NT_TRANSACTION request] is sent to the server.</t>
    <phoneticPr fontId="5" type="noConversion"/>
  </si>
  <si>
    <t>MS-SMB_R8473</t>
  </si>
  <si>
    <t>3.2.4.14</t>
  </si>
  <si>
    <t xml:space="preserve">[In Application Requests Setting User Quota Information] The application MUST provide:
A valid Open to a file or directory on a share . </t>
  </si>
  <si>
    <t>MS-SMB_R8474</t>
  </si>
  <si>
    <t>[In Application Requests Setting User Quota Information,The application MUST provide:] The quota information of the object store that underlies the file or directory is the quota information to be modified.</t>
  </si>
  <si>
    <t>MS-SMB_R8475</t>
  </si>
  <si>
    <t>[In Application Requests Setting User Quota Information,The application MUST provide:] A list of the security identifiers (SIDs, representing users) and their associated quota information to be set.</t>
  </si>
  <si>
    <t>MS-SMB_R8476</t>
  </si>
  <si>
    <t xml:space="preserve">[In Application Requests Setting User Quota Information] The client MUST construct an NT_TRANSACT_SET_QUOTA subcommand request, as specified in section 2.2.7.4.1, with the following additional parameters:
NT_Trans_Parameters.FID MUST be set to the Fid of the application-supplied Open. </t>
  </si>
  <si>
    <t>MS-SMB_R8477</t>
  </si>
  <si>
    <t xml:space="preserve">[In Application Requests Setting User Quota Information, The client MUST construct an NT_TRANSACT_SET_QUOTA subcommand request, as specified in section 2.2.7.4.1, with the following additional parameters:] The application-supplied list of SIDs and associated user quota information MUST be set as the contents of the NT_Trans_Data block, as specified in section 2.2.7.4.1. </t>
  </si>
  <si>
    <t>MS-SMB_R8478</t>
  </si>
  <si>
    <t>[In Application Requests Setting User Quota Information] The client sends the request to the server.</t>
  </si>
  <si>
    <t>MS-SMB_R8229</t>
    <phoneticPr fontId="5" type="noConversion"/>
  </si>
  <si>
    <t>3.2.4.15</t>
  </si>
  <si>
    <t xml:space="preserve">[In Application Requests the Session Key for a Connection]An application provides one of the following:An Open to a file or pipe.
</t>
  </si>
  <si>
    <t>MS-SMB_R8230</t>
  </si>
  <si>
    <t xml:space="preserve">[In Application Requests the Session Key for a Connection]OR[an SMB does not open to a file or pipe] an SMB session that identifies an authenticated connection to the server.
</t>
  </si>
  <si>
    <t>MS-SMB_R8231</t>
  </si>
  <si>
    <t>[In Application Requests the Session Key for a Connection]If an Open was supplied by the caller, then Client.Open.Session MUST be used.</t>
  </si>
  <si>
    <t>MS-SMB_R8233</t>
  </si>
  <si>
    <t>[In Application Requests the Session Key for a Connection]If a Session is found, but Client.Session.AuthenticationState is not Valid, then an implementation-specific error MUST be returned to the caller that indicates that the session key is not available.</t>
  </si>
  <si>
    <t>In this requirement Client.Session.AuthenticationState is an ADM variable which cannot be observed on the wire. We cannot determine whether this variable is used in server because it is server internal behavior.</t>
  </si>
  <si>
    <t>MS-SMB_R8479</t>
  </si>
  <si>
    <t>[In Application Requests the Session Key for a Connection] If a session is found and Client.Session.AuthenticationState is Valid, but Client.Session.SessionKeyState is Unavailable, then the request MUST be failed with STATUS_ACCESS_DENIED.</t>
  </si>
  <si>
    <t>MS-SMB_R8480</t>
  </si>
  <si>
    <t>[In Application Requests the Session Key for a Connection] If a session is found, Client.Session.AuthenticationState is Valid, and Client.Session.SessionKeyState is Available, then the 16-byte Client.Session.SessionKey MUST be returned to the calling application.</t>
  </si>
  <si>
    <t>MS-SMB_R8481</t>
  </si>
  <si>
    <t>3.2.5.1</t>
  </si>
  <si>
    <t>[In  Receiving Any Message] In addition to the global processing rules for a client that receives any message, as specified in [MS-CIFS] section 3.2.5.1, the following processing rules[Signing,Session Expiration and Re-authentication] apply to the extensions presented in this document.</t>
  </si>
  <si>
    <t>MS-SMB_R4454</t>
  </si>
  <si>
    <t>[In  Receiving Any Message]Signing: If a message is received and Client.Connection.IsSigningActive is TRUE for the connection, then the signature MUST be verified, as specified in section 3.1.5.1, unless the message is an oplock break, as specified in [MS-CIFS] section 3.2.5.42.</t>
  </si>
  <si>
    <t>MS-SMB_R4455</t>
  </si>
  <si>
    <t>[In  Receiving Any Message]Signing: The client is responsible for providing the expected sequence number for signature verification.</t>
  </si>
  <si>
    <t>MS-SMB_R4456</t>
  </si>
  <si>
    <t>[In  Receiving Any Message]Signing: The sequence number for the incoming response is determined by what was stored in the Client.Connection.ClientResponseSequenceNumber table.</t>
    <phoneticPr fontId="5" type="noConversion"/>
  </si>
  <si>
    <t>MS-SMB_R4457</t>
  </si>
  <si>
    <t>[In  Receiving Any Message]Signing: The client MUST look up the expected sequence number in that table based on the PID and MID of the response.</t>
  </si>
  <si>
    <t>MS-SMB_R4458</t>
  </si>
  <si>
    <t>[In  Receiving Any Message]Signing: The client uses Client.Connection.ClientResponseSequenceNumber[PID,MID] as the sequence number in signature verification, as specified in section 3.1.5.1.</t>
  </si>
  <si>
    <t>MS-SMB_R4459</t>
  </si>
  <si>
    <t>[In  Receiving Any Message]Signing: If signature verification fails, then the message MUST be discarded and not processed.</t>
  </si>
  <si>
    <t>MS-SMB_R4460</t>
  </si>
  <si>
    <t>MS-SMB_R4462</t>
  </si>
  <si>
    <t>[In  Receiving Any Message]Session Expiration and Re-authentication: If the request passed a valid authenticated session identifier in the SMB_Header.UID field and the status code in the SMB header of the response is STATUS_NETWORK_SESSION_EXPIRED, then the client MUST look up the Client.Connection.SessionTable [UID], set Client.Session.AuthenticationState to Expired, and attempt to re-authenticate this session.</t>
  </si>
  <si>
    <t>MS-SMB_R8482</t>
  </si>
  <si>
    <t xml:space="preserve">[In  Receiving Any Message] Session Expiration and Re-authentication: Re-authentication follows the steps as specified in section 3.2.4.2.4, except that the UID sent in the SMB header of the SMB_COM_SESSION_SETUP_ANDX request MUST be set to the UID that represents the expired Session. </t>
  </si>
  <si>
    <t>MS-SMB_R8483</t>
  </si>
  <si>
    <t>[In  Receiving Any Message] Session Expiration and Re-authentication:Also, as described in section 3.2.5.3, the existing Client.Session.SessionKey MUST NOT be modified during re-authentication after a session expiry.</t>
  </si>
  <si>
    <t>MS-SMB_R4465</t>
  </si>
  <si>
    <t>[In  Receiving Any Message]Session Expiration and Re-authentication: If the authentication fails, then the resulting error code MUST be returned for whichever operation failed with STATUS_NETWORK_SESSION_EXPIRED.</t>
  </si>
  <si>
    <t>MS-SMB_R4466</t>
  </si>
  <si>
    <t>[In  Receiving Any Message]Session Expiration and Re-authentication: If the authentication fails, the session associated with this UID[taken from the session state] is removed from the Client.Connection.SessionTable.</t>
  </si>
  <si>
    <t>MS-SMB_R4467</t>
  </si>
  <si>
    <t>[In  Receiving Any Message]Session Expiration and Re-authentication:If authentication succeeds, then the client MUST set Client.Session.AuthenticationState to Valid.</t>
  </si>
  <si>
    <t>MS-SMB_R4468</t>
  </si>
  <si>
    <t>[In  Receiving Any Message]Session Expiration and Re-authentication: If authentication succeeds, the client MUST retry the operation that failed with STATUS_NETWORK_SESSION_EXPIRED.</t>
  </si>
  <si>
    <t>MS-SMB_R4469</t>
  </si>
  <si>
    <t>3.2.5.2</t>
  </si>
  <si>
    <t>[In Receiving an SMB_COM_NEGOTIATE Response]Processing of an SMB_COM_NEGOTIATE response is handled as specified in [MS-CIFS] section 3.2.5.2 with the following additions:[Storing extended security token].</t>
  </si>
  <si>
    <t>MS-SMB_R2172</t>
  </si>
  <si>
    <t>[In Receiving an SMB_COM_NEGOTIATE Response]Storing extended security token: If the capabilities returned in the SMB_COM_NEGOTIATE response include CAP_EXTENDED_SECURITY, then the response MUST take the form defined in section 2.2.4.5.2).</t>
  </si>
  <si>
    <t>MS-SMB_R4481</t>
  </si>
  <si>
    <t>MS-SMB_R4486</t>
  </si>
  <si>
    <t>3.2.5.3</t>
  </si>
  <si>
    <t>[In Receiving an SMB_COM_SESSION_SETUP_ANDX Response]The processing of an SMB_COM_SESSION_SETUP_ANDX response is handled as specified in [MS-CIFS] section 3.2.5.3 with the following additions: [Extended Security Authentication, NTLM Authentication, Activating Signing].</t>
  </si>
  <si>
    <t>MS-SMB_R4487</t>
  </si>
  <si>
    <t>[In Receiving an SMB_COM_SESSION_SETUP_ANDX Response]Extended Security Authentication: If  Client.Connection.ServerCapabilities has the CAP_EXTENDED_SECURITY bit set, then the client MUST reject any SMB_COM_SESSION_SETUP_ANDX responses that do not take the form specified in section 2.2.4.6.2.</t>
  </si>
  <si>
    <t>MS-SMB_R4488</t>
  </si>
  <si>
    <t>[In Receiving an SMB_COM_SESSION_SETUP_ANDX Response]Extended Security Authentication: If the Status field of the SMB header is not STATUS_SUCCESS and is not STATUS_MORE_PROCESSING_REQUIRED, then the authentication has failed, and the error code MUST be propagated back to the application that initiated the connection attempt.</t>
  </si>
  <si>
    <t>MS-SMB_R4489</t>
  </si>
  <si>
    <t xml:space="preserve">[In Receiving an SMB_COM_SESSION_SETUP_ANDX Response]Extended Security Authentication: Otherwis[if If the Status field of the SMB header is STATUS_SUCCESS], if there is no entry in Client.Connection.SessionTable  for the UID in the response, then one MUST be created with the following additional requirements:
Client.Session.SessionUID MUST be set to the UID in the response. </t>
  </si>
  <si>
    <t>MS-SMB_R8484</t>
  </si>
  <si>
    <t xml:space="preserve">[In Receiving an SMB_COM_SESSION_SETUP_ANDX Response]Extended Security Authentication: Otherwis[if If the Status field of the SMB header is STATUS_MORE_PROCESSING_REQUIRED], if there is no entry in Client.Connection.SessionTable  for the UID in the response, then one MUST be created with the following additional requirements:
Client.Session.SessionUID MUST be set to the UID in the response. </t>
  </si>
  <si>
    <t>MS-SMB_R8485</t>
  </si>
  <si>
    <t xml:space="preserve">[In Receiving an SMB_COM_SESSION_SETUP_ANDX Response]Extended Security Authentication: Otherwis[if If the Status field of the SMB header is STATUS_SUCCESS], if there is no entry in Client.Connection.SessionTable  for the UID in the response, then one MUST be created with the following additional requirements: Client.Session.AuthenticationState MUST be set to InProgress. </t>
  </si>
  <si>
    <t>MS-SMB_R8486</t>
  </si>
  <si>
    <t xml:space="preserve">[In Receiving an SMB_COM_SESSION_SETUP_ANDX Response]Extended Security Authentication: Otherwis[if If the Status field of the SMB header is STATUS_MORE_PROCESSING_REQUIRED], if there is no entry in Client.Connection.SessionTable  for the UID in the response, then one MUST be created with the following additional requirements: Client.Session.AuthenticationState MUST be set to InProgress. </t>
  </si>
  <si>
    <t>MS-SMB_R8487</t>
  </si>
  <si>
    <t xml:space="preserve">[In Receiving an SMB_COM_SESSION_SETUP_ANDX Response]Extended Security Authentication: Otherwis[if If the Status field of the SMB header is STATUS_SUCCESS], if there is no entry in Client.Connection.SessionTable  for the UID in the response, then one MUST be created with the following additional requirements: Client.Session.UserCredentials MUST be set to the authentication credentials of the user that initiated the authentication attempt. </t>
  </si>
  <si>
    <t>MS-SMB_R8488</t>
  </si>
  <si>
    <t xml:space="preserve">[In Receiving an SMB_COM_SESSION_SETUP_ANDX Response]Extended Security Authentication: Otherwis[if If the Status field of the SMB header is STATUS_MORE_PROCESSING_REQUIRED], if there is no entry in Client.Connection.SessionTable  for the UID in the response, then one MUST be created with the following additional requirements: Client.Session.UserCredentials MUST be set to the authentication credentials of the user that initiated the authentication attempt. </t>
  </si>
  <si>
    <t>MS-SMB_R8489</t>
  </si>
  <si>
    <t xml:space="preserve">[In Receiving an SMB_COM_SESSION_SETUP_ANDX Response]Extended Security Authentication: Otherwis[if If the Status field of the SMB header is STATUS_SUCCESS], if there is no entry in Client.Connection.SessionTable  for the UID in the response, then one MUST be created with the following additional requirements:Client.Session.SessionKey MUST be set to zero. </t>
  </si>
  <si>
    <t>MS-SMB_R8490</t>
  </si>
  <si>
    <t xml:space="preserve">[In Receiving an SMB_COM_SESSION_SETUP_ANDX Response]Extended Security Authentication: Otherwis[if If the Status field of the SMB header is STATUS_MORE_PROCESSING_REQUIRED], if there is no entry in Client.Connection.SessionTable  for the UID in the response, then one MUST be created with the following additional requirements: Client.Session.SessionKey MUST be set to zero. </t>
  </si>
  <si>
    <t>MS-SMB_R8491</t>
  </si>
  <si>
    <t>[In Receiving an SMB_COM_SESSION_SETUP_ANDX Response]Extended Security Authentication: Otherwis[if If the Status field of the SMB header is STATUS_SUCCESS], if there is no entry in Client.Connection.SessionTable  for the UID in the response, then one MUST be created with the following additional requirements: Client.Session.SessionKeyState MUST be set to Unavailable.</t>
  </si>
  <si>
    <t>MS-SMB_R8492</t>
  </si>
  <si>
    <t>[In Receiving an SMB_COM_SESSION_SETUP_ANDX Response]Extended Security Authentication: Otherwis[if If the Status field of the SMB header is STATUS_MORE_PROCESSING_REQUIRED], if there is no entry in Client.Connection.SessionTable  for the UID in the response, then one MUST be created with the following additional requirements: Client.Session.SessionKeyState MUST be set to Unavailable.</t>
  </si>
  <si>
    <t>MS-SMB_R4493</t>
  </si>
  <si>
    <t>[In Receiving an SMB_COM_SESSION_SETUP_ANDX Response]Extended Security Authentication: The client MUST then process the GSS token (the SecurityBlob field of the response with its length given in the SecurityBlobLength field).</t>
  </si>
  <si>
    <t>MS-SMB_R4494</t>
  </si>
  <si>
    <t>[In Receiving an SMB_COM_SESSION_SETUP_ANDX Response]Extended Security Authentication:If this token is of nonzero length,then the client MUST use the configured GSS authentication protocol to obtain the next GSS token for the authentication exchange.</t>
  </si>
  <si>
    <t>MS-SMB_R4495</t>
  </si>
  <si>
    <t>[In Receiving an SMB_COM_SESSION_SETUP_ANDX Response]Extended Security Authentication: Based on the status code received in the response and the result from the GSS authentication protocol, one of the following actions MUST be taken.</t>
  </si>
  <si>
    <t>MS-SMB_R4496</t>
  </si>
  <si>
    <t>[In Receiving an SMB_COM_SESSION_SETUP_ANDX Response]Extended Security Authentication: Based on the status code received in the response and the result from the GSS authentication protocol,  If the GSS authentication protocol indicates an error, then the error MUST be returned to the calling application that initiated the connection.</t>
  </si>
  <si>
    <t>MS-SMB_R4497</t>
  </si>
  <si>
    <t>[In Receiving an SMB_COM_SESSION_SETUP_ANDX Response]Extended Security Authentication: Based on the status code received in the response and the result from the GSS authentication protocol, if session state was associated with this authentication, then it MUST be removed from the Client.Connection.SessionTable.</t>
  </si>
  <si>
    <t>MS-SMB_R4498</t>
  </si>
  <si>
    <t>[In Receiving an SMB_COM_SESSION_SETUP_ANDX Response]Extended Security Authentication: Based on the status code received in the response and the result from the GSS authentication protocol, If the Status field of the response contains STATUS_SUCCESS and the GSS authentication protocol does not indicate an error, authentication is complete.</t>
  </si>
  <si>
    <t>MS-SMB_R4499</t>
  </si>
  <si>
    <t>[In Receiving an SMB_COM_SESSION_SETUP_ANDX Response]Extended Security Authentication: Based on the status code received in the response and the result from the GSS authentication protocol, If the Status field of the response contains STATUS_SUCCESS and the GSS authentication protocol does not indicate an error, the session state for this Uid in The Client.Session.AuthenticationState MUST be set to Valid.</t>
  </si>
  <si>
    <t>MS-SMB_R4500</t>
  </si>
  <si>
    <t>[In Receiving an SMB_COM_SESSION_SETUP_ANDX Response]Extended Security Authentication: Based on the status code received in the response and the result from the GSS authentication protocol, if the Status field of the response contains STATUS_MORE_PROCESSING_REQUIRED and the GSS authentication protocol did not indicate an error, then the client MUST create an SMB_COM_SESSION_SETUP_ANDX request (section 2.2.4.6.1) with the following parameters:[CAP_EXTENDED_SECURITY in the Capabilities field ,SMB_FLAGS2_EXTENDED_SECURITY in the SMB header Flags2 field, SecurityBlob and SecurityBlobLength fields, SMB_Header.UID  field].</t>
  </si>
  <si>
    <t>MS-SMB_R4501</t>
  </si>
  <si>
    <t>[In Receiving an SMB_COM_SESSION_SETUP_ANDX Response]Extended Security Authentication: Based on the status code received in the response and the result from the GSS authentication protocol, the client MUST set CAP_EXTENDED_SECURITY in the Capabilities field.</t>
  </si>
  <si>
    <t>MS-SMB_R4502</t>
  </si>
  <si>
    <t>[In Receiving an SMB_COM_SESSION_SETUP_ANDX Response]Extended Security Authentication: Based on the status code received in the response and the result from the GSS authentication protocol, the client MUST set SMB_FLAGS2_EXTENDED_SECURITY in the SMB header Flags2 field.</t>
  </si>
  <si>
    <t>MS-SMB_R4503</t>
  </si>
  <si>
    <t>[In Receiving an SMB_COM_SESSION_SETUP_ANDX Response]Extended Security Authentication: Based on the status code received in the response and the result from the GSS authentication protocol, the SecurityBlob and SecurityBlobLength fields MUST contain the output token generated by the GSS protocol executed earlier.</t>
  </si>
  <si>
    <t>MS-SMB_R4504</t>
  </si>
  <si>
    <t>[In Receiving an SMB_COM_SESSION_SETUP_ANDX Response]Extended Security Authentication: Based on the status code received in the response and the result from the GSS authentication protocol, The SMB_Header.UID field MUST be set to the value of the SMB_Header.UID field of the previous SMB_COM_SESSION_SETUP_ANDX response.</t>
  </si>
  <si>
    <t>MS-SMB_R4505</t>
  </si>
  <si>
    <t>[In Receiving an SMB_COM_SESSION_SETUP_ANDX Response]Extended Security Authentication: Based on the status code received in the response and the result from the GSS authentication protocol, this message MUST be sent to the server, and further processing listed in the remainder of this section is not necessary.</t>
  </si>
  <si>
    <t>MS-SMB_R4506</t>
  </si>
  <si>
    <t>MS-SMB_R4507</t>
  </si>
  <si>
    <t>[In Receiving an SMB_COM_SESSION_SETUP_ANDX Response]NTLM Authentication: If the Status field of the response does not contain STATUS_SUCCESS, then the client MUST propagate the error to the application that initiated the authentication.</t>
  </si>
  <si>
    <t>MS-SMB_R2193</t>
  </si>
  <si>
    <t>[In Receiving an SMB_COM_SESSION_SETUP_ANDX Response]NTLM Authentication: The connection MUST remain open for the client to attempt another authentication.</t>
  </si>
  <si>
    <t>MS-SMB_R4509</t>
  </si>
  <si>
    <t>[In Receiving an SMB_COM_SESSION_SETUP_ANDX Response]NTLM Authentication: If the Status field of the response contains STATUS_SUCCESS, then authentication was successful.</t>
  </si>
  <si>
    <t>MS-SMB_R4510</t>
  </si>
  <si>
    <t>[In Receiving an SMB_COM_SESSION_SETUP_ANDX Response]NTLM Authentication: The client associates the returned SMB_Header.UID  of the response with this user for further requests, as specified in [MS-CIFS].</t>
  </si>
  <si>
    <t>MS-SMB_R4511</t>
  </si>
  <si>
    <t>[In Receiving an SMB_COM_SESSION_SETUP_ANDX Response]NTLM Authentication: The Client.Session.AuthenticationState MUST be set to Valid.</t>
  </si>
  <si>
    <t>MS-SMB_R4512</t>
  </si>
  <si>
    <t>[In Receiving an SMB_COM_SESSION_SETUP_ANDX Response]NTLM Authentication: If the Client.Session.SessionKey  is zero, then the client MUST query the authentication package for the 16-byte session key, as specified in [MS-NLMP].</t>
  </si>
  <si>
    <t>MS-SMB_R8493</t>
  </si>
  <si>
    <t>[In Receiving an SMB_COM_SESSION_SETUP_ANDX Response]NTLM Authentication: If the Client.Session.SessionKey  is zero, then the client MUST set Client.Session.SessionKey to the returned value.</t>
  </si>
  <si>
    <t>MS-SMB_R4513</t>
  </si>
  <si>
    <t>[In Receiving an SMB_COM_SESSION_SETUP_ANDX Response]NTLM Authentication: If Client.Session.SessionKey is non-zero, then the client MUST NOT overwrite the existing session key.</t>
  </si>
  <si>
    <t>MS-SMB_R4514</t>
  </si>
  <si>
    <t xml:space="preserve">[In Receiving an SMB_COM_SESSION_SETUP_ANDX Response]Activating Signing: If authentication has completed successfully, then Client.Connection.IsSigningActive is FALSE. </t>
  </si>
  <si>
    <t>MS-SMB_R8494</t>
  </si>
  <si>
    <t xml:space="preserve">[In Receiving an SMB_COM_SESSION_SETUP_ANDX Response]Activating Signing: If authentication has completed successfully, then the targeted behavior for this connection is signed according to the description in section 3.2.4.2.3. </t>
  </si>
  <si>
    <t>MS-SMB_R8495</t>
  </si>
  <si>
    <t>[In Receiving an SMB_COM_SESSION_SETUP_ANDX Response]Activating Signing:The client MUST determine whether signing is required  to be activated.</t>
  </si>
  <si>
    <t>MS-SMB_R8496</t>
  </si>
  <si>
    <t xml:space="preserve">[In Receiving an SMB_COM_SESSION_SETUP_ANDX Response]Activating Signing: To determine whether signing is required to be active, the user security context that completed authentication is verified. </t>
  </si>
  <si>
    <t>MS-SMB_R4516</t>
  </si>
  <si>
    <t>[In Receiving an SMB_COM_SESSION_SETUP_ANDX Response]Activating Signing: If the user that authenticated is a guest,then signing MUST NOT be activated.</t>
  </si>
  <si>
    <t>MS-SMB_R8497</t>
  </si>
  <si>
    <t>[In Receiving an SMB_COM_SESSION_SETUP_ANDX Response]Activating Signing: If the user that authenticated is anonymous,then signing MUST NOT be activated.</t>
  </si>
  <si>
    <t>MS-SMB_R8498</t>
  </si>
  <si>
    <t>[In Receiving an SMB_COM_SESSION_SETUP_ANDX Response] Guest authentication is indicated by bit zero in the Action field of the SMB_COM_SESSION_SETUP_ANDX response being set.</t>
  </si>
  <si>
    <t>MS-SMB_R8499</t>
  </si>
  <si>
    <t>[In Receiving an SMB_COM_SESSION_SETUP_ANDX Response] Anonymous authentication is indicated by the fact that no credentials are provided.</t>
  </si>
  <si>
    <t>MS-SMB_R4517</t>
  </si>
  <si>
    <t>[In Receiving an SMB_COM_SESSION_SETUP_ANDX Response]Activating Signing: If neither of these conditions[the user that authenticated is a guest or is anonymous] are true, then the client MUST activate signing.</t>
  </si>
  <si>
    <t>MS-SMB_R4518</t>
  </si>
  <si>
    <t>[In Receiving an SMB_COM_SESSION_SETUP_ANDX Response]Activating Signing: If neither of these conditions[the user that authenticated is a guest or is anonymous] is true, it[client] MUST query the authentication protocol, either NTLM or via GSS-API for the session key used in this authentication and store it as Client.Connection.SigningSessionKey.</t>
  </si>
  <si>
    <t>MS-SMB_R4519</t>
  </si>
  <si>
    <t>[In Receiving an SMB_COM_SESSION_SETUP_ANDX Response]Activating Signing:If CAP_EXTENDED_SECURITY is set in Client.Connection.ServerCapabilities, then it MUST set Client.Connection.SigningChallengeResponse to NULL.</t>
  </si>
  <si>
    <t>MS-SMB_R4521</t>
  </si>
  <si>
    <t>[In Receiving an SMB_COM_SESSION_SETUP_ANDX Response]Activating Signing:If CAP_EXTENDED_SECURITY is not set, then it[client] MUST set Client.Connection.SigningChallengeResponse to the challenge response sent in the SMB_COM_SESSION_SETUP_ANDX response.</t>
  </si>
  <si>
    <t>MS-SMB_R4522</t>
  </si>
  <si>
    <t>[In Receiving an SMB_COM_SESSION_SETUP_ANDX Response]Activating Signing: Once these steps are completed, the client MUST verify the signature of this response.</t>
  </si>
  <si>
    <t>MS-SMB_R4523</t>
  </si>
  <si>
    <t>[In Receiving an SMB_COM_SESSION_SETUP_ANDX Response]Activating Signing:The client follows the steps specified in section 3.1.5.1, by passing in a sequence number of one because this is the first signed packet.</t>
  </si>
  <si>
    <t>MS-SMB_R8500</t>
  </si>
  <si>
    <t>3.2.5.4</t>
  </si>
  <si>
    <t>[In Receiving an SMB_COM_TREE_CONNECT_ANDX Response] The processing of an SMB_COM_TREE_CONNECT_ANDX request is handled as specified in [MS-CIFS] section 3.3.5.44 with the following additions:[Requesting Extended Information,Session Key Protection]</t>
  </si>
  <si>
    <t>MS-SMB_R4527</t>
  </si>
  <si>
    <t>[In Receiving an SMB_COM_TREE_CONNECT_ANDX Response]Requesting Extended Information: the client MUST determine whether the server returned an extended response, as specified in section 2.2.7.</t>
  </si>
  <si>
    <t>MS-SMB_R4528</t>
  </si>
  <si>
    <t>[In Receiving an SMB_COM_TREE_CONNECT_ANDX Response]Requesting Extended Information: The client does this[determine whether or not the server returned an extended response] by determining whether the WordCount is equal to 0x07.</t>
  </si>
  <si>
    <t>MS-SMB_R4529</t>
  </si>
  <si>
    <t>[In Receiving an SMB_COM_TREE_CONNECT_ANDX Response]Requesting Extended Information: If it is[the WordCount is equal to 0x07], then the client MUST make the new extended information available to the calling application by using the SMB_Header.TID value to set Client.Connection.TreeConnectTable[TID].MaximalShareAccessRights and Client.Connection.TreeConnectTable[TID].MaximalShareAccessRights to the values that are in the response fields of SMB_Parameters.Words.MaximalShareAccessRights and SMB_Parameters.Words.GuestMaximalShareAccessRights, respectively.</t>
  </si>
  <si>
    <t>MS-SMB_R4530</t>
  </si>
  <si>
    <t>[In Receiving an SMB_COM_TREE_CONNECT_ANDX Response]Session Key Protection: If the response status is STATUS_SUCCESS and the SMB_EXTENDED_SIGNATURE bit is set in the OptionalSupport field of the SMB_COM_TREE_CONNECT_ANDX response, then the client MUST hash the session key of the calling user.</t>
  </si>
  <si>
    <t>MS-SMB_R4531</t>
  </si>
  <si>
    <t>[In Receiving an SMB_COM_TREE_CONNECT_ANDX Response]Session Key Protection: This[hash the session key of the calling user] protects the key that is used for signing by making it unavailable to the calling applications.</t>
  </si>
  <si>
    <t>MS-SMB_R4532</t>
  </si>
  <si>
    <t>[In Receiving an SMB_COM_TREE_CONNECT_ANDX Response]Session Key Protection: The one-way hash MUST be performed on the user session key that uses the HMAC-MD5 algorithm, as specified in [RFC2104].</t>
  </si>
  <si>
    <t>MS-SMB_R4533</t>
  </si>
  <si>
    <t>[In Receiving an SMB_COM_TREE_CONNECT_ANDX Response]Session Key Protection: The steps[of one-way hash] are as follows:
Take the 16-byte user session key, Calculate the one-way hash as follows.</t>
  </si>
  <si>
    <t>MS-SMB_R4534</t>
  </si>
  <si>
    <t>[In Receiving an SMB_COM_TREE_CONNECT_ANDX Response]Session Key Protection: [In the step of take the 16-byte user session key] If this is an LM authentication where the session key is only 8 bytes, then zero extend it to 16 bytes.</t>
  </si>
  <si>
    <t>MS-SMB_R4535</t>
  </si>
  <si>
    <t>[In Receiving an SMB_COM_TREE_CONNECT_ANDX Response]Session Key Protection: [In the step of take the 16-byte user session key] If the session key is more than 16 bytes, then use only use the first 16 bytes.</t>
  </si>
  <si>
    <t>MS-SMB_R4537</t>
  </si>
  <si>
    <t>MS-SMB_R8501</t>
  </si>
  <si>
    <t>[In Receiving an SMB_COM_TREE_CONNECT_ANDX Response] Session Key Protection: SSKeyHash is the well-known constant array that is described in section 2.2.2.5.</t>
  </si>
  <si>
    <t>MS-SMB_R4538</t>
  </si>
  <si>
    <t>[In Receiving an SMB_COM_TREE_CONNECT_ANDX Response]After the session key has been hashed, the client MUST place the hash into Client.Session.SessionKey and set Client.Session.SessionKeyState to Available, which allows applications to query the session key.</t>
  </si>
  <si>
    <t>MS-SMB_R8502</t>
  </si>
  <si>
    <t>If the TREE_CONNECT_ANDX_EXTENDED_SIGNATURE bit is not set, then the Client.Session.SessionKey is not changed and Client.Session.SessionKeyState MUST be set to Available.</t>
  </si>
  <si>
    <t>MS-SMB_R4539</t>
  </si>
  <si>
    <t>3.2.5.5</t>
  </si>
  <si>
    <t>[In Receiving an SMB_COM_NT_CREATE_ANDX Response]The processing of an SMB_COM_NT_CREATE_ANDX response is handled as specified in [MS-CIFS] section 3.2.5.36 with the following additions: The client MUST determine whether the server returned an extended response, as specified in section 2.2.4.9.2.</t>
  </si>
  <si>
    <t>MS-SMB_R4540</t>
  </si>
  <si>
    <t>MS-SMB_R4541</t>
  </si>
  <si>
    <t>[In Receiving an SMB_COM_NT_CREATE_ANDX Response,The processing of an SMB_COM_NT_CREATE_ANDX response is handled as specified in [MS-CIFS] section 3.2.5.36 with the following additions:]If the response is not an extended response, the client MUST process the response as specified in [MS-CIFS] section 3.3.5.50.</t>
  </si>
  <si>
    <t>MS-SMB_R4542</t>
  </si>
  <si>
    <t>[In Receiving an SMB_COM_NT_CREATE_ANDX Response,The processing of an SMB_COM_NT_CREATE_ANDX response is handled as specified in [MS-CIFS] section 3.2.5.36 with the following additions:]If the response is an extended response, then the extended information that is specified in section 2.2.4.9.2 MUST also be propagated back to the calling application.</t>
  </si>
  <si>
    <t>MS-SMB_R4543</t>
  </si>
  <si>
    <t>3.2.5.6</t>
  </si>
  <si>
    <t>[In Receiving an SMB_COM_OPEN_ANDX Response,The processing of an SMB_COM_OPEN_ANDX response is handled as specified in [MS-CIFS] section 3.2.5.25 with the following additions:]The client MUST determine whether or not the server returned an extended response, as specified in section 2.2.4.1.2.</t>
  </si>
  <si>
    <t>MS-SMB_R4544</t>
  </si>
  <si>
    <t>[In Receiving an SMB_COM_OPEN_ANDX Response,The processing of an SMB_COM_OPEN_ANDX response is handled as specified in [MS-CIFS] section 3.2.5.25 with the following additions:]It does this[determine whether or not the server returned an extended response] by checking whether the WordCount is equal to 0x13.</t>
  </si>
  <si>
    <t>MS-SMB_R4545</t>
  </si>
  <si>
    <t>[In Receiving an SMB_COM_OPEN_ANDX Response,The processing of an SMB_COM_OPEN_ANDX response is handled as specified in [MS-CIFS] section 3.2.5.25 with the following additions:]If the response is not an extended response, then the client MUST process the response, as specified in [MS-CIFS] section 3.3.5.34.</t>
  </si>
  <si>
    <t>MS-SMB_R4546</t>
  </si>
  <si>
    <t>[In Receiving an SMB_COM_OPEN_ANDX Response,The processing of an SMB_COM_OPEN_ANDX response is handled as specified in [MS-CIFS] section 3.2.5.25 with the following additions:]If the response is an extended response, then the new information specified in section 2.2.4.1.2 MUST be propagated back to the calling application.</t>
  </si>
  <si>
    <t>MS-SMB_R4552</t>
  </si>
  <si>
    <t>3.2.5.7</t>
  </si>
  <si>
    <t xml:space="preserve">[In Receiving an SMB_COM_READ_ANDX Response]The processing of an SMB_COM_READ_ANDX response is handled as specified in [MS-CIFS] section 3.2.5.26 with the following additions: The first two bytes of the SMB_Parameters.Words.Reserved2[] field, specified in [MS-CIFS] section 2.2.4.42.2, are interpreted as the 16-bit DataLengthHigh field specified in section 2.2.4.2.2). </t>
  </si>
  <si>
    <t>MS-SMB_R8503</t>
  </si>
  <si>
    <t>[In Receiving an SMB_COM_READ_ANDX Response]The remaining 8 bytes of Reserved2[] remain unused.</t>
  </si>
  <si>
    <t>MS-SMB_R8504</t>
  </si>
  <si>
    <t>[In Receiving an SMB_COM_READ_ANDX Response]The remaining 8 bytes of Reserved2[] MUST be ignored by the server.</t>
  </si>
  <si>
    <t>"ignore" is server internal behavior.</t>
  </si>
  <si>
    <t>MS-SMB_R8505</t>
  </si>
  <si>
    <t>[In Receiving an SMB_COM_READ_ANDX Response]The processing of an SMB_COM_READ_ANDX response is handled as specified in [MS-CIFS] section 3.2.5.26 with the following additions: The server returns the same no matter what Reserved2[] is.</t>
  </si>
  <si>
    <t>MS-SMB_R8506</t>
  </si>
  <si>
    <t>[In Receiving an SMB_COM_READ_ANDX Response]The processing of an SMB_COM_READ_ANDX response is handled as specified in [MS-CIFS] section 3.2.5.26 with the following additions: The DataLengthHigh field MUST contain the two most-significant bytes of a 32-bit length count of bytes read from the server.</t>
  </si>
  <si>
    <t>MS-SMB_R8507</t>
  </si>
  <si>
    <t>3.2.5.8</t>
  </si>
  <si>
    <t xml:space="preserve">[In Receiving an SMB_COM_WRITE_ANDX Response] The processing of an SMB_COM_WRITE_ANDX response is handled as specified in [MS-CIFS] section 3.2.5.27 with the following additions:
The 16-bit SMB_Parameters.Words.Reserved field, specified in [MS-CIFS] section 2.2.4.43.2, is now interpreted as a 16-bit CountHigh field followed by an 8-bit Reserved field. </t>
  </si>
  <si>
    <t>MS-SMB_R8508</t>
  </si>
  <si>
    <t>[In Receiving an SMB_COM_WRITE_ANDX Response] The processing of an SMB_COM_WRITE_ANDX response is handled as specified in [MS-CIFS] section 3.2.5.27 with the following additions:The CountHigh field MUST contain the two most-significant bytes of a 32-bit count of bytes written by the server.</t>
  </si>
  <si>
    <t>MS-SMB_R8509</t>
  </si>
  <si>
    <t>3.2.5.9</t>
  </si>
  <si>
    <t>[In Receiving any SMB_COM_NT_TRANSACT Response] The processing of any SMB_COM_NT_TRANSACT response is handled as specified in [MS-CIFS] section   3.2.5.40.</t>
  </si>
  <si>
    <t>MS-SMB_R8510</t>
  </si>
  <si>
    <t>3.2.5.9.1</t>
  </si>
  <si>
    <t>[In Receiving an NT_TRANSACT_IOCTL Response] The processing of an NT_TRANSACT_IOCTL response is handled as specified in [MS-CIFS] section 3.2.5.40.2 with the following additions.</t>
  </si>
  <si>
    <t>MS-SMB_R4606</t>
  </si>
  <si>
    <t>3.2.5.9.1.1</t>
  </si>
  <si>
    <t>[In Receiving an FSCTL_SRV_REQUEST_RESUME_KEY Function Code] If the response indicates that an error occurred, then the client MUST propagate the error to the application that initiated the call.</t>
  </si>
  <si>
    <t>MS-SMB_R4607</t>
  </si>
  <si>
    <t xml:space="preserve">[In Receiving an FSCTL_SRV_REQUEST_RESUME_KEY Function Code] If the response indicates that the operation is successful, then the client MUST return the copychunk resume key that is received in the Data block of the response to the application that initiated the call. </t>
  </si>
  <si>
    <t>MS-SMB_R4608</t>
  </si>
  <si>
    <t>[In Receiving an FSCTL_SRV_REQUEST_RESUME_KEY Function Code] If this is a server-side data copy operation, then  the execution MUST continue as specified in section 3.3.5.10.1.2.</t>
  </si>
  <si>
    <t>MS-SMB_R4609</t>
  </si>
  <si>
    <t>3.2.5.9.1.2</t>
  </si>
  <si>
    <t>[In Receiving an FSCTL_SRV_COPYCHUNK Function Code]The success or failure code MUST be returned to the calling application.</t>
  </si>
  <si>
    <t>MS-SMB_R4610</t>
  </si>
  <si>
    <t>[In Receiving an FSCTL_SRV_COPYCHUNK Function Code]The FSCTL_SRV_COPYCHUNK response (section 2.2.7.2.2) MUST also be returned to the calling application in both success and failure situations.</t>
  </si>
  <si>
    <t>MS-SMB_R4611</t>
  </si>
  <si>
    <t>[In Receiving an FSCTL_SRV_COPYCHUNK Function Code]If this is a server-side data copy operation, then the execution MUST continue as specified in section 3.3.5.10.1.3.</t>
  </si>
  <si>
    <t>MS-SMB_R4612</t>
  </si>
  <si>
    <t xml:space="preserve">3.2.5.9.2 </t>
  </si>
  <si>
    <t>[In Receiving a TRANS2_ GET_ DFS_REFERRAL Response]If the response indicates an error occurred, then the client MUST propagate the error to the application that initiated the call.</t>
  </si>
  <si>
    <t>MS-SMB_R4613</t>
  </si>
  <si>
    <t>[In Receiving a TRANS2_ GET_ DFS_REFERRAL Response]If the response indicates the operation is successful, then the client MUST return the information received in the Data block of the response to the application that initiated the call.</t>
  </si>
  <si>
    <t>MS-SMB_R4616</t>
  </si>
  <si>
    <t xml:space="preserve">3.2.5.9.3  </t>
  </si>
  <si>
    <t>[In Receiving an NT_TRANSACT_SET_QUOTA Response]The client MUST propagate the success or failure code in the response to the application that initiated the call.</t>
  </si>
  <si>
    <t>MS-SMB_R4632</t>
  </si>
  <si>
    <t>3.2.6</t>
  </si>
  <si>
    <t>[In Timer Events]There are no new client timers other than those specified in [MS-CIFS] section 3.2.6.</t>
  </si>
  <si>
    <t>MS-SMB_R4633</t>
  </si>
  <si>
    <t>3.2.7</t>
  </si>
  <si>
    <t>[In Timer Events]There are no new client local events other than those specified in [MS-CIFS] section 3.2.7.</t>
  </si>
  <si>
    <t>MS-SMB_R8511</t>
  </si>
  <si>
    <t>3.3.1</t>
  </si>
  <si>
    <t>[In Abstract Data Model] This section specifies a conceptual model of possible data organization that an implementation maintains in order to participate in this protocol.</t>
  </si>
  <si>
    <t>MS-SMB_R8512</t>
  </si>
  <si>
    <t>MS-SMB_R8513</t>
  </si>
  <si>
    <t>MS-SMB_R8514</t>
  </si>
  <si>
    <t>[In Abstract Data Model] The following elements extend the client abstract data model specified in [MS-CIFS] section 3.3.1.</t>
  </si>
  <si>
    <t>MS-SMB_R8515</t>
  </si>
  <si>
    <t>3.3.1.1</t>
  </si>
  <si>
    <t>[In Global] Server.MessageSigningPolicy:  This ADM element is extended from the specification in [MS-CIFS] section 3.3.1.1 to include a new possible value:
Declined -- Message signing is disabled unless the other party requires it.</t>
  </si>
  <si>
    <t>MS-SMB_R8516</t>
  </si>
  <si>
    <t>[In Global] Server.MessageSigningPolicy:  Declined -- If the other party requires message signing, then it MUST be used. Otherwise, message signing MUST NOT be used.</t>
  </si>
  <si>
    <t>MS-SMB_R8517</t>
  </si>
  <si>
    <t>[In Global] Server.SupportsExtendedSecurity: A flag that indicates whether or not this node supports Generic Security Services (GSS), as specified in [RFC2743], for selecting the authentication protocol.</t>
  </si>
  <si>
    <t>MS-SMB_R8518</t>
  </si>
  <si>
    <t>[In Global] Server.IsDfsCapable: A Boolean that, if set, indicates that the server supports the Distributed File System.</t>
  </si>
  <si>
    <t>MS-SMB_R4677</t>
  </si>
  <si>
    <t>3.3.1.2</t>
  </si>
  <si>
    <t>[In Per Share] SecurityDescriptor: The security descriptor that describes which users can access resources on that share and their corresponding access levels.</t>
  </si>
  <si>
    <t>MS-SMB_R80012</t>
  </si>
  <si>
    <t xml:space="preserve">[In Per SMB Share] Server.Share.SecurityDescriptor is of type SECURITY_DESCRIPTOR, as specified in [MS-DTYP] section 2.4.6. </t>
  </si>
  <si>
    <t>The ADM variables cannot be observed on the wire.</t>
  </si>
  <si>
    <t>MS-SMB_R8519</t>
  </si>
  <si>
    <t>[In Per SMB Share] If this[Server.Share.SecurityDescriptor] value is NULL, then no access limits are enforced.</t>
  </si>
  <si>
    <t>MS-SMB_R8520</t>
  </si>
  <si>
    <t xml:space="preserve">[In Per SMB Share] Server.Share.SecurityDescriptor :This structure is shared with [MS-SRVS] in the ShareList as specified in [MS-SRVS] section 3.1.1.1. </t>
  </si>
  <si>
    <t>MS-SMB_R8521</t>
  </si>
  <si>
    <t>[In Per SMB Share] Server.Share.SecurityDescriptor :The following table specifies how local ADM elements map into the shared Share object:[MS-SMB] Share "Server.Share.SecurityDescriptor" maps into [MS-SRVS] Share "shi502_security_descriptor".</t>
  </si>
  <si>
    <t>MS-SMB_R8522</t>
  </si>
  <si>
    <t>[In Per SMB Share] Server.Share.IsDfs: A Boolean that, if set, indicates that this share is configured for DFS. For more information, see [MSDFS].</t>
  </si>
  <si>
    <t>MS-SMB_R8523</t>
  </si>
  <si>
    <t>3.3.1.3</t>
  </si>
  <si>
    <t>[In Per SMB Connection] Server.Connection.GSSNegotiateToken: A byte array that contains the token received during an extended security negotiation and that is remembered for authentication.</t>
  </si>
  <si>
    <t>MS-SMB_R8524</t>
  </si>
  <si>
    <t>3.3.1.4</t>
  </si>
  <si>
    <t>[In Per Pending SMB Command] There is no new state introduced per pending SMB command.</t>
  </si>
  <si>
    <t>MS-SMB_R8525</t>
  </si>
  <si>
    <t>3.3.1.5</t>
  </si>
  <si>
    <t>[In Per SMB Session] Server.Session.AuthenticationState: A session can be in one of three states:[InProgress,Valid,Expired].</t>
  </si>
  <si>
    <t>MS-SMB_R8526</t>
  </si>
  <si>
    <t xml:space="preserve">[In Per SMB Session] Server.Session.AuthenticationState: InProgress -- A session setup (an extended SMB_COM_SESSION_SETUP_ANDX exchange, as described in section 3.2.4.2.4.1) is in progress for this session. </t>
  </si>
  <si>
    <t>MS-SMB_R8527</t>
  </si>
  <si>
    <t xml:space="preserve">[In Per SMB Session] Server.Session.AuthenticationState: Valid -- The session is valid and a session key and UID are available for this session. </t>
  </si>
  <si>
    <t>MS-SMB_R8528</t>
  </si>
  <si>
    <t>[In Per SMB Session] Server.Session.AuthenticationState: Expired -- The Kerberos ticket for this session has expired and the session needs to be re-established.</t>
  </si>
  <si>
    <t>MS-SMB_R8529</t>
  </si>
  <si>
    <t xml:space="preserve">[In Per SMB Session] Server.Session.SessionKeyState: The session key state. </t>
  </si>
  <si>
    <t>MS-SMB_R8530</t>
  </si>
  <si>
    <t>[In Per SMB Session] Server.Session.SessionKeyState: This can be either Unavailable or Available.</t>
  </si>
  <si>
    <t>MS-SMB_R8531</t>
  </si>
  <si>
    <t>3.3.1.6</t>
  </si>
  <si>
    <t>[In Per Tree Connect] There is no new state introduced per tree connect.</t>
  </si>
  <si>
    <t>MS-SMB_R8532</t>
  </si>
  <si>
    <t>3.3.1.7</t>
  </si>
  <si>
    <t>[In Per Unique Open] Server.Open.GrantedAccess: The access level granted on this Open.</t>
  </si>
  <si>
    <t>MS-SMB_R4686</t>
  </si>
  <si>
    <t>3.3.2.1</t>
  </si>
  <si>
    <t>[In Authentication Expiration Timer]The Authentication Expiration Timer, a re-authentication timer, is used to mark an authentication as expired when its authentication-specific expiration time is reached.</t>
  </si>
  <si>
    <t>MS-SMB_R4687</t>
  </si>
  <si>
    <t>[In Authentication Expiration Timer]NTLM authentication has no expiration time, so authentications done with NTLM do not expire.</t>
  </si>
  <si>
    <t>MS-SMB_R4688</t>
  </si>
  <si>
    <t>MS-SMB_R8533</t>
  </si>
  <si>
    <t>3.3.3</t>
  </si>
  <si>
    <t>ADM variables cannot be observed on the wire. So we cannot observe the initialization of the ADM variables.</t>
  </si>
  <si>
    <t>MS-SMB_R8534</t>
  </si>
  <si>
    <t>[In Initialization, The following values MUST be initialized at system startup:] The value of this[Server.MessageSigningPolicy and Server.SupportsExtendedSecurity ] is not constrained by the values of any other policies.</t>
  </si>
  <si>
    <t>The initialization of ADM cannot be observed on the wire.</t>
  </si>
  <si>
    <t>MS-SMB_R8535</t>
  </si>
  <si>
    <t>[In Initialization] When an SMB connection is established, the following values MUST be initialized[Server.Connection.GSSNegotiateToken ,Server.Session.AuthenticationState ,Server.Session.SessionKeyState ,Server.IsDFSCapable ,Server.Share.IsDfs ].</t>
  </si>
  <si>
    <t>MS-SMB_R8536</t>
  </si>
  <si>
    <t>[In Initialization] Server.Session.AuthenticationState MUST be set to InProgress.</t>
  </si>
  <si>
    <t>MS-SMB_R8537</t>
  </si>
  <si>
    <t>[In Initialization] Server.Session.SessionKeyState MUST be set to Unavailable.</t>
  </si>
  <si>
    <t>MS-SMB_R8538</t>
  </si>
  <si>
    <t>[In Initialization] Server.IsDFSCapable MUST be set to FALSE.</t>
  </si>
  <si>
    <t>MS-SMB_R8539</t>
  </si>
  <si>
    <t>[In Initialization] Server.Share.IsDfs MUST be set to FALSE.</t>
  </si>
  <si>
    <t>MS-SMB_R8540</t>
  </si>
  <si>
    <t>[In Initialization] All other values[values except Server.Connection.GSSNegotiateToken ,Server.Session.AuthenticationState ,Server.Session.SessionKeyState ,Server.IsDFSCapable ,Server.Share.IsDfs] are initialized as specified in [MS-CIFS] section 3.3.3.</t>
  </si>
  <si>
    <t>MS-SMB_R8541</t>
  </si>
  <si>
    <t>3.3.4.1</t>
  </si>
  <si>
    <t xml:space="preserve">[In Sending Any Message] This interface is used internally by the server to send a message to the client. </t>
  </si>
  <si>
    <t>MS-SMB_R8542</t>
  </si>
  <si>
    <t>[In Sending Any Message] It is not exposed to external callers.</t>
  </si>
  <si>
    <t>MS-SMB_R8543</t>
  </si>
  <si>
    <t>[In Sending Any Message] No new global details are presented to a server that sends any message beyond what is specified in [MS-CIFS] section 3.3.4.1.</t>
  </si>
  <si>
    <t>MS-SMB_R8544</t>
  </si>
  <si>
    <t>3.3.4.1.1</t>
  </si>
  <si>
    <t>Server internal behaivor,cannot be observed on the wire.</t>
  </si>
  <si>
    <t>MS-SMB_R8545</t>
  </si>
  <si>
    <t>3.3.4.2</t>
  </si>
  <si>
    <t xml:space="preserve">[In Server Application Queries a User Session Key] The application MUST provide:
The security context of the user whose session is being sought. </t>
  </si>
  <si>
    <t>MS-SMB_R8546</t>
  </si>
  <si>
    <t>[In Server Application Queries a User Session Key] The application MUST provide:
Either a valid ClientName or a valid Open.</t>
  </si>
  <si>
    <t>MS-SMB_R8547</t>
  </si>
  <si>
    <t>[In Server Application Queries a User Session Key] The server MUST locate an appropriate SMB connection that uses either the application-supplied ServerName to look in the Server.ConnectionTable[ClientName] or the application-supplied Open.Connection.</t>
  </si>
  <si>
    <t>MS-SMB_R8548</t>
  </si>
  <si>
    <t>[In Server Application Queries a User Session Key] If a valid Connection is found, then the server MUST scan for an SMB session in the Server.Connection.SessionTable that matches the security context of the user.</t>
  </si>
  <si>
    <t>MS-SMB_R8549</t>
  </si>
  <si>
    <t xml:space="preserve">[In Server Application Queries a User Session Key] If no entry is found, then the application request MUST be failed with STATUS_INVALID_PARAMETER. </t>
  </si>
  <si>
    <t>MS-SMB_R8550</t>
  </si>
  <si>
    <t xml:space="preserve">[In Server Application Queries a User Session Key] If a Session is found but Server.Session.SessionKeyState is Unavailable, then the request MUST be failed with STATUS_ACCESS_DENIED. </t>
  </si>
  <si>
    <t>MS-SMB_R8551</t>
  </si>
  <si>
    <t>[In Server Application Queries a User Session Key] If Server.Session.SessionKeyState is Available, then the 16-byte Server.Session.SessionKey MUST be returned to the calling application.</t>
  </si>
  <si>
    <t>MS-SMB_R2292</t>
  </si>
  <si>
    <t>3.3.4.3</t>
  </si>
  <si>
    <r>
      <t xml:space="preserve">[In DFS Server Notifies </t>
    </r>
    <r>
      <rPr>
        <sz val="11"/>
        <rFont val="Calibri"/>
        <family val="3"/>
        <charset val="134"/>
        <scheme val="minor"/>
      </rPr>
      <t xml:space="preserve">SMB Server That DFS Is Active]In response to this event, the SMB server MUST set the global state variable Server.IsDfsCapable to TRUE. </t>
    </r>
  </si>
  <si>
    <t>MS-SMB_R2293</t>
  </si>
  <si>
    <r>
      <t xml:space="preserve">[In DFS Server Notifies </t>
    </r>
    <r>
      <rPr>
        <sz val="11"/>
        <rFont val="Calibri"/>
        <family val="3"/>
        <charset val="134"/>
        <scheme val="minor"/>
      </rPr>
      <t>SMB Server That DFS Is Active] If the DFS server is running on this computer, it MUST notify the SMB server that the DFS capability is available via this event.</t>
    </r>
  </si>
  <si>
    <t>We don’t test DFS server now.</t>
  </si>
  <si>
    <t>MS-SMB_R2294</t>
  </si>
  <si>
    <t>3.3.4.4</t>
  </si>
  <si>
    <r>
      <t xml:space="preserve">[In DFS Server Notifies </t>
    </r>
    <r>
      <rPr>
        <sz val="11"/>
        <rFont val="Calibri"/>
        <family val="3"/>
        <charset val="134"/>
        <scheme val="minor"/>
      </rPr>
      <t xml:space="preserve">SMB Server That a Share Is a DFS Share]In response to this event, the SMB server MUST set the Server.Share.IsDfs to TRUE. </t>
    </r>
  </si>
  <si>
    <t>This can be covered when the DFS service and DFS share are available.</t>
  </si>
  <si>
    <t>MS-SMB_R2295</t>
  </si>
  <si>
    <r>
      <t xml:space="preserve">[In DFS Server Notifies </t>
    </r>
    <r>
      <rPr>
        <sz val="11"/>
        <rFont val="Calibri"/>
        <family val="3"/>
        <charset val="134"/>
        <scheme val="minor"/>
      </rPr>
      <t>SMB Server That a Share Is a DFS Share] When a DFS server running on this computer claims a share as a DFS share, it MUST notify the SMB server via this event.</t>
    </r>
  </si>
  <si>
    <t>This can be covered when the DFS service and DFS share are available.  We don’t test DFS server now.</t>
  </si>
  <si>
    <t>MS-SMB_R2296</t>
  </si>
  <si>
    <t>3.3.4.5</t>
  </si>
  <si>
    <r>
      <t xml:space="preserve">[In DFS Server Notifies </t>
    </r>
    <r>
      <rPr>
        <sz val="11"/>
        <rFont val="Calibri"/>
        <family val="3"/>
        <charset val="134"/>
        <scheme val="minor"/>
      </rPr>
      <t>SMB Server That a Share Is Not a DFS Share]In response to this event, the SMB server MUST clear the  Server.ShareIsDfs attribute of the share specified in section 3.3.1.2.</t>
    </r>
  </si>
  <si>
    <t>MS-SMB_R8552</t>
  </si>
  <si>
    <t>3.3.5.1</t>
  </si>
  <si>
    <t>[In Receiving Any Message] The following global details are presented to a server that receives any message in addition to what is specified in [MS-CIFS] section 3.3.5.1[Signing,Session Validation and Re-authentication].</t>
  </si>
  <si>
    <t>MS-SMB_R4721</t>
  </si>
  <si>
    <t>[In Receiving Any Message]Signing: If a message is received and Server.Connection.IsSigningActive is TRUE ,then the signature MUST be verified, as specified in section 3.1.5.1.</t>
  </si>
  <si>
    <t>MS-SMB_R4722</t>
  </si>
  <si>
    <t>[In Receiving Any Message]Signing: The server is responsible for providing the expected sequence number for signature validation.</t>
  </si>
  <si>
    <t>MS-SMB_R4723</t>
  </si>
  <si>
    <t>[In Receiving Any Message]Signing: The sequence number for the next incoming request is stored in Server.Connection.ServerNextReceiveSequenceNumber.</t>
  </si>
  <si>
    <t>Server internal behavior</t>
  </si>
  <si>
    <t>MS-SMB_R2298</t>
  </si>
  <si>
    <t>[In Receiving Any Message]Signing:The server MUST remember the appropriate sequence number for the response to this request and does so by inserting it into the Server.Connection.ServerSendSequenceNumber table with the PID and MID that identifies the request/response pair. (PID and MID are specified in [MS-CIFS] section 2.2.1.6.)</t>
  </si>
  <si>
    <t>MS-SMB_R2299</t>
  </si>
  <si>
    <t>MS-SMB_R4727</t>
  </si>
  <si>
    <t>[In Receiving Any Message] Signing: If the signature on the current message is correct, then the server MUST take the following steps.
IF request command EQUALS SMB_COM_NT_CANCEL THEN
    INCREMENT ServerNextReceiveSequenceNumber
ELSE IF request has no response THEN
    INCREMENT ServerNextReceiveSequenceNumber BY 2
ELSE
    SET ServerSendSequenceNumber[PID,MID] TO
        ServerNextReceiveSequenceNumber + 1
    INCREMENT ServerNextReceiveSequenceNumber BY 2
END IF</t>
  </si>
  <si>
    <t>MS-SMB_R4729</t>
  </si>
  <si>
    <t>[In Receiving Any Message] Session Validation and Re-authentication: If the SMB_Header.UID of the request is zero, then the server does not need to check for the expiry because a session is not being used for this request.</t>
  </si>
  <si>
    <t>MS-SMB_R4730</t>
  </si>
  <si>
    <t>[In Receiving Any Message] Session Validation and Re-authentication: If the SMB_Header.UID of the request is not zero, then the server MUST check the state of the session.</t>
  </si>
  <si>
    <t>MS-SMB_R4731</t>
  </si>
  <si>
    <t>[In Receiving Any Message and Re-authentication]Session Validation and Re-authentication:  If Connection.SessionTable[UID].AuthenticationState is equal to Expired, and if a session renewal is indicated and is successful (SMB_COM_SESSION_SETUP_ANDX), then the server MUST allow all operations as though the session had never expired.For details on how the client handles a session expiration, see section 3.2.5.1.</t>
  </si>
  <si>
    <t>MS-SMB_R4732</t>
  </si>
  <si>
    <t>[In Receiving Any Message]Session Validation and Re-authentication: [If Connection.SessionTable[UID].AuthenticationState is equal to Expired] Otherwise[if a session renewal is indicated], the server MUST fail this operation with STATUS_NETWORK_SESSION_EXPIRED.</t>
  </si>
  <si>
    <t>MS-SMB_R8553</t>
  </si>
  <si>
    <t>[In Receiving Any Message]Session Validation and Re-authentication: [If Connection.SessionTable[UID].AuthenticationState is equal to Expired] Otherwise[if a session renewal is successful], the server MUST fail this operation with STATUS_NETWORK_SESSION_EXPIRED.</t>
  </si>
  <si>
    <t>MS-SMB_R4733</t>
  </si>
  <si>
    <t>[In Receiving Any Message]Session Validation and Re-authentication:If Server.Connection.SessionTable[UID].AuthenticationState is InProgress, then the server MUST fail this operation with STATUS_ACCESS_DENIED, unless it is a SMB_COM_SESSION_SETUP_ANDX for session establishment.</t>
  </si>
  <si>
    <t>MS-SMB_R8554</t>
  </si>
  <si>
    <t>3.3.5.1.1</t>
  </si>
  <si>
    <t>[In Scanning a Path for a Previous Version Token] If a request is a path-based operation (for example, SMB_COM_NT_CREATE_ANDX) and has SMB_FLAGS2_REPARSE_PATH set in the Flag2 field of the SMB header, then the server MUST perform a parse of the path by checking for previous version tokens (section 2.2.1.1.1).</t>
  </si>
  <si>
    <t>MS-SMB_R8555</t>
  </si>
  <si>
    <t>MS-SMB_R8556</t>
  </si>
  <si>
    <t>MS-SMB_R8557</t>
  </si>
  <si>
    <t>[In Scanning a Path for a Previous Version Token] If the file or directory does exist, then processing continues as normal, except that the execution is against the previous version selected.</t>
  </si>
  <si>
    <t>MS-SMB_R4734</t>
  </si>
  <si>
    <t>3.3.5.2</t>
  </si>
  <si>
    <t>[In Receiving an SMB_COM_NEGOTIATE Request]The processing of an SMB_COM_NEGOTIATE request is handled as specified in [MS-CIFS] section 3.3.5.41, with the following additions:[New Capabilities,Generating Extended Security Token].</t>
  </si>
  <si>
    <t>MS-SMB_R8558</t>
  </si>
  <si>
    <t>[In Receiving an SMB_COM_NEGOTIATE Request]New Capabilities: The new capabilities flags specified in section 2.2.4.5.1 MUST also be considered when setting the SMB_Parameters.Words.Capabilities field of the response based on the Server.Capabilities attribute.</t>
  </si>
  <si>
    <t>MS-SMB_R2554</t>
  </si>
  <si>
    <t xml:space="preserve">[In Receiving an SMB_COM_NEGOTIATE Request] Generating Extended Security Token: If the client indicated support for extended security by setting SMB_FLAGS2_EXTENDED_SECURITY in the Flags2 field of the SMB header of the SMB_COM_NEGOTIATE request, then the server SHOULD set CAP_EXTENDED_SECURITY in the SMB_COM_NEGOTIATE response if it supports extended security.  </t>
  </si>
  <si>
    <t>MS-SMB_R2308</t>
  </si>
  <si>
    <t>[In Receiving an SMB_COM_NEGOTIATE Request] Generating Extended Security Token: If the client indicated support for extended security by setting SMB_FLAGS2_EXTENDED_SECURITY in the Flags2 field of the SMB header of the SMB_COM_NEGOTIATE request, then the server  sets CAP_EXTENDED_SECURITY in the SMB_COM_NEGOTIATE response in windows if it supports extended security.</t>
  </si>
  <si>
    <t>MS-SMB_R2309</t>
  </si>
  <si>
    <r>
      <rPr>
        <sz val="11"/>
        <rFont val="Calibri"/>
        <family val="3"/>
        <charset val="134"/>
        <scheme val="minor"/>
      </rPr>
      <t xml:space="preserve">[In Receiving an SMB_COM_NEGOTIATE Request] Generating Extended Security Token: The response[SMB_COM_NEGOTIATE response] MUST take the form specified in section  2.2.4.1.2.  </t>
    </r>
  </si>
  <si>
    <t>MS-SMB_R2310</t>
  </si>
  <si>
    <t>[In Receiving an SMB_COM_NEGOTIATE Request] Generating Extended Security Token: The server SHOULD set the SecurityBlob of the SMB_COM_NEGOTIATE response to the first GSS token (or fragment thereof) produced by the GSS authentication protocol it is configured to use (GSS tokens are as specified in [RFC2743]).</t>
  </si>
  <si>
    <t>MS-SMB_R4745</t>
  </si>
  <si>
    <t>[In Receiving an SMB_COM_NEGOTIATE Request] Generating Extended Security Token: Otherwise[if the first GSS token (or fragment thereof) produced by the GSS authentication protocol is not configured to used by server], it[server] leaves it empty.</t>
  </si>
  <si>
    <t>MS-SMB_R8559</t>
  </si>
  <si>
    <t>[In Receiving an SMB_COM_NEGOTIATE Request] Generating Extended Security Token: . This token is also stored in Server.Connection.GSSNegotiateToken.</t>
  </si>
  <si>
    <t>MS-SMB_R4746</t>
  </si>
  <si>
    <t>[In Receiving an SMB_COM_NEGOTIATE Request] Generating Extended Security Token: The server MUST initialize its GSS mechanism with the Integrity, Confidentiality, and Delegate options and use the Server-Initiated variation, as specified in [RFC4178].</t>
  </si>
  <si>
    <t>MS-SMB_R4747</t>
  </si>
  <si>
    <t>MS-SMB_R4755</t>
  </si>
  <si>
    <t>3.3.5.3</t>
  </si>
  <si>
    <t>[In Receiving an SMB_COM_SESSION_SETUP_ANDX Request] The processing of an SMB_COM_SESSION_SETUP_ANDX request is handled as specified in [MS-CIFS] section 3.3.5.42 with the following additions: [Storing Client Capabilities, Determine Reauth or Continuation of Previous Auth, Extended Security, Activating Signing, Acquire Session Key, Authentication Expiry].</t>
  </si>
  <si>
    <t>MS-SMB_R4756</t>
  </si>
  <si>
    <t>[In Receiving an SMB_COM_SESSION_SETUP_ANDX Request]Storing Client Capabilities: If Server.Connection.ClientCapabilities is equal to zero, then the server MUST set Server.Connection.ClientCapabilities to the Capabilities field that is received in the SMB_COM_SESSION_SETUP_ANDX request.</t>
  </si>
  <si>
    <t>MS-SMB_R4757</t>
  </si>
  <si>
    <t>[In Receiving an SMB_COM_SESSION_SETUP_ANDX Request]Storing Client Capabilities: If Server.Connection.ClientCapabilities has already been determined and is nonzero, then the server MUST ignore the capabilities value on subsequent requests.</t>
  </si>
  <si>
    <t>MS-SMB_R30111</t>
  </si>
  <si>
    <t>[In Receiving an SMB_COM_SESSION_SETUP_ANDX Request]Storing Client Capabilities: If Server.Connection.ClientCapabilities has already been determined and is nonzero, then no matter what the capabilities value on subsequent requests is, the server will reply the same.</t>
  </si>
  <si>
    <t>MS-SMB_R4759</t>
  </si>
  <si>
    <t>[In Receiving an SMB_COM_SESSION_SETUP_ANDX Request]Determine Reauth or Continuation of Previous Auth: If the SMB_Header.UID is not zero, then the server MUST look up the authentication state for this session and take the following actions based on this state.</t>
  </si>
  <si>
    <t>MS-SMB_R4761</t>
  </si>
  <si>
    <t xml:space="preserve">[In Receiving an SMB_COM_SESSION_SETUP_ANDX Request]Determine Reauth or Continuation of Previous Auth: If Server.Connection.SessionTable[UID].AuthenticationState  is InProgress, then this is a continuation of an authentication in progress. </t>
  </si>
  <si>
    <t>MS-SMB_R30112</t>
  </si>
  <si>
    <t>[In Receiving an SMB_COM_SESSION_SETUP_ANDX Request]Determine Reauth or Continuation of Previous Auth: This state indicates that the authentication required multiple roundtrips, and that authentication continues.</t>
  </si>
  <si>
    <t>MS-SMB_R30113</t>
  </si>
  <si>
    <t xml:space="preserve">[In Receiving an SMB_COM_SESSION_SETUP_ANDX Request]Determine Reauth or Continuation of Previous Auth: If Server.Connection.SessionTable[UID].AuthenticationState  is Complete or Expired, then this is the re-authentication of a user. </t>
  </si>
  <si>
    <t>MS-SMB_R2318</t>
  </si>
  <si>
    <t>[In Receiving an SMB_COM_SESSION_SETUP_ANDX Request]Determine Reauth or Continuation of Previous Auth: The server MUST set AuthenticationState to InProgress.</t>
  </si>
  <si>
    <t>MS-SMB_R30114</t>
  </si>
  <si>
    <t xml:space="preserve">[In Receiving an SMB_COM_SESSION_SETUP_ANDX Request]Determine Reauth or Continuation of Previous Auth: The server MUST begin a new authentication for this session. </t>
  </si>
  <si>
    <t>MS-SMB_R4765</t>
  </si>
  <si>
    <t>[In Receiving an SMB_COM_SESSION_SETUP_ANDX Request]Determine Reauth or Continuation of Previous Auth: The server MUST prevent any further operations from executing on this session until authentication is complete, and fail them with STATUS_NETWORK_SESSION_EXPIRED.</t>
  </si>
  <si>
    <t>MS-SMB_R80172</t>
  </si>
  <si>
    <t>[In Receiving an SMB_COM_SESSION_SETUP_ANDX Request]Determine Reauth or Continuation of Previous Auth: If there is no session for the provided UID, then the request MUST be failed with STATUS_SMB_BAD_UID.</t>
  </si>
  <si>
    <t>MS-SMB_R4767</t>
  </si>
  <si>
    <t>[In Receiving an SMB_COM_SESSION_SETUP_ANDX Request]Extended Security: If CAP_EXTENDED_SECURITY is set in Server.Connection.ClientCapabilities, then the server MUST handle the authentication as defined in this section.</t>
  </si>
  <si>
    <t>MS-SMB_R2322</t>
  </si>
  <si>
    <t>MS-SMB_R2323</t>
  </si>
  <si>
    <t>[In Receiving an SMB_COM_SESSION_SETUP_ANDX Request]Extended Security: Otherwise[if CAP_EXTENDED_SECURITY is not set in ClientCapabilities], it[server]  continues to the following NTLM authentication section in Windows.</t>
  </si>
  <si>
    <t>MS-SMB_R4770</t>
  </si>
  <si>
    <t>MS-SMB_R4771</t>
  </si>
  <si>
    <t>[In Receiving an SMB_COM_SESSION_SETUP_ANDX Request]Extended Security: The server MUST use the configured GSS authentication protocol to obtain the next GSS output token for the authentication protocol exchange.</t>
  </si>
  <si>
    <t>MS-SMB_R4772</t>
  </si>
  <si>
    <t>[In Receiving an SMB_COM_SESSION_SETUP_ANDX Request]Extended Security: Note that this token[next Gss output token] can be 0 bytes in length.</t>
  </si>
  <si>
    <t>MS-SMB_R2326</t>
  </si>
  <si>
    <t>[In Receiving an SMB_COM_SESSION_SETUP_ANDX Request]Extended Security: If the GSS mechanism indicates an error that is not STATUS_MORE_PROCESSING_REQUIRED, then the server MUST fail the client request, and return only an SMB header and propagate the failure code.</t>
  </si>
  <si>
    <t>MS-SMB_R4774</t>
  </si>
  <si>
    <t>[In Receiving an SMB_COM_SESSION_SETUP_ANDX Request]Extended Security: If the GSS mechanism indicates an error that is not STATUS_MORE_PROCESSING_REQUIRED,  If a UID was present in this request, then its associated session MUST be removed from the Server.Connection.SessionTable.</t>
  </si>
  <si>
    <t>MS-SMB_R4776</t>
  </si>
  <si>
    <t>[In Receiving an SMB_COM_SESSION_SETUP_ANDX Request]Extended Security: If the GSS mechanism indicates an error that is not STATUS_MORE_PROCESSING_REQUIRED, the authentication has failed and no further processing is done on this request.</t>
  </si>
  <si>
    <t>MS-SMB_R4777</t>
  </si>
  <si>
    <t>[In Receiving an SMB_COM_SESSION_SETUP_ANDX Request]Extended Security: If the GSS mechanism indicates an error that is not STATUS_MORE_PROCESSING_REQUIRED, this error response is sent to the client.</t>
  </si>
  <si>
    <t>MS-SMB_R2329</t>
  </si>
  <si>
    <r>
      <rPr>
        <sz val="11"/>
        <rFont val="Calibri"/>
        <family val="3"/>
        <charset val="134"/>
        <scheme val="minor"/>
      </rPr>
      <t>[In Receiving an SMB_COM_SESSION_SETUP_ANDX Request]Extended Security: If the GSS mechanism indicates success, then  the server MUST create an SMB_COM_SESSION_SETUP_ANDX response (section 2.2.4.6.2).</t>
    </r>
  </si>
  <si>
    <t>MS-SMB_R4779</t>
  </si>
  <si>
    <t>[In Receiving an SMB_COM_SESSION_SETUP_ANDX Request]Extended Security: If the GSS mechanism indicates successful completion or continuation, as specified in [RFC4178], the SecurityBlob MUST be set to the output token from the GSS mechanism.</t>
  </si>
  <si>
    <t>server internal behavior. We don’t know whether the GSS mechanism is successful</t>
  </si>
  <si>
    <t>MS-SMB_R4780</t>
  </si>
  <si>
    <t>[In Receiving an SMB_COM_SESSION_SETUP_ANDX Request]Extended Security: If the GSS mechanism indicates successful completion or continuation, as specified in [RFC4178], SecurityBlobLength is set to the length of the output token.</t>
  </si>
  <si>
    <t>MS-SMB_R4781</t>
  </si>
  <si>
    <t>[In Receiving an SMB_COM_SESSION_SETUP_ANDX Request]Extended Security: If the GSS mechanism indicatessuccessful completion or continuation, as specified in [RFC4178] SMB_FLAGS2_EXTENDED_SECURITY is set in the Flags2 field of the SMB header of the response.</t>
  </si>
  <si>
    <t>MS-SMB_R30115</t>
  </si>
  <si>
    <t>[In Receiving an SMB_COM_SESSION_SETUP_ANDX Request]Extended Security: If the request did not specify a UID in the SMB header of the request, then a UID MUST be generated to represent this user's authentication.</t>
  </si>
  <si>
    <t>MS-SMB_R30116</t>
  </si>
  <si>
    <t>[In Receiving an SMB_COM_SESSION_SETUP_ANDX Request]Extended Security: If the request did not specify a UID in the SMB header of the request, then its [UID's] value MUST be placed in the UID field of the SMB header of the response.</t>
  </si>
  <si>
    <t>MS-SMB_R4784</t>
  </si>
  <si>
    <t>[In Receiving an SMB_COM_SESSION_SETUP_ANDX Request]Extended Security: If the GSS mechanism indicates that the current output token is the last output token of the authentication exchange based on the return code, as specified in [RFC2743]: Then the Status field in the SMB header of the response MUST be set to STATUS_SUCCESS.</t>
  </si>
  <si>
    <t>MS-SMB_R4785</t>
  </si>
  <si>
    <t>[In Receiving an SMB_COM_SESSION_SETUP_ANDX Request]Extended Security: If the GSS mechanism indicates that the current output token is the last output token of the authentication exchange based on the return code, as specified in [RFC2743]:Server.Connection.SessionTable[UID].AuthenticationState[Uid] MUST be set to Completed.</t>
  </si>
  <si>
    <t>MS-SMB_R2333</t>
  </si>
  <si>
    <t>[In Receiving an SMB_COM_SESSION_SETUP_ANDX Request]Extended Security: Otherwise[If the GSS mechanism does not indicate that the current output token is the last output token of the authentication exchange based on the return code], the Status field in the SMB header of the response MUST be set to STATUS_MORE_PROCESSING_REQUIRED.</t>
  </si>
  <si>
    <t>MS-SMB_R80077</t>
  </si>
  <si>
    <t>[In Receiving an SMB_COM_SESSION_SETUP_ANDX Request]Extended Security: Otherwise[If the GSS mechanism does not indicate that the current output token is the last output token of the authentication exchange based on the return code], Server.Connection.SessionTable[UID].AuthenticationState MUST be set to InProgress.</t>
  </si>
  <si>
    <t>MS-SMB_R30117</t>
  </si>
  <si>
    <t>[In Receiving an SMB_COM_SESSION_SETUP_ANDX Request]Extended Security: Otherwise[If the GSS mechanism does not indicate that the current output token is the last output token of the authentication exchange based on the return code],The processing for this request continues in the Signing Initialization subsection later in this section.</t>
  </si>
  <si>
    <t>MS-SMB_R4804</t>
  </si>
  <si>
    <t>[In Receiving an SMB_COM_SESSION_SETUP_ANDX Request]Activating Signing : If Server.Connection.IsSigningActive is FALSE, and the response of the SMB_COM_SESSION_SETUP_ANDX operation contains STATUS_SUCCESS, then the server MUST determine whether or not signing can be activated.</t>
  </si>
  <si>
    <t>MS-SMB_R4805</t>
  </si>
  <si>
    <t>[In Receiving an SMB_COM_SESSION_SETUP_ANDX Request]Signing Initialization: If IsSigningActive is FALSE, and the response of the SMB_COM_SESSION_SETUP_ANDX operation contains STATUS_SUCCESS and if bit zero of the Action field of the SMB_COM_SESSION_SETUP_ANDX response is set, then signing MUST NOT be activated.</t>
  </si>
  <si>
    <t>MS-SMB_R4806</t>
  </si>
  <si>
    <t>[In Receiving an SMB_COM_SESSION_SETUP_ANDX Request]Signing Initialization: If IsSigningActive is FALSE, and the response of the SMB_COM_SESSION_SETUP_ANDX operation contains STATUS_SUCCESS and if the value of this field[Action] is one, then the user attempted to log in as a user other than Guest, but could not be authenticated for that account.</t>
  </si>
  <si>
    <t>MS-SMB_R4807</t>
  </si>
  <si>
    <t>[In Receiving an SMB_COM_SESSION_SETUP_ANDX Request]Signing Initialization: If IsSigningActive is FALSE, and the response of the SMB_COM_SESSION_SETUP_ANDX operation contains STATUS_SUCCESS and if the value of this field[Action] is 1, using a fallback mechanism on the server, the user is now logged in as Guest.</t>
  </si>
  <si>
    <t>MS-SMB_R2341</t>
  </si>
  <si>
    <t>[In Receiving an SMB_COM_SESSION_SETUP_ANDX Request]Signing Initialization: Otherwise[if opposite to the condition:  IsSigningActive is FALSE, and the response of the SMB_COM_SESSION_SETUP_ANDX operation contains STATUS_SUCCESS], Server.Connection.IsSigningActive MUST be set to TRUE.</t>
  </si>
  <si>
    <t>MS-SMB_R4810</t>
  </si>
  <si>
    <t>[In Receiving an SMB_COM_SESSION_SETUP_ANDX Request]Signing Initialization: Otherwise[if opposite to the condition:  IsSigningActive is FALSE, and the response of the SMB_COM_SESSION_SETUP_ANDX operation contains STATUS_SUCCESS], the server MUST query the authentication protocol, either using NTLM or via GSS API, for the session key used in this authentication, and store it as Server.Connection.SigningSessionKey.</t>
  </si>
  <si>
    <t>MS-SMB_R4811</t>
  </si>
  <si>
    <t>[In Receiving an SMB_COM_SESSION_SETUP_ANDX Request]Signing Initialization: Otherwise[if opposite to the condition:  IsSigningActive is FALSE, and the response of the SMB_COM_SESSION_SETUP_ANDX operation contains STATUS_SUCCESS], if CAP_EXTENDED_SECURITY is set in Server.Connection.ClientCapabilities, then it[server] MUST set  Server.Connection.SigningChallengeResponse to NULL.</t>
  </si>
  <si>
    <t>MS-SMB_R4812</t>
  </si>
  <si>
    <t>[In Receiving an SMB_COM_SESSION_SETUP_ANDX Request]Signing Initialization: Otherwise[if opposite to the condition:  IsSigningActive is FALSE, and the response of the SMB_COM_SESSION_SETUP_ANDX operation contains STATUS_SUCCESS], if that capability is not set, then it [the server] MUST set Server.Connection.SigningChallengeResponse to TRUE.</t>
  </si>
  <si>
    <t>MS-SMB_R4814</t>
  </si>
  <si>
    <t>[In Receiving an SMB_COM_SESSION_SETUP_ANDX Request]Signing Initialization: Once these steps are performed, the server MUST sign the SMB_COM_SESSION_SETUP_ANDX response.</t>
  </si>
  <si>
    <t>MS-SMB_R4815</t>
  </si>
  <si>
    <t>[In Receiving an SMB_COM_SESSION_SETUP_ANDX Request]Signing Initialization: The server follows the steps as specified in section 3.1.5 by passing in an index number of one.</t>
  </si>
  <si>
    <t>MS-SMB_R4816</t>
  </si>
  <si>
    <t>[In Receiving an SMB_COM_SESSION_SETUP_ANDX Request]Signing Initialization: Acquire Session Key: If authentication is successful, the server MUST query the session key from the authentication package (as specified in [MS-NLMP] for implicit NTLM and in [RFC4178] for extended security).</t>
  </si>
  <si>
    <t>MS-SMB_R4817</t>
  </si>
  <si>
    <t>[In Receiving an SMB_COM_SESSION_SETUP_ANDX Request]Signing Initialization: Acquire Session Key: If authentication is successful, the server MUST then place this value[the session key] into Server.Session.SessionKey.</t>
  </si>
  <si>
    <t>MS-SMB_R30118</t>
  </si>
  <si>
    <t>[In Receiving an SMB_COM_SESSION_SETUP_ANDX Request]Signing Initialization: Acquire Session Key: If authentication is successful, the server MUST set Server.Session.SessionKeyState to Unavailable.</t>
  </si>
  <si>
    <t>MS-SMB_R4818</t>
  </si>
  <si>
    <t>[In Receiving an SMB_COM_SESSION_SETUP_ANDX Request]Signing Initialization: Authentication Expiry: If the authentication (either NTLM or GSS processing) returned an expiration time, such as a Kerberos ticket time-out, then the server MUST set up a Timer to mark the Server.Session.AuthenticationState as Expired when the time-out occurs.</t>
  </si>
  <si>
    <t>MS-SMB_R4819</t>
  </si>
  <si>
    <t>3.3.5.4</t>
  </si>
  <si>
    <t>[In Receiving an SMB_COM_TREE_CONNECT_ANDX Request]The processing of an SMB_COM_TREE_CONNECT_ANDX request is handled as specified in [MS-CIFS] section 3.3.5.44 with the following additions: Requesting Extended Information, Session Key Protection.</t>
  </si>
  <si>
    <t>MS-SMB_R30107</t>
  </si>
  <si>
    <t>[In Receiving an SMB_COM_TREE_CONNECT_ANDX Request] Requesting Extended Information: If the TREE_CONNECT_ANDX_EXTENDED_RESPONSE is set in the Flags field of the SMB_COM_TREE_CONNECT_ANDX request, then the server MUST respond with the structure specified in section 2.2.4.7.2.</t>
  </si>
  <si>
    <t>MS-SMB_R30108</t>
  </si>
  <si>
    <t>[In Receiving an SMB_COM_TREE_CONNECT_ANDX Request] Requesting Extended Information: The server MUST populate the SMB_Parameters.Words.OptionalSupport field of the response with a value of Server.Share.OptionalSupport.</t>
  </si>
  <si>
    <t>MS-SMB_R30109</t>
  </si>
  <si>
    <t>[In Receiving an SMB_COM_TREE_CONNECT_ANDX Request] Requesting Extended Information: The server MUST calculate the maximal share access rights for the user that requests the tree connect using the following algorithm [MaxRights = 0x00000000
IF Server.Share.SecurityDescriptor == NULL
  MaxRights = 0xFFFFFFFF
ELSE
  FOR EACH AccessBit value defined in section 2.2.1.4
    Compute access for the user, using Server.Share.SecurityDescriptor and 
     Server.Session.SecurityContext, as described in [MS-DTYP] section 2.5.2.1.
    IF access was granted
      MaxRights = MaxRights | AccessBit;
    END IF
  END FOR
END IF].</t>
  </si>
  <si>
    <t>MS-SMB_R30110</t>
  </si>
  <si>
    <t>[In Receiving an SMB_COM_TREE_CONNECT_ANDX Request] Requesting Extended Information: The computed MaxRights ACCESS_MASK MUST be placed in the SMB_Parameters.Words.MaximalShareAccessRights of the response.</t>
  </si>
  <si>
    <t>MS-SMB_R4828</t>
  </si>
  <si>
    <t>[In Receiving an SMB_COM_TREE_CONNECT_ANDX Request]Requesting Extended Information: Using the same algorithm, the SMB_Parameters.Words.GuestMaximalAccessRights field of the response MUST be set to the calculated highest access rights the guest account has on this share.</t>
  </si>
  <si>
    <t>MS-SMB_R30096</t>
  </si>
  <si>
    <t>[In Receiving an SMB_COM_TREE_CONNECT_ANDX Request] Requesting Extended Information: Instead of using Server.Session.SecurityContext, the server MUST use the guest account's security context.</t>
  </si>
  <si>
    <t>MS-SMB_R2356</t>
  </si>
  <si>
    <r>
      <rPr>
        <sz val="11"/>
        <rFont val="Calibri"/>
        <family val="3"/>
        <charset val="134"/>
        <scheme val="minor"/>
      </rPr>
      <t>[In Receiving an SMB_COM_TREE_CONNECT_ANDX Request]Requesting Extended Information: If the system does not support the guest account, then it MUST set GuestMaximalAccessRights to zero.</t>
    </r>
  </si>
  <si>
    <t>MS-SMB_R4833</t>
  </si>
  <si>
    <t>[In Receiving an SMB_COM_TREE_CONNECT_ANDX Request]Session Key Protection: If the client has set the TREE_CONNECT_ANDX_EXTENDED_SIGNATURE bit in the Flags field of the SMB_COM_TREE_CONNECT_ANDX request, then the server MUST hash the session key of the calling user.</t>
  </si>
  <si>
    <t>MS-SMB_R4834</t>
  </si>
  <si>
    <t>[In Receiving an SMB_COM_TREE_CONNECT_ANDX Request]Session Key Protection: This[hash the session key of the calling user] protects the key used for signing by making it unavailable to server-side applications.</t>
  </si>
  <si>
    <t>MS-SMB_R4835</t>
  </si>
  <si>
    <t xml:space="preserve">[In Receiving an SMB_COM_TREE_CONNECT_ANDX Request]Session Key Protection: The one-way hash MUST be performed on the user session key by using the HMAC-MD5 algorithm, as specified in [RFC2104]. </t>
  </si>
  <si>
    <t>MS-SMB_R30097</t>
  </si>
  <si>
    <t>[In Receiving an SMB_COM_TREE_CONNECT_ANDX Request]Session Key Protection: The steps are as follows:
1. Take the 16-byte user session key.
2. Calculate the one-way hash as follows:
[CALL hmac_md5( SSKeyHash, 256, session key, session key length, digest )
SET user session key = digest] .</t>
  </si>
  <si>
    <t>MS-SMB_R30098</t>
  </si>
  <si>
    <t>[In Receiving an SMB_COM_TREE_CONNECT_ANDX Request]Session Key Protection: When taking the 16-byte user session key, If this is an LM authentication where the session key is only 8 bytes, then zero extend it to 16 bytes.</t>
  </si>
  <si>
    <t>MS-SMB_R30099</t>
  </si>
  <si>
    <t>[In Receiving an SMB_COM_TREE_CONNECT_ANDX Request]Session Key Protection: When taking the 16-byte user session key, If the session key is more than 16 bytes, then use only the first 16 bytes.</t>
  </si>
  <si>
    <t>MS-SMB_R30100</t>
  </si>
  <si>
    <t>MS-SMB_R30101</t>
  </si>
  <si>
    <t>[In Receiving an SMB_COM_TREE_CONNECT_ANDX Request]Session Key Protection: The resulting 16-bit digest is returned to any appropriate caller who requests it.</t>
  </si>
  <si>
    <t>MS-SMB_R30102</t>
  </si>
  <si>
    <t>[In Receiving an SMB_COM_TREE_CONNECT_ANDX Request]Session Key Protection: SSKeyHash is the well-known constant array that is described in section 2.2.2.5.</t>
  </si>
  <si>
    <t>MS-SMB_R30103</t>
  </si>
  <si>
    <t>[In Receiving an SMB_COM_TREE_CONNECT_ANDX Request]Session Key Protection: After the session key has been hashed, the server MUST place the hash into Server.Session.SessionKey.</t>
  </si>
  <si>
    <t>MS-SMB_R30104</t>
  </si>
  <si>
    <t xml:space="preserve">[In Receiving an SMB_COM_TREE_CONNECT_ANDX Request]Session Key Protection: After the session key has been hashed, the server MUST set Server.Session.SessionKeyState to Available, which allows applications to query the session key. </t>
  </si>
  <si>
    <t>MS-SMB_R30105</t>
  </si>
  <si>
    <t>[In Receiving an SMB_COM_TREE_CONNECT_ANDX Request]Session Key Protection: If the TREE_CONNECT_ANDX_EXTENDED_SIGNATURE bit is not set, then the Server.Session.SessionKey is not changed.</t>
  </si>
  <si>
    <t>MS-SMB_R30106</t>
  </si>
  <si>
    <t>[In Receiving an SMB_COM_TREE_CONNECT_ANDX Request]Session Key Protection: If the TREE_CONNECT_ANDX_EXTENDED_SIGNATURE bit is not set, then Server.Session.SessionKeyState MUST be set to Available.</t>
  </si>
  <si>
    <t>MS-SMB_R14840</t>
    <phoneticPr fontId="5" type="noConversion"/>
  </si>
  <si>
    <t>3.3.5.5</t>
  </si>
  <si>
    <t>MS-SMB_R30063</t>
  </si>
  <si>
    <t>[In Receiving an SMB_COM_NT_CREATE_ANDX Request]On a successful create or open, if the NT_CREATE_REQUEST_EXTENDED_RESPONSE flag was set in the Flags field of the request, then the server sends an extended response (section 2.2.4.9.2) in Windows.</t>
  </si>
  <si>
    <t>MS-SMB_R14840:i,MS-SMB_R18:i</t>
  </si>
  <si>
    <t>MS-SMB_R30064</t>
  </si>
  <si>
    <t>MS-SMB_R30065</t>
  </si>
  <si>
    <t>MS-SMB_R30066</t>
  </si>
  <si>
    <t>MS-SMB_R30067</t>
  </si>
  <si>
    <t xml:space="preserve">[In Receiving an SMB_COM_NT_CREATE_ANDX Request, The processing of an SMB_COM_NT_CREATE_ANDX request is handled as specified in [MS-CIFS] section 3.3.5.50 with the following additions: ] If the server sends the new response, then it MUST construct a response as specified in section 2.2.4.9.2. with the addition of the following rules: The server does not fill in the VolumeGUID and FileId fields if it wants the client to leverage the new capabilities in Windows. </t>
  </si>
  <si>
    <t>MS-SMB_R30066:i, MS-SMB_R19:i</t>
  </si>
  <si>
    <t>MS-SMB_R30068</t>
  </si>
  <si>
    <t>[In Receiving an SMB_COM_NT_CREATE_ANDX Request, The processing of an SMB_COM_NT_CREATE_ANDX request is handled as specified in [MS-CIFS] section 3.3.5.50 with the following additions: ] If the server sends the new response, then it MUST construct a response as specified in section 2.2.4.9.2. with the addition of the following rules: Otherwise [if the server does not want the client to leverage the new capability], they [the VolumeGUID and FileId fields] MUST be set to zero.</t>
  </si>
  <si>
    <t>MS-SMB_R30069</t>
  </si>
  <si>
    <t>[In Receiving an SMB_COM_NT_CREATE_ANDX Request, The processing of an SMB_COM_NT_CREATE_ANDX request is handled as specified in [MS-CIFS] section 3.3.5.50 with the following additions: ] If the server sends the new response, then it MUST construct a response as specified in section 2.2.4.9.2. with the addition of the following rules: The server MUST query the underlying object store for the granted access rights on the returned Server.Open.</t>
  </si>
  <si>
    <t>MS-SMB_R30070</t>
  </si>
  <si>
    <t xml:space="preserve">[In Receiving an SMB_COM_NT_CREATE_ANDX Request, The processing of an SMB_COM_NT_CREATE_ANDX request is handled as specified in [MS-CIFS] section 3.3.5.50 with the following additions: ] If the server sends the new response, then it MUST construct a response as specified in section 2.2.4.9.2. with the addition of the following rules: The server MUST store them in the MaximalAccessRights field of the response. </t>
  </si>
  <si>
    <t>MS-SMB_R30071</t>
  </si>
  <si>
    <t xml:space="preserve">[In Receiving an SMB_COM_NT_CREATE_ANDX Request] If the file has no security applied, the field MUST be set to 0xFFFFFFFF. </t>
  </si>
  <si>
    <t>MS-SMB_R30072</t>
  </si>
  <si>
    <t>[In Receiving an SMB_COM_NT_CREATE_ANDX Request] Likewise, it [the server] MUST query the granted access a Guest user has on this file.</t>
  </si>
  <si>
    <t>MS-SMB_R30073</t>
  </si>
  <si>
    <t xml:space="preserve">[In Receiving an SMB_COM_NT_CREATE_ANDX Request] Likewise, it [the server] MUST place it in the GuestMaximalAccessRights field of the response. </t>
  </si>
  <si>
    <t>MS-SMB_R30074</t>
  </si>
  <si>
    <t xml:space="preserve">[In Receiving an SMB_COM_NT_CREATE_ANDX Request] The server MUST use Open.Session.UserSecurityContext and the impersonation level given in the ImpersonationLevel field of the request to impersonate the client. </t>
  </si>
  <si>
    <t>MS-SMB_R30075</t>
  </si>
  <si>
    <t>MS-SMB_R30076</t>
  </si>
  <si>
    <t>MS-SMB_R30077</t>
  </si>
  <si>
    <t>[In Receiving an SMB_COM_NT_CREATE_ANDX Request, The processing of an SMB_COM_NT_CREATE_ANDX request is handled as specified in [MS-CIFS] section 3.3.5.50 with the following additions: ] If the server sends the new response, then it MUST construct a response as specified in section 2.2.4.9.2. with the addition of the following rules: No matter what the CreateOptions on a named pipe are, the server will reply the same.</t>
  </si>
  <si>
    <t>MS-SMB_R30078</t>
  </si>
  <si>
    <t>[In Receiving an SMB_COM_NT_CREATE_ANDX Request] The processing of an SMB_COM_NT_CREATE_ANDX request is handled as specified in [MS-CIFS] section 3.3.5.50 with the following additions: If Server.IsDfsCapable is TRUE and Server.Share.IsDfs is True, then server MUST invoke the interface defined in [MS-DFSC] section 3.2.5.6 to normalize the pathname by supplying the target path name.</t>
  </si>
  <si>
    <t>MS-SMB_R30079</t>
  </si>
  <si>
    <t xml:space="preserve">[In Receiving an SMB_COM_NT_CREATE_ANDX Request] The normalized name returned from the DFS subsystem MUST be used for subsequent processing. </t>
  </si>
  <si>
    <t>MS-SMB_R30080</t>
  </si>
  <si>
    <t>MS-SMB_R30081</t>
  </si>
  <si>
    <t>[In Receiving an SMB_COM_NT_CREATE_ANDX Request] Otherwise [If normalization does not fail], the server MUST continue processing.</t>
  </si>
  <si>
    <t>MS-SMB_R30049</t>
  </si>
  <si>
    <t>3.3.5.6</t>
  </si>
  <si>
    <t>MS-SMB_R30050</t>
  </si>
  <si>
    <t xml:space="preserve">[In Receiving an SMB_COM_OPEN_ANDX Request] The processing of an SMB_COM_OPEN_ANDX request is handled as specified in [MS-CIFS] section 3.3.5.34 with the following additions: If the server chooses to send the new response, then it MUST construct a response as detailed in section 2.2.4.1.2. </t>
  </si>
  <si>
    <t>MS-SMB_R30051</t>
  </si>
  <si>
    <t>[In Receiving an SMB_COM_OPEN_ANDX Request] The server MUST query the underlying object store for the granted access rights on the returned Server.Open.</t>
  </si>
  <si>
    <t>MS-SMB_R30052</t>
  </si>
  <si>
    <t>[In Receiving an SMB_COM_OPEN_ANDX Request] The server MUST store them in the MaximalAccessRights field of the response.</t>
  </si>
  <si>
    <t>MS-SMB_R30053</t>
  </si>
  <si>
    <t>[In Receiving an SMB_COM_OPEN_ANDX Request] If the file has no security applied, then the field MUST be set to 0xFFFFFFFF.</t>
  </si>
  <si>
    <t>MS-SMB_R30054</t>
  </si>
  <si>
    <t>[In Receiving an SMB_COM_OPEN_ANDX Request] Likewise, it [the server] MUST query the granted access a Guest user has on this file.</t>
  </si>
  <si>
    <t>MS-SMB_R30055</t>
  </si>
  <si>
    <t>[In Receiving an SMB_COM_OPEN_ANDX Request] Likewise, it [the server] MUST place it in the GuestMaximalAccessRights field of the response.</t>
  </si>
  <si>
    <t>MS-SMB_R30056</t>
  </si>
  <si>
    <t>[In Receiving an SMB_COM_OPEN_ANDX Request] The server MUST use Open.Session.UserSecurityContext and the impersonation level given in the ImpersonationLevel field of the request to impersonate the client.</t>
  </si>
  <si>
    <t>MS-SMB_R30057</t>
  </si>
  <si>
    <t>MS-SMB_R30058</t>
  </si>
  <si>
    <t>3.3.5.7</t>
  </si>
  <si>
    <t>[In Receiving an SMB_COM_READ_ANDX Request] The processing of an SMB_COM_READ_ANDX request is handled as specified in [MS-CIFS] section 3.3.5.35 with the following additions: If the read operation is on a named pipe, then the Timeout_or_MaxCountHigh field MUST be interpreted as the 32-bit Timeout field, as specified in section 2.2.4.1.2.</t>
  </si>
  <si>
    <t>MS-SMB_R30059</t>
  </si>
  <si>
    <t xml:space="preserve">[In Receiving an SMB_COM_READ_ANDX Request] The processing of an SMB_COM_READ_ANDX request is handled as specified in [MS-CIFS] section 3.3.5.35 with the following additions: If the read operation is on a file, then the Timeout_or_MaxCountHigh field MUST be interpreted as the 16-bit MaxCountHigh field followed by a 16-bit Reserved field, as specified in section 2.2.4.1.1. </t>
  </si>
  <si>
    <t>MS-SMB_R4881</t>
  </si>
  <si>
    <t>[In Receiving an SMB_COM_READ_ANDX Request] The value in MaxCountHigh MUST be treated as the two most significant bytes of the count of bytes to read and is combined with the value of MaxCountOfBytesToReturn to create a 32-bit count of bytes to read (as specified in section 3.2.4.4).</t>
  </si>
  <si>
    <t>MS-SMB_R4882</t>
  </si>
  <si>
    <t>[In Receiving an SMB_COM_READ_ANDX Request]If MaxCountHigh is set to 0xFFFF, then the value MUST be ignored.</t>
  </si>
  <si>
    <t>MS-SMB_R4883</t>
  </si>
  <si>
    <t>[In Receiving an SMB_COM_READ_ANDX Request]If MaxCountHigh is set to 0xFFFF, then whatever the value is, the server's reply is the same.</t>
  </si>
  <si>
    <t>MS-SMB_R4884</t>
  </si>
  <si>
    <t>[In Receiving an SMB_COM_READ_ANDX Request]If MaxCountHigh is set to 0xFFFF, then only the length received in MaxCountOfBytesToReturn is used.</t>
  </si>
  <si>
    <t>MS-SMB_R2393</t>
  </si>
  <si>
    <r>
      <t>[In Receiving an SMB_COM_READ_ANDX Request]It is acceptable to return fewer bytes than requested by the clien</t>
    </r>
    <r>
      <rPr>
        <sz val="11"/>
        <rFont val="Calibri"/>
        <family val="3"/>
        <charset val="134"/>
        <scheme val="minor"/>
      </rPr>
      <t xml:space="preserve">t, with the restriction that reads from named pipes or devices MUST return at least MinCountOfBytesToReturn bytes.  </t>
    </r>
  </si>
  <si>
    <t>MS-SMB_R4888</t>
  </si>
  <si>
    <t>[In Receiving an SMB_COM_READ_ANDX Request]If the count of bytes read is greater than or equal to 0x00010000 (64K), then the server MUST set the two least significant bytes of the count in the DataLength field in the response.</t>
  </si>
  <si>
    <t>MS-SMB_R4889</t>
  </si>
  <si>
    <t>MS-SMB_R30039</t>
  </si>
  <si>
    <t>3.3.5.8</t>
  </si>
  <si>
    <t xml:space="preserve">[In Receiving an SMB_COM_WRITE_ANDX Request] The processing of an SMB_COM_WRITE_ANDX request is handled as specified in [MS-CIFS] section 3.3.5.36 with the following additions: If CAP_LARGE_WRITEX is set in Server.Connection.ClientCapabilities, then it is possible that the count of bytes to be written is larger than the server's MaxBufferSize. </t>
  </si>
  <si>
    <t>MS-SMB_R30040</t>
  </si>
  <si>
    <t>[In Receiving an SMB_COM_WRITE_ANDX Request] The count of bytes to be written is specified in the DataLength and DataLengthHigh fields sent in the request, as specified in section 2.2.4.3.1.</t>
  </si>
  <si>
    <t>MS-SMB_R30041</t>
  </si>
  <si>
    <t>[In Receiving an SMB_COM_WRITE_ANDX Request] The processing of an SMB_COM_WRITE_ANDX request is handled as specified in [MS-CIFS] section 3.3.5.36 with the following additions: If the server successfully writes data to the underlying object store, then the count of bytes written MUST be set in the Count fields of the response, as specified in section 2.2.4.3.2.</t>
  </si>
  <si>
    <t>MS-SMB_R30042</t>
  </si>
  <si>
    <t>[In Receiving an SMB_COM_WRITE_ANDX Request] The processing of an SMB_COM_WRITE_ANDX request is handled as specified in [MS-CIFS] section 3.3.5.36 with the following additions: If the server successfully writes data to the underlying object store, then the count of bytes written MUST be set in the CountHigh fields of the response, as specified in section 2.2.4.3.2.</t>
  </si>
  <si>
    <t>MS-SMB_R30043</t>
  </si>
  <si>
    <t>3.3.5.9</t>
  </si>
  <si>
    <t>[In Receiving any SMB_COM_TRANSACTION2 subcommand] The processing of any SMB_COM_TRANSACTION2 subcommand request is handled as specified in [MS-CIFS] section 3.3.5.57 with the following additions: [Receiving any Information Level, Receiving a TRANS2_FIND_FIRST2 Request, Receiving a TRANS2_FIND_NEXT2 Request, Receiving a TRANS2_QUERY_FILE_INFORMATION Request, Receiving a TRANS2_QUERY_PATH_INFORMATION Request, Receiving a TRANS2_SET_FILE_INFORMATION Request, Receiving a TRANS2_SET_PATH_INFORMATION Request, Receiving a TRANS2_QUERY_FS_INFORMATION Request, Receiving a TRANS2_SET_FS_INFORMATION Request].</t>
  </si>
  <si>
    <t>MS-SMB_R30044</t>
  </si>
  <si>
    <t>3.3.5.9.1</t>
  </si>
  <si>
    <t>[In Receiving any Information Level] If the server receives client request with a pass-through Information Level (section 2.2.2.3.5) and the server supports the CAP_INFOLEVEL_PASSTHRU capability in Server.Capabilities, then the server MUST decrement the Information Level value by SMB_INFO_PASSTHROUGH by treating the value as little-endian.</t>
  </si>
  <si>
    <t>MS-SMB_R30045</t>
  </si>
  <si>
    <t xml:space="preserve">[In Receiving any Information Level] If the server receives client request with a pass-through Information Level (section 2.2.2.3.5) and the server supports the CAP_INFOLEVEL_PASSTHRU capability in Server.Capabilities, then the server MUST pass that value to the underlying object store. </t>
  </si>
  <si>
    <t>MS-SMB_R30046</t>
  </si>
  <si>
    <t>MS-SMB_R30047</t>
  </si>
  <si>
    <t>[In Receiving any Information Level] If the server does not support pass-through Information Levels, then it MUST fail this request with STATUS_INVALID_PARAMETER.</t>
  </si>
  <si>
    <t>MS-SMB_R30048</t>
  </si>
  <si>
    <t>[In Receiving any Information Level] The returned status and response data, if any, are sent to the client in a Trans2 subcommand response message that corresponds to the same subcommand that initiated the request.</t>
  </si>
  <si>
    <t>MS-SMB_R2398</t>
    <phoneticPr fontId="5" type="noConversion"/>
  </si>
  <si>
    <t>3.3.5.9.2</t>
  </si>
  <si>
    <r>
      <rPr>
        <sz val="11"/>
        <rFont val="Calibri"/>
        <family val="3"/>
        <charset val="134"/>
        <scheme val="minor"/>
      </rPr>
      <t>[In Receiving a TRANS2_FIND_FIRST2 Request New Information Levels]The server SHOULD allow for the new Information Levels, as specified in section 2.2.2.3.1.</t>
    </r>
  </si>
  <si>
    <t>MS-SMB_R102398</t>
    <phoneticPr fontId="5" type="noConversion"/>
  </si>
  <si>
    <t>[In Receiving a TRANS2_FIND_FIRST2 Request New Information Levels]The server allows for the new Information Levels, as specified in section 2.2.2.3.1 in Windows.</t>
    <phoneticPr fontId="5" type="noConversion"/>
  </si>
  <si>
    <t>MS-SMB_R2398:i,MS-SMB_R18:i</t>
    <phoneticPr fontId="5" type="noConversion"/>
  </si>
  <si>
    <t>MS-SMB_R4898</t>
  </si>
  <si>
    <t>MS-SMB_R4899</t>
  </si>
  <si>
    <t>MS-SMB_R4900</t>
  </si>
  <si>
    <t>[In Receiving a TRANS2_FIND_FIRST2 Request Enumerating Previous Versions]It[server] does this[return an enumeration of previous versions valid for the share] by manufacturing a file entry for each previous version, as defined in section 2.2.8.1.1.</t>
  </si>
  <si>
    <t>MS-SMB_R2402</t>
  </si>
  <si>
    <r>
      <t xml:space="preserve">[In Receiving a TRANS2_FIND_FIRST2 Request </t>
    </r>
    <r>
      <rPr>
        <sz val="11"/>
        <rFont val="Calibri"/>
        <family val="3"/>
        <charset val="134"/>
        <scheme val="minor"/>
      </rPr>
      <t>Enumerating Previous Versions]If the server chooses not to do this [return an enumeration of previous versions valid for the share], then the enumeration MUST be processed as a normal TRANS2_FIND_FIRST2 operation.</t>
    </r>
  </si>
  <si>
    <t>MS-SMB_R2404</t>
  </si>
  <si>
    <t>3.3.5.9.3</t>
  </si>
  <si>
    <t>[In Receiving a TRANS2_FIND_NEXT2 Request
New Information Levels] If the query is started using one of the new Information Levels, then as specified in section 2.2.2.3.1, the same Information Level structure MUST be used for the return of subsequent entries in the enumeration continuation.</t>
  </si>
  <si>
    <t>MS-SMB_R2405</t>
  </si>
  <si>
    <r>
      <t>[In Receiving a TRANS2_FIND_NEXT2 Request</t>
    </r>
    <r>
      <rPr>
        <sz val="11"/>
        <rFont val="Calibri"/>
        <family val="3"/>
        <charset val="134"/>
        <scheme val="minor"/>
      </rPr>
      <t xml:space="preserve"> Enumerating Previous Versions]Likewise, a query for previous version information that is started, MUST be continued at the client's request with further entries generated, as defined in section 3.3.5.9.1.</t>
    </r>
  </si>
  <si>
    <t>MS-SMB_R30028</t>
  </si>
  <si>
    <t>3.3.5.9.4</t>
  </si>
  <si>
    <t>[In Receiving a TRANS2_QUERY_FILE_INFORMATION Request Pass-through Information Levels] If the client requests a pass-through Information Level, then the processing [Receiving a TRANS2_QUERY_FILE_INFORMATION Request] follows as specified in section 3.3.5.9.1.</t>
  </si>
  <si>
    <t>MS-SMB_R30029</t>
  </si>
  <si>
    <t>3.3.5.9.5</t>
  </si>
  <si>
    <t>[In Receiving a TRANS2_QUERY_PATH_INFORMATION Request Pass-through Information Levels] If the client requests a pass-through Information Level, then the processing [Receiving a TRANS2_QUERY_PATH_INFORMATION Request] follows as specified in section 3.3.5.9.1.</t>
  </si>
  <si>
    <t>MS-SMB_R30030</t>
  </si>
  <si>
    <t>3.3.5.9.6</t>
  </si>
  <si>
    <t>MS-SMB_R30031</t>
  </si>
  <si>
    <t>3.3.5.9.7</t>
  </si>
  <si>
    <t>MS-SMB_R30032</t>
  </si>
  <si>
    <t>3.3.5.9.8</t>
  </si>
  <si>
    <t>[In Receiving a TRANS2_QUERY_FS_INFORMATION Request Pass-through Information Levels] If the client requests a pass-through Information Level, then the processing [Receiving a TRANS2_QUERY_FS_INFORMATION Request] follows as specified in section 3.3.5.9.1.</t>
  </si>
  <si>
    <t>MS-SMB_R30026</t>
  </si>
  <si>
    <t>3.3.5.9.9</t>
  </si>
  <si>
    <t>[In Receiving a TRANS2_SET_FS_INFORMATION Request] If the client requests a pass-through Information Level, then processing [Receiving a TRANS2_SET_FS_INFORMATION Request] follows as specified in section 3.3.5.9.1.</t>
  </si>
  <si>
    <t>MS-SMB_R4964</t>
  </si>
  <si>
    <r>
      <t xml:space="preserve">[In Receiving a TRANS2_SET_FS_INFORMATION Request]There is no way to know if a server file system supports a given </t>
    </r>
    <r>
      <rPr>
        <sz val="11"/>
        <rFont val="Calibri"/>
        <family val="3"/>
        <charset val="134"/>
        <scheme val="minor"/>
      </rPr>
      <t>Information Level.</t>
    </r>
  </si>
  <si>
    <t>MS-SMB_R4965</t>
  </si>
  <si>
    <r>
      <t xml:space="preserve">[In Receiving a TRANS2_SET_FS_INFORMATION Request]From a protocol perspective, if </t>
    </r>
    <r>
      <rPr>
        <sz val="11"/>
        <rFont val="Calibri"/>
        <family val="3"/>
        <charset val="134"/>
        <scheme val="minor"/>
      </rPr>
      <t>a client issues a request and it fails with STATUS_NOT_SUPPORTED, then it MUST be inferred that the server file system does not support the request.</t>
    </r>
  </si>
  <si>
    <t>MS-SMB_R30027</t>
  </si>
  <si>
    <t>3.3.5.10</t>
  </si>
  <si>
    <t>[In Receiving any SMB_COM_NT_TRANSACT Subcommand] The processing of any SMB_COM_NT_TRANSACT subcommand request is handled as specified in [MS-CIFS] section 3.3.5.58 with the following additions specified in section 3.3.5.10.1.</t>
  </si>
  <si>
    <t>MS-SMB_R30024</t>
  </si>
  <si>
    <t>3.3.5.10.1</t>
  </si>
  <si>
    <t>[In Receiving an NT_TRANSACT_IOCTL Request] The new SMB-specific FSCTL codes are not directly passed to the underlying object store.</t>
  </si>
  <si>
    <t>MS-SMB_R30025</t>
  </si>
  <si>
    <t>[In Receiving an NT_TRANSACT_IOCTL Request] Instead, processing [passing to the underlying object by the new SMB-specific FSCTL codes] is as specified in section 3.3.5.10.1.1.</t>
  </si>
  <si>
    <t>MS-SMB_R4976</t>
  </si>
  <si>
    <t>3.3.5.10.1.1</t>
  </si>
  <si>
    <r>
      <t>[In Receiving an FSCTL_</t>
    </r>
    <r>
      <rPr>
        <sz val="11"/>
        <rFont val="Calibri"/>
        <family val="3"/>
        <charset val="134"/>
        <scheme val="minor"/>
      </rPr>
      <t>SRV_ENUMERATE_SNAPSHOTS Function Code]This is a request to enumerate the available previous versions for a share.</t>
    </r>
  </si>
  <si>
    <t>MS-SMB_R2436</t>
  </si>
  <si>
    <r>
      <t>[In Receiving an FSCTL_SRV_ENUMERATE_SNAPSHOTS Function Code] The server MUST return an enumeration of available previous versions, as specified in section 2.2.</t>
    </r>
    <r>
      <rPr>
        <sz val="11"/>
        <rFont val="Calibri"/>
        <family val="2"/>
        <scheme val="minor"/>
      </rPr>
      <t>7.2.2.</t>
    </r>
  </si>
  <si>
    <t>MS-SMB_R2437</t>
  </si>
  <si>
    <r>
      <t xml:space="preserve">The NumberOfSnapshots MUST contain the total number of previous versions </t>
    </r>
    <r>
      <rPr>
        <sz val="11"/>
        <rFont val="Calibri"/>
        <family val="3"/>
        <charset val="134"/>
        <scheme val="minor"/>
      </rPr>
      <t>that are available for the volume, and NumberOfSnapshotsReturned contains the number of entries that are returned in this enumeration.</t>
    </r>
  </si>
  <si>
    <t>MS-SMB_R4980</t>
  </si>
  <si>
    <r>
      <t>[In Receiving an FSCTL_</t>
    </r>
    <r>
      <rPr>
        <sz val="11"/>
        <rFont val="Calibri"/>
        <family val="3"/>
        <charset val="134"/>
        <scheme val="minor"/>
      </rPr>
      <t>SRV_ENUMERATE_SNAPSHOTS Function Code]If MaxDataCount is not large enough to hold all of the entries, then the server SHOULD return zero entries.</t>
    </r>
  </si>
  <si>
    <t>MS-SMB_R4981</t>
  </si>
  <si>
    <r>
      <t>[In Receiving an FSCTL_</t>
    </r>
    <r>
      <rPr>
        <sz val="11"/>
        <rFont val="Calibri"/>
        <family val="3"/>
        <charset val="134"/>
        <scheme val="minor"/>
      </rPr>
      <t>SRV_ENUMERATE_SNAPSHOTS Function Code]If MaxDataCount is not large enough to hold all of the entries, then the server does return zero entries in windows.</t>
    </r>
  </si>
  <si>
    <t>MS-SMB_R4980:i,MS-SMB_R18:i</t>
    <phoneticPr fontId="5" type="noConversion"/>
  </si>
  <si>
    <t>MS-SMB_R4982</t>
  </si>
  <si>
    <r>
      <t>[In Receiving an FSCTL_</t>
    </r>
    <r>
      <rPr>
        <sz val="11"/>
        <rFont val="Calibri"/>
        <family val="3"/>
        <charset val="134"/>
        <scheme val="minor"/>
      </rPr>
      <t>SRV_ENUMERATE_SNAPSHOTS Function Code]The value returned in SnapShotArraySize MUST be the size required to receive all of the available previous versions.</t>
    </r>
  </si>
  <si>
    <t>MS-SMB_R2439</t>
  </si>
  <si>
    <r>
      <t>[In Receiving an FSCTL_</t>
    </r>
    <r>
      <rPr>
        <sz val="11"/>
        <rFont val="Calibri"/>
        <family val="3"/>
        <charset val="134"/>
        <scheme val="minor"/>
      </rPr>
      <t xml:space="preserve">SRV_ENUMERATE_SNAPSHOTS Function Code]If the MaxDataCount of the request is smaller than the size of an FSCTL_ENUMERATE_SNAPSHOTS response, then the server MUST fail the request with STATUS_INVALID_PARAMETER. </t>
    </r>
  </si>
  <si>
    <t>MS-SMB_R4984</t>
  </si>
  <si>
    <r>
      <t>[In Receiving an FSCTL_</t>
    </r>
    <r>
      <rPr>
        <sz val="11"/>
        <rFont val="Calibri"/>
        <family val="3"/>
        <charset val="134"/>
        <scheme val="minor"/>
      </rPr>
      <t>SRV_ENUMERATE_SNAPSHOTS Function Code]If the server does not support this operation [Receiving an FSCTL_SRV_ENUMERATE_SNAPSHOTS Function Code], then it SHOULD fail the request with STATUS_NOT_SUPPORTED.</t>
    </r>
  </si>
  <si>
    <t>MS-SMB_R4985</t>
  </si>
  <si>
    <r>
      <t>[In Receiving an FSCTL_</t>
    </r>
    <r>
      <rPr>
        <sz val="11"/>
        <rFont val="Calibri"/>
        <family val="3"/>
        <charset val="134"/>
        <scheme val="minor"/>
      </rPr>
      <t>SRV_ENUMERATE_SNAPSHOTS Function Code]If  the server does not support this operation [Receiving an FSCTL_SRV_ENUMERATE_SNAPSHOTS Function Code], then it does fail the FSCTL request with STATUS_NOT_SUPPORTED in windows.</t>
    </r>
  </si>
  <si>
    <t>MS-SMB_R4987</t>
  </si>
  <si>
    <t>3.3.5.10.1.2</t>
  </si>
  <si>
    <r>
      <t xml:space="preserve">[In Receiving an FSCTL_SRV_REQUEST_RESUME_KEY </t>
    </r>
    <r>
      <rPr>
        <sz val="11"/>
        <rFont val="Calibri"/>
        <family val="3"/>
        <charset val="134"/>
        <scheme val="minor"/>
      </rPr>
      <t>Function Code]This is a request for an opaque copychunk resume key for use in an FSCTL_SRV_COPYCHUNK operation.</t>
    </r>
  </si>
  <si>
    <t>MS-SMB_R4988</t>
  </si>
  <si>
    <r>
      <t xml:space="preserve">[In Receiving an FSCTL_SRV_REQUEST_RESUME_KEY </t>
    </r>
    <r>
      <rPr>
        <sz val="11"/>
        <rFont val="Calibri"/>
        <family val="3"/>
        <charset val="134"/>
        <scheme val="minor"/>
      </rPr>
      <t>Function Code]The server MUST generate a 24-byte value that is used to uniquely identify the open of the file against which this operation is executed.</t>
    </r>
  </si>
  <si>
    <t>MS-SMB_R30022</t>
  </si>
  <si>
    <t>[In Receiving an FSCTL_SRV_REQUEST_RESUME_KEY Function Code] If this operation [Receiving an FSCTL_SRV_REQUEST_RESUME_KEY Function Code] is successful, then the server MUST construct an FSCTL_SRV_CHOPYCHUNK response as specified in section 2.2.7.2.2, with the following additional requirements: The CopychunkResumeKey field MUST be the server-generated value.</t>
  </si>
  <si>
    <t>MS-SMB_R30023</t>
  </si>
  <si>
    <t>[In Receiving an FSCTL_SRV_REQUEST_RESUME_KEY Function Code] If this operation [Receiving an FSCTL_SRV_REQUEST_RESUME_KEY Function Code] is successful, then the server MUST construct an FSCTL_SRV_CHOPYCHUNK response as specified in section 2.2.7.2.2, with the following additional requirements: If the server does not support this operation [Receiving an FSCTL_SRV_REQUEST_RESUME_KEY Function Code], then it MUST fail the request with STATUS_NOT_SUPPORTED.</t>
  </si>
  <si>
    <t>MS-SMB_R4992</t>
  </si>
  <si>
    <t xml:space="preserve">3.3.5.10.1.3   </t>
  </si>
  <si>
    <r>
      <t>[In Receiving an FSCTL_SRV_COPYCHUNK Request]This is a request for a server-side data copy, as specified in section 2.2.</t>
    </r>
    <r>
      <rPr>
        <sz val="11"/>
        <rFont val="Calibri"/>
        <family val="3"/>
        <charset val="134"/>
        <scheme val="minor"/>
      </rPr>
      <t>7.2.1.</t>
    </r>
  </si>
  <si>
    <t>MS-SMB_R2444</t>
  </si>
  <si>
    <r>
      <t>[In Receiving an FSCTL_SRV_COPYCHUNK Request]</t>
    </r>
    <r>
      <rPr>
        <sz val="11"/>
        <rFont val="Calibri"/>
        <family val="3"/>
        <charset val="134"/>
        <scheme val="minor"/>
      </rPr>
      <t>The server MUST identify the source file based on the copychunk resume key field of the FSCTL_SRV_COPYCHUNK request.</t>
    </r>
  </si>
  <si>
    <t>MS-SMB_R4995</t>
  </si>
  <si>
    <t>[In Receiving an FSCTL_SRV_COPYCHUNK Request]This copychunk resume key is a value that was returned by the server from an FSCTL_SRV_REQUEST_RESUME_KEY operation.</t>
    <phoneticPr fontId="5" type="noConversion"/>
  </si>
  <si>
    <t>MS-SMB_R2445</t>
  </si>
  <si>
    <r>
      <t>[In Receiving an FSCTL_SRV_COPYCHUNK Request]If the</t>
    </r>
    <r>
      <rPr>
        <sz val="11"/>
        <rFont val="Calibri"/>
        <family val="3"/>
        <charset val="134"/>
        <scheme val="minor"/>
      </rPr>
      <t xml:space="preserve"> copychunk resume key is not valid,or does not represent an open file, then the server MUST fail the operation with STATUS_OBJECT_NAME_NOT_FOUND.  </t>
    </r>
  </si>
  <si>
    <t>MS-SMB_R4997</t>
  </si>
  <si>
    <r>
      <t xml:space="preserve">[In Receiving an FSCTL_SRV_COPYCHUNK Request]If the file represented by the resume key is not opened for read-data access, </t>
    </r>
    <r>
      <rPr>
        <sz val="11"/>
        <rFont val="Calibri"/>
        <family val="3"/>
        <charset val="134"/>
        <scheme val="minor"/>
      </rPr>
      <t>then the server MUST fail the operation with STATUS_ACCESS_DENIED.</t>
    </r>
  </si>
  <si>
    <t>MS-SMB_R2446</t>
  </si>
  <si>
    <t>Likewise, the target file MUST be specified by the Fid in the SMB_COM_NT_TRANSACTION request.</t>
    <phoneticPr fontId="5" type="noConversion"/>
  </si>
  <si>
    <t>MS-SMB_R2447</t>
  </si>
  <si>
    <r>
      <t xml:space="preserve">If the target file is not opened for write-data access, </t>
    </r>
    <r>
      <rPr>
        <sz val="11"/>
        <rFont val="Calibri"/>
        <family val="3"/>
        <charset val="134"/>
        <scheme val="minor"/>
      </rPr>
      <t xml:space="preserve"> then the server MUST fail the operation with STATUS_ACCESS_DENIED.</t>
    </r>
  </si>
  <si>
    <t>MS-SMB_R5000</t>
  </si>
  <si>
    <t>[In Receiving an FSCTL_SRV_COPYCHUNK Request]The server MUST validate that the amount of data to be written is within the server's configured bounds.</t>
  </si>
  <si>
    <t>MS-SMB_R2558</t>
  </si>
  <si>
    <t>MS-SMB_R2453</t>
  </si>
  <si>
    <r>
      <t xml:space="preserve">If both the source and the target file are appropriate, </t>
    </r>
    <r>
      <rPr>
        <sz val="11"/>
        <rFont val="Calibri"/>
        <family val="3"/>
        <charset val="134"/>
        <scheme val="minor"/>
      </rPr>
      <t>then the server MUST iterate through the data ranges specified in the request, by reading data from the source offset of the source file and writing it to the target offset of the target file.</t>
    </r>
  </si>
  <si>
    <t>MS-SMB_R2454</t>
  </si>
  <si>
    <t>MS-SMB_R5005</t>
    <phoneticPr fontId="5" type="noConversion"/>
  </si>
  <si>
    <r>
      <t>[In Receiving an FSCTL_SRV_COPYCHUNK Request]The server MAY restrict the amount of processing that can be done for a single FSCTL_SRV_COPYCHUNK operation by the amount of time it has to process</t>
    </r>
    <r>
      <rPr>
        <sz val="11"/>
        <rFont val="Calibri"/>
        <family val="3"/>
        <charset val="134"/>
        <scheme val="minor"/>
      </rPr>
      <t>.</t>
    </r>
  </si>
  <si>
    <t>MS-SMB_R105005</t>
    <phoneticPr fontId="5" type="noConversion"/>
  </si>
  <si>
    <r>
      <t>[In Receiving an FSCTL_SRV_COPYCHUNK Request]The server does not restrict the amount of processing that can be done for a single FSCTL_SRV_COPYCHUNK operation by the amount of time it has to process in Windows</t>
    </r>
    <r>
      <rPr>
        <sz val="11"/>
        <rFont val="Calibri"/>
        <family val="3"/>
        <charset val="134"/>
        <scheme val="minor"/>
      </rPr>
      <t>.</t>
    </r>
  </si>
  <si>
    <t>MS-SMB_R5005:i,MS-SMB_R19:i</t>
    <phoneticPr fontId="5" type="noConversion"/>
  </si>
  <si>
    <t>MS-SMB_R5008</t>
  </si>
  <si>
    <t>MS-SMB_R30019</t>
  </si>
  <si>
    <t>3.3.5.10.1.3</t>
  </si>
  <si>
    <t>[In Receiving an FSCTL_SRV_COPYCHUNK Request] If the server does not support this operation, then it MUST fail the request with STATUS_NOT_SUPPORTED.</t>
  </si>
  <si>
    <t>MS-SMB_R30009</t>
  </si>
  <si>
    <t>3.3.5.10.2</t>
  </si>
  <si>
    <t>MS-SMB_R2464</t>
  </si>
  <si>
    <r>
      <t xml:space="preserve">The server MUST return as much of the available quota information </t>
    </r>
    <r>
      <rPr>
        <sz val="11"/>
        <rFont val="Calibri"/>
        <family val="3"/>
        <charset val="134"/>
        <scheme val="minor"/>
      </rPr>
      <t>that is able to fit in the maximum response buffer size denoted by MaxDataCount.</t>
    </r>
  </si>
  <si>
    <t>MS-SMB_R5023</t>
  </si>
  <si>
    <t>[In Receiving an NT_TRANS_QUERY_QUOTA_INFO Request]If the entire quota information cannot fit in the response buffer, then the server MUST return a status of STATUS_BUFFER_TOO_SMALL.</t>
  </si>
  <si>
    <t>MS-SMB_R5024</t>
  </si>
  <si>
    <t>[In Receiving an NT_TRANS_QUERY_QUOTA_INFO Request]Otherwise[if the entire quota information fits in the response buffer], the server MUST return STATUS_SUCCESS.</t>
  </si>
  <si>
    <t>MS-SMB_R5025</t>
  </si>
  <si>
    <r>
      <t>[In Receiving an NT_TRANS_QUERY_QUOTA_INFO Request]The format of the request determines which entries need to be returned, as specified in section 2.2.</t>
    </r>
    <r>
      <rPr>
        <sz val="11"/>
        <rFont val="Calibri"/>
        <family val="3"/>
        <charset val="134"/>
        <scheme val="minor"/>
      </rPr>
      <t>7.3.1.</t>
    </r>
  </si>
  <si>
    <t>MS-SMB_R2465</t>
  </si>
  <si>
    <r>
      <t>The server MUST place the quota information in the response, as specified in section 2.2.</t>
    </r>
    <r>
      <rPr>
        <sz val="11"/>
        <rFont val="Calibri"/>
        <family val="3"/>
        <charset val="134"/>
        <scheme val="minor"/>
      </rPr>
      <t>7.3.2, and send the response back to the client.</t>
    </r>
  </si>
  <si>
    <t>MS-SMB_R2466</t>
  </si>
  <si>
    <t>3.3.5.10.3</t>
  </si>
  <si>
    <r>
      <rPr>
        <sz val="11"/>
        <rFont val="Calibri"/>
        <family val="3"/>
        <charset val="134"/>
        <scheme val="minor"/>
      </rPr>
      <t>The server MUST apply the provided quota information to the underlying object store on which the file or directory indicated by the Fid resides.</t>
    </r>
  </si>
  <si>
    <t>MS-SMB_R2467</t>
  </si>
  <si>
    <t>MS-SMB_R2468</t>
  </si>
  <si>
    <r>
      <t xml:space="preserve">The server MUST apply the quota information provided in the </t>
    </r>
    <r>
      <rPr>
        <sz val="11"/>
        <rFont val="Calibri"/>
        <family val="3"/>
        <charset val="134"/>
        <scheme val="minor"/>
      </rPr>
      <t xml:space="preserve">NT_Trans_Data block of the request(see section 2.2.7.4.1). </t>
    </r>
  </si>
  <si>
    <t>MS-SMB_R5030</t>
  </si>
  <si>
    <r>
      <t xml:space="preserve">[In Receiving an NT_TRANS_SET_QUOTA_INFO Request]The resulting success or error received from the </t>
    </r>
    <r>
      <rPr>
        <sz val="11"/>
        <rFont val="Calibri"/>
        <family val="3"/>
        <charset val="134"/>
        <scheme val="minor"/>
      </rPr>
      <t>underlying object store is returned in the response, as specified in section 2.2.7.4.2.</t>
    </r>
  </si>
  <si>
    <t>MS-SMB_R5073</t>
  </si>
  <si>
    <t>3.3.6.1</t>
  </si>
  <si>
    <r>
      <t xml:space="preserve">[In </t>
    </r>
    <r>
      <rPr>
        <sz val="11"/>
        <rFont val="Calibri"/>
        <family val="3"/>
        <charset val="134"/>
        <scheme val="minor"/>
      </rPr>
      <t>Authentication Expiration Timer Event]When the Authentication Expiration Timer expires, the server scans the active authentication tokens and marks the Authentication state for those whose expiry time has passed.</t>
    </r>
  </si>
  <si>
    <t>MS-SMB_R5074</t>
  </si>
  <si>
    <r>
      <t xml:space="preserve">[In </t>
    </r>
    <r>
      <rPr>
        <sz val="11"/>
        <rFont val="Calibri"/>
        <family val="3"/>
        <charset val="134"/>
        <scheme val="minor"/>
      </rPr>
      <t>Authentication Expiration Timer Event]It[the server] MUST set Server.Session.AuthenticationState[UID] = Expired.</t>
    </r>
  </si>
  <si>
    <t>MS-SMB_R5075</t>
  </si>
  <si>
    <t>3.3.7</t>
  </si>
  <si>
    <r>
      <t>[In Other Local Evens]</t>
    </r>
    <r>
      <rPr>
        <sz val="11"/>
        <rFont val="Calibri"/>
        <family val="3"/>
        <charset val="134"/>
        <scheme val="minor"/>
      </rPr>
      <t xml:space="preserve"> There are no new server local events  other than those specified in [MS-CIFS]section 3.3.7.</t>
    </r>
  </si>
  <si>
    <t>MS-SMB_R18</t>
  </si>
  <si>
    <t>Unless otherwise specified, any statement of optional behavior in this specification prescribed using the terms SHOULD or SHOULD NOT implies Windows behavior in accordance with the SHOULD or SHOULD NOT prescription.</t>
    <phoneticPr fontId="5" type="noConversion"/>
  </si>
  <si>
    <t>MS-SMB_R19</t>
  </si>
  <si>
    <t>Unless otherwise specified, the term MAY implies that Windows does not follow the prescription.</t>
    <phoneticPr fontId="5" type="noConversion"/>
  </si>
  <si>
    <t>MS-SMB_R9500</t>
  </si>
  <si>
    <t>&lt;1&gt; Section 1.8: UNIX extensions are not supported by Windows-based SMB clients and servers.</t>
    <phoneticPr fontId="5" type="noConversion"/>
  </si>
  <si>
    <t>MS-SMB_R9501</t>
  </si>
  <si>
    <t>&lt;1&gt; Section 1.8:The CAP_UNIX capability bit and the Information Level range are reserved to allow third party implementers to collaborate on the definition of these extensions.</t>
  </si>
  <si>
    <t>MS-SMB_R9502</t>
  </si>
  <si>
    <t>&lt;1&gt; Section 1.8:The development of a common set of extensions has been informally supported by the Storage Networking Industry Association (SNIA).</t>
  </si>
  <si>
    <t>MS-SMB_R9503</t>
  </si>
  <si>
    <t>&lt;2&gt; Section 2.1: The Direct TCP transport can be used by Windows-based SMB clients and servers.</t>
  </si>
  <si>
    <t>MS-SMB_R5</t>
  </si>
  <si>
    <t xml:space="preserve">&lt;3&gt; Section 2.1: Windows-based clients and servers use TCP port 445 as the destination TCP port on the SMB server, the well-known port number assigned by IANA to Microsoft–DS.                   </t>
    <phoneticPr fontId="5" type="noConversion"/>
  </si>
  <si>
    <t>MS-SMB_R9505</t>
  </si>
  <si>
    <t>&lt;4&gt; Section 2.1: The Direct TCP transport header is modeled after the NBT Session Message Packet structure defined in section 4.3.6 of [RFC1002].</t>
    <phoneticPr fontId="5" type="noConversion"/>
  </si>
  <si>
    <t>MS-SMB_R9506</t>
  </si>
  <si>
    <t>&lt;4&gt; Section 2.1:The NBT Session Message in the RFC uses a 17-bit length (defined as a two-byte length plus one flag bit--the combination can be read as a 17-bit value in network byte order).</t>
    <phoneticPr fontId="5" type="noConversion"/>
  </si>
  <si>
    <t>MS-SMB_R9507</t>
  </si>
  <si>
    <t>&lt;4&gt; Section 2.1:Windows systems that support the Direct TCP transport do not exceed the 17-bit limit in the Direct TCP transport header.</t>
    <phoneticPr fontId="5" type="noConversion"/>
  </si>
  <si>
    <t>MS-SMB_R9508</t>
  </si>
  <si>
    <t>&lt;4&gt; Section 2.1:Handling of the NBT Session Message Packet and the Direct TCP transport header is, therefore, identical in Windows.</t>
    <phoneticPr fontId="5" type="noConversion"/>
  </si>
  <si>
    <t>MS-SMB_R81</t>
  </si>
  <si>
    <r>
      <rPr>
        <sz val="11"/>
        <rFont val="Calibri"/>
        <family val="3"/>
        <charset val="134"/>
        <scheme val="minor"/>
      </rPr>
      <t>&lt;5&gt;Section 2.2:When an error occurs, Windows-based SMB servers return an Error Response message, unless specifically required to return data, as specified for named pipe read operations and certain I/O control code requests and other exceptions specified in [MS-CIFS].</t>
    </r>
  </si>
  <si>
    <t>MS-SMB_R6858</t>
  </si>
  <si>
    <r>
      <rPr>
        <sz val="11"/>
        <rFont val="Calibri"/>
        <family val="3"/>
        <charset val="134"/>
        <scheme val="minor"/>
      </rPr>
      <t>&lt;5&gt; Section 2.2: Windows–based SMB clients expect that an SMB server returns an Error Response, unless otherwise specified.</t>
    </r>
  </si>
  <si>
    <t>MS-SMB_R9511</t>
  </si>
  <si>
    <t>Windows implementations return data along with these error codes:
STATUS_MORE_PROCESSING_REQUIRED on a session setup request
,	STATUS_BUFFER_OVERFLOW for a read request, IOCTL request, and Query Info request
,STATUS_INVALID_PARAMETER or STATUS_INVALID_VIEW_SIZE for CopyChunk IOCTL request return data along with the header 
,STATUS_STOPPED_ON_SYMLINK includes the symbolic link data ,	STATUS_BUFFER_TOO_SMALL returns a ULONG containing the required size.</t>
    <phoneticPr fontId="5" type="noConversion"/>
  </si>
  <si>
    <t>MS-SMB_R9512</t>
  </si>
  <si>
    <t>&lt;6&gt; Section 2.2.1.2.2: This value is not supported in Windows 2000.</t>
    <phoneticPr fontId="5" type="noConversion"/>
  </si>
  <si>
    <t>MS-SMB_R9513</t>
  </si>
  <si>
    <t>&lt;7&gt; Section 2.2.1.2.2: This value is not supported in Windows 2000.</t>
    <phoneticPr fontId="5" type="noConversion"/>
  </si>
  <si>
    <t>MS-SMB_R9514</t>
  </si>
  <si>
    <t>&lt;8&gt; Section 2.2.1.2.2: This value is not supported in Windows 2000.</t>
    <phoneticPr fontId="5" type="noConversion"/>
  </si>
  <si>
    <t>MS-SMB_R9515</t>
  </si>
  <si>
    <t>&lt;9&gt; Section 2.2.1.2.2: This value is not supported in Windows 2000, Windows Server 2003, Windows Server 2003 R2, Windows XP, Windows Vista, or Windows Server 2008. This value is supported in Windows Server 2008 R2 and Windows 7.</t>
    <phoneticPr fontId="5" type="noConversion"/>
  </si>
  <si>
    <t>MS-SMB_R9516</t>
  </si>
  <si>
    <t>&lt;10&gt; Section 2.2.1.2.2: This value is not supported in Windows 2000, Windows Server 2003, Windows Server 2003 R2, Windows XP, Windows Vista, or Windows Server 2008. This value is supported in Windows Server 2008 R2 and Windows 7.</t>
    <phoneticPr fontId="5" type="noConversion"/>
  </si>
  <si>
    <t>MS-SMB_R9517</t>
  </si>
  <si>
    <t>&lt;11&gt; Section 2.2.1.2.2: This value is not supported in Windows 2000, Windows Server 2003, Windows Server 2003 R2, Windows XP, Windows Vista, or Windows Server 2008. This value is supported in Windows Server 2008 R2 and Windows 7.</t>
    <phoneticPr fontId="5" type="noConversion"/>
  </si>
  <si>
    <t>MS-SMB_R9518</t>
  </si>
  <si>
    <t>&lt;12&gt; Section 2.2.1.2.2: This value is not supported in Windows 2000, Windows Server 2003, Windows Server 2003 R2, Windows XP, Windows Vista, or Windows Server 2008. This value is supported in Windows Server 2008 R2 and Windows 7.</t>
    <phoneticPr fontId="5" type="noConversion"/>
  </si>
  <si>
    <t>MS-SMB_R9519</t>
  </si>
  <si>
    <t>&lt;13&gt; Section 2.2.1.3.1: Windows guarantees uniqueness of FileIds across a single volume.</t>
    <phoneticPr fontId="5" type="noConversion"/>
  </si>
  <si>
    <t>MS-SMB_R9520</t>
  </si>
  <si>
    <t>&lt;14&gt; Section 2.2.2.1: If a client request contains an invalid command code, then Windows 2000 Server and Windows XP server fail the requests by sending an error response with an NTSTATUS code of STATUS_SMB_BAD_COMMAND (ERRSRV/ERRbadcommand). Windows XP SP1, Windows Server 2003, Windows Server 2003 R2, Windows Server 2008, Windows Vista, Windows 7, and Windows Server 2008 R2 servers do not respond to such a request, and do not process further requests on that connection.</t>
    <phoneticPr fontId="5" type="noConversion"/>
  </si>
  <si>
    <t>MS-SMB_R9521</t>
  </si>
  <si>
    <t>&lt;15&gt; Section 2.2.2.3.1: The SMB_FIND_FILE_ID_FULL_DIRECTORY_INFO and SMB_FIND_FILE_ID_BOTH_DIRECTORY_INFO Information Levels are available in Windows Server 2003, Windows Server 2003 R2, Windows Server 2008, and Windows Server 2008 R2.</t>
    <phoneticPr fontId="5" type="noConversion"/>
  </si>
  <si>
    <t>MS-SMB_R9522</t>
  </si>
  <si>
    <t>&lt;16&gt; Section 2.2.2.3.5: Pass-through Information Levels on Windows-based servers map directly to native Windows NT Information Classes, as specified in [MS-FSCC] sections 2.4 and 2.5. Windows-based servers do not support setting the followingNT Information Levels [FileLinkInformation, FileMoveClusterInformation,FileTrackingInformation,FileCompletionInformation]via the pass-through Information Level mechanism.</t>
  </si>
  <si>
    <t>MS-SMB_R9523</t>
  </si>
  <si>
    <t>All other Information Levels[except FileLinkInformation, FileMoveClusterInformation,FileTrackingInformation,FileCompletionInformation] are passed through to the underlying object store or file system. Refer to [MS-FSCC] sections 2.4 and 2.5 for a further list of Information Levels that are not supported by Windows file systems and the error codes that can be returned.</t>
    <phoneticPr fontId="5" type="noConversion"/>
  </si>
  <si>
    <t>MS-SMB_R9524</t>
  </si>
  <si>
    <t>&lt;17&gt; Section 2.2.2.3.6: These extensions, known as UNIX extensions, are not supported by Windows-based SMB clients and servers.</t>
  </si>
  <si>
    <t>MS-SMB_R9525</t>
  </si>
  <si>
    <t>&lt;17&gt; Section 2.2.2.3.6: The CAP_UNIX capability bit and the Information Level range specified are reserved to allow third party implementers to collaborate on the definition of these extensions.</t>
  </si>
  <si>
    <t>MS-SMB_R9526</t>
  </si>
  <si>
    <t>&lt;17&gt; Section 2.2.2.3.6: The development of a common set of extensions has been informally supported by the Storage Networking Industry Association (SNIA).</t>
  </si>
  <si>
    <t>MS-SMB_R9527</t>
  </si>
  <si>
    <t>&lt;18&gt; Section 2.2.2.4: For a detailed listing of possible status codes available on Windows implementations, see [MS-ERREF]. For a list of error codes used by the SMB Version 1.0 Protocol and CIFS Protocol, see [MS-CIFS] section 2.2.2.4.</t>
    <phoneticPr fontId="5" type="noConversion"/>
  </si>
  <si>
    <t>MS-SMB_R108</t>
  </si>
  <si>
    <t>&lt;19&gt; Section 2.2.3.1: Windows-based  Windows servers set the bits[Unused bit fields] in the Flags2 field with the same value(s) that were sent by the client in the request.</t>
    <phoneticPr fontId="5" type="noConversion"/>
  </si>
  <si>
    <t>MS-SMB_R130</t>
  </si>
  <si>
    <t>&lt;20&gt; Section 2.2.3.1: Windows-based clients and servers ignore this bit[Flags2: SMB_FLAGS2_SMB_SECURITY_SIGNATURE_REQUIRED
0x0010]  on other messages[except the SMB dialect].</t>
    <phoneticPr fontId="5" type="noConversion"/>
  </si>
  <si>
    <t xml:space="preserve">internal behavior </t>
  </si>
  <si>
    <t>MS-SMB_R6867</t>
  </si>
  <si>
    <t>&lt;21&gt; Section 2.2.1: Windows-based SMB clients on Windows 2000,Windows XP, and Windows Vista support 32-bit process IDs.</t>
    <phoneticPr fontId="5" type="noConversion"/>
  </si>
  <si>
    <t>MS-SMB_R6868</t>
  </si>
  <si>
    <t>&lt;21&gt; Section 2.2.1: Windows-based SMB clients on Windows Vista use this field[PidHigh] when sending the following SMB messages: SMB_COM_NT_CREATE_ANDX.</t>
    <phoneticPr fontId="5" type="noConversion"/>
  </si>
  <si>
    <t>MS-SMB_R6869</t>
  </si>
  <si>
    <r>
      <rPr>
        <sz val="11"/>
        <rFont val="Calibri"/>
        <family val="3"/>
        <charset val="134"/>
        <scheme val="minor"/>
      </rPr>
      <t>&lt;21&gt; Section 2.2.1: Windows-based SMB clients on Windows 2000,Windows XP use this field[PidHigh] when sending the following SMB messages: SMB_COM_NT_CREATE_ANDX and SMB_COM_OPEN_PRINT_FILE.</t>
    </r>
  </si>
  <si>
    <t>MS-SMB_R6870</t>
  </si>
  <si>
    <t>&lt;21&gt; Section 2.2.1: Windows-based SMB clients on Windows 2000 ,Windows XP also support and use this field[PidHigh] when sending  SMB_COM_TRANSACTION,SMB_COM_TRANSACTION2, and SMB_COM_TRANSACT messages when the server supports the CAP_NT_SMBS bit.</t>
    <phoneticPr fontId="5" type="noConversion"/>
  </si>
  <si>
    <t>MS-SMB_R6871</t>
    <phoneticPr fontId="5" type="noConversion"/>
  </si>
  <si>
    <r>
      <rPr>
        <sz val="11"/>
        <rFont val="Calibri"/>
        <family val="3"/>
        <charset val="134"/>
        <scheme val="minor"/>
      </rPr>
      <t>&lt;21&gt; Section 2.2.1: Windows-based SMB clients on Windows Vista also support and use this field[PidHigh] when sending  SMB_COM_NT_TRANSACT message when the server supports the CAP_NT_SMBS bit. (The CAP_NT_SMBS bit  is set in the Capabilities field in the SMB_COM_NEGOTIATE response.)</t>
    </r>
  </si>
  <si>
    <t>MS-SMB_R6872</t>
  </si>
  <si>
    <t>&lt;21&gt; Section 2.2.1: Windows-based SMB clients on Windows Vista also support and use this field[PidHigh] when sending  SMB_COM_TRANSACTION message when the server supports the CAP_NT_SMBS bit.</t>
    <phoneticPr fontId="5" type="noConversion"/>
  </si>
  <si>
    <t>MS-SMB_R6873</t>
  </si>
  <si>
    <r>
      <rPr>
        <sz val="11"/>
        <rFont val="Calibri"/>
        <family val="3"/>
        <charset val="134"/>
        <scheme val="minor"/>
      </rPr>
      <t>&lt;21&gt; Section 2.2.1: Windows-based SMB clients on Windows Vista use this field[PidHigh] when sending the following SMB messages: SMB_COM_OPEN_PRINT_FILE.</t>
    </r>
  </si>
  <si>
    <t>MS-SMB_R6874</t>
  </si>
  <si>
    <t>&lt;21&gt; Section 2.2.1: Windows-based SMB clients on Windows Vista also support and use this field[PidHigh] when sending  SMB_COM_TRANSACTION2 message when the server supports the CAP_NT_SMBS bit.</t>
    <phoneticPr fontId="5" type="noConversion"/>
  </si>
  <si>
    <t>MS-SMB_R6875</t>
  </si>
  <si>
    <t>&lt;21&gt; Section 2.2.1: ([MS-CIFS] section 2.2.4.52.2). Windows7-based SMB clients[than Windows-based SMB clients on Windows 2000 ,Windows XP, and Windows Vista] do not support 32-bit process IDs and set this field[PidHigh] to zero when sending SMB messages.</t>
    <phoneticPr fontId="5" type="noConversion"/>
  </si>
  <si>
    <t>MS-SMB_R6876</t>
  </si>
  <si>
    <t>&lt;21&gt; Section 2.2.1: Windows-based SMB servers support 32-bit process IDs when receiving SMB messages.</t>
    <phoneticPr fontId="5" type="noConversion"/>
  </si>
  <si>
    <t>MS-SMB_R9528</t>
  </si>
  <si>
    <t>&lt;22&gt; Section 2.2.4.1.2: Windows-based servers no longer return the FileTypeCommDevice resource type that is listed in [MS-CIFS] section 2.2.4.41.2.</t>
  </si>
  <si>
    <t>MS-SMB_R9529</t>
  </si>
  <si>
    <t>&lt;23&gt; Section 2.2.4.1.2: Windows-based servers do not implement this feature and set the ServerFID field to zero.</t>
  </si>
  <si>
    <t>MS-SMB_R9530</t>
  </si>
  <si>
    <t>&lt;24&gt; Section 2.2.4.1.2: Windows-based servers support the notion of a guest account.</t>
    <phoneticPr fontId="5" type="noConversion"/>
  </si>
  <si>
    <t>MS-SMB_R109530</t>
    <phoneticPr fontId="5" type="noConversion"/>
  </si>
  <si>
    <t>&lt;24&gt; Section 2.2.4.1.2: Windows-based servers set this field based on the defined guest account rights on the server.</t>
    <phoneticPr fontId="5" type="noConversion"/>
  </si>
  <si>
    <t>MS-SMB_R9531</t>
  </si>
  <si>
    <t>&lt;25&gt; Section 2.2.4.1.2: Windows-based servers can return a response in which the ByteCount field is not initialized to zero.</t>
  </si>
  <si>
    <t>MS-SMB_R9532</t>
  </si>
  <si>
    <t>&lt;26&gt; Section 2.2.4.2.1: Windows-based clients set the Timeout field to 0xFFFFFFFF on pipe reads.</t>
  </si>
  <si>
    <t>MS-SMB_R9533</t>
  </si>
  <si>
    <t>MS-SMB_R109533</t>
    <phoneticPr fontId="5" type="noConversion"/>
  </si>
  <si>
    <t>MS-SMB_R209533</t>
    <phoneticPr fontId="5" type="noConversion"/>
  </si>
  <si>
    <t>MS-SMB_R6894</t>
  </si>
  <si>
    <t>MS-SMB_R6895</t>
  </si>
  <si>
    <t>MS-SMB_R6897</t>
  </si>
  <si>
    <t>SMB_COM_READ_RAW and SMB_COM_WRITE_RAW is the scope of CIFS</t>
  </si>
  <si>
    <t>MS-SMB_R6898</t>
  </si>
  <si>
    <t>SMB_COM_READ_RAW and SMB_COM_WRITE_RAW can be verified in CIFS</t>
  </si>
  <si>
    <t>MS-SMB_R6899</t>
  </si>
  <si>
    <t>MS-SMB_R106919</t>
    <phoneticPr fontId="5" type="noConversion"/>
  </si>
  <si>
    <t>MS-SMB_R6925</t>
  </si>
  <si>
    <t>MS-SMB_R106932</t>
    <phoneticPr fontId="5" type="noConversion"/>
  </si>
  <si>
    <t>MS-SMB_R206932</t>
    <phoneticPr fontId="5" type="noConversion"/>
  </si>
  <si>
    <t>MS-SMB_R306932</t>
    <phoneticPr fontId="5" type="noConversion"/>
  </si>
  <si>
    <t>MS-SMB_R406932</t>
    <phoneticPr fontId="5" type="noConversion"/>
  </si>
  <si>
    <t>MS-SMB_R6932</t>
  </si>
  <si>
    <t>MS-SMB_R6933</t>
  </si>
  <si>
    <t>&lt;37&gt; Section 2.2.4.5.2.1:  Windows-based clients and servers do not support CAP_COMPRESSED_DATA and this capability is never set.</t>
    <phoneticPr fontId="5" type="noConversion"/>
  </si>
  <si>
    <t>MS-SMB_R6934</t>
  </si>
  <si>
    <t>MS-SMB_R6935</t>
  </si>
  <si>
    <t>MS-SMB_R285</t>
  </si>
  <si>
    <t>MS-SMB_R109538</t>
    <phoneticPr fontId="5" type="noConversion"/>
  </si>
  <si>
    <t>MS-SMB_R209538</t>
    <phoneticPr fontId="5" type="noConversion"/>
  </si>
  <si>
    <t>MS-SMB_R9538</t>
  </si>
  <si>
    <t>MS-SMB_R9539</t>
  </si>
  <si>
    <t>MS-SMB_R9540</t>
  </si>
  <si>
    <t>MS-SMB_R9541</t>
  </si>
  <si>
    <t>MS-SMB_R109541</t>
    <phoneticPr fontId="5" type="noConversion"/>
  </si>
  <si>
    <t>MS-SMB_R309541</t>
    <phoneticPr fontId="5" type="noConversion"/>
  </si>
  <si>
    <t>MS-SMB_R209541</t>
    <phoneticPr fontId="5" type="noConversion"/>
  </si>
  <si>
    <t>MS-SMB_R6953</t>
  </si>
  <si>
    <t>MS-SMB_R6954</t>
  </si>
  <si>
    <t>this cannot be on observed the wire</t>
  </si>
  <si>
    <t>MS-SMB_R9599</t>
    <phoneticPr fontId="5" type="noConversion"/>
  </si>
  <si>
    <t>MS-SMB_R9600</t>
  </si>
  <si>
    <t>MS-SMB_R9601</t>
  </si>
  <si>
    <t>&lt;46&gt; Section 2.2.4.6.1:Windows Vista, Windows Server 2008, Windows 7, and Windows Server 2008 R2 set this field to an empty string.</t>
  </si>
  <si>
    <t>MS-SMB_R9602</t>
  </si>
  <si>
    <t>MS-SMB_R9603</t>
  </si>
  <si>
    <t>MS-SMB_R9604</t>
  </si>
  <si>
    <t>MS-SMB_R9605</t>
  </si>
  <si>
    <t>MS-SMB_R9606</t>
  </si>
  <si>
    <t>MS-SMB_R9607</t>
  </si>
  <si>
    <t>MS-SMB_R9608</t>
  </si>
  <si>
    <t>MS-SMB_R9542</t>
  </si>
  <si>
    <t>MS-SMB_R9543</t>
  </si>
  <si>
    <t>MS-SMB_R9544</t>
  </si>
  <si>
    <t>MS-SMB_R9545</t>
  </si>
  <si>
    <t>MS-SMB_R9546</t>
  </si>
  <si>
    <t>MS-SMB_R9547</t>
  </si>
  <si>
    <t>MS-SMB_R9548</t>
  </si>
  <si>
    <t>MS-SMB_R9623</t>
    <phoneticPr fontId="5" type="noConversion"/>
  </si>
  <si>
    <t>MS-SMB_R9549</t>
  </si>
  <si>
    <t>MS-SMB_R9550</t>
  </si>
  <si>
    <t>MS-SMB_R109550</t>
    <phoneticPr fontId="5" type="noConversion"/>
  </si>
  <si>
    <t>MS-SMB_R9551</t>
  </si>
  <si>
    <t>MS-SMB_R9552</t>
  </si>
  <si>
    <t>MS-SMB_R9609</t>
    <phoneticPr fontId="5" type="noConversion"/>
  </si>
  <si>
    <t>MS-SMB_R9610</t>
  </si>
  <si>
    <t>MS-SMB_R9611</t>
  </si>
  <si>
    <t>MS-SMB_R9612</t>
  </si>
  <si>
    <t>MS-SMB_R9613</t>
  </si>
  <si>
    <t>&lt;56&gt; Section 2.2.4.9.2:otherwise, this field is uninitialized. The VolumeGUID field is ignored by Windows-based SMB clients.</t>
    <phoneticPr fontId="5" type="noConversion"/>
  </si>
  <si>
    <t>MS-SMB_R9614</t>
  </si>
  <si>
    <t xml:space="preserve">&lt;57&gt; Section 2.2.4.9.2: Windows 2000 Server, Windows Server 2003, Windows Server 2003 R2, and Windows Server 2008 set the FileId field to zero. </t>
    <phoneticPr fontId="5" type="noConversion"/>
  </si>
  <si>
    <t>MS-SMB_R9615</t>
  </si>
  <si>
    <t>MS-SMB_R9616</t>
  </si>
  <si>
    <t>MS-SMB_R9617</t>
  </si>
  <si>
    <t>MS-SMB_R9618</t>
  </si>
  <si>
    <t>MS-SMB_R9619</t>
  </si>
  <si>
    <t>MS-SMB_R9620</t>
  </si>
  <si>
    <t>MS-SMB_R9621</t>
  </si>
  <si>
    <t>MS-SMB_R9556</t>
  </si>
  <si>
    <t>MS-SMB_R9557</t>
  </si>
  <si>
    <t>MS-SMB_R9622</t>
    <phoneticPr fontId="5" type="noConversion"/>
  </si>
  <si>
    <t>MS-SMB_R9558</t>
  </si>
  <si>
    <t>MS-SMB_R9559</t>
  </si>
  <si>
    <t>MS-SMB_R9560</t>
  </si>
  <si>
    <t>MS-SMB_R9561</t>
  </si>
  <si>
    <t>MS-SMB_R9562</t>
  </si>
  <si>
    <t>MS-SMB_R9563</t>
  </si>
  <si>
    <t>MS-SMB_R9564</t>
  </si>
  <si>
    <t>MS-SMB_R9565</t>
  </si>
  <si>
    <t>MS-SMB_R9566</t>
  </si>
  <si>
    <t>MS-SMB_R9567</t>
  </si>
  <si>
    <t>MS-SMB_R9568</t>
  </si>
  <si>
    <t>MS-SMB_R9569</t>
  </si>
  <si>
    <t>MS-SMB_R9570</t>
  </si>
  <si>
    <t>MS-SMB_R9571</t>
  </si>
  <si>
    <t>MS-SMB_R9572</t>
  </si>
  <si>
    <t>MS-SMB_R9573</t>
  </si>
  <si>
    <t>MS-SMB_R9574</t>
  </si>
  <si>
    <t>MS-SMB_R9575</t>
  </si>
  <si>
    <t>MS-SMB_R9576</t>
  </si>
  <si>
    <t>MS-SMB_R9577</t>
  </si>
  <si>
    <t>MS-SMB_R9578</t>
  </si>
  <si>
    <t>MS-SMB_R9579</t>
  </si>
  <si>
    <t>MS-SMB_R9580</t>
  </si>
  <si>
    <t>MS-SMB_R9581</t>
  </si>
  <si>
    <t>MS-SMB_R9582</t>
  </si>
  <si>
    <t>MS-SMB_R9583</t>
  </si>
  <si>
    <t>MS-SMB_R9584</t>
  </si>
  <si>
    <t>MS-SMB_R9585</t>
  </si>
  <si>
    <t>MS-SMB_R9586</t>
  </si>
  <si>
    <t>MS-SMB_R9587</t>
  </si>
  <si>
    <t>MS-SMB_R9588</t>
  </si>
  <si>
    <t>MS-SMB_R9589</t>
  </si>
  <si>
    <t>MS-SMB_R9590</t>
    <phoneticPr fontId="5" type="noConversion"/>
  </si>
  <si>
    <t>MS-SMB_R109590</t>
    <phoneticPr fontId="5" type="noConversion"/>
  </si>
  <si>
    <t>MS-SMB_R9590:p</t>
    <phoneticPr fontId="5" type="noConversion"/>
  </si>
  <si>
    <t>MS-SMB_R9591</t>
  </si>
  <si>
    <t>MS-SMB_R9592</t>
  </si>
  <si>
    <t>MS-SMB_R9593</t>
  </si>
  <si>
    <t>MS-SMB_R9594</t>
  </si>
  <si>
    <t>MS-SMB_R9595</t>
  </si>
  <si>
    <t>MS-SMB_R9596</t>
  </si>
  <si>
    <t>MS-SMB_R9597</t>
  </si>
  <si>
    <t>MS-SMB_R3975</t>
  </si>
  <si>
    <t>MS-SMB_R3976</t>
  </si>
  <si>
    <t>MS-SMB_R3992</t>
  </si>
  <si>
    <t>MS-SMB_R3993</t>
  </si>
  <si>
    <t>MS-SMB_R8560</t>
  </si>
  <si>
    <t>MS-SMB_R8561</t>
  </si>
  <si>
    <t>MS-SMB_R4081</t>
  </si>
  <si>
    <t>MS-SMB_R4082</t>
  </si>
  <si>
    <t>MS-SMB_R8563</t>
  </si>
  <si>
    <t>MS-SMB_R4099</t>
  </si>
  <si>
    <t>MS-SMB_R4100</t>
  </si>
  <si>
    <t>MS-SMB_R4101</t>
  </si>
  <si>
    <t>MS-SMB_R8562</t>
  </si>
  <si>
    <t>MS-SMB_R4102</t>
  </si>
  <si>
    <t>MS-SMB_R8564</t>
  </si>
  <si>
    <t>MS-SMB_R4107</t>
  </si>
  <si>
    <t>MS-SMB_R4187</t>
  </si>
  <si>
    <t>MS-SMB_R4188</t>
  </si>
  <si>
    <t>MS-SMB_R4189</t>
  </si>
  <si>
    <t>MS-SMB_R8565</t>
  </si>
  <si>
    <t>MS-SMB_R4199</t>
  </si>
  <si>
    <t>MS-SMB_R4200</t>
  </si>
  <si>
    <t>MS-SMB_R4206</t>
  </si>
  <si>
    <t>MS-SMB_R8566</t>
  </si>
  <si>
    <t>MS-SMB_R8567</t>
  </si>
  <si>
    <t>MS-SMB_R8568</t>
  </si>
  <si>
    <t>MS-SMB_R4277</t>
  </si>
  <si>
    <t>MS-SMB_R8569</t>
  </si>
  <si>
    <t>MS-SMB_R2561</t>
  </si>
  <si>
    <t>MS-SMB_R2560</t>
  </si>
  <si>
    <t>MS-SMB_R8570</t>
  </si>
  <si>
    <t>MS-SMB_R8571</t>
  </si>
  <si>
    <t>MS-SMB_R4381</t>
  </si>
  <si>
    <t>MS-SMB_R4383</t>
  </si>
  <si>
    <t>MS-SMB_R8572</t>
  </si>
  <si>
    <t>MS-SMB_R8573</t>
  </si>
  <si>
    <t>MS-SMB_R8574</t>
  </si>
  <si>
    <t>MS-SMB_R8575</t>
  </si>
  <si>
    <t>MS-SMB_R8576</t>
  </si>
  <si>
    <t>MS-SMB_R8265</t>
  </si>
  <si>
    <t>MS-SMB_R118266</t>
  </si>
  <si>
    <t>MS-SMB_R4690</t>
  </si>
  <si>
    <t>MS-SMB_R118267</t>
  </si>
  <si>
    <t>MS-SMB_R8577</t>
  </si>
  <si>
    <t>MS-SMB_R8578</t>
  </si>
  <si>
    <t>MS-SMB_R8579</t>
  </si>
  <si>
    <t>MS-SMB_R8580</t>
  </si>
  <si>
    <t>MS-SMB_R8581</t>
  </si>
  <si>
    <t>MS-SMB_R8582</t>
  </si>
  <si>
    <t>MS-SMB_R8583</t>
  </si>
  <si>
    <t>MS-SMB_R8584</t>
  </si>
  <si>
    <t>MS-SMB_R8585</t>
  </si>
  <si>
    <t>MS-SMB_R8586</t>
  </si>
  <si>
    <t>MS-SMB_R8587</t>
  </si>
  <si>
    <t>MS-SMB_R8588</t>
  </si>
  <si>
    <t>MS-SMB_R8589</t>
  </si>
  <si>
    <t>MS-SMB_R2555</t>
  </si>
  <si>
    <t>MS-SMB_R8590</t>
  </si>
  <si>
    <t>MS-SMB_R8591</t>
  </si>
  <si>
    <t>MS-SMB_R8592</t>
  </si>
  <si>
    <t>MS-SMB_R8593</t>
  </si>
  <si>
    <t>MS-SMB_R4748</t>
  </si>
  <si>
    <t>MS-SMB_R4749</t>
  </si>
  <si>
    <t>MS-SMB_R2372</t>
  </si>
  <si>
    <t>MS-SMB_R30082</t>
  </si>
  <si>
    <t>MS-SMB_R30083</t>
  </si>
  <si>
    <t>MS-SMB_R30084</t>
  </si>
  <si>
    <t>MS-SMB_R30085</t>
  </si>
  <si>
    <t>MS-SMB_R30086</t>
  </si>
  <si>
    <t>MS-SMB_R30087</t>
  </si>
  <si>
    <t>MS-SMB_R30088</t>
  </si>
  <si>
    <t>MS-SMB_R30089</t>
  </si>
  <si>
    <t>MS-SMB_R30090</t>
  </si>
  <si>
    <t>MS-SMB_R30091</t>
  </si>
  <si>
    <t>MS-SMB_R30092</t>
  </si>
  <si>
    <t>MS-SMB_R30093</t>
  </si>
  <si>
    <t>MS-SMB_R30094</t>
  </si>
  <si>
    <t>MS-SMB_R30095</t>
  </si>
  <si>
    <t>MS-SMB_R2388</t>
  </si>
  <si>
    <t>MS-SMB_R30061</t>
  </si>
  <si>
    <t>MS-SMB_R30062</t>
  </si>
  <si>
    <t>MS-SMB_R4890</t>
  </si>
  <si>
    <t>MS-SMB_R4891</t>
  </si>
  <si>
    <t>MS-SMB_R30037</t>
  </si>
  <si>
    <t>MS-SMB_R30038</t>
  </si>
  <si>
    <t>MS-SMB_R4915</t>
  </si>
  <si>
    <t>MS-SMB_R4917</t>
  </si>
  <si>
    <t>MS-SMB_R30033</t>
  </si>
  <si>
    <t>MS-SMB_R30034</t>
  </si>
  <si>
    <t>MS-SMB_R30035</t>
  </si>
  <si>
    <t>MS-SMB_R30036</t>
  </si>
  <si>
    <t>MS-SMB_R4950</t>
  </si>
  <si>
    <t>oplock will be verified in CIFS.</t>
  </si>
  <si>
    <t>MS-SMB_R4951</t>
  </si>
  <si>
    <t>MS-SMB_R30020</t>
  </si>
  <si>
    <t>MS-SMB_R30021</t>
  </si>
  <si>
    <t>MS-SMB_R5033</t>
  </si>
  <si>
    <t>MS-SMB_R105033</t>
  </si>
  <si>
    <t>MS-SMB_R205033</t>
  </si>
  <si>
    <t>MS-SMB_R305033</t>
  </si>
  <si>
    <t>MS-SMB_R405033</t>
  </si>
  <si>
    <t>MS-SMB_R30010</t>
  </si>
  <si>
    <t>MS-SMB_R30011</t>
  </si>
  <si>
    <t>MS-SMB_R30012</t>
  </si>
  <si>
    <t>MS-SMB_R30013</t>
  </si>
  <si>
    <t>MS-SMB_R30014</t>
  </si>
  <si>
    <t>MS-SMB_R30015</t>
  </si>
  <si>
    <t>MS-SMB_R30016</t>
  </si>
  <si>
    <t>MS-SMB_R30017</t>
  </si>
  <si>
    <t>MS-SMB_R30018</t>
  </si>
  <si>
    <t>MS-SMB_R2552</t>
  </si>
  <si>
    <t>MS-SMB_R30000</t>
  </si>
  <si>
    <t>MS-SMB_R30001</t>
  </si>
  <si>
    <t>MS-SMB_R30002</t>
  </si>
  <si>
    <t>MS-SMB_R30003</t>
  </si>
  <si>
    <t>MS-SMB_R30004</t>
  </si>
  <si>
    <t>MS-SMB_R30005</t>
  </si>
  <si>
    <t>MS-SMB_R30006</t>
  </si>
  <si>
    <t>MS-SMB_R30007</t>
  </si>
  <si>
    <t>MS-SMB_R30008</t>
  </si>
  <si>
    <t>MS-SMB_R5035</t>
  </si>
  <si>
    <t>L0RSPlanDll_19</t>
  </si>
  <si>
    <t>IgnoreRuleList</t>
  </si>
  <si>
    <t>Server Message Block (SMB) Protocol Specification</t>
  </si>
  <si>
    <t>MS-SMB</t>
  </si>
  <si>
    <t>This command has been deprecated</t>
  </si>
  <si>
    <t>the behavior between server and underlying object cannot be observed on the wire.</t>
  </si>
  <si>
    <t>Deleted</t>
  </si>
  <si>
    <t>this requirement is deleted in TD v20100406</t>
  </si>
  <si>
    <t>[In Extended File Attribute (SMB_EXT_FILE_ATTR) Extensions]ATTR_OFFLINE
0x00001000 means
File data is not available. The attribute indicates that the file has been moved to offline storage.</t>
  </si>
  <si>
    <t>MS-SMB_R11000</t>
  </si>
  <si>
    <t>[In Unique Identifiers]The SMB Version 1.0 Protocol makes use of the following data types from [MS-DTYP]:GUID as specified in section 2.3.2.1</t>
  </si>
  <si>
    <t>[In Transaction Subcommand Codes]Transaction Codes used with SMB_COM_NT_TRANSACT:NT_TRANSACT_CREATE2
0x0009
:This command code is new to these extensions. The server processes and responds to the NT_TRANSACT_CREATE2 command the same way it would for an NT_TRANSACT_CREATE command, as specified in [MS-CIFS] section 3.3.5.58.1.</t>
  </si>
  <si>
    <t>[In SMB Header Extensions]SMB_FLAGS2_SMB_SECURITY_SIGNATURE_REQUIRED 0x0010:If the client receives a non-signed response from the server, it MUST disconnect the underlying transport connection.</t>
  </si>
  <si>
    <t>[In Client Request Extensions]Flags (2 bytes):If[SMB_OPEN_EXTENDED_RESPONSE
0x0010] set, the client is requesting the extended format of the response, as described later in this section.</t>
  </si>
  <si>
    <t>[In Server Response Extensions]ServerFID (4 bytes):  A 32-bit server file identifier that uniquely identifies the file on the server.</t>
  </si>
  <si>
    <t>MS-SMB_R11001</t>
  </si>
  <si>
    <t>[In Server Response Extensions]ServerFID (4 bytes): This field SHOULD&lt;23&gt; be set to any ULONG value that uniquely identifies the file.</t>
  </si>
  <si>
    <t>MS-SMB_R11002</t>
  </si>
  <si>
    <t>[In Client Request Extensions]Timeout_or_MaxCountHigh (4 bytes): This field MUST be set to 0xFFFFFFFF.</t>
  </si>
  <si>
    <t>[In Client Request Extensions]Timeout (4 bytes):  The client can set the Timeout field to a requested time-out value in milliseconds or the client can set the Timeout field to 0xFFFFFFFF, which indicates that the operation MUST NOT time out.</t>
  </si>
  <si>
    <t>MS-SMB_R11003</t>
  </si>
  <si>
    <t>[In Client Request Extensions]Timeout (4 bytes):  For read operations on named pipes this field MUST be set to 0xFFFFFFFF.</t>
  </si>
  <si>
    <t>[In Client Request Extensions]MaxCountHigh (2 bytes): If the read is not larger than 0xFFFF bytes, then the client MUST set the MaxCountHigh to zero.&lt;26&gt;</t>
  </si>
  <si>
    <t>&lt;26&gt; Section 2.2.4.2.1: Windows-based servers support MaxCountHigh.</t>
  </si>
  <si>
    <t>&lt;26&gt; Section 2.2.4.2.1: Windows-based servers ignore it if set to 0xFFFF.</t>
  </si>
  <si>
    <t>&lt;26&gt; Section 2.2.4.2.1: reply is the same whether zero or non-zero is used in this field.</t>
  </si>
  <si>
    <t>[In Extended Security Response]MaxBufferSize (4 bytes): This value does not account for any underlying transport-layer packet headers, and thus does not account for the size of the complete network packet.&lt;27&gt;</t>
  </si>
  <si>
    <t>&lt;27&gt; Section 2.2.4.5.2.1: Windows defaults to a MaxBufferSize value of 16,644 bytes on server versions of Windows.</t>
  </si>
  <si>
    <t>&lt;27&gt; Section 2.2.4.5.2.1: Windows defaults to a MaxBufferSize value of 4,356 bytes on client versions of Windows.</t>
  </si>
  <si>
    <t>[In Extended Security Response]CAP_RAW_MODE0x00000001
 meansThe server supports SMB_COM_READ_RAW and SMB_COM_WRITE_RAW requests.&lt;28&gt;</t>
  </si>
  <si>
    <t>[In Extended Security Response]CAP_MPX_MODE0x00000002
 means The server supports SMB_COM_READ_MPX and SMB_COM_WRITE_MPX requests.&lt;29&gt;</t>
  </si>
  <si>
    <t>&lt;28&gt; Section 2.2.3: Windows Server 2008 does not support SMB_COM_READ_RAW or SMB_COM_WRITE_RAW  if either command is received from the client.</t>
  </si>
  <si>
    <t>&lt;28&gt; Section 2.2.3: Windows Server 2008 disconnects the client by closing the underlying transport connection if either command is received from the client.</t>
  </si>
  <si>
    <t>&lt;29&gt; Section 2.2.3: Windows Server 2008 does not support SMB_COM_READ_MPX or SMB_COM_WRITE_MPX, and disconnects the client by closing the underlying transport connection if either command is received from the client.</t>
  </si>
  <si>
    <t>[In Extended Security Response]CAP_RPC_REMOTE_APIS 0x00000020 means the server supports the use of remote procedure call [MS-RPCE] for remote API calls. Similar functionality would otherwise require use of the legacy Remote Administration Protocol, as specified in [MS-RAP].</t>
  </si>
  <si>
    <t>[In Extended Security Response]CAP_NT_FIND
0x00000200:This bit SHOULD&lt;30&gt; be set if CAP_NT_SMBS is set.</t>
  </si>
  <si>
    <t>&lt;30&gt; Section 2.2.4.5.2.1: Windows-based clients assume that CAP_NT_FIND is set if CAP_NT_SMBS is set.</t>
  </si>
  <si>
    <t>[In Extended Security Response]CAP_DFS 0x00001000 means The server can respond to DFS referral requests.</t>
  </si>
  <si>
    <t>[In Extended Security Response]CAP_INFOLEVEL_PASSTHRU
0x00002000:This allows the client to pass Information Level structures in QUERY and SET operations.&lt;31&gt;</t>
  </si>
  <si>
    <t>&lt;31&gt; Section 2.2.3.1: Windows-based clients and servers take advantage of CAP_INFOLEVEL_PASSTHRU, when available, to prevent the need to map from native file and directory information structures to comparable SMB structures.</t>
  </si>
  <si>
    <t>[Capabilities: CAP_LARGE_READX 0x00004000]Therefore, the server can send a single SMB_COM_READ_ANDX response to the client up to this size[65,535 bytes].&lt;32&gt;</t>
  </si>
  <si>
    <t xml:space="preserve">&lt;32&gt; Section 2.2.4.5.2.1: With CAP_LARGE_READX enabled, Windows-based servers set this limit to 64 kilobytes. </t>
  </si>
  <si>
    <t>&lt;32&gt; Section 2.2.4.5.2.1:Windows-based clients and servers support CAP_LARGE_READX, which permits file transfers larger than the negotiated MaxBufferSize.</t>
  </si>
  <si>
    <t>&lt;33&gt; Section 2.2.4.5.2.1: Windows-based clients and servers support CAP_LARGE_WRITEX, which permits file transfers larger than the negotiated MaxBufferSize.</t>
  </si>
  <si>
    <t>&lt;34&gt; Section 2.2.4.5.2.1: Windows Server 2003, Windows Server 2003 R2, Windows Vista, Windows Server 2008, Windows 7, and Windows Server 2008 R2 clients and servers support CAP_LWIO.</t>
  </si>
  <si>
    <t>[Capabilities: CAP_LARGE_WRITEX 0x00008000]Therefore, a client can send a single SMB_COM_WRITE_ANDX request up to this size[65,535 bytes].&lt;33&gt;</t>
  </si>
  <si>
    <t>[Capabilities: CAP_LWIO 0x00010000]The server supports new light-weight I/O control (IOCTL) and file system control (FSCTL) operations. These operations are accessed using the NT_TRANSACT_IOCTL subcommand (section 2.2.7.2).&lt;34&gt;</t>
  </si>
  <si>
    <t>[Capabilities: CAP_UNIX 0x00800000]The server supports UNIX extensions.&lt;35&gt;</t>
  </si>
  <si>
    <t>MS-SMB_R11004</t>
  </si>
  <si>
    <t>&lt;35&gt; Section 2.2.4.5.2.1: Windows-based clients and servers do not support CAP_UNIX; therefore, this capability is never set.</t>
  </si>
  <si>
    <t>&lt;36&gt; Section 2.2.4.5.2.1: Windows-based clients and servers do not support CAP_COMPRESSED_DATA and this capability is never set.</t>
  </si>
  <si>
    <t xml:space="preserve">[Capabilities: CAP_COMPRESSED_DATA 0x02000000]Reserved but not implemented.&lt;36&gt;
The server supports compressed SMB packets.
</t>
  </si>
  <si>
    <t>[Capabilities: CAP_DYNAMIC_REAUTH 0x20000000]The server supports re-authentication, if required, as specified in sections 3.3.5.1 and 3.2.5.1.&lt;37&gt;</t>
  </si>
  <si>
    <t>&lt;37&gt; Section 2.2.4.5.2.1: Windows servers do not set the CAP_DYNAMIC_REAUTH flag even if  dynamic re-authentication is supported.</t>
  </si>
  <si>
    <t>&lt;37&gt; Section 2.2.4.5.2.1:  In Windows 2000 and later, all clients and servers support On Windows XP and later, all clients and servers support dynamic reauthentication.</t>
  </si>
  <si>
    <t>&lt;38&gt; Section 2.2.3.1: Windows-based clients and servers do not support CAP_PERSISTENT_HANDLES.</t>
  </si>
  <si>
    <t xml:space="preserve">[Capabilities: CAP_PERSISTENT_HANDLES 0x40000000]Reserved but not implemented.&lt;38&gt;
The server supports persistent handles.
</t>
  </si>
  <si>
    <t>[In Extended Security Response]ServerGUID (16 bytes): This knowledge can then be used to appropriately set the SMB_Parameters.Words.VcNumber field in the SMB_COM_SESSION_SETUP_ANDX request (see [MS-CIFS] section 2.2.4.53.1).&lt;39&gt;</t>
  </si>
  <si>
    <t>[In Extended Security Response]SecurityBlob (variable):A security binary large object (BLOB) that SHOULD contain an authentication token as produced by the GSS protocol (as specified in section 3.2.4.2.4 and [RFC2743]).&lt;40&gt;</t>
  </si>
  <si>
    <t>[In Extended Security Response]SecurityBlob (variable):A security binary large object (BLOB) that contains an authentication token as produced by the GSS protocol (as specified in section 3.2.4.2.4 and [RFC2743]) in Windows(except windows 2000).&lt;40&gt;</t>
  </si>
  <si>
    <t>&lt;39&gt; Section 2.2.4.5.2.1: Windows-based clients use the ServerGUID field.</t>
  </si>
  <si>
    <t>&lt;40&gt; Section 2.2.4.5.2.1: Windows 2000 Server returns null authentication token in the SecurityBlob field.</t>
  </si>
  <si>
    <t>[In Non-Extended Security Response]MaxBufferSize (4 bytes): This value does not account for any underlying transport-layer packet headers and thus does not account for the size of the complete network packet.&lt;41&gt;</t>
  </si>
  <si>
    <t>&lt;41&gt; Section 2.2.4.5.2.2: Windows-based servers default to a MaxBufferSize value of 16,644 bytes.</t>
  </si>
  <si>
    <t>&lt;41&gt; Section 2.2.4.5.2.2:Windows-based clients default to a MaxBufferSize value of 4,356 bytes.</t>
  </si>
  <si>
    <t>[In Non-Extended Security Response] Challenge (variable): This array MUST NOT be NULL-terminated.&lt;42&gt;</t>
  </si>
  <si>
    <t>&lt;42&gt; Section 2.2.4.5.2.2: Windows-based clients expect 8-byte cryptographic challenges.</t>
  </si>
  <si>
    <t>&lt;42&gt; Section 2.2.4.5.2.2: Windows-based servers provide 8-bit cryptographic challenges.</t>
  </si>
  <si>
    <t>[In Client Request Extensions]Capabilities (4 bytes):This field has the same structure as the SMB_Parameters.Capabilities field of the SMB_COM_NEGOTIATE Server Response specified in section 2.2.4.5.2.&lt;43&gt;</t>
  </si>
  <si>
    <t>[In Client Request Extensions]Capabilities (4 bytes): Servers MUST NOT check for Kerberos ticket expiry if the client does not support the CAP_DYNAMIC_REAUTH capability.&lt;44&gt;</t>
  </si>
  <si>
    <t>&lt;43&gt; Section 2.2.4.6.1: Windows-based servers only check for and store a small number of client capabilities:
 CAP_UNICODE
 CAP_LARGE_FILES
 CAP_NT_SMBS
 CAP_NT_FIND
 CAP_NT_STATUS
 CAP_EXTENDED_SECURITY
 CAP_LEVEL_II_OPLOCKS.</t>
  </si>
  <si>
    <t>&lt;43&gt; Section 2.2.4.6.1: Windows Server 2003, Windows Server 2003 R2, Windows Server 2008, and Windows Server 2008 R2 also check for CAP_DYNAMIC_REAUTH.</t>
  </si>
  <si>
    <t>&lt;44&gt; Section 2.2.4.6.1: Vista, Windows Server 2008, Windows 7, and Windows Server 2008 R2  clients set the CAP_DYNAMIC_REAUTH capability bit to indicate to the server that the client supports re-authentication when the Kerberos ticket for the session expires.</t>
  </si>
  <si>
    <t>&lt;44&gt; Section 2.2.4.6.1: Windows XP Windows Server 2003, Windows Server 2003 R2, Windows Vista, Windows Server 2008, Windows 7, and Windows Server 2008 R2 servers always perform re-authentication when the Kerberos ticket for the session expires, irrespective of whether the client has set the CAP_DYNAMIC_REAUTH flag or not.</t>
  </si>
  <si>
    <t>[In Client Request Extensions]NativeOS (variable):If the name string consists of Unicode characters, then this field MUST be aligned to start on a 2-byte boundary from the start of the SMB header.&lt;45&gt;</t>
  </si>
  <si>
    <t>[In Client Request Extensions]NativeLANMan (variable): If the name string consists of Unicode characters, then this field MUST be aligned to start on a 2-byte boundary from the start of the SMB header.&lt;46&gt;</t>
  </si>
  <si>
    <t xml:space="preserve">&lt;45&gt; Section 2.2.4.6.1: SMB clients set this field based upon the version and service pack level of the Windows operating system. </t>
  </si>
  <si>
    <t>&lt;45&gt; Section 2.2.4.6.1:A list of possible values for this field includes the following.</t>
  </si>
  <si>
    <t>&lt;45&gt; Section 2.2.4.6.1:Windows Vista, Windows Server 2008, Windows 7, and Windows Server 2008 R2 set this field to an empty string.</t>
  </si>
  <si>
    <t xml:space="preserve">&lt;46&gt; Section 2.2.4.6.1: Windows-based SMB clients set this field based upon the version of the Windows operating system. </t>
  </si>
  <si>
    <t>&lt;46&gt; Section 2.2.4.6.1:A list of possible values for this field includes the following:</t>
  </si>
  <si>
    <r>
      <t>[In Server Response Extensions]NativeOS (variable): If the name string consists of Unicode characters, this field MUST be aligned to start on a</t>
    </r>
    <r>
      <rPr>
        <sz val="11"/>
        <rFont val="Calibri"/>
        <family val="3"/>
        <charset val="134"/>
        <scheme val="minor"/>
      </rPr>
      <t xml:space="preserve"> 2-byte boundary from the start of the SMB header.&lt;47&gt; </t>
    </r>
  </si>
  <si>
    <r>
      <t>[In Server Response Extensions]NativeLANMan (variable): If the name string consists of Unicode characters, this field MUST be aligned to start on a 2-byte boundary from the start of the SMB header.</t>
    </r>
    <r>
      <rPr>
        <sz val="11"/>
        <rFont val="Calibri"/>
        <family val="3"/>
        <charset val="134"/>
        <scheme val="minor"/>
      </rPr>
      <t xml:space="preserve">&lt;48&gt; </t>
    </r>
  </si>
  <si>
    <t xml:space="preserve">&lt;47&gt; Section 2.2.4.6.2: Windows-based SMB servers set this field based upon the version and service pack level of the Windows operating system. </t>
  </si>
  <si>
    <t>&lt;47&gt; Section 2.2.4.6.2:The following table includes a list of possible values for this field.</t>
  </si>
  <si>
    <t xml:space="preserve">&lt;48&gt; Section 2.2.4.6.2: Windows-based SMB servers set this field based upon the version of the Windows operating system. </t>
  </si>
  <si>
    <t>&lt;48&gt; Section 2.2.4.6.2:The following table lists possible values for this field.</t>
  </si>
  <si>
    <t xml:space="preserve">[In Server Response Extensions]OptionalSupport (2 bytes):The client MAY&lt;49&gt; choose to satisfy file attribute queries from its cache and thus could present a slightly stale view of files on the share. </t>
  </si>
  <si>
    <t>[In Server Response Extensions]GuestMaximalShareAccessRights (4 bytes): Note that the notion of a guest account is implementation-specific.&lt;50&gt;</t>
  </si>
  <si>
    <t>&lt;49&gt; Section 2.2.4.7.2: SMB clients on Windows XP, Windows Vista, and Windows 7 client versions of Windows cache directory information if this bit is set on a share.</t>
  </si>
  <si>
    <t>&lt;49&gt; Section 2.2.4.7.2: Earlier client versions do not cache the directory information.</t>
  </si>
  <si>
    <t>&lt;49&gt; Section 2.2.4.7.2: SMB clients on all server versions of Windows do not cache directory information by default if this bit is set on a share.</t>
  </si>
  <si>
    <t>&lt;49&gt; Section 2.2.4.7.2: Caching directory information by SMB clients on Windows 2000 Server, Windows Server 2003, Windows Server 2003 R2, Windows Server 2008, and Windows Server 2008 R2 can be enabled via a Windows registry setting.</t>
  </si>
  <si>
    <t>&lt;49&gt; Section 2.2.4.7.2: Windows servers set this bit if any of the following are true:
The SHI1005_FLAGS_ALLOW_NAMESPACE_CACHING bit is set for the share, as described in [MS-SRVS] section 2.2.4.29.</t>
  </si>
  <si>
    <t>&lt;49&gt; Section 2.2.4.7.2: Windows servers set this bit if any of the following are true:
NoAliasingOnFilesystem registry key is set to 1 (enabled) on Windows Server 2003 with SP1, Windows Server 2003 R2, Windows Server 2008, or Windows Server 2008 R2.</t>
  </si>
  <si>
    <t>&lt;50&gt; Section 2.2.4.7.2: Windows-based clients and servers support the notion of a guest account and set this field to the access allowed for the guest account.</t>
  </si>
  <si>
    <t>[In Client Request Extensions]All other fields are as specified in [MS-CIFS] section 2.2.4.64.1.&lt;51&gt;</t>
  </si>
  <si>
    <t>&lt;51&gt; Section 2.2.4.9.1: Windows 7 and Windows Server 2008 R2 also support two new CreateOptions flags:FILE_OPEN_REQUIRING_OPLOCK (0x00010000),FILE_DISALLOW_EXCLUSIVE (0x00020000).</t>
  </si>
  <si>
    <t>&lt;51&gt; Section 2.2.4.9.1:All other Windows-based SMB servers[except Windows 7 and Windows 2008 R2 servers ] fail requests with the FILE_OPEN_REQUIRING_OPLOCK option set, and return STATUS_INVALID_PARAMETER in the Status field of the SMB header in the server response.</t>
  </si>
  <si>
    <r>
      <t>[In SMB_COM_NT_CREATE_ANDX Client Request]ImpersonationLevel (4 bytes): This field specifies the information given to the server about the client and how the server</t>
    </r>
    <r>
      <rPr>
        <strike/>
        <sz val="11"/>
        <rFont val="Calibri"/>
        <family val="3"/>
        <charset val="134"/>
        <scheme val="minor"/>
      </rPr>
      <t xml:space="preserve"> </t>
    </r>
    <r>
      <rPr>
        <sz val="11"/>
        <rFont val="Calibri"/>
        <family val="3"/>
        <charset val="134"/>
        <scheme val="minor"/>
      </rPr>
      <t>SHOULD&lt;52&gt; represent, or impersonate, the client.</t>
    </r>
  </si>
  <si>
    <t>&lt;52&gt; Section 2.2.4.9.1: Windows-based servers fail the request with STATUS_BAD_IMPERSONATION_LEVEL if the impersonation level is not one of SECURITY_ANONYMOUS, SECURITY_IDENTIFICATION, SECURITY_IMPERSONATION, or SECURITY_DELEGATION.</t>
  </si>
  <si>
    <t>duplicated with R9609, so delete it.</t>
  </si>
  <si>
    <t>[In Server Response Extensions]WordCount (1 byte):WordCount (1 bytes): This field SHOULD&lt;53&gt; be 0x32.</t>
  </si>
  <si>
    <t>&lt;53&gt; Section 2.2.4.9.2: Windows-based servers set this field to 0x2A, even though the prescribed 100 bytes (50 WORDs) are present in the SMB_Parameters.Words portion of the message.</t>
  </si>
  <si>
    <t>&lt;54&gt; Section 2.2.4.9.2: Windows-based servers no longer return the FileTypeCommDevice resource type that is listed in [MS-CIFS] section 2.2.4.64.2.</t>
  </si>
  <si>
    <r>
      <t>[In Server Response Extensions]ResourceType (2 bytes):  The file type. This field SHOULD&lt;54&gt; be interpreted as follows:[FileTypeDisk
0x0000 means File or Directory;FileTypeByteModePipe
0x0001 means Byte mode named pipe;FileTypeMessageModePipe
0x0002 means Message mode named pipe; FileTypePrinter
0x0003 means Printer Device;FileTypeUnknown
0xFFFF means Unknown file type.]</t>
    </r>
    <r>
      <rPr>
        <b/>
        <sz val="11"/>
        <color theme="1"/>
        <rFont val="Calibri"/>
        <family val="2"/>
        <scheme val="minor"/>
      </rPr>
      <t xml:space="preserve">
</t>
    </r>
  </si>
  <si>
    <t>[In Server Response Extensions]VolumeGUID (16 bytes): This field MUST 0 if the underlying file system does not support volume GUIDs.&lt;55&gt;</t>
  </si>
  <si>
    <t>MS-SMB_R11005</t>
  </si>
  <si>
    <t>&lt;55&gt; Section 2.2.4.9.2: Windows 2000 Server, Windows Server 2003, Windows Server 2003 R2, and Windows Server 2008 set the VolumeGUID field to zero.</t>
  </si>
  <si>
    <t>MS-SMB_R11006</t>
  </si>
  <si>
    <t>&lt;55&gt; Section 2.2.4.9.2: otherwise[Windows 2000 Server, Windows Server 2003, Windows Server 2003 R2, and Windows Server 2008 does not set the VolumeGUID field to zero], this field[VolumeGUID (16 bytes)] is uninitialized. The VolumeGUID field is ignored by Windows-based SMB clients.</t>
  </si>
  <si>
    <t>[In Server Response Extensions]FileId (8 bytes): If the underlying file system does support unique FileId numbers, this value SHOULD&lt;56&gt; be set to the unique FileId for this file.</t>
  </si>
  <si>
    <t xml:space="preserve">&lt;56&gt; Section 2.2.4.9.2: Windows 2000 Server, Windows Server 2003, Windows Server 2003 R2, and Windows Server 2008 set the FileId field to zero. </t>
  </si>
  <si>
    <t>&lt;56&gt; Section 2.2.4.9.2: The FileId field is ignored by Windows-based SMB clients.</t>
  </si>
  <si>
    <t>[In Server Response Extensions]GuestMaximalAccessRights (4 bytes): Implementations that do not support the notion of a guest account MUST set this field to zero.&lt;57&gt;</t>
  </si>
  <si>
    <t>&lt;57&gt; Section 2.2.4.9.2: Windows-based servers and clients support the notion of a guest account and set this field appropriately for the defined guest account rights.</t>
  </si>
  <si>
    <t>&lt;58&gt; Section 2.2.4.9.2: Windows Server 2003, Windows Server 2003 R2, and Windows Server 2008 set this field to zero.</t>
  </si>
  <si>
    <t>&lt;58&gt; Section 2.2.4.9.2:otherwise, this field can be sent uninitialized.</t>
  </si>
  <si>
    <t xml:space="preserve">[In Server Response Extensions]SMB_Data: 
ByteCount (2 bytes): This field SHOULD&lt;58&gt; be zero.
 </t>
  </si>
  <si>
    <t>[In TRANS_RAW_READ_NMPIPE (0x0036)]The status of this subcommand is obsolescent.&lt;59&gt;</t>
  </si>
  <si>
    <t>&lt;59&gt; Section 2.2.5.1: Windows-based clients never send this request.</t>
  </si>
  <si>
    <t>&lt;59&gt; Section 2.2.5.1: Windows-based servers fail this request with STATUS_INVALID_PARAMETER.</t>
  </si>
  <si>
    <t>[In TRANS_CALL_NMPIPE (0x0054)]The status of this subcommand is obsolescent.&lt;60&gt;</t>
  </si>
  <si>
    <t>&lt;60&gt; Section 2.2.5.2: Windows-based clients never send this request.</t>
  </si>
  <si>
    <t>&lt;61&gt; Section 2.2.6.1.1: Windows-based clients do not issue TRANS2_FIND_FIRST2 requests with the special @GMT-* pattern in the FileName field natively.</t>
  </si>
  <si>
    <t>&lt;61&gt; Section 2.2.6.1.1: Applications that run on Windows-based clients, however, are allowed to explicitly include the @GMT-* pattern in the pathname that they supply.</t>
  </si>
  <si>
    <t>&lt;62&gt; Section 2.2.6.1.1: Windows-based clients allow the @GMT-* wildcard to be sent using Information Levels other than SMB_COM_FIND_FILE_BOTH_DIRECTORY_INFO.</t>
  </si>
  <si>
    <t>&lt;63&gt; Section 2.2.6.4: Support for this subcommand was introduced in Windows 2000.</t>
  </si>
  <si>
    <t>&lt;64&gt; Section 2.2.6.4.2: Windows-based servers allow only pass-through Information Levels. Windows-based servers respond with STATUS_NOT_SUPPORTED for all other levels.</t>
  </si>
  <si>
    <t>&lt;65&gt; Section 2.2.7.1: Windows-based servers fail the request with STATUS_BAD_IMPERSONATION_LEVEL if the impersonation level is not one of SECURITY_ANONYMOUS, SECURITY_IDENTIFICATION, SECURITY_IMPERSONATION, or SECURITY_DELEGATION.</t>
  </si>
  <si>
    <t>&lt;66&gt; Section 2.2.7.2.1: Currently, only Windows Server 2003 with SP1, Windows Server 2003 R2, Windows Server 2008, and Windows Server 2008 R2 support these new FSCTLs.</t>
  </si>
  <si>
    <t>&lt;66&gt; Section 2.2.7.2.1: All Windows-based servers fail requests that contain these FSCTL codes with STATUS_NOT_SUPPORTED.</t>
  </si>
  <si>
    <t>&lt;67&gt; Section 2.2.7.2.1: A definitive list of Windows FSCTL and IOCTL control codes and their structures (if any) is specified in [MS-FSCC] section 2.3.</t>
  </si>
  <si>
    <t>&lt;68&gt; Section 2.2.7.2.1: Windows-based clients pass through undefined FSCTL/IOCTL operations to the server.</t>
  </si>
  <si>
    <t>&lt;68&gt; Section 2.2.7.2.1: Windows-based servers pass through most FSCTL/IOCTL requests that the server does not understand.</t>
  </si>
  <si>
    <t>&lt;68&gt; Section 2.2.7.2.1: The following FSCTLs[FSCTL_REQUEST_OPLOCK_LEVEL_1, FSCTL_REQUEST_OPLOCK_LEVEL_2,FSCTL_REQUEST_BATCH_OPLOCK,FSCTL_OPLOCK_BREAK_ACKNOWLEDGE,FSCTL_OPBATCH_ACK_CLOSE_PENDING,FSCTL_OPLOCK_BREAK_NOTIFY,FSCTL_MOVE_FILE,FSCTL_MARK_HANDLE,FSCTL_QUERY_RETRIEVAL_POINTERS,FSCTL_PIPE_ASSIGN_EVENT,FSCTL_GET_VOLUME_BITMAP,FSCTL_GET_NTFS_FILE_RECORD,FSCTL_INVALIDATE_VOLUMES]are explicitly blocked by the server and are failed with STATUS_NOT_SUPPORTED.</t>
  </si>
  <si>
    <t>&lt;68&gt; Section 2.2.7.2.1: The server blocks certain FSCTL requests by not passing them through to the underlying file system for processing.</t>
  </si>
  <si>
    <t>&lt;68&gt; Section 2.2.7.2.1: In turn, the file system can reject or process these requests. The IOCTL and FSCTL values expected to support specific client features are as specified in [MS-FSCC] section 2.3.</t>
  </si>
  <si>
    <t>&lt;68&gt; Section 2.2.7.2.1:Windows does not support USN journal calls because they require a volume handle.</t>
  </si>
  <si>
    <t>&lt;68&gt; Section 2.2.7.2.1:The following USN journal calls [FSCTL_READ_USN_JOURNAL,FSCTL_CREATE_USN_JOURNAL,FSCTL_QUERY_USN_JOURNAL,FSCTL_DELETE_USN_JOURNAL,FSCTL_ENUM_USN_DATA]are also failed with STATUS_NOT_SUPPORTED.</t>
  </si>
  <si>
    <t>&lt;68&gt; Section 2.2.7.2.1: The following FSCTLs[FSCTL_REQUEST_OPLOCK_LEVEL_1, FSCTL_REQUEST_OPLOCK_LEVEL_2,FSCTL_REQUEST_BATCH_OPLOCK,FSCTL_REQUEST_FILTER_OPLOCK,FSCTL_OPLOCK_BREAK_ACKNOWLEDGE,FSCTL_OPBATCH_ACK_CLOSE_PENDING,FSCTL_OPLOCK_BREAK_NOTIFY,FSCTL_MOVE_FILE,FSCTL_MARK_HANDLE,FSCTL_QUERY_RETRIEVAL_POINTERS,FSCTL_PIPE_ASSIGN_EVENT,FSCTL_GET_VOLUME_BITMAP,FSCTL_GET_NTFS_FILE_RECORD,FSCTL_INVALIDATE_VOLUMES,FSCTL_READ_USN_JOURNAL,FSCTL_CREATE_USN_JOURNAL,FSCTL_QUERY_USN_JOURNAL,FSCTL_DELETE_USN_JOURNAL,FSCTL_ENUM_USN_DATA,FSCTL_QUERY_DEPENDENT_VOLUME,FSCTL_SD_GLOBAL_CHANGE,FSCTL_GET_BOOT_AREA_INFO,FSCTL_GET_RETRIEVAL_POINTER_BASE,FSCTL_SET_PERSISTENT_VOLUME_STATE,FSCTL_QUERY_PERSISTENT_VOLUME_STATE,FSCTL_REQUEST_OPLOCK,FSCTL_TXFS_MODIFY_RM,FSCTL_TXFS_QUERY_RM_INFORMATION,FSCTL_TXFS_ROLLFORW ARD_REDO,FSCTL_TXFS_ROLLFORWARD_UNDO,FSCTL_TXFS_START_RM,FSCTL_TXFS_SHUTDOWN_RM,FSCTL_TXFS_READ_BACKUP_INFORMATION,FSCTL_TXFS_WRITE_BACKUP_INFORMATION,FSCTL_TXFS_WRITE_BACKUP_INFORMATION,FSCTL_TXFS_CREATE_SECONDARY_RM,FSCTL_TXFS_GET_METADATA_INFO,FSCTL_TXFS_GET_TRANSACTED_VERSION,FSCTL_TXFS_SAVEPOINT_INFORMATION,FSCTL_TXFS_CREATE_MINIVERSION,FSCTL_TXFS_TRANSACTION_ACTIVE,FSCTL_TXFS_LIST_TRANSACTIONS,FSCTL_TXFS_READ_BACKUP_INFORMATION2,FSCTL_TXFS_WRITE_BACKUP_INFORMATION2]are explicitly blocked by Windows Server 2008 R2 and are not passed through to the object store. They are failed with STATUS_NOT_SUPPORTED.</t>
  </si>
  <si>
    <t>[In Client Request Extensions]FileName (variable): This field is extended to support use of the @GMT token wildcard (section 2.2.1.1.1).&lt;61&gt;</t>
  </si>
  <si>
    <t>[In Client Request Extensions]FileName (variable): If this character sequence contains the @GMT-* wildcard, Trans2_Data.InformationLevel SHOULD be set to SMB_FIND_FILE_BOTH_DIRECTORY_INFO.&lt;62&gt;</t>
  </si>
  <si>
    <t>[In TRANS2_SET_FS_INFORMATION (0x0004)]This subcommand was introduced in the LAN Manager 2.0 dialect.&lt;63&gt;</t>
  </si>
  <si>
    <t>[In Server Response]The server MUST set an error code in the Status field of the SMB header of the response to indicate whether the read from the named pipe was successful or failed.&lt;64&gt;</t>
  </si>
  <si>
    <t>[In  Client Request Extensions]The FSCTL operations listed in the table below are new to these extensions and only those are specific to the SMB protocol.&lt;66&gt;</t>
  </si>
  <si>
    <t>[In  Client Request Extensions]Other FSCTL and IOCTL control codes are not defined in this specification and are specific to the underlying object store of the server.&lt;67&gt;</t>
  </si>
  <si>
    <t>[In  Client Request Extensions]Server implementations that receive undefined FSCTL or IOCTL operation requests MUST either pass the operation code and data (if any) through to the underlying object store or fail the operation by returning STATUS_NOT_SUPPORTED.&lt;68&gt;</t>
  </si>
  <si>
    <t>[In  Client Request Extensions]FSCTL_SRV_REQUEST_RESUME_KEY:Retrieve an opaque file reference for server-side data movement.&lt;69&gt;</t>
  </si>
  <si>
    <t>&lt;69&gt; Section 2.2.7.2.1: Currently, only Windows Server 2003 with SP1, Windows Server 2003 R2, Windows Server 2008, and Windows Server 2008 R2 support this FSCTL.</t>
  </si>
  <si>
    <t>&lt;69&gt; Section 2.2.7.2.1:All other Windows-based servers fail the request with STATUS_NOT_SUPPORTED.</t>
  </si>
  <si>
    <t>[In  Client Request Extensions]FSCTL_SRV_COPYCHUNK:Perform server-side data movement.&lt;70&gt;</t>
  </si>
  <si>
    <t>&lt;70&gt; Section 2.2.7.2.1: Currently, only Windows Server 2003 with SP1, Windows Server 2003 R2, Windows Server 2008, and Windows Server 2008 R2 servers support this FSCTL.</t>
  </si>
  <si>
    <t>&lt;70&gt; Section 2.2.7.2.1: All other Windows-based servers fail the request with STATUS_NOT_SUPPORTED.</t>
  </si>
  <si>
    <t>&lt;71&gt; Section 2.2.7.2.1: Windows-based Servers return a STATUS_INVALID_PARAMETER error if the value of MaxDataCount is less than 0x10 bytes.</t>
  </si>
  <si>
    <t>[In  Client Request Extensions]MaxDataCount (4 bytes): This field MUST be greater than or equal to 0x000D.&lt;71&gt;</t>
  </si>
  <si>
    <t>[In SRV_COPYCHUNK]Reserved (4 bytes):  This field SHOULD&lt;72&gt; be set to zero by the client.</t>
  </si>
  <si>
    <t>&lt;72&gt; Section 2.2.7.2.1.1: Windows-based clients do not initialize the Reserved field to zero.</t>
  </si>
  <si>
    <t>&lt;73&gt; Section 2.2.7.2.2.2: Windows based servers include the Context field but do not initialize it.</t>
  </si>
  <si>
    <t>&lt;73&gt; Section 2.2.7.2.2.2:Given that they also always set the ContextLength field to zero, it is not possible to determine what values a server uses for this field.</t>
  </si>
  <si>
    <t>&lt;73&gt; Section 2.2.7.2.2.2:However, this field is treated as junk bytes at the end of the message and is safely ignored by clients.</t>
  </si>
  <si>
    <t>[In FSCTL_SRV_REQUEST_RESUME_KEY Response]Context (variable): Since this feature is not used, this field SHOULD NOT&lt;73&gt; be included in the response.</t>
  </si>
  <si>
    <t>[In SMB_FIND_FILE_ID_FULL_DIRECTORY_INFO]The fields and encoding of the TRANS2_FIND_FIRST2 SMB_FIND_FILE_ID_FULL_DIRECTORY_INFO Information Level response message are identical to the fields and encoding of the TRANS2_FIND_FIRST2 SMB_FIND_FILE_FULL_DIRECTORY_INFO Information Level response, as specified in [MS-CIFS] section 2.2.6.2.2, with the addition of the FileId field described in the list that follows the table in this section.&lt;74&gt;</t>
  </si>
  <si>
    <t>&lt;74&gt; Section 2.2.8.1.2: The SMB_FIND_FILE_ID_FULL_DIRECTORY_INFO Information Level was introduced in Windows Server 2003 and is not present in Windows server 2000 and Windows XP.</t>
  </si>
  <si>
    <t>&lt;75&gt; Section 2.2.8.1.3: The SMB_FIND_FILE_ID_BOTH_DIRECTORY_INFO Information Level was introduced in Windows Server 2003 and is not present in Windows server 2000 and Windows XP.</t>
  </si>
  <si>
    <t>[In SMB_FIND_FILE_ID_BOTH_DIRECTORY_INFO]The fields and encoding of the TRANS2_FIND_FIRST2 SMB_FIND_FILE_ID_BOTH_DIRECTORY_INFO Information Level response message are identical to the fields and encoding of SMB_FIND_FILE_BOTH_DIRECTORY_INFO Information Level, as specified in [MS-CIFS], section 2.2.6.2.2, with the addition of the Reserved2 and FileId fields described in the list that follows the table.&lt;75&gt;</t>
  </si>
  <si>
    <t>[In SMB_QUERY_FS_ATTRIBUTE_INFO]For this Information Level, the server checks the FileSystemAttributes field and remove the attribute flags that are not supported by the underlying object store before sending the response to the client in Windows.&lt;76&gt;</t>
  </si>
  <si>
    <t>[In SET Information level Extensions]No new SMB-specific Information Levels are specified for these extensions.&lt;77&gt;</t>
  </si>
  <si>
    <t>&lt;76&gt; Section 2.2.8.2.1: The following attribute flags are removed by the Windows Server 2008 R2 SMB server before sending the attribute data block to the client:
FILE_SUPPORTS_TRANSACTIONS
,FILE_SUPPORTS_OPEN_BY_FILE_ID.</t>
  </si>
  <si>
    <t>&lt;77&gt; Section 2.2.8.4: Windows-based servers return a slightly altered form of the FILE_LINK_INFORMATION structure (specified in [MS-FSCC] section 2.4.21), called an SMB_FILE_LINK_INFORMATION structure, for the FileLinkInformation Information Class.</t>
  </si>
  <si>
    <t>&lt;77&gt; Section 2.2.8.4: The FileLinkInformation Information Class is used to create an NT file system (NTFS) hard link to an existing file.</t>
  </si>
  <si>
    <t>&lt;77&gt; Section 2.2.8.4: ReplaceIfExists (1 byte): A BOOLEAN value.</t>
  </si>
  <si>
    <t>&lt;77&gt; Section 2.2.8.4: ReplaceIfExists (1 byte): If a target exists and ReplaceIfExists is FALSE, then the operation must be failed with STATUS_OBJECT_NAME_COLLISION.</t>
  </si>
  <si>
    <t>&lt;77&gt; Section 2.2.8.4: ReplaceIfExists (1 byte): If the target exists and ReplaceIfExists is TRUE, then the server should attempt to replace the target.</t>
  </si>
  <si>
    <t>&lt;77&gt; Section 2.2.8.4: Reserved (3 bytes): This field should be set to zero by the client.</t>
  </si>
  <si>
    <t>&lt;77&gt; Section 2.2.8.4: Reserved (3 bytes): This field must be ignored by the server.</t>
  </si>
  <si>
    <t>&lt;77&gt; Section 2.2.8.4: Reserved (3 bytes): reply is the same whether zero or non-zero</t>
  </si>
  <si>
    <t>&lt;77&gt; Section 2.2.8.4: RootDirectory (4 bytes): A 32-bit unsigned integer that contains the file handle for the directory where the link is to be created.</t>
  </si>
  <si>
    <t>&lt;77&gt; Section 2.2.8.4: RootDirectory (4 bytes): This value must be zero.</t>
  </si>
  <si>
    <t>&lt;77&gt; Section 2.2.8.4: FileNameLength (4 bytes): A 32-bit unsigned integer that contains the length, in bytes, of the FileName field.</t>
  </si>
  <si>
    <t>&lt;77&gt; Section 2.2.8.4: FileName (variable): A sequence of UNICODE characters that contain the name to be assigned to the newly-created link.</t>
  </si>
  <si>
    <t>&lt;77&gt; Section 2.2.8.4: FileName (variable): When working with the FileName field, use FileNameLength to determine the length of the file name rather than assuming the presence of a trailing null delimiter.</t>
  </si>
  <si>
    <t>&lt;77&gt; Section 2.2.8.4: FileName (variable): If the RootDirectory field is NULL and the link is to be created in a different directory from the file that is being linked to, then this field specifies the full path name for the link to be created.</t>
  </si>
  <si>
    <t>&lt;77&gt; Section 2.2.8.4: FileName (variable): otherwise[If the RootDirectory field is not NULL or the link is not to be created in a different directory from the file that is being linked to], it specifies only the file name.</t>
  </si>
  <si>
    <t>[In Sending Any Message]Processing of any message is handled as specified in [MS-CIFS] section 3.1.4.1 with the following additions: The MD5 algorithm, as specified in [RFC1321], MUST be used to generate a hash of the SMB message (from the start of the SMB_Header), which is defined as follows.&lt;78&gt;
IF ConnectionSigningUseNTLMChallengeResponse THEN
   CALL MD5Init( md5context )
   CALL MD5Update( md5context, ConnectionSigningSessionKey )
   CALL MD5Update( md5context, 
                   ConnectionSigningNTLMChallengeResponse )
   CALL MD5Update( md5context, SMB message )
   CALL MD5Final( digest, md5context )
ELSE
   CALL MD5Init( md5context )
   CALL MD5Update( md5context, ConnectionSigningSessionKey )
   CALL MD5Update( md5context, SMB message )
   CALL MD5Final( digest, md5context )
END IF
SET signature TO first 8 bytes of digest</t>
  </si>
  <si>
    <t>[In Sending Any Message] &lt;78&gt; Section 3.1.4.1: Windows SMB servers use the entire session key for signing if the session key length is equal to or greater than 16.</t>
  </si>
  <si>
    <t>[In Sending Any Message] &lt;78&gt; Section 3.1.4.1: Windows SMB  servers pad the session key with zero up to 16 bytes if the session key length is less than 16.</t>
  </si>
  <si>
    <t>[In Receiving Any Message]  Processing of any message is handled as specified in [MS-CIFS] section 3.1.5.1 with the following additions: The MD5 algorithm, as specified in [RFC1321], SHOULD be used as follows.&lt;79&gt;
IF ( Connection.SigningChallengeResponse != NULL ) THEN
   CALL MD5Init( md5context )
   CALL MD5Update( md5context, Connection.SigningSessionKey )
   CALL MD5Update( md5context, 
                   Connection.SigningChallengeResponse ) 
   CALL MD5Update( md5context, SMB message )
   CALL MD5Final( digest, md5context )
ELSE
   CALL MD5Init( md5context )
   CALL MD5Update( md5context, Connection.SigningSessionKey )
   CALL MD5Update( md5context, SMB message )
   CALL MD5Final( digest, md5context )
END IF
SET the signature TO the first 8 bytes of the digest</t>
  </si>
  <si>
    <t>[In Receiving Any Message] &lt;79&gt;  Section 3.1.5.1: Windows SMB servers use the entire session key for signing if the session key length is equal to or greater than 16.</t>
  </si>
  <si>
    <t xml:space="preserve"> [In Receiving Any Message] &lt;79&gt;Section 3.1.5.1: Windows SMB servers pad the session key with zero up to 16 bytes if the session key length is less than 16.</t>
  </si>
  <si>
    <r>
      <t>[In Per SMB Connecti</t>
    </r>
    <r>
      <rPr>
        <sz val="11"/>
        <rFont val="Calibri"/>
        <family val="2"/>
        <scheme val="minor"/>
      </rPr>
      <t>on]Client.Connection.</t>
    </r>
    <r>
      <rPr>
        <sz val="11"/>
        <color theme="1"/>
        <rFont val="Calibri"/>
        <family val="2"/>
        <scheme val="minor"/>
      </rPr>
      <t>ServerGUID: A GUID generated by the server to uniquely identify this server.</t>
    </r>
  </si>
  <si>
    <t xml:space="preserve">[In Initialization] The following values MUST be initialized at system startup:
Client.MessageSigningPolicy and Client.SupportsExtendedSecurity MUST be set based on system policy.&lt;80&gt; </t>
  </si>
  <si>
    <t>[In Initialization] &lt;80&gt; Section 3.2.3: Client.SupportsExtendedSecurity is TRUE for Windows- based clients.</t>
  </si>
  <si>
    <t>[In Scanning a Path for a Previous Version Token] If a previous version token is present in the pathname as a directory element or a final target, the client SHOULD&lt;81&gt; set the SMB_FLAGS2_REPARSE_PATH flag in the SMB header of the request.</t>
  </si>
  <si>
    <t>[In Scanning a Path for a Previous Version Token] &lt;81&gt; Section 3.2.4.1.1: Windows XP, Windows Vista, Windows Server 2003, Windows Server 2003 R2, Windows Server 2008, Windows 7, and Windows Server 2008 R2 clients scan pathnames for previous version tokens and set the SMB_FLAGS2_REPARSE_PATH flag if a token is found.</t>
  </si>
  <si>
    <t>[In Dialect Negotiation] Processing of this event is handled as specified in [MS-CIFS] section 3.2.4.2.2, with the following additions:
Require Message Signing
If the client's Client.MessageSigningPolicy is "Required", the client SHOULD&lt;82&gt; set the SMB_FLAGS2_SMB_SECURITY_SIGNATURE_REQUIRED bit in the Flags2 field of the SMB_COM_NEGOTIATE request SMB header to indicate that the client MUST refuse to connect if signing is not used.</t>
  </si>
  <si>
    <t>[In Dialect Negotiation] &lt;82&gt; Section 3.2.4.2.2: Windows XP SP3-based clients set the SMB_FLAGS2_SMB_SECURITY_SIGNATURE_REQUIRED bit in the Flags2 field of the SMB header of a Session Setup request.</t>
  </si>
  <si>
    <t>[In Dialect Negotiation] &lt;82&gt; Section 3.2.4.2.2: Windows Vista-based SMB clients set the SMB_FLAGS2_SMB_SECURITY_SIGNATURE_REQUIRED bit in the Flags2 field of the SMB header of a Session Setup request.</t>
  </si>
  <si>
    <t>[In User Authentication] &lt;83&gt; Section 3.2.4.2.4: Windows -based SMB clients use the same connection for all authentications other than terminal services. Connections configured for terminal services use one connection per user.</t>
  </si>
  <si>
    <t>[In User Authentication,Processing of this event is handled as specified in [MS-CIFS] section 3.2.4.2.4, with the following additions:
If Client.Connection.ShareLevelAccessControl is FALSE: The client searchs for a valid Session by either a security context or a UID representing the user.] If there is no connection with a Session for this user, then the client MAY&lt;83&gt; select any connection to the server and continue processing.</t>
  </si>
  <si>
    <t xml:space="preserve">[In User Authentication] Signing:
The client-global Client.MessageSigningPolicy MUST be compared against the selected Client.Connection.ServerSigningState, as per the following table[matrix of Client Signing State and Server Signing State]. </t>
  </si>
  <si>
    <t>[In User Authentication]Signing: If the result is Blocked, the underlying transport connection MUST be closed.&lt;84&gt;</t>
  </si>
  <si>
    <t>[In User Authentication] &lt;84&gt; Section  3.2.4.2.4: Windows no longer supports the "Disabled" state[of Signing State].</t>
  </si>
  <si>
    <t>[In User Authentication] &lt;84&gt; Section 3.2.4.2.4: Windows clients only support "Disabled Unless Required"[of Client Signing State].</t>
  </si>
  <si>
    <t>[In User Authentication] &lt;84&gt; Section 3.2.4.2.4: Windows servers only support "Disabled Unless Required"[of Server Signing State].</t>
  </si>
  <si>
    <t>[In User Authentication] &lt;84&gt; Section 3.2.4.2.4: Windows servers supports "Disabled Unless Required"[of Server Signing State].</t>
  </si>
  <si>
    <t>[In User Authentication] &lt;84&gt; Section  3.2.4.2.4: This change[Signing] has been implemented in Windows XP, Windows Server 2003, Windows Server2003 R2, Windows Server 2008, Windows 7,  and Windows Server 2008 R2.</t>
  </si>
  <si>
    <t>[In User Authentication]Extended Security: The client MUST do one of the following:
Pass the Client.Connection.GSSNegotiateToken (if valid) to the configured GSS authentication mechanism to obtain a GSS output token for the authentication protocol exchange.
-OR-
Choose to ignore the Client.Connection.GSSNegotiateToken received from the server, and give an empty input token to the configured GSS authentication protocol to obtain a GSS output token for the authentication protocol exchange.&lt;85&gt;</t>
  </si>
  <si>
    <t>[In User Authentication] &lt;85&gt; Section 3.2.4.2.4: Windows-based clients implement this option.</t>
  </si>
  <si>
    <t>[In User Authentication] Extended Security: The client MUST set the MutualAuth and Delegate options which are specified in [MS-KILE] section 3.2.1.&lt;86&gt;</t>
  </si>
  <si>
    <t>[In User Authentication] &lt; 86&gt; Section Windows-based clients support extended security.</t>
  </si>
  <si>
    <t>[In User Authentication] &lt;86&gt; Section 3.2.4.2.4: Windows systems implement the first option previously described [Pass the GSSNegotiateToken (if valid) to the configured GSS authentication mechanism to obtain a GSS output token for the authentication protocol exchange.].</t>
  </si>
  <si>
    <t>[In Sequence Diagram]Session Setup Roundtrip: All additional SMB session setup round trips follow the same sequence details as Session Setup Round Trip, as described earlier in this topic.&lt;87&gt;</t>
  </si>
  <si>
    <t>[In Sequence Diagram] &lt;87&gt; Section 3.2.4.2.4.1: Windows-based SMB clients are configured by default to not send plain text passwords.</t>
  </si>
  <si>
    <r>
      <rPr>
        <sz val="11"/>
        <rFont val="Calibri"/>
        <family val="3"/>
        <charset val="134"/>
        <scheme val="minor"/>
      </rPr>
      <t>[In Sequence Diagram] &lt;87&gt; Section 3.2.4.2.4.1: Sending plain</t>
    </r>
    <r>
      <rPr>
        <strike/>
        <sz val="11"/>
        <rFont val="Calibri"/>
        <family val="3"/>
        <charset val="134"/>
        <scheme val="minor"/>
      </rPr>
      <t>-</t>
    </r>
    <r>
      <rPr>
        <sz val="11"/>
        <rFont val="Calibri"/>
        <family val="3"/>
        <charset val="134"/>
        <scheme val="minor"/>
      </rPr>
      <t>text passwords can be configured via a registry setting.</t>
    </r>
  </si>
  <si>
    <t xml:space="preserve">[In Connecting to the Share (Tree Connect)] Processing of this event is handled as specified in [MS-CIFS] section 3.2.4.2.5, with the following additions:
If a tree connect is already established to the target share in Client.Connection.TreeConnectTable, then it SHOULD&lt;88&gt; be reused. </t>
  </si>
  <si>
    <t>[In Connecting to the Share (Tree Connect)] &lt;88&gt; Section 3.2.4.2.5: Windows-based servers establish a new tree connect for each session even if the target share is the same.</t>
  </si>
  <si>
    <t>[In Connecting to the Share (Tree Connect)]Session Key Protection: The client can request Client.Session.SessionKey protection by setting the TREE_CONNECT_ANDX_EXTENDED_SIGNATURES flag in the Flags field of the SMB_COM_TREE_CONNECT_ANDX request to TRUE.&lt;89&gt;</t>
  </si>
  <si>
    <t>[In Connecting to the Share (Tree Connect)] &lt;89&gt; Section 3.2.4.2.5:  Windows Server 2003, Windows Server 2003 R2, Windows Server 2008, and  Windows Server 2008 R2 request Client.Session.SessionKey protection.</t>
  </si>
  <si>
    <t>[In Connecting to the Share (Tree Connect)] &lt;90&gt; Section 3.2.4.2.5:Windows-based clients request extended information responses.</t>
  </si>
  <si>
    <t>[In Connecting to the Share (Tree Connect)]Extended Information Response: The client SHOULD&lt;90&gt; request extended information in the response by setting the TREE_CONNECT_ANDX_EXTENDED_RESPONSE flag in the Flags field of the SMB_COM_TREE_CONNECT_ANDX request to TRUE, as defined in section 2.2.4.3.2.</t>
  </si>
  <si>
    <t>[In Application Requests Opening a File,The processing of this event is handled as specified in [MS-CIFS] sections 3.2.4.5 and 3.2.4.6, with the following additions:]The client can issue either an SMB_COM_NT_CREATE_ANDX request or an SMB_COM_OPEN_ANDX request to make use of these extensions, as specified in section 3.2.4.3.1.&lt;91&gt;</t>
  </si>
  <si>
    <t>[In Application Requests Opening a File] &lt; 91&gt; Section 3.2.4.3:  Windows -based clients clients issue an SMB_COM_NT_CREATE_ANDX request for the NT LM 0.12 dialect for which all the extensions here are described.</t>
  </si>
  <si>
    <t>[In SMB_COM_OPEN_ANDX Request (deprecated)]&lt;92&gt; Section 3.2.4.3.2: Windows-based clients do not use this flag.</t>
  </si>
  <si>
    <t>[In SMB_COM_OPEN_ANDX Request (deprecated)] If the application is requesting an extended server response, then the client SHOULD&lt;92&gt; set the SMB_OPEN_EXTENDED_RESPONSE flag in the SMB_Parameters.Flags field of the request.</t>
  </si>
  <si>
    <t>[In Application Requests Reading from a File, Named Pipe, or Device,Processing of this event is handled as specified in [MS-CIFS] section 3.2.4.13, with the following additions:The SMB_COM_READ_ANDX command request has been extended as specified below.
Timeout_or_MaxCountHigh:] The client MUST set the Timeout field either to a time-out value in milliseconds, or to 0xFFFFFFFF.&lt;93&gt;</t>
  </si>
  <si>
    <t>[In Application Requests Reading from a File, Named Pipe, or Device] &lt;93&gt; Section 3.2.4.4: Windows-based clients set the Timeout field to 0xFFFFFFFF on pipe reads.</t>
  </si>
  <si>
    <t>[In Large Read Support] &lt;94&gt; Section 3.2.4.4.1: Windows-based clients issue large reads if the server supports them.</t>
  </si>
  <si>
    <t>[In Large Read Support] Otherwise[If the CAP_LARGE_READX bit is not set in Client.Connection.ServerCapabilities], the client MUST split the read into multiple requests in order to retrieve the entire amount of data.&lt;94&gt;</t>
  </si>
  <si>
    <t xml:space="preserve">[In Application Requests a Directory Enumeration]Enumerating Previous Versions: The client MAY&lt;95&gt; fail such requests or simply send the requests to the server. </t>
  </si>
  <si>
    <t>[In Application Requests a Directory Enumeration] &lt;95&gt; Section 3.2.4.6: Windows-based clients  send these requests[SMB_COM_TRANSACTION2 request] to the server regardless of the  Information Level provided in the request.</t>
  </si>
  <si>
    <t>[In Application Requests Querying File Attributes] Pass-through Information Levels: If the CAP_INFOLEVEL_PASSTHRU bit in Client.Connection.ServerCapabilities is set, and the application query is for a file information class (see [MS-FSCC] section 2.4 for possible values), then the client MAY increment the Information Level value by SMB_INFO_PASSTHROUGH (0x03e8).</t>
  </si>
  <si>
    <t>[In Application Requests Querying File Attributes]Pass-through Information Levels:Otherwise[If the CAP_INFOLEVEL_PASSTHRU bit in Client.Connection.ServerCapabilities is not set], it MUST choose an appropriate, existing SMB Information Level and reconstruct the information required by the application.&lt;96&gt;</t>
  </si>
  <si>
    <t>[In Application Requests Querying File Attributes]Pass-through Information Levels:Otherwise[if the application query is not for a native Windows NT information file information class (see [MS-FSCC] section 2.4 for possible values)], it MUST choose an appropriate, existing SMB Information Level and reconstruct the information required by the application.&lt;96&gt;</t>
  </si>
  <si>
    <t>[In Application Requests Querying File Attributes] &lt;96&gt; Section 3.2.4.7: Windows-based clients use pass-through Information Levels if available.</t>
  </si>
  <si>
    <t>[In Application Requests Querying File Attributes] &lt;97&gt; Section 3.2.4.7:  Windows-based Servers  return a STATUS_INVALID_PARAMETER error if the  FID field in the client request[SMB_COM_TRANSACTION2 request] is on an SMB share that does not support streams.</t>
  </si>
  <si>
    <t>[In Application Requests Querying File Attributes] &lt;98&gt; Section 3.2.4.7:  Windows-based Servers  return a STATUS_INVALID_PARAMETER error if the FileName field in the client request[SMB_COM_TRANSACTION2 request] is on an SMB share that does not support streams .</t>
  </si>
  <si>
    <t>[In Application Requests Setting File Attributes] Pass-Through Information Levels:If the CAP_INFOLEVEL_PASSTHRU bit in Client.Connection.ServerCapabilities is set and the application query is for a file information class (see [MS-FSCC] section 2.4 for possible values), then the client MAY increment the level value by SMB_INFO_PASSTHROUGH (0x03e8).</t>
  </si>
  <si>
    <t>[In Application Requests Setting File Attributes] Pass-Through Information Levels:Otherwise[If the CAP_INFOLEVEL_PASSTHRU bit in Client.Connection.ServerCapabilities is not set], it[the client] MUST reconstruct the information required by the application.&lt;99&gt;</t>
  </si>
  <si>
    <t>[In Application Requests Setting File Attributes] Pass-Through Information Levels:Otherwise[if the application query is not for a native Windows NT information file information class (see [MS-FSCC] section 2.4 for possible values)], it [the client] MUST reconstruct the information required by the application.&lt;99&gt;</t>
  </si>
  <si>
    <t>[In Application Requests Setting File Attributes] &lt;99&gt; Section 3.2.4.8: Windows-based clients use pass-through Information Levels if available.</t>
  </si>
  <si>
    <t>[In Application Requests Querying File System Attributes,The processing of this event is handled as specified in [MS-CIFS] section 3.2.4.25, with the following additions:] If the CAP_INFOLEVEL_PASSTHRU bit in Client.Connection.ServerCapabilities is set and the application query is for a file information class (see [MS-FSCC] section 2.5 for possible values), then the client MAY increment the Information Level value by SMB_INFO_PASSTHROUGH (0x03e8).</t>
  </si>
  <si>
    <t>[In Application Requests Querying File System Attributes,The processing of this event is handled as specified in [MS-CIFS] section 3.2.4.25, with the following additions:] Otherwise[If the CAP_INFOLEVEL_PASSTHRU bit in Client.Connection.ServerCapabilities is not set], it[the client] MUST reconstruct the information that is required by the application.&lt;100&gt;</t>
  </si>
  <si>
    <t>[In Application Requests Querying File System Attributes,The processing of this event is handled as specified in [MS-CIFS] section 3.2.4.25, with the following additions:] Otherwise[if the application query is not for a native Windows NT file information class (see [MS-FSCC] section 2.5 for possible values)], it[the client] MUST reconstruct the information that is required by the application.&lt;100&gt;</t>
  </si>
  <si>
    <t>[In Application Requests Querying File System Attributes] &lt;100&gt; Section 3.2.4.9: Windows-based clients use pass-through Information Levels, if available.</t>
  </si>
  <si>
    <t xml:space="preserve">[In Application Requests Sending an I/O Control to a File or Device] Processing of this event is handled as specified in [MS-CIFS] section 3.2.4.22, with the following additions:
A list of FSCTLs is specified in [MS-FSCC] section 2.3. </t>
  </si>
  <si>
    <t xml:space="preserve">[In Application Requests Enumerating Available Previous Versions]An application can request that a client retrieve an enumeration of available previous version time stamps for a share by issuing the FSCTL_SRV_ENUMERATE_SNAPSHOTS control code, as specified in section 2.2.7.2.1.&lt;101&gt; </t>
  </si>
  <si>
    <t>[In Application Requests Enumerating Available Previous Versions] &lt;101&gt; Section 3.2.4.11.1:  Windows XP, Windows Vista, and Windows 7 clients use this FSCTL. Windows 2000-based clients can use this FSCTL if the previous versions' down-level application is installed on them.</t>
  </si>
  <si>
    <t>[In Application Requests Querying of DFS Referral] &lt; 102&gt; Section 3.2.4.12: Windows XP SP3, Windows Server 2003 with SP1, Windows Server 2003 R2, Windows Vista,Windows Server 2008, Windows 7,and Windows Server 2008 R2 clients support DFS.</t>
  </si>
  <si>
    <t>[In Application Requests Querying DFS Referrals] Processing of this event is handled as specified in [MS-CIFS] section 3.2.4.44.&lt;102&gt;</t>
  </si>
  <si>
    <t>[In  Receiving Any Message]Signing: The client SHOULD&lt;103&gt; disconnect the underlying connection and tear down all states associated with this connection.</t>
  </si>
  <si>
    <t>[In Receiving Any Message] &lt;103&gt; Section 3.2.5.1: Windows-based servers fail incorrectly signed packets with ACCESS_DENIED but do not terminate the connection.</t>
  </si>
  <si>
    <t xml:space="preserve">[In Receiving an SMB_COM_NEGOTIATE Response] &lt;104&gt; Section 3.2.5.2: Windows-based SMB servers support Extended Security. </t>
  </si>
  <si>
    <t xml:space="preserve">[In Receiving an SMB_COM_NEGOTIATE Response] &lt;104&gt; Section 3.2.5.2: They all are configured to use SPNEGO, as specified in [RFC4178], as their GSS authentication protocol. </t>
  </si>
  <si>
    <t>[In Receiving an SMB_COM_NEGOTIATE Response] &lt;104&gt; Section 3.2.5.2: Windows operating systems that use extended security send a GSS token (or fragment) if their SPNEGO implementation supports it.</t>
  </si>
  <si>
    <t>[In Receiving an SMB_COM_NEGOTIATE Response] &lt;104&gt; Section 3.2.5.2: See [RFC4178] for details on Windows behavior.</t>
  </si>
  <si>
    <t>[In Receiving an SMB_COM_NEGOTIATE Response]Storing extended security token: If the capabilities returned in the SMB_COM_NEGOTIATE response include CAP_EXTENDED_SECURITY, the client MUST set the Client.Connection.GSSNegotiateToken to the value returned in the SecurityBlob field in the SMB_COM_NEGOTIATE server response.&lt;104&gt;</t>
  </si>
  <si>
    <t>[In Receiving an SMB_COM_SESSION_SETUP_ANDX Response]NTLM Authentication: If the CAP_EXTENDED_SECURITY bit in Client.Connection.ServerCapabilities is not set, then the client processes the response.&lt;105&gt;</t>
  </si>
  <si>
    <t>[In Receiving an SMB_COM_SESSION_SETUP_ANDX Response] &lt;105&gt; Section 3.2.5.3: Windows Vista SP1, Windows Server 2008, Windows 7, and Windows Server 2008 R2 servers fail a non-extended security session setup request with STATUS_INVALID_PARAMETER if the registry key is either missing or set to zero.</t>
  </si>
  <si>
    <t>[In Receiving an SMB_COM_TREE_CONNECT_ANDX Response]Session Key Protection: [In the step of Calculate the one-way hash] The resulting 16-byte digest is treated as the user's new session key and returned to any appropriate caller who requests it.</t>
  </si>
  <si>
    <t>[In Receiving an SMB_COM_NT_CREATE_ANDX Response,The processing of an SMB_COM_NT_CREATE_ANDX response is handled as specified in [MS-CIFS] section 3.2.5.36 with the following additions:]It does this[determine whether the server returned an extended response] by checking for a proper WordCount value.&lt;106&gt;</t>
  </si>
  <si>
    <t>[In Receiving an SMB_COM_NT_CREATE_ANDX Response]&lt;106&gt; Section 3.2.5.5: Windows-based servers will always set this value to 0x2A (42) when using an extended response.</t>
  </si>
  <si>
    <t>[In Authentication Expiration Timer] &lt;107&gt;Section 3.3.2.1:  The default expiration time is eight hours for the Windows implementation of Kerberos..</t>
  </si>
  <si>
    <t>[In Authentication Expiration Timer]The default expiration for Kerberos is implementation-specific.&lt;107&gt;</t>
  </si>
  <si>
    <t xml:space="preserve">[In Initialization] The following values MUST be initialized at system startup:
Server.MessageSigningPolicy and Server.SupportsExtendedSecurity MUST be set based on system policy.&lt;108&gt; </t>
  </si>
  <si>
    <t>[In Initialization] &lt;108&gt; Section 3.3.3: SupportsExtendedSecurity is TRUE for Windows -based clients</t>
  </si>
  <si>
    <t xml:space="preserve">[In Sending Any Error Response Message] &lt;109&gt; Section 3.3.4.1.1: Windows servers do not respond with an OS/2 error on the wire even if SMB_FLAGS2_NT_STATUS is set in the client request (see [MS-CIFS] section 2.2.3.1). </t>
  </si>
  <si>
    <t>[In Sending Any Error Response Message] &lt;109&gt;Section 3.3.4.1.1: If the negotiated dialect is DOS LANMAN 2.0, an ERROR_GEN_FAILURE error is returned.</t>
  </si>
  <si>
    <t>[In Sending Any Error Response Message] &lt;109&gt;Section 3.3.4.1.1: If the negotiated dialect is DOS LANMAN 2.1, an ERROR_GEN_FAILURE error is returned.</t>
  </si>
  <si>
    <t>[In Sending Any Error Response Message] &lt;109&gt;Section 3.3.4.1.1: If the negotiated dialect is prior to LANMAN 1.0, an ERROR_GEN_FAILURE error is returned.</t>
  </si>
  <si>
    <t>[In Sending Any Error Response Message]&lt;109&gt; Section 3.3.4.1.1: Otherwise[If the negotiated dialect is not DOS LANMAN 2.0, DOS LANMAN 2.1, and not  prior to LANMAN 1.0], the following table lists the corresponding DOS error that is returned: when OS/2 Error returns STATUS_OS2_INVALID_LEVEL,DOS Error returns ERROR_INVALID_LEVEL.</t>
  </si>
  <si>
    <t>[In Sending Any Error Response Message]&lt;109&gt;Section 3.3.4.1.1: Otherwise[If the negotiated dialect is not DOS LANMAN 2.0, DOS LANMAN 2.1, and not  prior to LANMAN 1.0], the following table lists the corresponding DOS error that is returned:when OS/2 Error returns STATUS_OS2_EA_LIST_INCONSISTENT,DOS Error returns ERROR_EA_LIST_INCONSISTENT.</t>
  </si>
  <si>
    <t>[In Sending Any Error Response Message]&lt;109&gt;Section 3.3.4.1.1: Otherwise[If the negotiated dialect is not DOS LANMAN 2.0, DOS LANMAN 2.1, and not  prior to LANMAN 1.0], the following table lists the corresponding DOS error that is returned:when OS/2 Error returns STATUS_OS2_NEGATIVE_SEEK,DOS Error returns ERROR_NEGATIVE_SEEK.</t>
  </si>
  <si>
    <t>[In Sending Any Error Response Message]&lt;109&gt; Section 3.3.4.1.1: Otherwise[If the negotiated dialect is not DOS LANMAN 2.0, DOS LANMAN 2.1, and not  prior to LANMAN 1.0], the following table lists the corresponding DOS error that is returned:when OS/2 Error returns STATUS_OS2_NO_MORE_SIDS,DOS Error returns ERROR_NO_MORE_SEARCH_HANDLES.</t>
  </si>
  <si>
    <t>[In Sending Any Error Response Message]&lt;109&gt; Section 3.3.4.1.1: Otherwise[If the negotiated dialect is not DOS LANMAN 2.0, DOS LANMAN 2.1, and not  prior to LANMAN 1.0], the following table lists the corresponding DOS error that is returned:when OS/2 Error returns STATUS_OS2_EAS_DIDNT_FIT,DOS Error returns ERROR_EAS_DIDNT_FIT.</t>
  </si>
  <si>
    <t>[In Sending Any Error Response Message]&lt;109&gt; Section 3.3.4.1.1: Otherwise[If the negotiated dialect is not DOS LANMAN 2.0, DOS LANMAN 2.1, and not  prior to LANMAN 1.0], the following table lists the corresponding DOS error that is returned:when OS/2 Error returns STATUS_OS2_EA_ACCESS_DENIED,DOS Error returns ERROR_EA_ACCESS_DENIED.</t>
  </si>
  <si>
    <t>[In Sending Any Error Response Message]&lt;109&gt;Section 3.3.4.1.1: Otherwise[If the negotiated dialect is not DOS LANMAN 2.0, DOS LANMAN 2.1, and not  prior to LANMAN 1.0], the following table lists the corresponding DOS error that is returned:when OS/2 Error returns STATUS_OS2_CANCEL_VIOLATION,DOS Error returns ERROR_CANCEL_VIOLATION.</t>
  </si>
  <si>
    <t>[In Sending Any Error Response Message]&lt;109&gt;Section 3.3.4.1.1: Otherwise[If the negotiated dialect is not DOS LANMAN 2.0, DOS LANMAN 2.1, and not  prior to LANMAN 1.0], the following table lists the corresponding DOS error that is returned:when OS/2 Error returns STATUS_OS2_ATOMIC_LOCKS_NOT_SUPPORTED, DOS Error returns ERROR_ATOMIC_LOCKS_NOT_SUPPORTED.</t>
  </si>
  <si>
    <t>[In Sending Any Error Response Message]&lt;109&gt;Section 3.3.4.1.1: Otherwise[If the negotiated dialect is not DOS LANMAN 2.0, DOS LANMAN 2.1, and not  prior to LANMAN 1.0], the following table lists the corresponding DOS error that is returned:when OS/2 Error returns STATUS_OS2_CANNOT_COPY,DOS Error returns ERROR_CANNOT_COPY.</t>
  </si>
  <si>
    <t>[In Sending Any Error Response Message] In response to an error in the processing of any SMB request, the server SHOULD&lt;109&gt; follow the format as specified in [MS-CIFS] section 3.3.4.1.2.</t>
  </si>
  <si>
    <t>[In Receiving Any Message]Signing: If the signature on the received packet is incorrect, the server SHOULD&lt;110&gt; terminate the connection.</t>
  </si>
  <si>
    <t>[In Receiving Any Message] &lt;110&gt; Section 3.3.5.1:  Windows-based servers respond to  incorrectly signed packets with a STATUS_ACCESS_DENIED status but do not terminate the connection.</t>
  </si>
  <si>
    <t xml:space="preserve">[In Scanning a Path for a Previous Version Token] &lt;111&gt; Section 3.3.5.1.1: SMB servers on Windows Server 2003, Windows Server 2003 R2, Windows Server 2008, and Windows Server 2008 R2 support the SMB_FLAGS2_REPARSE_PATH flag and previous version access. </t>
  </si>
  <si>
    <t xml:space="preserve">[In Scanning a Path for a Previous Version Token] &lt;111&gt; Section 3.3.5.1.1: SMB server on Windows Server 2003, Windows Server 2003 R2, Windows Server 2008, and Windows Server 2008 R2 parses paths when the flag is not set but only when configured to do so. </t>
  </si>
  <si>
    <t xml:space="preserve">[In Scanning a Path for a Previous Version Token] &lt;111&gt; Section 3.3.5.1.1: SMB server on Windows Server 2003, Windows Server 2003 R2, Windows Server 2008, and Windows Server 2008 R2 parses paths when the flag is not set but when configured to do so. </t>
  </si>
  <si>
    <t>[In Scanning a Path for a Previous Version Token] &lt;111&gt; Section 3.3.5.1.1: This flag is used to expose the previous version logic to applications that run on clients whose SMB client does not understand the SMB_FLAGS2_REPARSE_PATH flag and does not set it appropriately.</t>
  </si>
  <si>
    <t>[In Receiving an SMB_COM_NEGOTIATE Request]  &lt;112&gt;Section 3.3.5.2: Windows-based SMB serverssupport Extended Security, and  are configured to use SPNEGO (as specified in [RFC4178]) as their GSS authentication protocol.</t>
  </si>
  <si>
    <t>[In Receiving an SMB_COM_NEGOTIATE Request] &lt;112&gt;Section 3.3.5.2: Windows operating systems that use extended security send a GSS token (or fragment) if their SPNEGO implementation supports it.</t>
  </si>
  <si>
    <t xml:space="preserve">[In Scanning a Path for a Previous Version Token] If the flag is not set, then the server MAY&lt;111&gt; parse the path anyway. </t>
  </si>
  <si>
    <t>[In Receiving an SMB_COM_NEGOTIATE Request] Generating Extended Security Token: The SMB_COM_NEGOTIATE response packet is sent to the client.&lt;112&gt;</t>
  </si>
  <si>
    <t>MS-SMB_R11008</t>
  </si>
  <si>
    <t>[In Receiving an SMB_COM_TREE_CONNECT_ANDX Request] If no access is granted for the client on this share, the server MUST fail the request with STATUS_ACCESS_DENIED.</t>
  </si>
  <si>
    <t>[In Receiving an SMB_COM_TREE_CONNECT_ANDX Request]Session Key Protection: The resulting 16-byte digest is treated as the user's new session key.</t>
  </si>
  <si>
    <t>[In Receiving an SMB_COM_NT_CREATE_ANDX Request] The processing of an SMB_COM_NT_CREATE_ANDX request is handled as specified in [MS-CIFS] section 3.3.5.50 with the following additions: On a successful create or open, if the NT_CREATE_REQUEST_EXTENDED_RESPONSE flag was set in the Flags field of the request, then the server SHOULD&lt;113&gt; send an extended response (section 2.2.4.9.2).</t>
  </si>
  <si>
    <t>[In Receiving an SMB_COM_NT_CREATE_ANDX Request] &lt;113&gt; Section 3.3.5.5: SMB servers on Windows 2000 Server, Windows Server 2003, Windows Server 2008, and Windows Server 2008 R2 use extended responses if the client requests them[new capabilities].</t>
  </si>
  <si>
    <t>[In Receiving an SMB_COM_NT_CREATE_ANDX Request, The processing of an SMB_COM_NT_CREATE_ANDX request is handled as specified in [MS-CIFS] section 3.3.5.50 with the following additions: ] If the server sends the new response, then it MUST construct a response as specified in section 2.2.4.9.2. with the addition of the following rules: The server MUST query the file attributes and use them to set the FileStatusFlags in the response.&lt;114&gt;</t>
  </si>
  <si>
    <t>[In Receiving an SMB_COM_NT_CREATE_ANDX Request, The processing of an SMB_COM_NT_CREATE_ANDX request is handled as specified in [MS-CIFS] section 3.3.5.50 with the following additions: ] If the server sends the new response, then it MUST construct a response as specified in section 2.2.4.9.2. with the addition of the following rules: If the underlying object store of the share in which the file is opened or created does not support streams, then the server MUST set the NO_SUBSTREAMS bit in the FileStatusFlags field.&lt;115&gt;</t>
  </si>
  <si>
    <t>[In Receiving an SMB_COM_NT_CREATE_ANDX Request] &lt;114&gt; Section 3.3.5.5: Windows-based servers set the FileStatusFlags using the following mapping of output elements specified in [MS-FSA] section 3.1.5.1: NO_EAS is set if the returned Open.File.ExtendedAttributesLength is zero.</t>
  </si>
  <si>
    <t>[In Receiving an SMB_COM_NT_CREATE_ANDX Request] &lt;114&gt; Section 3.3.5.5: Windows-based servers set the FileStatusFlags using the following mapping of output elements specified in [MS-FSA] section 3.1.5.1: otherwise [if the returned Open.File.ExtendedAttributesLength is not zero] it [NP_EAS] is not set.</t>
  </si>
  <si>
    <t>[In Receiving an SMB_COM_NT_CREATE_ANDX Request] &lt;114&gt; Section 3.3.5.5: Windows-based servers set the FileStatusFlags using the following mapping of output elements specified in [MS-FSA] section 3.1.5.1: NO_SUBSTREAMS is set if the returned Open.File.StreamList is less than or equal to one.</t>
  </si>
  <si>
    <t xml:space="preserve">[In Receiving an SMB_COM_NT_CREATE_ANDX Request] &lt;114&gt; Section 3.3.5.5: Windows-based servers set the FileStatusFlags using the following mapping of output elements specified in [MS-FSA] section 3.1.5.1: otherwise [if the returned Open.File.StreamList is not less than and not equal to one] it [NO_SUBSTREAMS] is not set. </t>
  </si>
  <si>
    <t>[In Receiving an SMB_COM_NT_CREATE_ANDX Request] &lt;114&gt; Section 3.3.5.5: Windows-based servers set the FileStatusFlags using the following mapping of output elements specified in [MS-FSA] section 3.1.5.1: NO_REPARSETAG is set if the returned Open.File.ReparseTag is empty.</t>
  </si>
  <si>
    <t>[In Receiving an SMB_COM_NT_CREATE_ANDX Request] &lt;114&gt; Section 3.3.5.5: Windows-based servers set the FileStatusFlags using the following mapping of output elements specified in [MS-FSA] section 3.1.5.1: otherwise [if the returned Open.File.ReparseTag is not empty] it [NO_REPARSETAG] is not set.</t>
  </si>
  <si>
    <t>[In Receiving an SMB_COM_NT_CREATE_ANDX Request] &lt;115&gt; Section 3.3.5.5: NTFS supports streams.</t>
  </si>
  <si>
    <t>[In Receiving an SMB_COM_NT_CREATE_ANDX Request] &lt;115&gt; Section 3.3.5.5: FAT and FAT32 file systems do not support streams.</t>
  </si>
  <si>
    <t xml:space="preserve">[In Receiving an SMB_COM_NT_CREATE_ANDX Request, The processing of an SMB_COM_NT_CREATE_ANDX request is handled as specified in [MS-CIFS] section 3.3.5.50 with the following additions: ] If the server sends the new response, then it MUST construct a response as specified in section 2.2.4.9.2. with the addition of the following rules: The server MAY&lt;116&gt; fill in the VolumeGUID and FileId fields if it wants the client to leverage the new capabilities. </t>
  </si>
  <si>
    <t>[In Receiving an SMB_COM_NT_CREATE_ANDX Request] &lt;116&gt; Section 3.3.5.5: All other Windows-based servers set the VolumeGUID and FileId fields using the following mapping of output elements, specified in [MS-FSA] section 3.1.5.1: VolumeGUID is set to the returned Open.File.Volume.VolumeId.</t>
  </si>
  <si>
    <t>[In Receiving an SMB_COM_NT_CREATE_ANDX Request] &lt;116&gt; Section 3.3.5.5: All other Windows-based servers set the VolumeGUID and FileId fields using the following mapping of output elements, specified in [MS-FSA] section 3.1.5.1: FileId is set to the returned Open.File.FileId.</t>
  </si>
  <si>
    <t xml:space="preserve">[In Receiving an SMB_COM_NT_CREATE_ANDX Request] &lt;116&gt; Section 3.3.5.5: SMB servers on Windows 2000 Server, Windows Server 2003, Windows Server 2008, and Windows Server 2008 R2  return zero for the VolumeGUID and FileId. </t>
  </si>
  <si>
    <t>[In Receiving an SMB_COM_NT_CREATE_ANDX Request] If the impersonation level is SECURITY_ANONYMOUS, then the server MUST fail the request with STATUS_BAD_IMPERSONATION_LEVEL.&lt;117&gt;</t>
  </si>
  <si>
    <t>[In Receiving an SMB_COM_NT_CREATE_ANDX Request, The processing of an SMB_COM_NT_CREATE_ANDX request is handled as specified in [MS-CIFS] section 3.3.5.50 with the following additions: ] If the server sends the new response, then it MUST construct a response as specified in section 2.2.4.9.2. with the addition of the following rules: The server SHOULD&lt;118&gt; ignore all CreateOptions on a named pipe.</t>
  </si>
  <si>
    <t>[In Receiving an SMB_COM_NT_CREATE_ANDX Request] &lt;117&gt; Section 3.3.5.5: Windows-based servers set the MaximalAccessRights and GuestMaximalAccessRights fields using the following mapping of output elements, specified in [MS-FSA] section 3.1.5.1: MaximalAccessRights is set to the returned Open.GrantedAcess.</t>
  </si>
  <si>
    <t>[In Receiving an SMB_COM_NT_CREATE_ANDX Request] &lt;117&gt; Section 3.3.5.5: Windows-based servers set the MaximalAccessRights and GuestMaximalAccessRights fields using the following mapping of output elements, specified in [MS-FSA] section 3.1.5.1: GuestMaximalAccessRights is set to the returned Open.GuestGrantedAcess.</t>
  </si>
  <si>
    <t>&lt;119&gt; Section 3.3.5.6: Windows servers use extended responses if the client requests them.</t>
  </si>
  <si>
    <t>[In Receiving an SMB_COM_OPEN_ANDX Request] &lt;120&gt; Section 3.3.5.6: Windows-based servers set the MaximalAccessRights and GuestMaximalAccessRights fields using the following mapping of output elements specified in [MS-FSA]section 3.1.5.1: MaximalAccessRights is set to the returned Open.GrantedAcess.</t>
  </si>
  <si>
    <t>[In Receiving an SMB_COM_OPEN_ANDX Request] &lt;120&gt; Section 3.3.5.6: Windows-based servers set the MaximalAccessRights and GuestMaximalAccessRights fields using the following mapping of output elements specified in [MS-FSA]section 3.1.5.1: GuestMaximalAccessRights is set to the returned Open.GuestGrantedAcess.</t>
  </si>
  <si>
    <t>&lt;121&gt; Section 3.3.5.7: Windows-based SMB servers allow for large reads of 64 kilobytes, but no larger.</t>
  </si>
  <si>
    <t>&lt;121&gt; Section 3.3.5.7: Requests for larger values return, at most, 64 kilobytes.</t>
  </si>
  <si>
    <t>[In Receiving any Information Level] &lt;122&gt; Section 3.3.5.9.1: Windows behavior for each Information Class is specified in each Information Class' corresponding subsection of either [MS-FSA] sections 3.1.5.11 or 3.1.5.12.</t>
  </si>
  <si>
    <t>[InReceiving a TRANS2_FIND_FIRST2 Request New Information Levels] &lt;123&gt; Section 3.3.5.9.2: Windows servers support these new Information Levels for directory queries.</t>
  </si>
  <si>
    <t>&lt;124&gt;Section 3.3.5.9.2: Windows Server 2003 , Windows Server 2003 R2, and Windows Server 2008 support previous versions but do not support this method[enumeration of previous versions valid for the share] of enumerating them, by default.</t>
  </si>
  <si>
    <t>&lt;124&gt;Section 3.3.5.9.2:This feature[enumeration of previous versions valid for the share] can be configured to be active by the administrator. The purpose is to allow an application (on a client that does not support the IOCTL command) to have a method of enumerating the previous versions.</t>
  </si>
  <si>
    <t>[In Receiving a TRANS2_SET_FILE_INFORMATION Request Pass-through Information Levels] &lt;125&gt; Section 3.3.5.9.6: If the requested Information Class is FileRenameInformation, then the following validation is performed: If RootDirectory is not NULL, then the request must be failed with STATUS_INVALID_PARAMETER.</t>
  </si>
  <si>
    <t>[In Receiving a TRANS2_SET_FILE_INFORMATION Request Pass-through Information Levels] &lt;125&gt; Section 3.3.5.9.6: If the requested Information Class is FileRenameInformation, then the following validation is performed: If the file name pointed to by the FileName parameter of the FILE_RENAME_INFORMATION structure contains a separator character, then the request should be failed with STATUS_NOT_SUPPORTED.</t>
  </si>
  <si>
    <t>[In Receiving a TRANS2_SET_FILE_INFORMATION Request Pass-through Information Levels] &lt;125&gt; Section 3.3.5.9.6: Otherwise [if the server file system support this Information Level], it [the server] must attempt to apply the attributes to the target file and return the success or failure code in the response.</t>
  </si>
  <si>
    <t>&lt;126&gt; Section 3.3.5.9.7: Windows 2000 Server, Windows Server 2003, Windows Server 2003 R2, and Windows Server 2008 do not break a batch oplock, when processing a TRANS2_SET_PATH_INFORMATION request.</t>
  </si>
  <si>
    <r>
      <rPr>
        <sz val="11"/>
        <rFont val="Calibri"/>
        <family val="3"/>
        <charset val="134"/>
        <scheme val="minor"/>
      </rPr>
      <t>&lt;126&gt;Section 3.3.5.9.7: Windows Server 2008 R2 breaks a batch oplock</t>
    </r>
    <r>
      <rPr>
        <strike/>
        <sz val="11"/>
        <rFont val="Calibri"/>
        <family val="3"/>
        <charset val="134"/>
        <scheme val="minor"/>
      </rPr>
      <t>,</t>
    </r>
    <r>
      <rPr>
        <sz val="11"/>
        <rFont val="Calibri"/>
        <family val="3"/>
        <charset val="134"/>
        <scheme val="minor"/>
      </rPr>
      <t xml:space="preserve"> when processing the request.</t>
    </r>
  </si>
  <si>
    <t>[In Receiving an FSCTL_SRV_COPYCHUNK Request] &lt;127&gt; Section 3.3.5.10.1.3: Windows Server 2003 with SP1 default values and limits are as follows: Fail the request and set the status to STATUS_IO_TIMEOUT.</t>
  </si>
  <si>
    <t>[In Receiving an FSCTL_SRV_COPYCHUNK Request] &lt;127&gt; Section 3.3.5.10.1.3: Windows Server 2003 with SP1 default values and limits are as follows: Return the number of written chunks as specified in section 2.2.7.2.2.</t>
  </si>
  <si>
    <t>&lt;127&gt; Section 3.3.5.10.1.3: Windows Server 2003 with SP1 default values and limits are as follows:
The maximum number of chunks that the server accepts to be copied in a single request is 256.</t>
  </si>
  <si>
    <r>
      <rPr>
        <sz val="11"/>
        <rFont val="Calibri"/>
        <family val="3"/>
        <charset val="134"/>
        <scheme val="minor"/>
      </rPr>
      <t xml:space="preserve">&lt;127&gt;  Section 3.3.5.10.1.3: Windows Server 2003 with SP1 default values and limits are as follows:
The maximum amount of data that the server accepts to be copied in a single chunk is </t>
    </r>
    <r>
      <rPr>
        <strike/>
        <sz val="11"/>
        <rFont val="Calibri"/>
        <family val="3"/>
        <charset val="134"/>
        <scheme val="minor"/>
      </rPr>
      <t>1</t>
    </r>
    <r>
      <rPr>
        <sz val="11"/>
        <rFont val="Calibri"/>
        <family val="3"/>
        <charset val="134"/>
        <scheme val="minor"/>
      </rPr>
      <t>one megabyte.</t>
    </r>
  </si>
  <si>
    <t>&lt;127&gt;  Section 3.3.5.10.1.3: Windows Server 2003 with SP1 default values and limits are as follows:The maximum amount of data that the server accepts to be copied in a single request is 16 megabytes.</t>
  </si>
  <si>
    <t xml:space="preserve">&lt;127&gt;  Section 3.3.5.10.1.3: Windows Server 2003 with SP1 default values and limits are as follows:
The total size (lengths) of all of the chunks combined must be greater than or equal to 16 megabytes. </t>
  </si>
  <si>
    <t>&lt;127&gt;  Section 3.3.5.10.1.3: Windows Server 2003 with SP1 default values and limits are as follows:
The time-out for server-side data copy operations to complete is 25 seconds.</t>
  </si>
  <si>
    <t xml:space="preserve">[In Receiving an NT_TRANS_QUERY_QUOTA Request] &lt;128&gt; Section 3.3.5.10.2: Windows-based servers request quota information from the object store, as specified in [MS-FSA] section 3.1.5.11.24 if Server.Open is a file. </t>
  </si>
  <si>
    <t>[In Receiving an NT_TRANS_QUERY_QUOTA Request] &lt;128&gt; Section 3.3.5.10.2: If Server.Open is on a directory, then the processing follows with the following mapping of input elements: Open is an Open of Server.Open.TreeConnect.Share.LocalPath for the Server.Open indicated by the SMB_Parameters.Words.FID field of the request.</t>
  </si>
  <si>
    <t>[In Receiving an NT_TRANS_QUERY_QUOTA Request] &lt;128&gt; Section 3.3.5.10.2: If Server.Open is on a directory, then the processing follows with the following mapping of input elements: OutputBufferSize is the SMB_Parameters.Words.MaxDataCount field of the request.</t>
  </si>
  <si>
    <t>[In Receiving an NT_TRANS_QUERY_QUOTA Request] &lt;128&gt; Section 3.3.5.10.2: If Server.Open is on a directory, then the processing follows with the following mapping of input elements: ReturnSingle is the NT_Trans_Parameters.ReturnSingleEntry field of the request.</t>
  </si>
  <si>
    <t>[In Receiving an NT_TRANS_QUERY_QUOTA Request] &lt;128&gt; Section 3.3.5.10.2: If Server.Open is on a directory, then the processing follows with the following mapping of input elements: RestartScan is the NT_Trans_Parameters.RestartScan field of the request.</t>
  </si>
  <si>
    <t>[In Receiving an NT_TRANS_QUERY_QUOTA Request] &lt;128&gt; Section 3.3.5.10.2: If Server.Open is on a directory, then the processing follows with the following mapping of input elements: SidList is the NT_Trans_Data.SidList field of the request.</t>
  </si>
  <si>
    <t xml:space="preserve">[In Receiving an NT_TRANS_QUERY_QUOTA Request] &lt;128&gt; Section 3.3.5.10.2: The returned Status is copied into the SMB_Header.Status field of the response. </t>
  </si>
  <si>
    <t>[In Receiving an NT_TRANS_QUERY_QUOTA Request] &lt;128&gt; Section 3.3.5.10.2: If the operation [the operation of copying the returned Status into the SMB_Header.Status field of the response] is successful, then the following additional mapping of output elements applies: OutputBuffer is copied into the NT_Trans_Data field of the response.</t>
  </si>
  <si>
    <t>[In Receiving an NT_TRANS_QUERY_QUOTA Request] &lt;128&gt; Section 3.3.5.10.2: If the operation [the operation of copying the returned Status into the SMB_Header.Status field of the response] is successful, then the following additional mapping of output elements applies: ByteCount is copied into the SMB_Parameters.TotalDataCount field of the response.</t>
  </si>
  <si>
    <t xml:space="preserve">&lt;128&gt;Section 3.3.5.10.2: If quotas are disabled, then NTFS may return STATUS_SUCCESS with the UserQuotaData.QSize set to zero and with both the UserQuotaData.QuotaThreshhold field and the UserQuotaData.QuotaLimit field set to 0xFFFFFFFFFFFFFFFFFFFFFFFFFFFFFFFF. </t>
  </si>
  <si>
    <t>[In Receiving an NT_TRANS_SET_QUOTA Request] &lt;129&gt; Section 3.3.5.10.3: Windows-based servers set the quota information on the object store, as specified in [MS-FSA] section 3.1.5.14.10 if Server.Open is on a file.</t>
  </si>
  <si>
    <t>[In Receiving an NT_TRANS_SET_QUOTA Request] &lt;129&gt; Section 3.3.5.10.3: If Server.Open is on a directory, then processing follows as specified elsewhere in [MS-FSA] section 3.1.5 with the following mapping of input elements: Open is an Open of Server.Open.TreeConnect.Share.LocalPath for the Server.Open indicated by the SMB_Parameters.Words.FID field of the request.</t>
  </si>
  <si>
    <t>[In Receiving an NT_TRANS_SET_QUOTA Request] &lt;129&gt; Section 3.3.5.10.3: If Server.Open is on a directory, then processing follows as specified elsewhere in [MS-FSA] section 3.1.5 with the following mapping of input elements: OutputBufferSize is the SMB_Parameters.Words.MaxDataCount field of the request.</t>
  </si>
  <si>
    <t>[In Receiving an NT_TRANS_SET_QUOTA Request] &lt;129&gt; Section 3.3.5.10.3: If Server.Open is on a directory, then processing follows as specified elsewhere in [MS-FSA] section 3.1.5 with the following mapping of input elements: ReturnSingle is the NT_Trans_Parameters.ReturnSingleEntry field of the request.</t>
  </si>
  <si>
    <t>[In Receiving an NT_TRANS_SET_QUOTA Request] &lt;129&gt; Section 3.3.5.10.3: If Server.Open is on a directory, then processing follows as specified elsewhere in [MS-FSA] section 3.1.5 with the following mapping of input elements: RestartScan is the NT_Trans_Parameters.RestartScan field of the request.</t>
  </si>
  <si>
    <t>[In Receiving an NT_TRANS_SET_QUOTA Request] &lt;129&gt; Section 3.3.5.10.3: If Server.Open is on a directory, then processing follows as specified elsewhere in [MS-FSA] section 3.1.5 with the following mapping of input elements: SidList is the NT_Trans_Data.SidList field of the request.</t>
  </si>
  <si>
    <r>
      <rPr>
        <sz val="11"/>
        <rFont val="Calibri"/>
        <family val="3"/>
        <charset val="134"/>
        <scheme val="minor"/>
      </rPr>
      <t xml:space="preserve">[In Receiving an NT_TRANS_SET_QUOTA Request] &lt;129&gt; Section 3.3.5.10.3: </t>
    </r>
    <r>
      <rPr>
        <strike/>
        <sz val="11"/>
        <rFont val="Calibri"/>
        <family val="3"/>
        <charset val="134"/>
        <scheme val="minor"/>
      </rPr>
      <t>A</t>
    </r>
    <r>
      <rPr>
        <sz val="11"/>
        <rFont val="Calibri"/>
        <family val="3"/>
        <charset val="134"/>
        <scheme val="minor"/>
      </rPr>
      <t>If the volume is capable of supporting disk quotas but has the feature disabled, then a STATUS_INVALID_DEVICE_REQUEST is returned.</t>
    </r>
  </si>
  <si>
    <t>[In Receiving an NT_TRANS_SET_QUOTA Request] &lt;129&gt; Section 3.3.5.10.3: If the operation [the operation of copying the returned Status into the SMB_Header.Status field of the response] is successful, then the following additional mapping of output elements applies: ByteCount is copied into the SMB_Parameters.TotalDataCount field of the response.</t>
  </si>
  <si>
    <t>[In Receiving an NT_TRANS_SET_QUOTA Request] &lt;129&gt; Section 3.3.5.10.3: If the operation [the operation of copying the returned Status into the SMB_Header.Status field of the response] is successful, then the following additional mapping of output elements applies: OutputBuffer is copied into the NT_Trans_Data field of the response.</t>
  </si>
  <si>
    <t>[In Receiving an NT_TRANS_SET_QUOTA Request] &lt;129&gt; Section 3.3.5.10.3: The returned Status is copied into the SMB_Header.Status field of the response.</t>
  </si>
  <si>
    <t xml:space="preserve">[In Receiving an SMB_COM_OPEN_ANDX Request] The processing of an SMB_COM_OPEN_ANDX request is handled as specified in [MS-CIFS] section 3.3.5.34 with the following additions: On a successful open, if the SMB_OPEN_EXTENDED_RESPONSE flag was set in the Flags field of the request, then the server MAY&lt;119&gt; send an extended response (section 2.2.4.1.2) if it wants the client to leverage the new capabilities. </t>
  </si>
  <si>
    <t>MS-SMB_R11009</t>
  </si>
  <si>
    <t xml:space="preserve">[In Receiving an SMB_COM_OPEN_ANDX Request] If no access is granted for the client on this share, the server MUST fail the request with STATUS_ACCESS_DENIED.  </t>
  </si>
  <si>
    <t>[In Receiving an SMB_COM_OPEN_ANDX Request] If the impersonation level is SECURITY_ANONYMOUS, then the server MUST fail the request with STATUS_BAD_IMPERSONATION_LEVEL.&lt;120&gt;</t>
  </si>
  <si>
    <t>[In Receiving an SMB_COM_READ_ANDX Request]If the count of bytes read is greater than or equal to 0x00010000 (64K), then the server MUST set the two most significant bytes of the count in the DataLengthHigh field (specified in section 2.2.4.2.2).&lt;121&gt;</t>
  </si>
  <si>
    <t>[In Receiving any Information Level] If the Information Level includes any request data, then the data MUST also be passed to the underlying object store.&lt;122&gt;</t>
  </si>
  <si>
    <t>[In Receiving a TRANS2_FIND_FIRST2 Request New Information Levels]If the server does not support the new Information Levels, then it MUST fail the operation with STATUS_NOT_SUPPORTED.&lt;123&gt;</t>
  </si>
  <si>
    <t>[In Receiving a TRANS2_FIND_FIRST2 Request Enumerating Previous Versions]If a scan for previous version tokens (section 3.3.5.1.1) reveals that the FileName of the TRANS_FIND_FIRST2 request contains the search pattern @GMT-* and the requested Information Level is SMB_FIND_FILE_BOTH_DIRECTORY_INFO, then the server MAY&lt;124&gt; choose to return an enumeration of previous versions that are valid for the share.</t>
  </si>
  <si>
    <t>[In Receiving a TRANS2_SET_FILE_INFORMATION Request Pass-through Information Levels] If the client requests a pass-through Information Level, then the processing [Receiving a TRANS2_SET_FILE_INFORMATION Request] follows as specified in section 3.3.5.9.1.&lt;125&gt;</t>
  </si>
  <si>
    <t>[In Receiving a TRANS2_SET_PATH_INFORMATION Request Pass-through Information Levels] If the client requests a pass-through Information Level, then the processing [Receiving a TRANS2_SET_PATH_INFORMATION Request] follows as specified in section 3.3.5.9.1.&lt;126&gt;</t>
  </si>
  <si>
    <r>
      <t xml:space="preserve">[In Receiving an FSCTL_SRV_COPYCHUNK Request]If the timeout restriction is not enforced, </t>
    </r>
    <r>
      <rPr>
        <sz val="11"/>
        <rFont val="Calibri"/>
        <family val="3"/>
        <charset val="134"/>
        <scheme val="minor"/>
      </rPr>
      <t>then the server MUST process all of the chunks that are described by the request, as specified in section 2.2.7.2.2.&lt;127&gt;</t>
    </r>
  </si>
  <si>
    <t>[In Receiving an NT_TRANS_QUERY_QUOTA Request] The server MUST attempt to enumerate quota information from the underlying object store on which the file or directory indicated by the Server.Open identified by the SMB_Parameters.Words.Setup.FID field of the request resides.&lt;128&gt;</t>
  </si>
  <si>
    <t>[In Receiving an NT_TRANS_SET_QUOTA Request] If the underlying object store does not support quotas, then the server SHOULD&lt;129&gt; return STATUS_NOT_SUPPORTED.</t>
  </si>
  <si>
    <t>S11</t>
  </si>
  <si>
    <t>S1, S3, S3,S11, S12</t>
  </si>
  <si>
    <t>S1, S3</t>
  </si>
  <si>
    <t>S12</t>
  </si>
  <si>
    <t>S4,S7</t>
  </si>
  <si>
    <t>S11,S12</t>
  </si>
  <si>
    <t>MS-SMB_R5226:p</t>
  </si>
  <si>
    <t>S9</t>
    <phoneticPr fontId="5" type="noConversion"/>
  </si>
  <si>
    <t>S1</t>
    <phoneticPr fontId="5" type="noConversion"/>
  </si>
  <si>
    <t>S10</t>
    <phoneticPr fontId="5" type="noConversion"/>
  </si>
  <si>
    <t>S9</t>
    <phoneticPr fontId="5" type="noConversion"/>
  </si>
  <si>
    <t>S9</t>
    <phoneticPr fontId="5" type="noConversion"/>
  </si>
  <si>
    <t>S11</t>
    <phoneticPr fontId="5" type="noConversion"/>
  </si>
  <si>
    <t>S6</t>
    <phoneticPr fontId="5" type="noConversion"/>
  </si>
  <si>
    <t>S1,S3</t>
    <phoneticPr fontId="5" type="noConversion"/>
  </si>
  <si>
    <t>S5</t>
    <phoneticPr fontId="5" type="noConversion"/>
  </si>
  <si>
    <t>S1</t>
    <phoneticPr fontId="5" type="noConversion"/>
  </si>
  <si>
    <t>The behavior of underlying object cannot be observed on the wire.</t>
    <phoneticPr fontId="5" type="noConversion"/>
  </si>
  <si>
    <t>[In SMB_QUERY_FS_ATTRIBUTE_INFO]For this Information Level, the server SHOULD check the FileSystemAttributes field and remove the attribute flags that are not supported by the underlying object store before sending the response to the client.&lt;76&gt;</t>
  </si>
  <si>
    <t>incorrect derived, this requriement is deleted in TD v20100406.</t>
  </si>
  <si>
    <t>incorrect partial derived, this requriement is deleted in TD v20100406.</t>
  </si>
  <si>
    <t>Server internal behavior, Couldn’t verify if server parses paths or not, and we can not ensure "only".</t>
  </si>
  <si>
    <t>MS-SMB_R6000</t>
  </si>
  <si>
    <t>[In Server Response Extensions]DataLengthHigh (2 bytes):  If the data read is greater than 0x00010000 bytes (64KB) in length, then the server MUST set the two least-significant bytes of the length in the DataLength field of the response</t>
  </si>
  <si>
    <t>[In Server Response Extensions]DataLengthHigh (2 bytes):  If the data read is equal to 0x00010000 bytes (64KB) in length, then the server MUST set the two least-significant bytes of the length in the DataLength field of the response</t>
  </si>
  <si>
    <t>MS-SMB_R6001</t>
  </si>
  <si>
    <t>[In Server Response Extensions]DataLengthHigh (2 bytes):  If the data read is greater than 0x00010000 bytes (64KB) in length, then the server MUST set the two most-significant bytes of the length in the DataLengthHigh field.</t>
  </si>
  <si>
    <t>[In Server Response Extensions]DataLengthHigh (2 bytes):  If the data read is equal to 0x00010000 bytes (64KB) in length, then the server MUST set the two most-significant bytes of the length in the DataLengthHigh field.</t>
  </si>
  <si>
    <t>MS-SMB_R6002</t>
  </si>
  <si>
    <t>[In Server Response Extensions]CountHigh (2 bytes): If the number of bytes written is greater than 0x00010000( 64 kilobytes), then the server MUST set the two least significant bytes of the length in the Count field of the request.</t>
  </si>
  <si>
    <t>[In Server Response Extensions]CountHigh (2 bytes): If the number of bytes written is equal to 0x00010000( 64 kilobytes), then the server MUST set the two least significant bytes of the length in the Count field of the request.</t>
  </si>
  <si>
    <t>MS-SMB_R6003</t>
  </si>
  <si>
    <t>[In Server Response Extensions]CountHigh (2 bytes): If the number of bytes written is greater than 0x00010000( 64 kilobytes), then the server MUST set the two most significant bytes of the length in the CountHigh field.</t>
  </si>
  <si>
    <t>[In Server Response Extensions]CountHigh (2 bytes): If the number of bytes written is equal to 0x00010000( 64 kilobytes), then the server MUST set the two most significant bytes of the length in the CountHigh field.</t>
  </si>
  <si>
    <t>MS-SMB_R6004</t>
  </si>
  <si>
    <t xml:space="preserve">[In Scanning a Path for a Previous Version Token] If a previous version token is found in the pathname, but the file does not exist for the given snapshot, then the server MUST fail the operation with STATUS_OBJECT_NAME_NOT_FOUND. </t>
  </si>
  <si>
    <t xml:space="preserve">[In Scanning a Path for a Previous Version Token] If a previous version token is found in the pathname, but the directory does not exist for the given snapshot, then the server MUST fail the operation with STATUS_OBJECT_NAME_NOT_FOUND. </t>
  </si>
  <si>
    <t>[In Server Response Extensions]When a server returns extended information, the response takes the following format.</t>
  </si>
  <si>
    <t>[In Server Response Extensions]NMPipeStatus_or_FileStatusFlags (2 bytes): If the ResourceType field is a named pipe (FileTypeByteModePipe or FileTypeMessageModePipe), then this field MUST be the NMPipeStatus field.</t>
  </si>
  <si>
    <t>[In Server Response]When SMBSTATUS code is negotiated and the server is out of resources,the server returns SMBSTATUS class/code pair ERRDOS(0x01)/ERRnomem(0x0008).</t>
  </si>
  <si>
    <t>duplicated with R119316, so delete it.</t>
  </si>
  <si>
    <t>ADM variables cannot be observed on the wire. Whenever the server use them is internal behavior.</t>
  </si>
  <si>
    <t>there’s no response received if the server ignore it, and please refer to &lt;118&gt; to see the windows-based server behavior.</t>
  </si>
  <si>
    <t>server internal behavior,can't ensure "only".</t>
  </si>
  <si>
    <t>duplicated with R109541, so delete it.</t>
  </si>
  <si>
    <t>[In Server Response Extensions] ByteCount (2 bytes):  The value of this field  is set to zero in Windows, except in Windows 2000, Windows XP, and Windows Vista servers.</t>
  </si>
  <si>
    <t>[In SMB Header Extensions]This bit field[Flags2: SMB_FLAGS2_REPARSE_PATH 0x0400]is set to one  only when NT LAN Manager or later is negotiated for the SMB dialect.</t>
  </si>
  <si>
    <t>MS-SMB_R134:i,MS-SMB_R18:i</t>
  </si>
  <si>
    <r>
      <t>[In Server Response Extensions]ResourceType (2 bytes):  The file type. This field &lt;54&gt; is interpreted as follows:[FileTypeDisk
0x0000 means File or Directory;FileTypeByteModePipe
0x0001 means Byte mode named pipe;FileTypeMessageModePipe
0x0002 means Message mode named pipe; FileTypePrinter
0x0003 means Printer Device;FileTypeUnknown
0xFFFF means Unknown file type.]in Windows</t>
    </r>
    <r>
      <rPr>
        <b/>
        <sz val="11"/>
        <color theme="1"/>
        <rFont val="Calibri"/>
        <family val="2"/>
        <scheme val="minor"/>
      </rPr>
      <t xml:space="preserve">
</t>
    </r>
  </si>
  <si>
    <t xml:space="preserve"> Server internal behavior,  couldn’t verify whether parse the path or not.</t>
  </si>
  <si>
    <t>cannot be observed on the wire.</t>
  </si>
  <si>
    <t>This command (SMB_COM_OPEN_ANDX) has been deprecated.</t>
  </si>
  <si>
    <t>This requirement derived from R305351 is Non-testable cause this command (SMB_COM_OPEN_ANDX) has been deprecated, so delete it.</t>
  </si>
  <si>
    <t>This requirement derived from R145351 is Non-testable cause this command (SMB_COM_OPEN_ANDX) has been deprecated, so delete it.</t>
  </si>
  <si>
    <t xml:space="preserve"> windows- based server does not mean SMB server.we don't test client point now.</t>
  </si>
  <si>
    <t>Server internal behavior and ADM variables cannot be observed on the wire.</t>
  </si>
  <si>
    <t>[In Extended File Attribute (SMB_EXT_FILE_ATTR) Extensions]Reserved 0xFFFF8048: MUST be ignored upon receipt of the message.</t>
  </si>
  <si>
    <t>[In Extended File Attribute (SMB_EXT_FILE_ATTR) Extensions]Reserved 0xFFFF8048
SHOULD be set to zero when sending.</t>
  </si>
  <si>
    <t>[In Extended File Attribute (SMB_EXT_FILE_ATTR) Extensions]Reserved 0xFFFF8048:Reply is the same no matter what value is used.</t>
  </si>
  <si>
    <t>[In File System Attribute Extensions]whatever the values of Reserved
0xFE007E00: replies are the same no matter what value is used when the message is received.</t>
  </si>
  <si>
    <t>[In Client Request Extensions]Flags (4 bytes):For Unused bits, reply is the same no matter what value is used.</t>
  </si>
  <si>
    <t>[In Server Response]When in the Xenix server implementation and Access denied, the server returns EPERM.</t>
  </si>
  <si>
    <t>[In Server Response]When SMBSTATUS code is negotiated and Access denied,the server returns STATUS_ACCESS_DENIED(0xC0000022).</t>
  </si>
  <si>
    <t>The POSIX error code(POSIX equivalents) mappings are based upon those used in the Xenix server implementation.It's out of our scope.</t>
  </si>
  <si>
    <t>Incorrect derived, this requriement is deleted in TD v20100406.</t>
  </si>
  <si>
    <t>In correct derived,cause the requriement derived is in Client scope, and we don't test client end point now, so delete it.</t>
  </si>
  <si>
    <t>This command has been deprecated.</t>
  </si>
  <si>
    <t>cannot be observed on the wire</t>
  </si>
  <si>
    <t>ADM variables cannot be observed on the wire</t>
  </si>
  <si>
    <t>[In VolumeGUID Generation,The generation of VolumeGUIDs MUST satisfy the following constraints:]The VolumeGUID for the volume can change while the system is running.</t>
  </si>
  <si>
    <t>[In VolumeGUID Generation,The generation of VolumeGUIDs MUST satisfy the following constraints:]The VolumeGUID can change when the system is restarted.</t>
  </si>
  <si>
    <t>[In VolumeGUID Generation,The generation of VolumeGUIDs MUST satisfy the following constraints:]All possible values for the VolumeGUID are valid.</t>
  </si>
  <si>
    <t>[In VolumeGUID Generation,The generation of VolumeGUIDs MUST satisfy the following constraints:]possible values for the VolumeGUID are valid.</t>
  </si>
  <si>
    <t xml:space="preserve">whether the FileId is different cannot be used to verify the FileId will not always be reused. </t>
  </si>
  <si>
    <t>SUT in test matrix support the operation</t>
  </si>
  <si>
    <t>windows support the new information levels</t>
  </si>
  <si>
    <t>[In Client Request Extensions,TREE_CONNECT_ANDX_DISCONNECT_TID]If set, the tree connect specified by the TID in the SMB header of the request is disconnected when the server sends the response in Windows.</t>
    <phoneticPr fontId="5" type="noConversion"/>
  </si>
  <si>
    <t>MS-SMB_R357</t>
    <phoneticPr fontId="5" type="noConversion"/>
  </si>
  <si>
    <t>p2</t>
    <phoneticPr fontId="5" type="noConversion"/>
  </si>
  <si>
    <t>S11</t>
    <phoneticPr fontId="5" type="noConversion"/>
  </si>
  <si>
    <t>Unverified</t>
    <phoneticPr fontId="5" type="noConversion"/>
  </si>
  <si>
    <t xml:space="preserve">[In Receiving an SMB_COM_NT_CREATE_ANDX Request] If normalization fails, the server MUST fail the create request with the error code returned by the DFS normalization routine. </t>
    <phoneticPr fontId="5" type="noConversion"/>
  </si>
  <si>
    <t>Normalization between client and server cannot be observed on the wire.</t>
    <phoneticPr fontId="5" type="noConversion"/>
  </si>
  <si>
    <t>this command has been deprecated</t>
    <phoneticPr fontId="5" type="noConversion"/>
  </si>
  <si>
    <t>this command has been deprecated</t>
    <phoneticPr fontId="5" type="noConversion"/>
  </si>
  <si>
    <t>UserQuotaData cannot be observed on the wire</t>
    <phoneticPr fontId="5" type="noConversion"/>
  </si>
  <si>
    <t>Windows client version is not in our test matrix</t>
    <phoneticPr fontId="5" type="noConversion"/>
  </si>
  <si>
    <t>This command (SMB_COM_OPEN_ANDX) has been deprecated.</t>
    <phoneticPr fontId="5" type="noConversion"/>
  </si>
  <si>
    <t>This command (SMB_COM_OPEN_ANDX) has been deprecated.</t>
    <phoneticPr fontId="5" type="noConversion"/>
  </si>
  <si>
    <t xml:space="preserve"> we use this rule to parse packet.</t>
  </si>
  <si>
    <t>TRANS_RAW_READ_NMPIPE is obselesent.</t>
  </si>
  <si>
    <t>MS-SMB_R9390:p</t>
  </si>
  <si>
    <t>MS-SMB_R9396:p</t>
  </si>
  <si>
    <t>[In Sequence Diagram] Session Setup Roundtrip: In the sequence diagram, this[each roundtrip  consists of one SMB_COM_SESSION_SETUP_ANDX client request and one SMB_COM_SESSION_SETUP_ANDX server response.] is represented in the horizontal dotted line that symbolizes additional round trips until the final round trip, which is represented as SMB_COM_SESSION_SETUP_ANDX Client Request N and SMB_COM_SESSION_SETUP_ANDX Server Response N, where N is a number larger than 1.</t>
  </si>
  <si>
    <t>Windows does not terminate the connection</t>
    <phoneticPr fontId="5" type="noConversion"/>
  </si>
  <si>
    <t>blocked by TDI #49779</t>
  </si>
  <si>
    <t>blocked by TDI #50296</t>
  </si>
  <si>
    <t>blocked by TDI #50281</t>
  </si>
  <si>
    <t>"this" should be blocked by TDI #because here refer to two parameters "Client.MessageSigningPolicy and Client.SupportsExtendedSecurity"</t>
  </si>
  <si>
    <t>blocked by TDI #50282</t>
  </si>
  <si>
    <t>blocked by TDI #50279</t>
  </si>
  <si>
    <t>blocked by TDI #49847</t>
  </si>
  <si>
    <t>blocked by TDI #49850</t>
  </si>
  <si>
    <t>blocked by TDI #50280</t>
  </si>
  <si>
    <t>blocked by TDI #50576</t>
  </si>
  <si>
    <t>“do not support” means server/client do not set the flag explicitly, more information can be found in blocked by TDI #50299</t>
  </si>
  <si>
    <t>blocked by TDI #50274</t>
  </si>
  <si>
    <t>blocked by SDK bug #27523</t>
  </si>
  <si>
    <t>Cannot be observed on the wire. Please refer to blocked by TDQ #50287.</t>
  </si>
  <si>
    <t>blocked by TDQ #50273</t>
  </si>
  <si>
    <t>When the server fail to allocate the memory in set FS path, but in that case, it may already fail earlier in the srvnet or transport layer. More details can be found in blocked by TDQ #49878</t>
  </si>
  <si>
    <t>SMB server does not return STATUS_MEDIA_WRITE_PROTECTED explicitly, more details can be found in blocked by TDQ #49874</t>
  </si>
  <si>
    <t>The error code would require disk corruption and it’s difficult to automate, more details can be found in blocked by TDQ #49846</t>
  </si>
  <si>
    <t>blocked by TDQ #49874</t>
  </si>
  <si>
    <t>blocked by TDQ #50435</t>
  </si>
  <si>
    <t>blocked by TDQ #49576</t>
  </si>
  <si>
    <t>Windows Server 2003 and higher, there is no way to disable support for copychunk. More information can be found in blocked by TDQ #50289</t>
  </si>
  <si>
    <t>[In Receiving a TRANS2_SET_FILE_INFORMATION Request Pass-through Information Levels] &lt;125&gt; Section 3.3.5.9.6: If the server file system does not support this Information Level, then it must fail the request with STATUS_OS2_INVALID_LEVEL.</t>
  </si>
  <si>
    <t>&lt;51&gt; Section 2.2.4.9.1:FILE_OPEN_REQUIRING_OPLOCK (0x00010000)Windows 7 and Windows Server 2008 R2 ignore this bit if set in the request.</t>
  </si>
  <si>
    <t>&lt;51&gt; Section 2.2.4.9.1:FILE_OPEN_REQUIRING_OPLOCK (0x00010000) reply from Windows 7 and Windows Server 2008 R2  is the same whether zero or non-zero is used in this field.</t>
  </si>
  <si>
    <t>MS-SMB_R109551</t>
  </si>
  <si>
    <t>&lt;51&gt; Section 2.2.4.9.1: FILE_DISALLOW_EXCLUSIVE (0x00020000)Windows 7 and Windows Server 2008 R2 ignore this bit if it is set in the request.</t>
  </si>
  <si>
    <t>MS-SMB_R119551</t>
  </si>
  <si>
    <t>&lt;51&gt; Section 2.2.4.9.1: FILE_DISALLOW_EXCLUSIVE (0x00020000) reply from Windows 7 and Windows Server 2008 R2 is the same whether zero or non-zero is used in this field..</t>
  </si>
  <si>
    <t>&lt;51&gt; Section 2.2.4.9.1:FILE_DISALLOW_EXCLUSIVE (0x00020000)All other[except Windows 7 and Windows Server 2008 R2] Windows–based SMB servers fail requests with this option set, and return STATUS_INVALID_PARAMETER in the Status field of the SMB header in the server response.</t>
  </si>
  <si>
    <t>S11</t>
    <phoneticPr fontId="5" type="noConversion"/>
  </si>
  <si>
    <t>[In Server Response]When SMBSTATUS code is negotiated and The supplied Information Level, as indicated by the Trans2_Parameters.InformationLevel value, is not a valid pass-through Information Level,the server returns SMBSTATUS class/code pair ERRDOS(0x01)/ERRunsup(0x0032).</t>
  </si>
  <si>
    <t>[In Server Response]When in the Xenix server implementation and The supplied Information Level, as indicated by the Trans2_Parameters.InformationLevel value, is not a valid pass-through Information Level, the server returns STATUS_NOT_SUPPORTED(0xC00000BB).</t>
  </si>
  <si>
    <t>[In Server Response]When SMBSTATUS code is negotiated and The supplied pass-through Information Level values in the Trans2_Data block contain at least one invalid parameter,the server returns SMBSTATUS class/code pair ERRDOS(0x01)/ERRinvalidparam(0x0057).</t>
  </si>
  <si>
    <t>[In Server Response]When SMBSTATUS code is negotiated and Server does not support pass-through Information Levels,the server returns SMBSTATUS class/code pair ERRDOS(0x01)/ERRinvalidparam(0x0057).</t>
  </si>
  <si>
    <t>MS-SMB_R129322</t>
  </si>
  <si>
    <t>[In Server Response]When in the Xenix server implementation and The supplied pass-through Information Level values in the Trans2_Data block contain at least one invalid parameter, the server returns STATUS_INVALID_PARAMETER(0xC000000D).</t>
  </si>
  <si>
    <t>MS-SMB_R129323</t>
  </si>
  <si>
    <t>[In Server Response]When in the Xenix server implementation and Server does not support pass-through Information Levels, the server returns STATUS_INVALID_PARAMETER(0xC000000D).</t>
  </si>
  <si>
    <t>&lt;49&gt; Section 2.2.4.7.2: Windows servers set this bit if any of the following are true:
Short file name generation is disabled in the file system on Windows Server 2003, Windows Server 2003 R2, Windows Server 2008, or Windows Server 2008 R2, see [MSKB- 210638].</t>
  </si>
  <si>
    <t>If the underlying object store returns a failure, then the server MUST stop and set the response parameters, as specified in section 2.2.7.2.2, to indicate how much data was successfully written, and set the Status field of the header with the error code received.</t>
  </si>
  <si>
    <t>[In Receiving an SMB_COM_SESSION_SETUP_ANDX Request]Extended Security: Otherwise[if CAP_EXTENDED_SECURITY is not set in ClientCapabilities], it[server] MUST continue to the following NTLM authentication section.</t>
  </si>
  <si>
    <t>[In Receiving an SMB_COM_SESSION_SETUP_ANDX Request]Extended Security: The server MUST extract the GSS token, which is the SecurityBlob contained in the request, with a length of SecurityBlobLength.&lt;100&gt;</t>
  </si>
  <si>
    <t>MS-SMB_R104770</t>
  </si>
  <si>
    <t>&lt;100&gt; Section 3.3.5.3: The Windows GSS implementation supports raw Kerberos / NTLM messages in the SecurityBlob as described in [MS-AUTHSO] section 3.2.2.</t>
  </si>
  <si>
    <t>MS-SMB_R114770</t>
  </si>
  <si>
    <t>&lt;100&gt; Section 3.3.5.3: If the client sends a zero length SecurityBlob in the request, the server-initiated SPNEGO exchange will be used.</t>
  </si>
  <si>
    <t>SPNEGO is out of scope</t>
  </si>
  <si>
    <t>MS-SMB_R105000</t>
  </si>
  <si>
    <t xml:space="preserve">[In Receiving an FSCTL_SRV_COPYCHUNK Request] A ChunksWritten request MUST contain the maximum number of chunks that can be written in a single request. </t>
  </si>
  <si>
    <t>MS-SMB_R115000</t>
  </si>
  <si>
    <t xml:space="preserve">[In Receiving an FSCTL_SRV_COPYCHUNK Request] A ChunkBytesWritten request MUST be the maximum number of bytes that can be written in a single chunk. </t>
  </si>
  <si>
    <t>MS-SMB_R125000</t>
  </si>
  <si>
    <t>[In Receiving an FSCTL_SRV_COPYCHUNK Request] A TotalBytesWritten request MUST be the total amount of data that can be written in an FSCTL_SRV_COPYCHUNK operation.</t>
  </si>
  <si>
    <t xml:space="preserve">[In Receiving an FSCTL_SRV_COPYCHUNK Request] If the number of chunks is greater than the chunks that can be written in a single request, then the server MUST fail the operation with STATUS_INVALID_PARAMETER and return a response as specified in section 2.2.7.2.2. </t>
  </si>
  <si>
    <t>MS-SMB_R102558</t>
  </si>
  <si>
    <t xml:space="preserve">[In Receiving an FSCTL_SRV_COPYCHUNK Request] If the maximum write size of any individual chunk is greater than the maximum number of bytes that can be written in a single chunk, then the server MUST fail the operation with STATUS_INVALID_PARAMETER and return a response as specified in section 2.2.7.2.2. </t>
  </si>
  <si>
    <t>MS-SMB_R112558</t>
  </si>
  <si>
    <t xml:space="preserve">[In Receiving an FSCTL_SRV_COPYCHUNK Request] If the total write size of all chunks in the request is greater than the total amount of data that can be written in an FSCTL_SRV_COPYCHUNK operation, then the server MUST fail the operation with STATUS_INVALID_PARAMETER and return a response as specified in section 2.2.7.2.2. </t>
  </si>
  <si>
    <t>MS-SMB_R104181</t>
  </si>
  <si>
    <t>[In Sequence Diagram] Session Setup Roundtrip: If authentication succeeds after a single roundtrip, then only one session setup exchange is required.</t>
  </si>
  <si>
    <t>MS-SMB_R114181</t>
  </si>
  <si>
    <t>[In Sequence Diagram] Session Setup Roundtrip: Otherwise[If authentication does not succeed after a single roundtrip], additional roundtrips will be required.</t>
  </si>
  <si>
    <t>[In Sequence Diagram] Session Setup Roundtrip: Each additional roundtrips MUST consist of one SMB_COM_SESSION_SETUP_ANDX client request and one SMB_COM_SESSION_SETUP_ANDX server response.</t>
  </si>
  <si>
    <t>MS-SMB_R105424</t>
  </si>
  <si>
    <t>[In Extended Security Response] ByteCount (2 bytes): The number of bytes in the SMB_Data.Bytes array, which follows.</t>
  </si>
  <si>
    <t>[In File_Pipe_Printer_Access_Mask]File_Pipe_Printer_Access_Mask (4 bytes):  For a file, named pipe, or printer, the value MUST be constructed using the following values[FILE_READ_DATA
0x00000001, FILE_WRITE_DATA
0x00000002,FILE_APPEND_DATA
0x00000004,FILE_READ_EA
0x00000008,FILE_WRITE_EA
0x00000010,FILE_EXECUTE
0x00000020,FILE_READ_ATTRIBUTES
0x00000080,FILE_WRITE_ATTRIBUTES
0x00000100,DELETE
0x00010000,READ_CONTROL
0x00020000,WRITE_DAC
0x00040000,WRITE_OWNER
0x00080000,SYNCHRONIZE
0x00100000,ACCESS_SYSTEM_SECURITY
0x01000000,MAXIMUM_ALLOWED
0x02000000,GENERIC_ALL
0x10000000,GENERIC_EXECUTE
0x20000000,GENERIC_WRITE
0x40000000,GENERIC_READ
0x80000000]</t>
  </si>
  <si>
    <t>S10</t>
    <phoneticPr fontId="5" type="noConversion"/>
  </si>
  <si>
    <t>MS-SMB_R109080</t>
  </si>
  <si>
    <t>[In File_Pipe_Printer_Access_Mask]File_Pipe_Printer_Access_Mask (4 bytes): For a printer, the value MUST have at least one of the following: FILE_WRITE_DATA, FILE_APPEND_DATA, or GENERIC_WRITE.</t>
  </si>
  <si>
    <t>[In Receiving an SMB_COM_NT_CREATE_ANDX Request] &lt;107&gt; Section 3.3.5.5: Windows-based SMB servers allow the following options on a named pipe: FILE_WRITE_THROUGH
 FILE_SYNCHRONOUS_IO_ALERT
 FILE_SYNCHRONOUS_IO_NONALERT
FILE_SYNCHRONOUS_IO_ALERT and FILE_SYNCHRONOUS_IO_NONALERT are not combined.</t>
  </si>
  <si>
    <t>MS-SMB_R1030095</t>
  </si>
  <si>
    <t>[In Receiving an SMB_COM_NT_CREATE_ANDX Request] &lt;107&gt; Section 3.3.5.5: If the client sets FILE_SYNCHRONOUS_IO_ALERT bits in the CreateOptions field and does not set SYNCHRONIZE bit in the DesiredAccess field, the server fails the open requests on a named pipe and returns STATUS_INVALID_PARAMETER.</t>
  </si>
  <si>
    <t>MS-SMB_R1130095</t>
  </si>
  <si>
    <t>[In Receiving an SMB_COM_NT_CREATE_ANDX Request] &lt;107&gt; Section 3.3.5.5: If the client sets FILE_SYNCHRONOUS_IO_NONALERT bits in the CreateOptions field and does not set SYNCHRONIZE bit in the DesiredAccess field, the server fails the open requests on a named pipe and returns STATUS_INVALID_PARAMETER.</t>
  </si>
  <si>
    <t>[In Application Requests Querying File Attributes]File Streams: A client can send a TRANS2_QUERY_FILE_INFORMATION subcommand of the SMB_COM_TRANSACTION2 request to the server with the InformationLevel field set to SMB_QUERY_FILE_STREAM_INFO (see [MS-CIFS] section 2.2.6.8).</t>
  </si>
  <si>
    <t>[In Application Requests Querying File Attributes] File Streams: If the FID field in the client request[SMB_COM_TRANSACTION2 request] is on an SMB share that does not support streams, then the server MUST fail the request with STATUS_INVALID_PARAMETER.</t>
  </si>
  <si>
    <t>[In Application Requests Querying File Attributes] A client can send a TRANS2_QUERY_PATH_INFORMATION subcommand of the SMB_COM_TRANSACTION2 request to the server with the InformationLevel field set to SMB_QUERY_FILE_STREAM_INFO (see [MS-CIFS] section 2.2.6.6.2).</t>
  </si>
  <si>
    <t>[In Application Requests Querying File Attributes]If the FileName field in the client request[SMB_COM_TRANSACTION2 request] is on an SMB share that does not support streams, then the server MUST fail the request with STATUS_INVALID_PARAMETER.</t>
  </si>
  <si>
    <t>cannot test "all" possible values.</t>
  </si>
  <si>
    <t>MS-SMB_R2554:i,MS-SMB_R18:i</t>
  </si>
  <si>
    <t>deleted in TD version v20101108</t>
  </si>
  <si>
    <t>blocked by TDQ #50742
deleted in TD version v20101108</t>
  </si>
  <si>
    <t>blocked by TDI #50365
deleted in TD version v20101108</t>
  </si>
  <si>
    <t>blocked by TDI #50282
deleted in TD version v20101108</t>
  </si>
  <si>
    <t>blocked by TDI [#9]</t>
  </si>
  <si>
    <t>informative req shouldn't be derived</t>
  </si>
  <si>
    <t>Named pipe is not supported by test environment</t>
  </si>
  <si>
    <t>blocked by TDI [#8]</t>
  </si>
  <si>
    <t>Non-windows behavior</t>
  </si>
  <si>
    <t>[In NT_TRANSACT_CREATE (0x0001) Extensions]ImpersonationLevel (4 bytes): This field specifies the information given to the server about the client and how the server should&lt;65&gt; represent or impersonate the client.</t>
  </si>
  <si>
    <t>blocked by TDI [#6]</t>
  </si>
  <si>
    <t>Non-testable requirement should not be derived</t>
  </si>
  <si>
    <t>blocked by TDQ [#1]</t>
  </si>
  <si>
    <t>Blocked by TDI [#1]</t>
  </si>
  <si>
    <t>according to WB 114, Windows doesn't support this behavior</t>
  </si>
  <si>
    <t>Named pipe is not tested</t>
  </si>
  <si>
    <t>blocked by TDI[#1]</t>
  </si>
  <si>
    <t>blocked by TDI[#2]</t>
  </si>
  <si>
    <t>blocked by TDI[#50432]</t>
  </si>
  <si>
    <t>blocked by TDI [#7]</t>
  </si>
  <si>
    <t>blocked by TDI[#3]</t>
  </si>
  <si>
    <t>blocked by TDI[#4]</t>
  </si>
  <si>
    <t>MS-SMB_R109958</t>
  </si>
  <si>
    <t xml:space="preserve">this command introduced in CIFS, out of scope, </t>
  </si>
  <si>
    <t>MS-SMB_R109957</t>
  </si>
  <si>
    <t>Because It is hard to verify if the 'FileId' (on the object store) keeps consistent during the life time. It can be assumend that it is retained for the life time of file, in the underlying object store, otherwise, there is no way to uniquely identify a file. So it cost too much to verify this requirement.</t>
  </si>
  <si>
    <t>To set SHI1005_FLAGS_ALLOW_NAMESPACE_CACHING bit, need to use the stack code from MS-SRVS, cost to much.</t>
  </si>
  <si>
    <t>Blocked by TDI [#5]</t>
  </si>
  <si>
    <t>can't trigger and make sure such a failure returns from the underlying object store.</t>
  </si>
  <si>
    <t>"ignored by server" is server internal behavior.</t>
  </si>
  <si>
    <t>[In Extended Security Response]MaxBufferSize (4 bytes): The exceptions in which this maximum buffer size MUST be exceeded are:
When the SMB_COM_WRITE_ANDX command is used and the client and server both support the CAP_LARGE_WRITEX capability (see the Capabilities field for more information).</t>
  </si>
  <si>
    <t>[In Extended Security Response]MaxBufferSize (4 bytes): The only exceptions in which this maximum buffer size MUST be exceeded are:
When the SMB_COM_WRITE_ANDX command is used and the client and server both support the CAP_LARGE_WRITEX capability (see the Capabilities field for more information).</t>
  </si>
  <si>
    <t>block by TDI 57872</t>
  </si>
  <si>
    <t>MS-FSCC_R976</t>
  </si>
  <si>
    <t>2.4.1</t>
  </si>
  <si>
    <t>[In FILE_ACCESS_INFORMATION]AccessFlags (4 bytes):  A DWORD that MUST contain values specified in ACCESS_MASK of [MS-DTYP].</t>
  </si>
  <si>
    <t>MS-FSCC_R989</t>
  </si>
  <si>
    <t>2.4.3</t>
  </si>
  <si>
    <t>[In FILE_ALIGNMENT_INFORMATIO]AlignmentRequirement (4 bytes):  A 32-bit unsigned integer that MUST contain one of the following values[FILE_BYTE_ALIGNMENT 0x00000000, FILE_WORD_ALIGNMENT 0x00000001, FILE_LONG_ALIGNMENT 0x00000003, FILE_QUAD_ALIGNMENT 0x00000007, FILE_OCTA_ALIGNMENT 0x0000000f, FILE_32_BYTE_ALIGNMENT 0x0000001f, FILE_64_BYTE_ALIGNMENT 0x0000003f, FILE_128_BYTE_ALIGNMENT 0x0000007f, FILE_256_BYTE_ALIGNMENT 0x000000ff, FILE_512_BYTE_ALIGNMENT 0x000001ff].</t>
  </si>
  <si>
    <t>MS-FSCC_R991</t>
  </si>
  <si>
    <t>[In FILE_ALIGNMENT_INFORMATIO]AlignmentRequirement (4 bytes):  If this value[FILE_WORD_ALIGNMENT 0x00000001] is specified, data MUST be aligned on a 2-byte boundary.</t>
  </si>
  <si>
    <t>MS-FSCC_R1008</t>
  </si>
  <si>
    <t>2.4.5</t>
  </si>
  <si>
    <t>[In FileAlternateNameInformation]A file MAY have an alternate name to achieve compatibility with the 8.3 naming requirements of legacy applications. &lt;63&gt;</t>
  </si>
  <si>
    <t>MS-SMB_R10080</t>
  </si>
  <si>
    <t>[In FileAlternateNameInformation]In Windows,a file does not have an alternate name to achieve compatibility with the 8.3 naming requirements of legacy applications. &lt;63&gt;</t>
  </si>
  <si>
    <t>MS-FSCC_R1008,MS-SMB_R19</t>
  </si>
  <si>
    <t>MS-FSCC_R1016</t>
  </si>
  <si>
    <t>2.4.6</t>
  </si>
  <si>
    <t>[In FILE_ATTRIBUTE_TAG_INFORMATION]FileAttributes (4 bytes):  A 32-bit unsigned integer that contains the file attributes.</t>
  </si>
  <si>
    <t>MS-FSCC_R1018</t>
  </si>
  <si>
    <t>[In FILE_ATTRIBUTE_TAG_INFORMATION]ReparseTag (4 bytes):  A 32-bit unsigned integer that specifies the reparse point tag.</t>
  </si>
  <si>
    <t>MS-FSCC_R1024</t>
  </si>
  <si>
    <t>2.4.7</t>
  </si>
  <si>
    <t>[In FILE_BASIC_INFORMATION]CreationTime (8 bytes):  The time when the file was created.</t>
  </si>
  <si>
    <t>MS-FSCC_R1026</t>
  </si>
  <si>
    <t>[In FILE_BASIC_INFORMATION]CreationTime (8 bytes): A valid time for this field is an integer greater than or equal to 0.</t>
  </si>
  <si>
    <t>MS-FSCC_R1029</t>
  </si>
  <si>
    <t>[In FILE_BASIC_INFORMATION]CreationTime (8 bytes): This field MUST NOT be set to a value less than -1.</t>
  </si>
  <si>
    <t>MS-FSCC_R1031</t>
  </si>
  <si>
    <t>[In FILE_BASIC_INFORMATION]LastAccessTime (8 bytes): A valid time for this field is an integer greater than or equal to 0.</t>
  </si>
  <si>
    <t>MS-FSCC_R1034</t>
  </si>
  <si>
    <t>[In FILE_BASIC_INFORMATION]LastAccessTime (8 bytes): This field MUST NOT be set to a value less than -1. &lt;64&gt;</t>
  </si>
  <si>
    <t>MS-FSCC_R1036</t>
  </si>
  <si>
    <t>[In FILE_BASIC_INFORMATION]LastWriteTime (8 bytes): A valid time for this field is an integer greater than or equal to 0.</t>
  </si>
  <si>
    <t>MS-FSCC_R1039</t>
  </si>
  <si>
    <t>[In FILE_BASIC_INFORMATION]LastWriteTime (8 bytes): This field MUST NOT be set to a value less than -1. &lt;65&gt;</t>
  </si>
  <si>
    <t>MS-FSCC_R1041</t>
  </si>
  <si>
    <t>[In FILE_BASIC_INFORMATION]ChangeTime (8 bytes):  A valid time for this field is an integer greater than or equal to 0.</t>
  </si>
  <si>
    <t>MS-FSCC_R1044</t>
  </si>
  <si>
    <t>[In FILE_BASIC_INFORMATION]ChangeTime (8 bytes):  This field MUST NOT be set to a value less than -1. &lt;66&gt;</t>
  </si>
  <si>
    <t>MS-FSCC_R1045</t>
  </si>
  <si>
    <t>[In FILE_BASIC_INFORMATION]FileAttributes (4 bytes):  A 32-bit unsigned integer that contains the file attributes.</t>
  </si>
  <si>
    <t>MS-FSCC_R1047</t>
  </si>
  <si>
    <t>[In FILE_BASIC_INFORMATION]Reserved (4 bytes):  A 32-bit field.</t>
  </si>
  <si>
    <t>MS-FSCC_R1094</t>
  </si>
  <si>
    <t>2.4.9</t>
  </si>
  <si>
    <t>[In FILE_COMPRESSION_INFORMATION]CompressedFileSize (8 bytes):  A 64-bit signed integer that contains the size, in bytes, of the compressed file.</t>
  </si>
  <si>
    <t>MS-FSCC_R1095</t>
  </si>
  <si>
    <t>[In FILE_COMPRESSION_INFORMATION]CompressedFileSize (8 bytes): This value MUST be greater than or equal to 0.</t>
  </si>
  <si>
    <t>MS-FSCC_R1096</t>
  </si>
  <si>
    <t>[In FILE_COMPRESSION_INFORMATION]CompressionFormat (2 bytes):  A 16-bit unsigned integer that contains the compression format.</t>
  </si>
  <si>
    <t>MS-FSCC_R1103</t>
  </si>
  <si>
    <t>[In FILE_COMPRESSION_INFORMATION]CompressionUnitShift (1 byte):  An 8-bit unsigned integer that contains the compression unit shift, which is the number of bits by which to left-shift a 1 bit to arrive at the compression unit size.</t>
  </si>
  <si>
    <t>MS-FSCC_R1106</t>
  </si>
  <si>
    <t>[In FILE_COMPRESSION_INFORMATION]ChunkShift (1 byte):  An 8-bit unsigned integer that contains the compression chunk size shift, which is the number of bits by which to left-shift a 1 bit to arrive at the compression chunk size.</t>
  </si>
  <si>
    <t>MS-FSCC_R1109</t>
  </si>
  <si>
    <t>[In FILE_COMPRESSION_INFORMATION]ClusterShift (1 byte):  An 8-bit unsigned integer that contains the cluster size shift, which is the number of bits by which to left-shift a 1 bit to arrive at the cluster size.</t>
  </si>
  <si>
    <t>MS-FSCC_R1114</t>
  </si>
  <si>
    <t>[In FILE_COMPRESSION_INFORMATION]Reserved (3 bytes):  A 24-bit reserved value.</t>
  </si>
  <si>
    <t>MS-FSCC_R1157</t>
  </si>
  <si>
    <t>2.4.12</t>
  </si>
  <si>
    <t>[In FILE_EA_INFORMATION]EaSize (4 bytes):  A 32-bit unsigned integer that contains the combined length, in bytes, of the extended attributes (EA) for the file.</t>
  </si>
  <si>
    <t>MS-FSCC_R1362</t>
  </si>
  <si>
    <t>2.4.20</t>
  </si>
  <si>
    <t>[In FILE_INTERNAL_INFORMATION]IndexNumber (8 bytes):  A 64-bit signed integer that contains the 8-byte file reference number for the file.</t>
  </si>
  <si>
    <t>MS-FSCC_R1363</t>
  </si>
  <si>
    <t>[In FILE_INTERNAL_INFORMATION]IndexNumber (8 bytes): This number MUST be assigned by the file system and is unique to the volume on which the file or directory is located.</t>
    <phoneticPr fontId="8" type="noConversion"/>
  </si>
  <si>
    <t>MS-FSCC_R1365</t>
  </si>
  <si>
    <t>[In FILE_INTERNAL_INFORMATION]IndexNumber (8 bytes): The value of this field MUST be greater than or equal to 0.</t>
  </si>
  <si>
    <t>MS-FSCC_R1402</t>
  </si>
  <si>
    <t>2.4.24</t>
  </si>
  <si>
    <t>[In FILE_MODE_INFORMATION]Mode (4 bytes):  A 32-bit unsigned integer that specifies how the file will subsequently be accessed.</t>
  </si>
  <si>
    <t>MS-FSCC_R1412</t>
  </si>
  <si>
    <t>2.4.25</t>
  </si>
  <si>
    <t>[In FileNameInformation] This information class [FileNameInformation] returns a FILE_NAME_INFORMATION data element as described in section 2.1.7.</t>
  </si>
  <si>
    <t>MS-FSCC_R1413</t>
  </si>
  <si>
    <t>[In FILE_NAME_INFORMATION]FileNameLength (4 bytes):  A 32-bit unsigned integer that contains the length, in bytes, of the FileName field.</t>
  </si>
  <si>
    <t>MS-FSCC_R1434</t>
  </si>
  <si>
    <t>2.4.27</t>
  </si>
  <si>
    <t>[In FILE_NETWORK_OPEN_INFORMATION]CreationTime (8 bytes):  The time when the file was created.</t>
  </si>
  <si>
    <t>MS-FSCC_R1435</t>
  </si>
  <si>
    <t>[In FILE_NETWORK_OPEN_INFORMATION]CreationTime (8 bytes): The value of this field MUST be greater than or equal to 0.</t>
  </si>
  <si>
    <t>MS-FSCC_R1437</t>
  </si>
  <si>
    <t>[In FILE_NETWORK_OPEN_INFORMATION]LastAccessTime (8 bytes): The value of this field MUST be greater than or equal to 0.</t>
  </si>
  <si>
    <t>MS-FSCC_R1439</t>
  </si>
  <si>
    <t>[In FILE_NETWORK_OPEN_INFORMATION]LastWriteTime (8 bytes): The value of this field MUST be greater than or equal to 0.</t>
  </si>
  <si>
    <t>MS-FSCC_R1441</t>
  </si>
  <si>
    <t>[In FILE_NETWORK_OPEN_INFORMATION]ChangeTime (8 bytes):  The value of this field MUST be greater than or equal to 0.</t>
  </si>
  <si>
    <t>MS-FSCC_R1442</t>
  </si>
  <si>
    <t>[In FILE_NETWORK_OPEN_INFORMATION]AllocationSize (8 bytes):  A 64-bit signed integer that contains the file allocation size in bytes.</t>
  </si>
  <si>
    <t>MS-FSCC_R1444</t>
  </si>
  <si>
    <t>[In FILE_NETWORK_OPEN_INFORMATION]AllocationSize (8 bytes):  The value of this field MUST be an integer multiple of the cluster size.</t>
  </si>
  <si>
    <t>MS-FSCC_R1445</t>
  </si>
  <si>
    <t>[In FILE_NETWORK_OPEN_INFORMATION]EndOfFile (8 bytes):  A 64-bit signed integer that contains the absolute new end-of-file position as a byte offset from the start of the file.</t>
  </si>
  <si>
    <t>MS-FSCC_R1447</t>
  </si>
  <si>
    <t>[In FILE_NETWORK_OPEN_INFORMATION]EndOfFile (8 bytes): Because this value is zero-based, it actually refers to the first free byte in the file. That is, it is the offset from the beginning of the file at which new bytes appended to the file will be written.</t>
  </si>
  <si>
    <t>MS-FSCC_R1448</t>
  </si>
  <si>
    <t>[In FILE_NETWORK_OPEN_INFORMATION]EndOfFile (8 bytes): The value of this field MUST be greater than or equal to 0.</t>
  </si>
  <si>
    <t>MS-FSCC_R1449</t>
  </si>
  <si>
    <t>[In FILE_NETWORK_OPEN_INFORMATION]FileAttributes (4 bytes):  A 32-bit unsigned integer that contains the file attributes.</t>
  </si>
  <si>
    <t>MS-FSCC_R1451</t>
  </si>
  <si>
    <t>[In FILE_NETWORK_OPEN_INFORMATION]Reserved (4 bytes):  A 32-bit field.</t>
  </si>
  <si>
    <t>MS-FSCC_R1531</t>
  </si>
  <si>
    <t>2.4.32</t>
  </si>
  <si>
    <t>[In FILE_POSITION_INFORMATION]CurrentByteOffset (8 bytes):  A LARGE_INTEGER that MUST contain the offset, in bytes, of the file pointer from the beginning of the file.</t>
  </si>
  <si>
    <t>MS-FSCC_R1624</t>
  </si>
  <si>
    <t>2.4.38</t>
  </si>
  <si>
    <t>[In FILE_STANDARD_INFORMATION]AllocationSize (8 bytes):  A 64-bit signed integer that contains the file allocation size in bytes.</t>
  </si>
  <si>
    <t>MS-FSCC_R1626</t>
  </si>
  <si>
    <t>[In FILE_STANDARD_INFORMATION]AllocationSize (8 bytes):  The value of this field MUST be an integer multiple of the cluster size.</t>
  </si>
  <si>
    <t>MS-FSCC_R1627</t>
  </si>
  <si>
    <t>[In FILE_STANDARD_INFORMATION]EndOfFile (8 bytes):  A 64-bit signed integer that contains the absolute end-of-file position as a byte offset from the start of the file.</t>
  </si>
  <si>
    <t>Normative</t>
    <phoneticPr fontId="8" type="noConversion"/>
  </si>
  <si>
    <t>MS-FSCC_R1629</t>
  </si>
  <si>
    <t>[In FILE_STANDARD_INFORMATION]EndOfFile (8 bytes):  Because this value is zero-based, it actually refers to the first free byte in the file. That is, it is the offset from the beginning of the file at which new bytes appended to the file will be written.</t>
  </si>
  <si>
    <t>MS-FSCC_R1630</t>
  </si>
  <si>
    <t>[In FILE_STANDARD_INFORMATION]EndOfFile (8 bytes):  The value of this field MUST be greater than or equal to 0.</t>
  </si>
  <si>
    <t>MS-FSCC_R1631</t>
  </si>
  <si>
    <t>[In FILE_STANDARD_INFORMATION]NumberOfLinks (4 bytes):  A 32-bit unsigned integer that contains the number of non-deleted links to this file.</t>
  </si>
  <si>
    <t>MS-FSCC_R1633</t>
  </si>
  <si>
    <t>[In FILE_STANDARD_INFORMATION]DeletePending (1 byte):   otherwise[if a file deletion has not been requested],[it is set to] 0.</t>
    <phoneticPr fontId="8" type="noConversion"/>
  </si>
  <si>
    <t>MS-FSCC_R1635</t>
  </si>
  <si>
    <t>[In FILE_STANDARD_INFORMATION]Directory (1 byte):  otherwise[if the file is not a director], [it is set to]0.</t>
    <phoneticPr fontId="8" type="noConversion"/>
  </si>
  <si>
    <t>MS-FSCC_R1636</t>
  </si>
  <si>
    <t>[In FILE_STANDARD_INFORMATION]Reserved (2 bytes):  A 16-bit field.</t>
  </si>
  <si>
    <t>MS-FSCC_R1659</t>
  </si>
  <si>
    <t>2.4.40</t>
  </si>
  <si>
    <t>[In FILE_STREAM_INFORMATION]NextEntryOffset (4 bytes):  A 32-bit unsigned integer that contains the byte offset from the beginning of this entry, at which the next FILE_STREAM_INFORMATION entry is located, if multiple entries are present in a buffer.</t>
  </si>
  <si>
    <t>MS-FSCC_R1660</t>
  </si>
  <si>
    <t>[In FILE_STREAM_INFORMATION]NextEntryOffset (4 bytes): This member is zero if no other entries follow this one[FILE_ STREAM _INFORMATION entry].</t>
  </si>
  <si>
    <t>MS-FSCC_R1663</t>
  </si>
  <si>
    <t>[In FILE_STREAM_INFORMATION]StreamNameLength (4 bytes):  A 32-bit unsigned integer that contains the length, in bytes, of the stream name string.</t>
  </si>
  <si>
    <t>MS-FSCC_R1664</t>
  </si>
  <si>
    <t>[In FILE_STREAM_INFORMATION]StreamSize (8 bytes):  A 64-bit signed integer that contains the size, in bytes, of the stream.</t>
  </si>
  <si>
    <t>MS-FSCC_R1665</t>
  </si>
  <si>
    <t>[In FILE_STREAM_INFORMATION]StreamSize (8 bytes):  The value of this field MUST be greater than or equal to 0.</t>
  </si>
  <si>
    <t>MS-FSCC_R1666</t>
  </si>
  <si>
    <t>[In FILE_STREAM_INFORMATION]StreamAllocationSize (8 bytes):  A 64-bit signed integer that contains the file stream allocation size in bytes.</t>
  </si>
  <si>
    <t>MS-FSCC_R1668</t>
  </si>
  <si>
    <t>[In FILE_STREAM_INFORMATION]StreamAllocationSize (8 bytes):  The value of this field [the StreamAllocationSize field] MUST be an integer multiple of the cluster size.</t>
  </si>
  <si>
    <t>MS-FSCC_R1672</t>
  </si>
  <si>
    <t>[In FILE_STREAM_INFORMATION]StreamName (variable):  The leading ‘:’ and trailing ‘:$DATA’ characters MUST be stripped from this field to derive the actual stream name.</t>
    <phoneticPr fontId="8" type="noConversion"/>
  </si>
  <si>
    <t>MS-FSCC_R1674</t>
  </si>
  <si>
    <t>2.4.37</t>
  </si>
  <si>
    <t>[In FILE_NAME_INFORMATION]FileName (variable):  This field MUST be handled as a sequence of FileNameLength bytes.</t>
    <phoneticPr fontId="8" type="noConversion"/>
  </si>
  <si>
    <t>MS-FSCC_R1684</t>
  </si>
  <si>
    <t>2.5.1</t>
  </si>
  <si>
    <t>The message[FileFsAttributeInformation] contains a FILE_FS_ATTRIBUTE_INFORMATION data element.</t>
  </si>
  <si>
    <t>MS-FSCC_R1697</t>
  </si>
  <si>
    <t>[In FILE_FS_ATTRIBUTE_INFORMATION]FileSystemAttributes (4 bytes): This flag[FILE_VOLUME_IS_COMPRESSED 0x00008000] is incompatible with the FILE_FILE_COMPRESSION flag.</t>
  </si>
  <si>
    <t>MS-FSCC_R1703</t>
  </si>
  <si>
    <t>[In FILE_FS_ATTRIBUTE_INFORMATION]FileSystemAttributes (4 bytes):  This flag[FILE_FILE_COMPRESSION 0x00000010] is incompatible with the FILE_VOLUME_IS_COMPRESSED flag.</t>
  </si>
  <si>
    <t>MS-FSCC_R1709</t>
  </si>
  <si>
    <t>[In FILE_FS_ATTRIBUTE_INFORMATION]MaximumComponentNameLength (4 bytes):  A 32-bit signed integer that contains the maximum file name component length, in bytes, supported by the specified file system.</t>
  </si>
  <si>
    <t>MS-FSCC_R1710</t>
  </si>
  <si>
    <t>[In FILE_FS_ATTRIBUTE_INFORMATION]MaximumComponentNameLength (4 bytes): The value of this field MUST be greater than 0.</t>
  </si>
  <si>
    <t>MS-FSCC_R1711</t>
  </si>
  <si>
    <t>[In FILE_FS_ATTRIBUTE_INFORMATION]FileSystemNameLength (4 bytes):  A 32-bit unsigned integer that contains the length, in bytes, of the file system name in the FileSystemName field.</t>
  </si>
  <si>
    <t>MS-FSCC_R1712</t>
  </si>
  <si>
    <t>[In FILE_FS_ATTRIBUTE_INFORMATION]FileSystemNameLength (4 bytes):  The value of this field MUST be greater than 0.</t>
  </si>
  <si>
    <t>MS-FSCC_R1714</t>
  </si>
  <si>
    <t>[In FILE_STREAM_INFORMATION]StreamName (variable):  This field MUST be handled as a sequence of StreamNameLength bytes.</t>
    <phoneticPr fontId="8" type="noConversion"/>
  </si>
  <si>
    <t>MS-FSCC_R1716</t>
  </si>
  <si>
    <t>[In FILE_FS_ATTRIBUTE_INFORMATION]FileSystemName (variable): This field MUST be handled as a sequence of FileSystemNameLength bytes.</t>
    <phoneticPr fontId="8" type="noConversion"/>
  </si>
  <si>
    <t>MS-FSCC_R1762</t>
  </si>
  <si>
    <t>2.5.4</t>
  </si>
  <si>
    <t>The message[FileFsFullSizeInformation] contains a FILE_FS_FULL_SIZE_INFORMATION data element.</t>
  </si>
  <si>
    <t>MS-FSCC_R1764</t>
  </si>
  <si>
    <t>[In FILE_FS_FULL_SIZE_INFORMATION]TotalAllocationUnits (8 bytes):  A 64-bit signed integer that contains the total number of allocation units on the volume that are available to the user associated with the calling thread.</t>
  </si>
  <si>
    <t>MS-FSCC_R1765</t>
  </si>
  <si>
    <t>[In FILE_FS_FULL_SIZE_INFORMATION]TotalAllocationUnits (8 bytes): The value of this field MUST be greater than or equal to 0.&lt;101&gt;</t>
  </si>
  <si>
    <t>MS-FSCC_R1766</t>
  </si>
  <si>
    <t>[In FILE_FS_FULL_SIZE_INFORMATION]CallerAvailableAllocationUnits (8 bytes):  A 64-bit signed integer that contains the total number of free allocation units on the volume that are available to the user associated with the calling thread.</t>
  </si>
  <si>
    <t>MS-FSCC_R1767</t>
  </si>
  <si>
    <t>[In FILE_FS_FULL_SIZE_INFORMATION]CallerAvailableAllocationUnits (8 bytes): The value of this field MUST be greater than or equal to 0.&lt;102&gt;</t>
  </si>
  <si>
    <t>MS-FSCC_R1768</t>
  </si>
  <si>
    <t>[In FILE_FS_FULL_SIZE_INFORMATION]ActualAvailableAllocationUnits (8 bytes):  A 64-bit signed integer that contains the total number of free allocation units on the volume.</t>
  </si>
  <si>
    <t>MS-FSCC_R1769</t>
  </si>
  <si>
    <t>[In FILE_FS_FULL_SIZE_INFORMATION]ActualAvailableAllocationUnits (8 bytes): The value of this field MUST be greater than or equal to 0.</t>
  </si>
  <si>
    <t>MS-FSCC_R1770</t>
  </si>
  <si>
    <t>[In FILE_FS_FULL_SIZE_INFORMATION]SectorsPerAllocationUnit (4 bytes):  A 32-bit unsigned integer that contains the number of sectors in each allocation unit.</t>
  </si>
  <si>
    <t>MS-FSCC_R1771</t>
  </si>
  <si>
    <t>[In FILE_FS_FULL_SIZE_INFORMATION]BytesPerSector (4 bytes):  A 32-bit unsigned integer that contains the number of bytes in each sector.</t>
  </si>
  <si>
    <t>MS-FSCC_R1780</t>
  </si>
  <si>
    <t>2.5.6</t>
  </si>
  <si>
    <t>The message[FileFsObjectIdInformation] contains a FILE_FS_OBJECTID_INFORMATION data element.</t>
  </si>
  <si>
    <t>MS-FSCC_R1782</t>
  </si>
  <si>
    <t>[In FILE_FS_OBJECTID_INFORMATION]ObjectId (16 bytes):  A 16-byte GUID that identifies the file system volume on the disk.</t>
  </si>
  <si>
    <t>MS-FSCC_R1784</t>
  </si>
  <si>
    <t>[In FILE_FS_OBJECTID_INFORMATION]ExtendedInfo (48 bytes):  A 48-byte value containing extended information on the file system volume.</t>
  </si>
  <si>
    <t>MS-FSCC_R1785</t>
  </si>
  <si>
    <t>[In FILE_FS_OBJECTID_INFORMATION]ExtendedInfo (48 bytes):  If no extended information has been written for this file system volume, the server MUST return 48 bytes of 0x00 in this field.&lt;105&gt;</t>
  </si>
  <si>
    <t>MS-FSCC_R1787</t>
  </si>
  <si>
    <t>2.5.7</t>
  </si>
  <si>
    <t>The message[FileFsSizeInformation] contains a FILE_FS_SIZE_INFORMATION data element.</t>
  </si>
  <si>
    <t>MS-FSCC_R1789</t>
  </si>
  <si>
    <t>[In FILE_FS_SIZE_INFORMATION]TotalAllocationUnits (8 bytes):  A 64-bit signed integer that contains the total number of allocation units on the volume that are available to the user associated with the calling thread.</t>
  </si>
  <si>
    <t>MS-FSCC_R1790</t>
  </si>
  <si>
    <t>[In FILE_FS_SIZE_INFORMATION]TotalAllocationUnits (8 bytes):  This value MUST be greater than or equal to 0.&lt;106&gt;</t>
  </si>
  <si>
    <t>MS-FSCC_R1791</t>
  </si>
  <si>
    <t>[In FILE_FS_SIZE_INFORMATION]AvailableAllocationUnits (8 bytes):  A 64-bit signed integer that contains the total number of free allocation units on the volume that are available to the user associated with the calling thread.</t>
  </si>
  <si>
    <t>MS-FSCC_R1792</t>
  </si>
  <si>
    <t>[In FILE_FS_SIZE_INFORMATION]AvailableAllocationUnits (8 bytes):  This value MUST be greater than or equal to 0.&lt;107&gt;</t>
  </si>
  <si>
    <t>MS-FSCC_R1793</t>
  </si>
  <si>
    <t>[In FILE_FS_SIZE_INFORMATION]SectorsPerAllocationUnit (4 bytes):  A 32-bit unsigned integer that contains the number of sectors in each allocation unit.</t>
  </si>
  <si>
    <t>MS-FSCC_R1794</t>
  </si>
  <si>
    <t>[In FILE_FS_SIZE_INFORMATION]BytesPerSector (4 bytes):  A 32-bit unsigned integer that contains the number of bytes in each sector.</t>
  </si>
  <si>
    <t>MS-FSCC_R1796</t>
  </si>
  <si>
    <t>2.5.8</t>
  </si>
  <si>
    <t>The message[FileFsVolumeInformation] contains a FILE_FS_VOLUME_INFORMATION data element.</t>
  </si>
  <si>
    <t>MS-FSCC_R1798</t>
  </si>
  <si>
    <t>[In FILE_FS_VOLUME_INFORMATION]VolumeCreationTime (8 bytes):  The time when the volume was created.</t>
  </si>
  <si>
    <t>MS-FSCC_R1799</t>
  </si>
  <si>
    <t>[In FILE_FS_VOLUME_INFORMATION]VolumeCreationTime (8 bytes): The value of this field MUST be greater than or equal to 0.</t>
  </si>
  <si>
    <t>MS-FSCC_R1800</t>
  </si>
  <si>
    <t>[In FILE_FS_VOLUME_INFORMATION]VolumeSerialNumber (4 bytes):  A 32-bit unsigned integer that contains the serial number of the volume.</t>
  </si>
  <si>
    <t>MS-FSCC_R1804</t>
  </si>
  <si>
    <t>[In FILE_FS_VOLUME_INFORMATION]VolumeLabelLength (4 bytes):  A 32-bit unsigned integer that contains the length, in bytes, including the trailing null, if present, of the name of the volume.&lt;108&gt;</t>
  </si>
  <si>
    <t>MS-FSCC_R1805</t>
  </si>
  <si>
    <t>[In FILE_FS_VOLUME_INFORMATION]SupportsObjects (1 byte):  A 1-byte Boolean (unsigned char) that is TRUE (0x01) if the file system supports object-oriented file system objects.</t>
    <phoneticPr fontId="8" type="noConversion"/>
  </si>
  <si>
    <t>MS-FSCC_R1809</t>
  </si>
  <si>
    <t>[In FILE_FS_VOLUME_INFORMATION]VolumeLabel (variable): The content of this field can be a null-terminated string or can be a string padded with the space character to be VolumeLabelLength bytes long.</t>
  </si>
  <si>
    <t>MS-FSCC_R1811</t>
  </si>
  <si>
    <t>2.5.9</t>
  </si>
  <si>
    <t>The message[FileFsDeviceInformation] contains a FILE_FS_DEVICE_INFORMATION data element.</t>
  </si>
  <si>
    <t>MS-FSCC_R1814</t>
  </si>
  <si>
    <t>[In FILE_FS_DEVICE_INFORMATION]DeviceType (4 bytes): It MUST be one of the following:[FILE_DEVICE_CD_ROM 0x00000002, FILE_DEVICE_DISK 0x00000007].</t>
  </si>
  <si>
    <t>MS-FSCC_R1818</t>
  </si>
  <si>
    <t>[In FILE_FS_DEVICE_INFORMATION]Characteristics (4 bytes): The following are valid bit values.[FILE_REMOVABLE_MEDIA 0x00000001, FILE_READ_ONLY_DEVICE 0x00000002, FILE_FLOPPY_DISKETTE 0x00000004, FILE_WRITE_ONCE_MEDIA 0x00000008, FILE_REMOTE_DEVICE 0x00000010, FILE_DEVICE_IS_MOUNTED 0x00000020, FILE_VIRTUAL_VOLUME 0x00000040, FILE_DEVICE_SECURE_OPEN 0x00000100, FILE_CHARACTERISTIC_TS_DEVICE 0x00001000, FILE_CHARACTERISTIC_WEBDAV_DEVICE 0x00002000].</t>
  </si>
  <si>
    <t>MS-FSCC_R1940</t>
  </si>
  <si>
    <t>5</t>
  </si>
  <si>
    <t>[In FileCompressionInformation] &lt;69&gt; Section 2.4.9:NTFS defaults to a 4-kilobyte cluster size, resulting in a ClusterShift value of 12, but NTFS file systems can be initialized with a different cluster size, so the value may vary.</t>
  </si>
  <si>
    <t>MS-FSCC_R1943</t>
  </si>
  <si>
    <t>[In FileCompressionInformation] &lt;71&gt; Section 2.4.9: The value of this field[ClusterShift] depends on the cluster size set for the file system at initialization.</t>
  </si>
  <si>
    <t>MS-FSCC_R1945</t>
  </si>
  <si>
    <t>[In FileCompressionInformation] &lt;71&gt; Section 2.4.9: If an NTFS file system is initialized with a different cluster size, the value of ClusterShift would be log 2 of the cluster size for that file system.</t>
  </si>
  <si>
    <t>MS-FSCC_R1986</t>
  </si>
  <si>
    <t>[In FileFsVolumeInformation, SupportsObjects (1 byte):  ]&lt;109&gt; Section 2.5.8: This value[SupportsObjects] is TRUE for NTFS.</t>
  </si>
  <si>
    <t>MS-FSCC_R403</t>
  </si>
  <si>
    <t>2.3.12</t>
    <phoneticPr fontId="8" type="noConversion"/>
  </si>
  <si>
    <t>The FSCTL_GET_COMPRESSION reply message returns the results of the FSCTL_GET_COMPRESSION request as a 16-bit unsigned integer value that indicates the current compression state of the file or directory.</t>
    <phoneticPr fontId="8" type="noConversion"/>
  </si>
  <si>
    <t>MS-FSCC_R405</t>
  </si>
  <si>
    <t>[In FSCTL_GET_COMPRESSION Reply]CompressionState (2 bytes):  One of the following standard values[COMPRESSION_FORMAT_NONE 0x0000, COMPRESSION_FORMAT_LZNT1 0x0002, All other values] MUST be returned.</t>
  </si>
  <si>
    <t>MS-FSCC_R414</t>
  </si>
  <si>
    <t>2.3.12</t>
  </si>
  <si>
    <t>This message[FSCTL_GET_COMPRESSION Reply] also returns a status code, as specified in [MS-ERREF] section 2.3.</t>
    <phoneticPr fontId="8" type="noConversion"/>
  </si>
  <si>
    <t>MS-FSCC_R415</t>
  </si>
  <si>
    <t>[In FSCTL_GET_COMPRESSION Reply]The status code that is returned directly by the function that processes this FSCTL MUST be STATUS_SUCCESS or one of the following:[STATUS_INVALID_PARAMETER 0xC000000D, STATUS_INVALID_DEVICE_REQUEST 0xC0000010].</t>
    <phoneticPr fontId="8" type="noConversion"/>
  </si>
  <si>
    <t>MS-FSCC_R1054</t>
  </si>
  <si>
    <t>2.4.8</t>
  </si>
  <si>
    <t>[In FILE_BOTH_DIR_INFORMATION]NextEntryOffset (4 bytes):  A 32-bit unsigned integer that contains the byte offset from the beginning of this entry, at which the next FILE_BOTH_DIR_INFORMATION entry is located, if multiple entries are present in a buffer.</t>
  </si>
  <si>
    <t>MS-FSCC_R1055</t>
  </si>
  <si>
    <t>[In FILE_BOTH_DIR_INFORMATION]NextEntryOffset (4 bytes):  This member is zero if no other entries follow this one.</t>
  </si>
  <si>
    <t>MS-FSCC_R191</t>
  </si>
  <si>
    <t>2.3.2</t>
  </si>
  <si>
    <t>[In FSCTL_CREATE_OR_GET_OBJECT_ID Reply] The status code returned directly by the function that processes this FSCTL MUST be STATUS_SUCCESS or one of the following[STATUS_DUPLICATE_NAME 0xC00000BD, STATUS_INVALID_PARAMETER 0xC000000D].</t>
  </si>
  <si>
    <t>MS-FSCC_R200</t>
  </si>
  <si>
    <t>2.3.4</t>
  </si>
  <si>
    <t>[In FSCTL_DELETE_OBJECT_ID Reply]The status code returned directly by the function that processes this FSCTL MUST be STATUS_SUCCESS or one of the following:[STATUS_ACCESS_DENIED 0xC0000022, STATUS_OBJECT_NAME_NOT_FOUND 0xC0000034, STATUS_MEDIA_WRITE_PROTECTED 0xC00000A2]</t>
  </si>
  <si>
    <t>MS-FSCC_R233</t>
  </si>
  <si>
    <t>2.3.8.1</t>
  </si>
  <si>
    <t>[In FILESYSTEM_STATISTICS] FileSystemType (2 bytes): This field MUST contain one of the following values: [FILESYSTEM_STATISTICS_TYPE_NTFS 0x0001,  FILESYSTEM_STATISTICS_TYPE_FAT 0x0002, FILESYSTEM_STATISTICS_TYPE_EXFAT 0x0003]</t>
  </si>
  <si>
    <t>MS-FSCC_R235</t>
  </si>
  <si>
    <t>[In FILESYSTEM_STATISTICS] FileSystemType (2 bytes): If this value[FILESYSTEM_STATISTICS_TYPE_NTFS 0x0001] is set, this structure is followed by an NTFS_STATISTICS structure.</t>
  </si>
  <si>
    <t>MS-FSCC_R240</t>
  </si>
  <si>
    <t>[In FILESYSTEM_STATISTICS] Version (2 bytes):  A 16-bit unsigned integer value containing the version.</t>
  </si>
  <si>
    <t>MS-FSCC_R242</t>
  </si>
  <si>
    <t>[In FILESYSTEM_STATISTICS] SizeOfCompleteStructure (4 bytes):  A 32-bit unsigned integer value that indicates the size, in bytes, of this structure plus the size of the file system-specific structure that follows this structure, each rounded up to a multiple of 64, then the sum is multiplied by the number of processors.</t>
  </si>
  <si>
    <t>MS-FSCC_R244</t>
  </si>
  <si>
    <t>[In FILESYSTEM_STATISTICS] UserFileReads (4 bytes):  A 32-bit unsigned integer value containing the number of read operations on user files.</t>
  </si>
  <si>
    <t>MS-FSCC_R245</t>
  </si>
  <si>
    <t>[In FILESYSTEM_STATISTICS] UserFileReadBytes (4 bytes):  A 32-bit unsigned integer value containing the number of bytes read from user files.</t>
  </si>
  <si>
    <t>MS-FSCC_R246</t>
  </si>
  <si>
    <t>[In FILESYSTEM_STATISTICS] UserDiskReads (4 bytes):  A 32-bit unsigned integer value containing the number of read operations on user files that went to the disk rather than the cache.</t>
  </si>
  <si>
    <t>MS-FSCC_R248</t>
  </si>
  <si>
    <t>[In FILESYSTEM_STATISTICS] UserFileWrites (4 bytes):  A 32-bit unsigned integer value containing the number of write operations on user files.</t>
  </si>
  <si>
    <t>MS-FSCC_R250</t>
  </si>
  <si>
    <t>[In FILESYSTEM_STATISTICS] UserDiskWrites (4 bytes):  A 32-bit unsigned integer value containing the number of write operations on user files that went to disk rather than the cache.</t>
  </si>
  <si>
    <t>MS-FSCC_R252</t>
  </si>
  <si>
    <t>[In FILESYSTEM_STATISTICS] MetaDataReads (4 bytes):  A 32-bit unsigned integer value containing the number of read operations on metadata files.</t>
  </si>
  <si>
    <t>MS-FSCC_R253</t>
  </si>
  <si>
    <t>[In FILESYSTEM_STATISTICS] MetaDataReadBytes (4 bytes):  A 32-bit unsigned integer value containing the number of bytes read from metadata files.</t>
  </si>
  <si>
    <t>MS-FSCC_R257</t>
  </si>
  <si>
    <t>[In FILESYSTEM_STATISTICS] MetaDataWriteBytes (4 bytes):  A 32-bit unsigned integer value containing the number of bytes written to metadata files.</t>
  </si>
  <si>
    <t>MS-FSCC_R258</t>
  </si>
  <si>
    <t>[In FILESYSTEM_STATISTICS] MetaDataDiskWrites (4 bytes):  A 32-bit unsigned integer value containing the number of write operations on metadata files.</t>
  </si>
  <si>
    <t>MS-FSCC_R420</t>
  </si>
  <si>
    <t>2.3.14</t>
  </si>
  <si>
    <t>[In FSCTL_GET_NTFS_VOLUME_DATA Reply] The FSCTL_GET_NTFS_VOLUME_DATA reply message returns the results of the FSCTL_GET_NTFS_VOLUME_DATA request as an NTFS_VOLUME_DATA_BUFFER element.</t>
  </si>
  <si>
    <t>MS-FSCC_R422</t>
  </si>
  <si>
    <t>[In NTFS_VOLUME_DATA_BUFFER_REPLY]VolumeSerialNumber (8 bytes):  A 64-bit signed integer that contains the serial number of the volume.</t>
  </si>
  <si>
    <t>MS-FSCC_R424</t>
  </si>
  <si>
    <t>[In NTFS_VOLUME_DATA_BUFFER_REPLY]NumberSectors (8 bytes):  A 64-bit signed integer that contains the number of sectors in the specified volume.</t>
  </si>
  <si>
    <t>MS-FSCC_R425</t>
  </si>
  <si>
    <t>[In NTFS_VOLUME_DATA_BUFFER_REPLY]TotalClusters (8 bytes):  A 64-bit signed integer that contains the total number of clusters in the specified volume.</t>
  </si>
  <si>
    <t>MS-FSCC_R426</t>
  </si>
  <si>
    <t>[In NTFS_VOLUME_DATA_BUFFER_REPLY]FreeClusters (8 bytes):  A 64-bit signed integer that contains the number of free clusters in the specified volume.</t>
  </si>
  <si>
    <t>MS-FSCC_R427</t>
  </si>
  <si>
    <t>[In NTFS_VOLUME_DATA_BUFFER_REPLY]TotalReserved (8 bytes):  A 64-bit signed integer that contains the number of reserved clusters in the specified volume.</t>
  </si>
  <si>
    <t>MS-FSCC_R430</t>
  </si>
  <si>
    <t>[In NTFS_VOLUME_DATA_BUFFER_REPLY]BytesPerSector (4 bytes):  A 32-bit unsigned integer that contains the number of bytes in a sector on the specified volume.</t>
  </si>
  <si>
    <t>MS-FSCC_R431</t>
  </si>
  <si>
    <t>[In NTFS_VOLUME_DATA_BUFFER_REPLY]BytesPerCluster (4 bytes):  A 32-bit unsigned integer that contains the number of bytes in a cluster on the specified volume.</t>
  </si>
  <si>
    <t>MS-FSCC_R433</t>
  </si>
  <si>
    <t>[In NTFS_VOLUME_DATA_BUFFER_REPLY]BytesPerFileRecordSegment (4 bytes):  A 32-bit unsigned integer that contains the number of bytes in a file record segment.</t>
  </si>
  <si>
    <t>MS-FSCC_R434</t>
  </si>
  <si>
    <t>[In NTFS_VOLUME_DATA_BUFFER_REPLY]ClustersPerFileRecordSegment (4 bytes):  A 32-bit unsigned integer that contains the number of clusters in a file record segment.</t>
  </si>
  <si>
    <t>MS-FSCC_R435</t>
  </si>
  <si>
    <t>[In NTFS_VOLUME_DATA_BUFFER_REPLY]MftValidDataLength (8 bytes):  A 64-bit signed integer that contains the size of the master file table in bytes.</t>
  </si>
  <si>
    <t>MS-FSCC_R436</t>
  </si>
  <si>
    <t>[In NTFS_VOLUME_DATA_BUFFER_REPLY]MftStartLcn (8 bytes):  A 64-bit signed integer that contains the starting logical cluster number (LCN) of the master file table.</t>
  </si>
  <si>
    <t>MS-FSCC_R437</t>
  </si>
  <si>
    <t>[In NTFS_VOLUME_DATA_BUFFER_REPLY]Mft2StartLcn (8 bytes):  A 64-bit signed integer that contains the starting logical cluster number of the master file table mirror.</t>
  </si>
  <si>
    <t>MS-FSCC_R438</t>
  </si>
  <si>
    <t>[In NTFS_VOLUME_DATA_BUFFER_REPLY]MftZoneStart (8 bytes):  A 64-bit signed integer that contains the starting logical cluster number of the master file table zone.</t>
  </si>
  <si>
    <t>MS-FSCC_R439</t>
  </si>
  <si>
    <t>[In NTFS_VOLUME_DATA_BUFFER_REPLY]MftZoneEnd (8 bytes):  A 64-bit signed integer that contains the ending logical cluster number of the master file table zone.</t>
  </si>
  <si>
    <t>MS-FSCC_R440</t>
  </si>
  <si>
    <t>This message[NTFS_VOLUME_DATA_BUFFER_REPLY] also returns a status code, as specified in [MS-ERREF] section 2.3.</t>
  </si>
  <si>
    <t>MS-FSCC_R441</t>
  </si>
  <si>
    <t>[In NTFS_VOLUME_DATA_BUFFER_REPLY]The status code returned directly by the function that processes this FSCTL MUST be STATUS_SUCCESS or one of the following:[STATUS_INVALID_PARAMETER 0xC000000D, STATUS_VOLUME_DISMOUNTED 0xC000026E].</t>
  </si>
  <si>
    <t>MS-FSCC_R453</t>
  </si>
  <si>
    <t>2.3.16</t>
  </si>
  <si>
    <t>This message[FSCTL_GET_OBJECT_ID Reply]  also returns a status code, as specified in [MS-ERREF] section 2.3.</t>
  </si>
  <si>
    <t>MS-FSCC_R454</t>
  </si>
  <si>
    <t>[In FSCTL_GET_OBJECT_ID Reply] The status code returned directly by the function that processes this FSCTL MUST be STATUS_SUCCESS or one of the following:[STATUS_INVALID_PARAMETER 0xC000000D, STATUS_OBJECTID_NOT_FOUND 0xC00002F0, STATUS_INVALID_DEVICE_REQUEST 0xC0000010].</t>
  </si>
  <si>
    <t>MS-FSCC_R633</t>
  </si>
  <si>
    <t>2.3.31</t>
  </si>
  <si>
    <t>[In FILE_ALLOCATED_RANGE_BUFFER]FileOffset (8 bytes):  A 64-bit signed integer that contains the file offset, in bytes, of the start of a range of bytes in a file.</t>
  </si>
  <si>
    <t>MS-FSCC_R634</t>
  </si>
  <si>
    <t>[In FILE_ALLOCATED_RANGE_BUFFER]FileOffset (8 bytes):  The value of this field MUST be greater than or equal to 0.</t>
  </si>
  <si>
    <t>MS-FSCC_R635</t>
  </si>
  <si>
    <t>[In FILE_ALLOCATED_RANGE_BUFFER]Length (8 bytes):  A 64-bit signed integer that contains the size, in bytes, of the range.</t>
  </si>
  <si>
    <t>MS-FSCC_R636</t>
  </si>
  <si>
    <t>[In FILE_ALLOCATED_RANGE_BUFFER]Length (8 bytes): In a request message, the value of this field [the Length field] MUST be greater than or equal to 0.</t>
  </si>
  <si>
    <t>MS-FSCC_R638</t>
  </si>
  <si>
    <t>2.3.32</t>
  </si>
  <si>
    <t>This message[FSCTL_QUERY_ALLOCATED_RANGES Reply] MUST return an array of zero or more FILE_ALLOCATED_RANGE_BUFFER data elements.</t>
  </si>
  <si>
    <t>MS-FSCC_R643</t>
  </si>
  <si>
    <t>[In FILE_ALLOCATED_RANGE_BUFFER]FileOffset (8 bytes):  A 64-bit signed integer that contains the file offset in bytes from the start of the file; the start of a range of bytes to which storage is allocated.</t>
  </si>
  <si>
    <t>MS-FSCC_R646</t>
  </si>
  <si>
    <t>[In FILE_ALLOCATED_RANGE_BUFFER]FileOffset (8 bytes): This value MUST be greater than or equal to 0.&lt;20&gt;</t>
  </si>
  <si>
    <t>MS-FSCC_R647</t>
  </si>
  <si>
    <t>MS-FSCC_R648</t>
  </si>
  <si>
    <t>[In FILE_ALLOCATED_RANGE_BUFFER]Length (8 bytes):  In a request message, the value of this field [the Length field] MUST be greater than or equal to 0.</t>
  </si>
  <si>
    <t>MS-FSCC_R649</t>
  </si>
  <si>
    <t>This message[FSCTL_QUERY_ALLOCATED_RANGES Reply] returns a status code, as specified in [MS-ERREF] section 2.3.</t>
  </si>
  <si>
    <t>MS-FSCC_R650</t>
  </si>
  <si>
    <t>[In FSCTL_QUERY_ALLOCATED_RANGES Reply]The status code returned directly by the function that processes this FSCTL MUST be STATUS_SUCCESS or one of the following:[STATUS_INVALID_PARAMETER 0xC000000D, STATUS_INVALID_USER_BUFFER 0xC00000E8, STATUS_BUFFER_TOO_SMALL 0xC0000023, STATUS_BUFFER_OVERFLOW 0x80000005].</t>
  </si>
  <si>
    <t>MS-FSCC_R717</t>
  </si>
  <si>
    <t>2.3.40</t>
  </si>
  <si>
    <t>[In FSCTL_READ_FILE_USN_DATA Reply] RecordLength (4 bytes):  A 32-bit unsigned integer that contains the total length of the update sequence number (USN) record in bytes.</t>
  </si>
  <si>
    <t>MS-FSCC_R718</t>
  </si>
  <si>
    <t>[In FSCTL_READ_FILE_USN_DATA Reply] MajorVersion (2 bytes):  A 16-bit unsigned integer that contains the major version of the change journal software for this record.&lt;23&gt;</t>
  </si>
  <si>
    <t>MS-FSCC_R719</t>
  </si>
  <si>
    <t>[In FSCTL_READ_FILE_USN_DATA Reply] MinorVersion (2 bytes):  A 16-bit unsigned integer that contains the minor version of the change journal software for this record.&lt;24&gt;</t>
  </si>
  <si>
    <t>MS-FSCC_R720</t>
  </si>
  <si>
    <t xml:space="preserve">[In FSCTL_READ_FILE_USN_DATA Reply] FileReferenceNumber (8 bytes):  A 64-bit unsigned integer, opaque to the client, containing the number (assigned by the file system when the file is created) of the file or directory for which this record notes changes. </t>
  </si>
  <si>
    <t>MS-FSCC_R721</t>
  </si>
  <si>
    <t>[In FSCTL_READ_FILE_USN_DATA Reply] FileReferenceNumber (8 bytes):  The FileReferenceNumber is an arbitrarily assigned value (unique within the volume on which the file is stored) that associates a journal record with a file.</t>
  </si>
  <si>
    <t>MS-FSCC_R723</t>
  </si>
  <si>
    <t>[In FSCTL_READ_FILE_USN_DATA Reply] ParentFileReferenceNumber (8 bytes):  A 64-bit unsigned integer, opaque to the client, containing the ordinal number of the directory on which the file or directory that is associated with this record is located.</t>
  </si>
  <si>
    <t>MS-FSCC_R724</t>
  </si>
  <si>
    <t>[In FSCTL_READ_FILE_USN_DATA Reply] ParentFileReferenceNumber (8 bytes): This is an arbitrarily assigned value (unique within the volume on which the file is stored) that associates a journal record with a parent directory.</t>
  </si>
  <si>
    <t>MS-FSCC_R725</t>
  </si>
  <si>
    <t>[In FSCTL_READ_FILE_USN_DATA Reply] Usn (8 bytes):  A 64-bit signed integer, opaque to the client, containing the USN of the record.</t>
  </si>
  <si>
    <t>MS-FSCC_R726</t>
  </si>
  <si>
    <t>[In FSCTL_READ_FILE_USN_DATA Reply] Usn (8 bytes):  This value is unique within the volume on which the file is stored.</t>
  </si>
  <si>
    <t>MS-FSCC_R727</t>
  </si>
  <si>
    <t>[In FSCTL_READ_FILE_USN_DATA Reply] Usn (8 bytes):  This value MUST be greater than or equal to 0.</t>
  </si>
  <si>
    <t>MS-FSCC_R730</t>
  </si>
  <si>
    <t>[In FSCTL_READ_FILE_USN_DATA Reply] Reason (4 bytes):  A 32-bit unsigned integer that contains flags that indicate reasons for changes that have accumulated in this file or directory journal record since the file or directory was opened.</t>
  </si>
  <si>
    <t>MS-FSCC_R734</t>
  </si>
  <si>
    <t>[In FSCTL_READ_FILE_USN_DATA Reply] Reason (4 bytes):  Possible values for the reason code are as follows (all unused bits are reserved for future use and MUST NOT be used):[USN_REASON_BASIC_INFO_CHANGE
0x00008000, 
USN_REASON_CLOSE
0x80000000, 
USN_REASON_COMPRESSION_CHANGE
0x00020000, 
USN_REASON_DATA_EXTEND
0x00000002, 
USN_REASON_DATA_OVERWRITE
0x00000001, 
USN_REASON_DATA_TRUNCATION
0x00000004, 
USN_REASON_EA_CHANGE
0x00000400, 
USN_REASON_ENCRYPTION_CHANGE
0x00040000, 
USN_REASON_FILE_CREATE
0x00000100, 
USN_REASON_FILE_DELETE
0x00000200, 
USN_REASON_HARD_LINK_CHANGE
0x00010000, 
USN_REASON_INDEXABLE_CHANGE
0x00004000, 
USN_REASON_NAMED_DATA_EXTEND
0x00000020, 
USN_REASON_NAMED_DATA_OVERWRITE
0x00000010, 
USN_REASON_NAMED_DATA_TRUNCATION
0x00000040, 
USN_REASON_OBJECT_ID_CHANGE
0x00080000, 
USN_REASON_RENAME_NEW_NAME
0x00002000, 
USN_REASON_RENAME_OLD_NAME
0x00001000, 
USN_REASON_REPARSE_POINT_CHANGE
0x00100000, 
USN_REASON_SECURITY_CHANGE
0x00000800, USN_REASON_STREAM_CHANGE 0x00200000].</t>
  </si>
  <si>
    <t>MS-FSCC_R756</t>
  </si>
  <si>
    <t>[In FSCTL_READ_FILE_USN_DATA Reply] SourceInfo (4 bytes):  A 32-bit unsigned integer that provides additional information about the source of the change.</t>
  </si>
  <si>
    <t>MS-FSCC_R763</t>
  </si>
  <si>
    <t>[In FSCTL_READ_FILE_USN_DATA Reply] SecurityId (4 bytes):  A 32-bit unsigned integer that contains an index of a unique security identifier assigned to the file or directory associated with this record.</t>
  </si>
  <si>
    <t>MS-FSCC_R766</t>
  </si>
  <si>
    <t>[In FSCTL_READ_FILE_USN_DATA Reply] FileAttributes (4 bytes):  A 32-bit unsigned integer that contains attributes for the file or directory associated with this record.</t>
  </si>
  <si>
    <t>MS-FSCC_R769</t>
  </si>
  <si>
    <t>[In FSCTL_READ_FILE_USN_DATA Reply] FileNameLength (2 bytes):  A 16-bit unsigned integer that contains the length of the file or directory name associated with this record in bytes.</t>
  </si>
  <si>
    <t>MS-FSCC_R772</t>
  </si>
  <si>
    <t>[In FSCTL_READ_FILE_USN_DATA Reply] FileNameOffset (2 bytes):  A 16-bit unsigned integer that contains the offset in bytes of the FileName member from the beginning of the structure.</t>
  </si>
  <si>
    <t>MS-FSCC_R775</t>
  </si>
  <si>
    <t>[In FSCTL_READ_FILE_USN_DATA Reply] The fields Reason, TimeStamp, SourceInfo, and SecurityId for a USN RECORD element returned by this FSCTL MUST all be set 0.&lt;26&gt;</t>
  </si>
  <si>
    <t>MS-FSCC_R776</t>
  </si>
  <si>
    <t>[In FSCTL_READ_FILE_USN_DATA Reply] This message[FSCTL_READ_FILE_USN_DATA Reply] returns a status code, as specified in [MS-ERREF] section 2.3.</t>
  </si>
  <si>
    <t>MS-FSCC_R777</t>
  </si>
  <si>
    <t>[In FSCTL_READ_FILE_USN_DATA Reply] The status code returned directly by the function that processes this FSCTL MUST be STATUS_SUCCESS or one of the following:[STATUS_INVALID_PARAMETER 0xC000000D, STATUS_INVALID_USER_BUFFER 0xC00000E8, 
STATUS_BUFFER_TOO_SMALL 0xC0000023, 
STATUS_INVALID_DEVICE_REQUEST 0xC0000010].</t>
  </si>
  <si>
    <t>MS-FSCC_R789</t>
  </si>
  <si>
    <t>2.3.42</t>
  </si>
  <si>
    <t>The only data item this message[FSCTL_RECALL_FILE Reply] returns is a status code, as specified in [MS-ERREF] section 2.3.</t>
  </si>
  <si>
    <t>MS-FSCC_R790</t>
  </si>
  <si>
    <t>[In FSCTL_RECALL_FILE Reply]The status code returned directly by the function that processes this FSCTL MUST be STATUS_SUCCESS or one of the following:[STATUS_ACCESS_DENIED 0xC0000022, ERROR_INVALID_FUNCTION 0x00000001, STATUS_NOT_SUPPORTED 0xC00000BB].</t>
  </si>
  <si>
    <t>MS-FSCC_R806</t>
  </si>
  <si>
    <t>2.3.44</t>
  </si>
  <si>
    <t>The only data item this message[FSCTL_SET_COMPRESSION Reply] returns is a status code, as specified in [MS-ERREF] section 2.3.</t>
  </si>
  <si>
    <t>MS-FSCC_R807</t>
  </si>
  <si>
    <t>[In FSCTL_SET_COMPRESSION Reply]The status code returned directly by the function that processes this FSCTL MUST be STATUS_SUCCESS or one of the following:[STATUS_INVALID_PARAMETER 0xC000000D, STATUS_INVALID_DEVICE_REQUEST 0xC0000010, STATUS_DISK_FULL 0xC000007].</t>
  </si>
  <si>
    <t>MS-FSCC_R816</t>
  </si>
  <si>
    <t>2.3.46</t>
  </si>
  <si>
    <t>The only data item this message[FSCTL_SET_DEFECT_MANAGEMENT Reply] returns is a status code, as specified in [MS-ERREF] section 2.3.</t>
  </si>
  <si>
    <t>MS-FSCC_R817</t>
  </si>
  <si>
    <t>The status code returned directly by the function that processes this FSCTL MUST be STATUS_SUCCESS or one of the following:[STATUS_INVALID_PARAMETER 0xC000000D, STATUS_INVALID_DEVICE_REQUEST 0xC0000010, STATUS_SHARING_VIOLATION 0xC0000043, STATUS_VOLUME_DISMOUNTED 0xC000026e, STATUS_FILE_INVALID 0xC0000098, STATUS_WRONG_VOLUME 0xC0000012, STATUS_VERIFY_REQUIRED 0x80000016].</t>
  </si>
  <si>
    <t>MS-FSCC_R964</t>
  </si>
  <si>
    <t>2.3.64</t>
  </si>
  <si>
    <t>This message[FSCTL_WRITE_USN_CLOSE_RECORD Reply] returns the results of the FSCTL_WRITE_USN_CLOSE_RECORD request as a single field, Usn, which is a 64-bit signed integer that contains the server file system's USN (update sequence number) for the file or directory.</t>
  </si>
  <si>
    <t>MS-FSCC_R966</t>
  </si>
  <si>
    <t>This message[FSCTL_WRITE_USN_CLOSE_RECORD Reply] returns a status code, as specified in [MS-ERREF] section 2.3.</t>
  </si>
  <si>
    <t>MS-FSCC_R967</t>
  </si>
  <si>
    <t>[In FSCTL_WRITE_USN_CLOSE_RECORD Reply]The status code returned directly by the function that processes this FSCTL MUST be STATUS_SUCCESS or one of the following:[STATUS_INVALID_PARAMETER
0xC000000D, STATUS_INVALID_DEVICE_REQUEST 0xC0000010].</t>
  </si>
  <si>
    <t>MS-FSCC_R1061</t>
  </si>
  <si>
    <t>[In FILE_BOTH_DIR_INFORMATION]CreationTime (8 bytes):  The time when the file was created.</t>
  </si>
  <si>
    <t>MS-FSCC_R1063</t>
  </si>
  <si>
    <t>[In FILE_BOTH_DIR_INFORMATION]CreationTime (8 bytes): This value MUST be greater than or equal to 0.</t>
  </si>
  <si>
    <t>MS-FSCC_R1065</t>
  </si>
  <si>
    <t>[In FILE_BOTH_DIR_INFORMATION]LastAccessTime (8 bytes): This value MUST be greater than or equal to 0.</t>
  </si>
  <si>
    <t>MS-FSCC_R1067</t>
  </si>
  <si>
    <t>[In FILE_BOTH_DIR_INFORMATION]LastWriteTime (8 bytes):  This value MUST be greater than or equal to 0.</t>
  </si>
  <si>
    <t>MS-FSCC_R1069</t>
  </si>
  <si>
    <t>[In FILE_BOTH_DIR_INFORMATION]ChangeTime (8 bytes): This value MUST be greater than or equal to 0.</t>
  </si>
  <si>
    <t>MS-FSCC_R1070</t>
  </si>
  <si>
    <t>[In FILE_BOTH_DIR_INFORMATION]EndOfFile (8 bytes):  A 64-bit signed integer that contains the absolute new end-of-file position as a byte offset from the start of the file.</t>
  </si>
  <si>
    <t>MS-FSCC_R1071</t>
  </si>
  <si>
    <t>[In FILE_BOTH_DIR_INFORMATION]EndOfFile (8 bytes):  EndOfFile specifies the offset to the byte immediately following the last valid byte in the file.</t>
  </si>
  <si>
    <t>MS-FSCC_R1073</t>
  </si>
  <si>
    <t>[In FILE_BOTH_DIR_INFORMATION]EndOfFile (8 bytes):  The value of this field MUST be greater than or equal to 0.</t>
  </si>
  <si>
    <t>MS-FSCC_R1074</t>
  </si>
  <si>
    <t>[In FILE_BOTH_DIR_INFORMATION]AllocationSize (8 bytes):  A 64-bit signed integer that contains the file allocation size, in bytes.</t>
  </si>
  <si>
    <t>MS-FSCC_R1079</t>
  </si>
  <si>
    <t xml:space="preserve">[In FILE_BOTH_DIR_INFORMATION]FileNameLength (4 bytes):  A 32-bit unsigned integer that specifies the length, in bytes, of thefile name contained within the  FileName member. </t>
  </si>
  <si>
    <t>MS-FSCC_R1149</t>
  </si>
  <si>
    <t>[In FILE_BOTH_DIR_INFORMATION]FileName (variable):  This field MUST be handled as a sequence of FileNameLength bytes.</t>
  </si>
  <si>
    <t>MS-FSCC_R1720</t>
  </si>
  <si>
    <t>2.5.2</t>
  </si>
  <si>
    <t>The message[FileFsControlInformation] contains a FILE_FS_CONTROL_INFORMATION data element.</t>
  </si>
  <si>
    <t>MS-FSCC_R1723</t>
  </si>
  <si>
    <t>[In FILE_FS_CONTROL_INFORMATION]FreeSpaceStartFiltering (8 bytes):  A 64-bit signed integer that contains the minimum amount of free disk space in bytes that is required for the operating system's content indexing service to begin document filtering.</t>
  </si>
  <si>
    <t>MS-FSCC_R1724</t>
  </si>
  <si>
    <t>[In FILE_FS_CONTROL_INFORMATION]FreeSpaceStartFiltering (8 bytes):  This value SHOULD be set to 0.&lt;97&gt;</t>
  </si>
  <si>
    <t>MS-FSCC_R1726</t>
  </si>
  <si>
    <t>[In FILE_FS_CONTROL_INFORMATION]FreeSpaceThreshold (8 bytes):  A 64-bit signed integer that contains the minimum amount of free disk space in bytes that is required for the indexing service to continue to filter documents and merge word lists.</t>
  </si>
  <si>
    <t>MS-FSCC_R1727</t>
  </si>
  <si>
    <t>[In FILE_FS_CONTROL_INFORMATION]FreeSpaceThreshold (8 bytes):  This value SHOULD be set to 0.&lt;98&gt;</t>
  </si>
  <si>
    <t>MS-FSCC_R1729</t>
  </si>
  <si>
    <t>[In FILE_FS_CONTROL_INFORMATION]FreeSpaceStopFiltering (8 bytes):  A 64-bit signed integer that contains the minimum amount of free disk space in bytes that is required for the content indexing service to continue filtering.</t>
  </si>
  <si>
    <t>MS-FSCC_R1730</t>
  </si>
  <si>
    <t>[In FILE_FS_CONTROL_INFORMATION]FreeSpaceStopFiltering (8 bytes): This value SHOULD be set to 0.&lt;99&gt;</t>
  </si>
  <si>
    <t>MS-FSCC_R1732</t>
  </si>
  <si>
    <t>[In FILE_FS_CONTROL_INFORMATION]DefaultQuotaThreshold (8 bytes):  A 64-bit signed integer that contains the default per-user disk quota warning threshold in bytes for the volume.</t>
  </si>
  <si>
    <t>MS-FSCC_R1733</t>
  </si>
  <si>
    <t>[In FILE_FS_CONTROL_INFORMATION]DefaultQuotaThreshold (8 bytes): This field MUST be set to a 64-bit integer value greater than or equal to 0 to set a default quota warning threshold per user for this volume, or to (-1) to specify that no default quota warning threshold per user is set.</t>
  </si>
  <si>
    <t>MS-FSCC_R1734</t>
  </si>
  <si>
    <t>[In FILE_FS_CONTROL_INFORMATION]DefaultQuotaLimit (8 bytes):  A 64-bit signed integer that contains the default per-user disk quota limit in bytes for the volume.</t>
  </si>
  <si>
    <t>MS-FSCC_R1735</t>
  </si>
  <si>
    <t>[In FILE_FS_CONTROL_INFORMATION]DefaultQuotaLimit (8 bytes):  This field MUST be set to a 64-bit integer value greater than or equal to 0 to set a default disk quota limit per user for this volume, or to (-1) to specify that no default quota limit per user is set.</t>
  </si>
  <si>
    <t>MS-FSCC_R1736</t>
  </si>
  <si>
    <t>[In FILE_FS_CONTROL_INFORMATION]FileSystemControlFlags (4 bytes):  A 32-bit unsigned integer that contains a bitmask of flags that control quota enforcement and logging of user-related quota events on the volume.</t>
  </si>
  <si>
    <t>MS-FSCC_R1737</t>
  </si>
  <si>
    <t>[In FILE_FS_CONTROL_INFORMATION]FileSystemControlFlags (4 bytes):  The following bit flags[FILE_VC_CONTENT_INDEX_DISABLED 0x00000008, FILE_VC_LOG_QUOTA_LIMIT 0x00000020, FILE_VC_LOG_QUOTA_THRESHOLD 0x00000010, FILE_VC_LOG_VOLUME_LIMIT 0x00000080, FILE_VC_LOG_VOLUME_THRESHOLD 0x00000040, FILE_VC_QUOTA_ENFORCE 0x00000002, FILE_VC_QUOTA_TRACK 0x00000001, FILE_VC_QUOTAS_INCOMPLETE 0x00000100, FILE_VC_QUOTAS_REBUILDING 0x00000200] are valid in any combination.</t>
  </si>
  <si>
    <t>MS-FSCC_R1855</t>
  </si>
  <si>
    <t>[In FSCTL_FILESYSTEM_GET_STATISTICS Request] &lt;11&gt; Section 2.3.7: This FSCTL[FSCTL_FILESYSTEM_GET_STATISTICS Request] is implemented on NTFS, FAT, and exFAT file systems.</t>
  </si>
  <si>
    <t>MS-FSCC_R1857</t>
  </si>
  <si>
    <t>[In FSCTL_FILESYSTEM_GET_STATISTICS Reply] &lt;12&gt; Section 2.3.8: This FSCTL[FSCTL_FILESYSTEM_GET_STATISTICS Reply]  is implemented on NTFS, FAT, and exFAT file systems.</t>
  </si>
  <si>
    <t>MS-FSCC_R1975</t>
  </si>
  <si>
    <t>[In FileFsControlInformation, FreeSpaceStartFiltering (8 bytes):  ] &lt;97&gt; Section 2.5.2: Windows sets this value[FreeSpaceStartFiltering] to 0.</t>
  </si>
  <si>
    <t>MS-FSCC_R1976</t>
  </si>
  <si>
    <t>[In FileFsControlInformation, FreeSpaceThreshold (8 bytes):  ] &lt;98&gt; Section 2.5.2: Windows sets this value[FreeSpaceThreshold] to 0.</t>
  </si>
  <si>
    <t>MS-FSCC_R1977</t>
  </si>
  <si>
    <t>[In FileFsControlInformation, FreeSpaceStopFiltering (8 bytes):  ] &lt;99&gt; Section 2.5.2: Windows sets this value[FreeSpaceStopFiltering] to 0.</t>
  </si>
  <si>
    <t>MS-FSCC_R1983</t>
  </si>
  <si>
    <t>[In FileFsObjectIdInformation, ExtendedInfo (48 bytes):  ] &lt;105&gt; Section 2.5.6: Windows does not write information into the ExtendedInfo field for file systems.</t>
  </si>
  <si>
    <t>[In Extended File Attribute (SMB_EXT_FILE_ATTR) Extensions]ATTR_COMPRESSED
0x00000800 means
File is compressed on the disk. This does not affect how it is transferred over the network.</t>
  </si>
  <si>
    <t>[In SMB Header Extensions]If[SMB_FLAGS2_COMPRESSED
0x0008] cleared by the server, the server is notifying the client that the data was written uncompressed.</t>
  </si>
  <si>
    <r>
      <rPr>
        <b/>
        <sz val="11"/>
        <color indexed="8"/>
        <rFont val="Calibri"/>
        <family val="2"/>
      </rPr>
      <t>Pos</t>
    </r>
    <r>
      <rPr>
        <sz val="11"/>
        <color indexed="8"/>
        <rFont val="Calibri"/>
        <family val="2"/>
      </rPr>
      <t xml:space="preserve">itive effect (doing this)  of a cause (a request, trigger, or initiation)   </t>
    </r>
  </si>
  <si>
    <r>
      <rPr>
        <b/>
        <sz val="11"/>
        <color indexed="8"/>
        <rFont val="Calibri"/>
        <family val="2"/>
      </rPr>
      <t>Neg</t>
    </r>
    <r>
      <rPr>
        <sz val="11"/>
        <color indexed="8"/>
        <rFont val="Calibri"/>
        <family val="2"/>
      </rPr>
      <t>ative effect (not doing this) of a cause (a request, trigger, or initiaion)</t>
    </r>
  </si>
  <si>
    <t xml:space="preserve">The value of this column is the cause-requirement and effect-requirement comma separated this requirement is derived from.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</si>
</sst>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yyyy\-mm\-dd"/>
    <numFmt numFmtId="165" formatCode="0.0.0"/>
  </numFmts>
  <fonts count="30">
    <font>
      <sz val="11"/>
      <color theme="1"/>
      <name val="Calibri"/>
      <family val="2"/>
      <scheme val="minor"/>
    </font>
    <font>
      <b/>
      <sz val="11"/>
      <color indexed="8"/>
      <name val="Calibri"/>
      <family val="2"/>
    </font>
    <font>
      <b/>
      <sz val="10"/>
      <color indexed="8"/>
      <name val="Arial"/>
      <family val="2"/>
    </font>
    <font>
      <sz val="10"/>
      <color indexed="8"/>
      <name val="Arial"/>
      <family val="2"/>
    </font>
    <font>
      <sz val="7"/>
      <color indexed="8"/>
      <name val="Times New Roman"/>
      <family val="1"/>
    </font>
    <font>
      <sz val="9"/>
      <name val="Calibri"/>
      <family val="3"/>
      <charset val="134"/>
    </font>
    <font>
      <sz val="11"/>
      <color indexed="8"/>
      <name val="Calibri"/>
      <family val="2"/>
    </font>
    <font>
      <sz val="11"/>
      <color indexed="8"/>
      <name val="Arial"/>
      <family val="2"/>
    </font>
    <font>
      <b/>
      <sz val="11"/>
      <color indexed="8"/>
      <name val="Arial"/>
      <family val="2"/>
    </font>
    <font>
      <b/>
      <sz val="11"/>
      <color theme="0"/>
      <name val="Calibri"/>
      <family val="2"/>
      <scheme val="minor"/>
    </font>
    <font>
      <u/>
      <sz val="11"/>
      <color theme="10"/>
      <name val="Calibri"/>
      <family val="2"/>
    </font>
    <font>
      <b/>
      <sz val="11"/>
      <color theme="1"/>
      <name val="Calibri"/>
      <family val="2"/>
      <scheme val="minor"/>
    </font>
    <font>
      <b/>
      <sz val="16"/>
      <color rgb="FF0070C0"/>
      <name val="Cambria"/>
      <family val="1"/>
      <scheme val="major"/>
    </font>
    <font>
      <b/>
      <sz val="10"/>
      <color rgb="FF000000"/>
      <name val="Arial"/>
      <family val="2"/>
    </font>
    <font>
      <sz val="10"/>
      <color rgb="FF000000"/>
      <name val="Arial"/>
      <family val="2"/>
    </font>
    <font>
      <b/>
      <sz val="11"/>
      <color rgb="FF000000"/>
      <name val="Calibri"/>
      <family val="2"/>
      <scheme val="minor"/>
    </font>
    <font>
      <sz val="11"/>
      <color rgb="FF000000"/>
      <name val="Calibri"/>
      <family val="2"/>
      <scheme val="minor"/>
    </font>
    <font>
      <sz val="11"/>
      <color rgb="FF000000"/>
      <name val="Arial"/>
      <family val="2"/>
    </font>
    <font>
      <sz val="10"/>
      <color theme="1"/>
      <name val="Arial"/>
      <family val="2"/>
    </font>
    <font>
      <sz val="12"/>
      <color theme="1"/>
      <name val="Calibri"/>
      <family val="2"/>
      <scheme val="minor"/>
    </font>
    <font>
      <b/>
      <sz val="16"/>
      <color theme="3" tint="0.39997558519241921"/>
      <name val="Cambria"/>
      <family val="1"/>
      <scheme val="major"/>
    </font>
    <font>
      <sz val="11"/>
      <name val="Calibri"/>
      <family val="2"/>
      <scheme val="minor"/>
    </font>
    <font>
      <strike/>
      <sz val="11"/>
      <color theme="1"/>
      <name val="Calibri"/>
      <family val="2"/>
      <scheme val="minor"/>
    </font>
    <font>
      <sz val="11"/>
      <name val="Calibri"/>
      <family val="3"/>
      <charset val="134"/>
      <scheme val="minor"/>
    </font>
    <font>
      <strike/>
      <sz val="11"/>
      <name val="Calibri"/>
      <family val="3"/>
      <charset val="134"/>
      <scheme val="minor"/>
    </font>
    <font>
      <sz val="11"/>
      <color theme="1"/>
      <name val="Calibri"/>
      <family val="3"/>
      <charset val="134"/>
      <scheme val="minor"/>
    </font>
    <font>
      <b/>
      <sz val="12"/>
      <color theme="1"/>
      <name val="Calibri"/>
      <family val="2"/>
      <scheme val="minor"/>
    </font>
    <font>
      <b/>
      <sz val="11"/>
      <color rgb="FFFF0000"/>
      <name val="Calibri"/>
      <family val="2"/>
      <scheme val="minor"/>
    </font>
    <font>
      <sz val="10.5"/>
      <name val="Calibri"/>
      <family val="2"/>
      <scheme val="minor"/>
    </font>
    <font>
      <sz val="10.5"/>
      <color theme="1"/>
      <name val="Calibri"/>
      <family val="2"/>
      <scheme val="minor"/>
    </font>
  </fonts>
  <fills count="10">
    <fill>
      <patternFill patternType="none"/>
    </fill>
    <fill>
      <patternFill patternType="gray125"/>
    </fill>
    <fill>
      <patternFill patternType="solid">
        <fgColor rgb="FFFFFF99"/>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rgb="FFB4C8E2"/>
        <bgColor indexed="64"/>
      </patternFill>
    </fill>
    <fill>
      <patternFill patternType="solid">
        <fgColor rgb="FFB4B4B4"/>
        <bgColor indexed="64"/>
      </patternFill>
    </fill>
    <fill>
      <patternFill patternType="solid">
        <fgColor rgb="FF92D050"/>
        <bgColor indexed="64"/>
      </patternFill>
    </fill>
    <fill>
      <patternFill patternType="solid">
        <fgColor rgb="FFFFC000"/>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thin">
        <color rgb="FF030000"/>
      </top>
      <bottom style="thin">
        <color rgb="FF030000"/>
      </bottom>
      <diagonal/>
    </border>
    <border>
      <left style="thin">
        <color rgb="FF030000"/>
      </left>
      <right style="thin">
        <color rgb="FF030000"/>
      </right>
      <top style="thin">
        <color rgb="FF030000"/>
      </top>
      <bottom style="thin">
        <color rgb="FF030000"/>
      </bottom>
      <diagonal/>
    </border>
    <border>
      <left/>
      <right style="thin">
        <color rgb="FF030000"/>
      </right>
      <top style="thin">
        <color rgb="FF030000"/>
      </top>
      <bottom style="thin">
        <color rgb="FF030000"/>
      </bottom>
      <diagonal/>
    </border>
    <border>
      <left style="medium">
        <color rgb="FF030000"/>
      </left>
      <right/>
      <top style="medium">
        <color rgb="FF030000"/>
      </top>
      <bottom style="thin">
        <color rgb="FF030000"/>
      </bottom>
      <diagonal/>
    </border>
    <border>
      <left/>
      <right/>
      <top style="medium">
        <color rgb="FF030000"/>
      </top>
      <bottom style="thin">
        <color rgb="FF030000"/>
      </bottom>
      <diagonal/>
    </border>
    <border>
      <left style="medium">
        <color rgb="FF030000"/>
      </left>
      <right/>
      <top style="thin">
        <color rgb="FF030000"/>
      </top>
      <bottom style="thin">
        <color rgb="FF030000"/>
      </bottom>
      <diagonal/>
    </border>
    <border>
      <left/>
      <right style="medium">
        <color rgb="FF030000"/>
      </right>
      <top style="thin">
        <color rgb="FF030000"/>
      </top>
      <bottom style="thin">
        <color rgb="FF030000"/>
      </bottom>
      <diagonal/>
    </border>
    <border>
      <left style="medium">
        <color rgb="FF030000"/>
      </left>
      <right/>
      <top style="thin">
        <color rgb="FF030000"/>
      </top>
      <bottom style="medium">
        <color rgb="FF030000"/>
      </bottom>
      <diagonal/>
    </border>
    <border>
      <left/>
      <right/>
      <top style="thin">
        <color rgb="FF030000"/>
      </top>
      <bottom style="medium">
        <color rgb="FF030000"/>
      </bottom>
      <diagonal/>
    </border>
    <border>
      <left style="medium">
        <color rgb="FF030000"/>
      </left>
      <right style="thin">
        <color rgb="FF030000"/>
      </right>
      <top style="medium">
        <color rgb="FF030000"/>
      </top>
      <bottom style="thin">
        <color rgb="FF030000"/>
      </bottom>
      <diagonal/>
    </border>
    <border>
      <left style="thin">
        <color rgb="FF030000"/>
      </left>
      <right style="thin">
        <color rgb="FF030000"/>
      </right>
      <top style="medium">
        <color rgb="FF030000"/>
      </top>
      <bottom style="thin">
        <color rgb="FF030000"/>
      </bottom>
      <diagonal/>
    </border>
    <border>
      <left style="thin">
        <color rgb="FF030000"/>
      </left>
      <right style="medium">
        <color rgb="FF030000"/>
      </right>
      <top style="medium">
        <color rgb="FF030000"/>
      </top>
      <bottom style="thin">
        <color rgb="FF030000"/>
      </bottom>
      <diagonal/>
    </border>
    <border>
      <left style="medium">
        <color rgb="FF030000"/>
      </left>
      <right style="thin">
        <color rgb="FF030000"/>
      </right>
      <top style="thin">
        <color rgb="FF030000"/>
      </top>
      <bottom style="thin">
        <color rgb="FF030000"/>
      </bottom>
      <diagonal/>
    </border>
    <border>
      <left style="thin">
        <color rgb="FF030000"/>
      </left>
      <right style="medium">
        <color rgb="FF030000"/>
      </right>
      <top style="thin">
        <color rgb="FF030000"/>
      </top>
      <bottom style="thin">
        <color rgb="FF030000"/>
      </bottom>
      <diagonal/>
    </border>
    <border>
      <left style="medium">
        <color rgb="FF030000"/>
      </left>
      <right style="thin">
        <color rgb="FF030000"/>
      </right>
      <top style="thin">
        <color rgb="FF030000"/>
      </top>
      <bottom style="medium">
        <color rgb="FF030000"/>
      </bottom>
      <diagonal/>
    </border>
    <border>
      <left style="thin">
        <color rgb="FF030000"/>
      </left>
      <right style="thin">
        <color rgb="FF030000"/>
      </right>
      <top style="thin">
        <color rgb="FF030000"/>
      </top>
      <bottom style="medium">
        <color rgb="FF030000"/>
      </bottom>
      <diagonal/>
    </border>
    <border>
      <left style="thin">
        <color rgb="FF030000"/>
      </left>
      <right style="medium">
        <color rgb="FF030000"/>
      </right>
      <top style="thin">
        <color rgb="FF030000"/>
      </top>
      <bottom style="medium">
        <color rgb="FF030000"/>
      </bottom>
      <diagonal/>
    </border>
    <border>
      <left/>
      <right style="thin">
        <color rgb="FF030000"/>
      </right>
      <top style="medium">
        <color rgb="FF030000"/>
      </top>
      <bottom style="thin">
        <color rgb="FF030000"/>
      </bottom>
      <diagonal/>
    </border>
    <border>
      <left/>
      <right style="thin">
        <color rgb="FF030000"/>
      </right>
      <top style="thin">
        <color rgb="FF030000"/>
      </top>
      <bottom style="medium">
        <color rgb="FF030000"/>
      </bottom>
      <diagonal/>
    </border>
    <border>
      <left style="thin">
        <color rgb="FF030000"/>
      </left>
      <right style="thin">
        <color rgb="FF030000"/>
      </right>
      <top style="thin">
        <color rgb="FF030000"/>
      </top>
      <bottom/>
      <diagonal/>
    </border>
  </borders>
  <cellStyleXfs count="2">
    <xf numFmtId="0" fontId="0" fillId="0" borderId="0"/>
    <xf numFmtId="0" fontId="10" fillId="0" borderId="0" applyNumberFormat="0" applyFill="0" applyBorder="0" applyAlignment="0" applyProtection="0">
      <alignment vertical="top"/>
      <protection locked="0"/>
    </xf>
  </cellStyleXfs>
  <cellXfs count="142">
    <xf numFmtId="0" fontId="0" fillId="0" borderId="0" xfId="0"/>
    <xf numFmtId="0" fontId="11" fillId="0" borderId="0" xfId="0" applyFont="1"/>
    <xf numFmtId="0" fontId="12" fillId="0" borderId="0" xfId="0" applyFont="1"/>
    <xf numFmtId="0" fontId="13" fillId="0" borderId="0" xfId="0" applyFont="1" applyAlignment="1">
      <alignment horizontal="justify"/>
    </xf>
    <xf numFmtId="0" fontId="14" fillId="0" borderId="0" xfId="0" applyFont="1" applyAlignment="1">
      <alignment horizontal="justify"/>
    </xf>
    <xf numFmtId="0" fontId="14" fillId="0" borderId="0" xfId="0" applyFont="1" applyAlignment="1">
      <alignment horizontal="justify" wrapText="1"/>
    </xf>
    <xf numFmtId="0" fontId="14" fillId="0" borderId="0" xfId="0" applyFont="1" applyAlignment="1">
      <alignment horizontal="left" indent="2"/>
    </xf>
    <xf numFmtId="0" fontId="0" fillId="0" borderId="0" xfId="0" applyAlignment="1">
      <alignment horizontal="left" indent="5"/>
    </xf>
    <xf numFmtId="0" fontId="0" fillId="0" borderId="0" xfId="0" applyNumberFormat="1"/>
    <xf numFmtId="0" fontId="0" fillId="0" borderId="0" xfId="0" applyBorder="1"/>
    <xf numFmtId="0" fontId="0" fillId="2" borderId="0" xfId="0" applyFill="1" applyAlignment="1"/>
    <xf numFmtId="0" fontId="0" fillId="2" borderId="0" xfId="0" applyNumberFormat="1" applyFill="1" applyAlignment="1"/>
    <xf numFmtId="0" fontId="11" fillId="3" borderId="1" xfId="0" applyNumberFormat="1" applyFont="1" applyFill="1" applyBorder="1"/>
    <xf numFmtId="0" fontId="0" fillId="4" borderId="1" xfId="0" applyNumberFormat="1" applyFill="1" applyBorder="1" applyAlignment="1">
      <alignment vertical="center" wrapText="1"/>
    </xf>
    <xf numFmtId="0" fontId="9" fillId="3" borderId="2" xfId="0" applyNumberFormat="1" applyFont="1" applyFill="1" applyBorder="1" applyAlignment="1">
      <alignment horizontal="right"/>
    </xf>
    <xf numFmtId="0" fontId="0" fillId="0" borderId="0" xfId="0" applyAlignment="1">
      <alignment horizontal="left" wrapText="1" indent="10"/>
    </xf>
    <xf numFmtId="0" fontId="0" fillId="0" borderId="0" xfId="0" applyAlignment="1">
      <alignment horizontal="right"/>
    </xf>
    <xf numFmtId="0" fontId="0" fillId="0" borderId="0" xfId="0" applyFont="1" applyAlignment="1">
      <alignment wrapText="1"/>
    </xf>
    <xf numFmtId="0" fontId="0" fillId="0" borderId="0" xfId="0" applyFont="1"/>
    <xf numFmtId="0" fontId="11" fillId="2" borderId="0" xfId="0" applyNumberFormat="1" applyFont="1" applyFill="1"/>
    <xf numFmtId="0" fontId="15" fillId="0" borderId="0" xfId="0" applyFont="1" applyAlignment="1">
      <alignment horizontal="justify"/>
    </xf>
    <xf numFmtId="0" fontId="16" fillId="0" borderId="0" xfId="0" applyFont="1" applyAlignment="1">
      <alignment horizontal="justify"/>
    </xf>
    <xf numFmtId="0" fontId="16" fillId="0" borderId="0" xfId="0" applyFont="1" applyAlignment="1">
      <alignment horizontal="justify" wrapText="1"/>
    </xf>
    <xf numFmtId="0" fontId="17" fillId="0" borderId="0" xfId="0" applyFont="1" applyAlignment="1">
      <alignment horizontal="justify"/>
    </xf>
    <xf numFmtId="0" fontId="0" fillId="0" borderId="0" xfId="0" applyAlignment="1">
      <alignment wrapText="1"/>
    </xf>
    <xf numFmtId="0" fontId="18" fillId="0" borderId="0" xfId="0" applyFont="1" applyAlignment="1">
      <alignment horizontal="left" wrapText="1" indent="5"/>
    </xf>
    <xf numFmtId="0" fontId="10" fillId="0" borderId="0" xfId="1" applyAlignment="1" applyProtection="1">
      <alignment horizontal="justify"/>
    </xf>
    <xf numFmtId="0" fontId="0" fillId="0" borderId="0" xfId="0" applyAlignment="1">
      <alignment horizontal="left" wrapText="1" indent="5"/>
    </xf>
    <xf numFmtId="0" fontId="0" fillId="0" borderId="0" xfId="0" applyNumberFormat="1" applyAlignment="1">
      <alignment wrapText="1"/>
    </xf>
    <xf numFmtId="0" fontId="19" fillId="0" borderId="0" xfId="0" applyFont="1" applyAlignment="1">
      <alignment wrapText="1"/>
    </xf>
    <xf numFmtId="49" fontId="0" fillId="0" borderId="0" xfId="0" applyNumberFormat="1" applyFill="1"/>
    <xf numFmtId="0" fontId="0" fillId="0" borderId="0" xfId="0" applyFill="1"/>
    <xf numFmtId="0" fontId="0" fillId="4" borderId="1" xfId="0" applyFill="1" applyBorder="1" applyAlignment="1">
      <alignment horizontal="left" vertical="center" wrapText="1"/>
    </xf>
    <xf numFmtId="0" fontId="9" fillId="3" borderId="1" xfId="0" applyNumberFormat="1" applyFont="1" applyFill="1" applyBorder="1" applyAlignment="1">
      <alignment horizontal="center"/>
    </xf>
    <xf numFmtId="0" fontId="9" fillId="3" borderId="1" xfId="0" applyNumberFormat="1" applyFont="1" applyFill="1" applyBorder="1"/>
    <xf numFmtId="0" fontId="0" fillId="4" borderId="1" xfId="0" applyFill="1" applyBorder="1" applyAlignment="1">
      <alignment vertical="top"/>
    </xf>
    <xf numFmtId="164" fontId="0" fillId="0" borderId="0" xfId="0" applyNumberFormat="1"/>
    <xf numFmtId="49" fontId="0" fillId="5" borderId="3" xfId="0" applyNumberFormat="1" applyFont="1" applyFill="1" applyBorder="1" applyAlignment="1">
      <alignment horizontal="right" vertical="center" wrapText="1"/>
    </xf>
    <xf numFmtId="49" fontId="0" fillId="5" borderId="3" xfId="0" applyNumberFormat="1" applyFill="1" applyBorder="1" applyAlignment="1">
      <alignment horizontal="right" vertical="center" wrapText="1"/>
    </xf>
    <xf numFmtId="49" fontId="0" fillId="5" borderId="4" xfId="0" applyNumberFormat="1" applyFont="1" applyFill="1" applyBorder="1" applyAlignment="1">
      <alignment horizontal="right" vertical="center" wrapText="1"/>
    </xf>
    <xf numFmtId="49" fontId="0" fillId="5" borderId="1" xfId="0" applyNumberFormat="1" applyFont="1" applyFill="1" applyBorder="1" applyAlignment="1">
      <alignment horizontal="center" vertical="center" wrapText="1"/>
    </xf>
    <xf numFmtId="49" fontId="0" fillId="5" borderId="1" xfId="0" applyNumberFormat="1" applyFont="1" applyFill="1" applyBorder="1" applyAlignment="1">
      <alignment horizontal="left" vertical="center" wrapText="1"/>
    </xf>
    <xf numFmtId="0" fontId="0" fillId="2" borderId="0" xfId="0" applyFont="1" applyFill="1" applyAlignment="1"/>
    <xf numFmtId="165" fontId="11" fillId="2" borderId="0" xfId="0" applyNumberFormat="1" applyFont="1" applyFill="1"/>
    <xf numFmtId="49" fontId="0" fillId="0" borderId="14" xfId="0" applyNumberFormat="1" applyBorder="1"/>
    <xf numFmtId="0" fontId="22" fillId="0" borderId="0" xfId="0" applyFont="1"/>
    <xf numFmtId="0" fontId="22" fillId="0" borderId="14" xfId="0" applyFont="1" applyBorder="1"/>
    <xf numFmtId="49" fontId="0" fillId="0" borderId="0" xfId="0" applyNumberFormat="1" applyFill="1" applyAlignment="1">
      <alignment wrapText="1"/>
    </xf>
    <xf numFmtId="2" fontId="0" fillId="0" borderId="0" xfId="0" applyNumberFormat="1" applyFill="1" applyAlignment="1">
      <alignment wrapText="1"/>
    </xf>
    <xf numFmtId="2" fontId="0" fillId="0" borderId="0" xfId="0" applyNumberFormat="1" applyFont="1" applyFill="1" applyAlignment="1">
      <alignment wrapText="1"/>
    </xf>
    <xf numFmtId="49" fontId="21" fillId="0" borderId="0" xfId="0" applyNumberFormat="1" applyFont="1" applyFill="1" applyAlignment="1">
      <alignment wrapText="1"/>
    </xf>
    <xf numFmtId="2" fontId="21" fillId="0" borderId="0" xfId="0" applyNumberFormat="1" applyFont="1" applyFill="1" applyAlignment="1">
      <alignment wrapText="1"/>
    </xf>
    <xf numFmtId="2" fontId="23" fillId="0" borderId="0" xfId="0" applyNumberFormat="1" applyFont="1" applyFill="1" applyAlignment="1">
      <alignment wrapText="1"/>
    </xf>
    <xf numFmtId="49" fontId="21" fillId="0" borderId="0" xfId="0" applyNumberFormat="1" applyFont="1" applyFill="1"/>
    <xf numFmtId="49" fontId="0" fillId="8" borderId="0" xfId="0" applyNumberFormat="1" applyFill="1"/>
    <xf numFmtId="49" fontId="23" fillId="0" borderId="0" xfId="0" applyNumberFormat="1" applyFont="1" applyFill="1" applyAlignment="1">
      <alignment wrapText="1"/>
    </xf>
    <xf numFmtId="2" fontId="0" fillId="0" borderId="0" xfId="0" applyNumberFormat="1" applyFill="1" applyAlignment="1">
      <alignment vertical="center" wrapText="1"/>
    </xf>
    <xf numFmtId="2" fontId="25" fillId="0" borderId="0" xfId="0" applyNumberFormat="1" applyFont="1" applyFill="1" applyAlignment="1">
      <alignment wrapText="1"/>
    </xf>
    <xf numFmtId="0" fontId="26" fillId="0" borderId="0" xfId="0" applyFont="1"/>
    <xf numFmtId="164" fontId="11" fillId="0" borderId="0" xfId="0" applyNumberFormat="1" applyFont="1"/>
    <xf numFmtId="0" fontId="11" fillId="0" borderId="14" xfId="0" applyFont="1" applyBorder="1"/>
    <xf numFmtId="0" fontId="27" fillId="0" borderId="14" xfId="0" applyFont="1" applyBorder="1"/>
    <xf numFmtId="0" fontId="21" fillId="0" borderId="0" xfId="0" applyFont="1" applyAlignment="1">
      <alignment wrapText="1"/>
    </xf>
    <xf numFmtId="0" fontId="28" fillId="0" borderId="0" xfId="0" applyFont="1"/>
    <xf numFmtId="0" fontId="29" fillId="0" borderId="0" xfId="0" applyFont="1" applyAlignment="1">
      <alignment horizontal="justify"/>
    </xf>
    <xf numFmtId="49" fontId="25" fillId="0" borderId="0" xfId="0" applyNumberFormat="1" applyFont="1" applyFill="1" applyAlignment="1">
      <alignment wrapText="1"/>
    </xf>
    <xf numFmtId="49" fontId="0" fillId="9" borderId="0" xfId="0" applyNumberFormat="1" applyFill="1"/>
    <xf numFmtId="0" fontId="21" fillId="0" borderId="0" xfId="0" applyFont="1" applyFill="1" applyAlignment="1">
      <alignment wrapText="1"/>
    </xf>
    <xf numFmtId="0" fontId="29" fillId="0" borderId="0" xfId="0" applyFont="1" applyFill="1" applyAlignment="1">
      <alignment horizontal="justify"/>
    </xf>
    <xf numFmtId="0" fontId="0" fillId="0" borderId="24" xfId="0" applyBorder="1"/>
    <xf numFmtId="0" fontId="0" fillId="0" borderId="26" xfId="0" applyBorder="1"/>
    <xf numFmtId="0" fontId="0" fillId="0" borderId="29" xfId="0" applyBorder="1"/>
    <xf numFmtId="0" fontId="11" fillId="0" borderId="23" xfId="0" applyFont="1" applyBorder="1"/>
    <xf numFmtId="10" fontId="11" fillId="0" borderId="24" xfId="0" applyNumberFormat="1" applyFont="1" applyBorder="1"/>
    <xf numFmtId="10" fontId="0" fillId="0" borderId="26" xfId="0" applyNumberFormat="1" applyBorder="1"/>
    <xf numFmtId="10" fontId="0" fillId="0" borderId="29" xfId="0" applyNumberFormat="1" applyBorder="1"/>
    <xf numFmtId="9" fontId="0" fillId="0" borderId="26" xfId="0" applyNumberFormat="1" applyBorder="1"/>
    <xf numFmtId="9" fontId="0" fillId="0" borderId="29" xfId="0" applyNumberFormat="1" applyBorder="1"/>
    <xf numFmtId="0" fontId="0" fillId="6" borderId="24" xfId="0" applyFill="1" applyBorder="1"/>
    <xf numFmtId="0" fontId="0" fillId="6" borderId="14" xfId="0" applyFill="1" applyBorder="1"/>
    <xf numFmtId="0" fontId="0" fillId="6" borderId="32" xfId="0" applyFill="1" applyBorder="1"/>
    <xf numFmtId="0" fontId="0" fillId="7" borderId="32" xfId="0" applyFill="1" applyBorder="1" applyAlignment="1">
      <alignment wrapText="1"/>
    </xf>
    <xf numFmtId="0" fontId="0" fillId="6" borderId="32" xfId="0" applyFill="1" applyBorder="1" applyAlignment="1">
      <alignment wrapText="1"/>
    </xf>
    <xf numFmtId="49" fontId="22" fillId="0" borderId="14" xfId="0" applyNumberFormat="1" applyFont="1" applyBorder="1"/>
    <xf numFmtId="49" fontId="11" fillId="0" borderId="14" xfId="0" applyNumberFormat="1" applyFont="1" applyBorder="1"/>
    <xf numFmtId="49" fontId="27" fillId="0" borderId="14" xfId="0" applyNumberFormat="1" applyFont="1" applyBorder="1"/>
    <xf numFmtId="0" fontId="0" fillId="0" borderId="28" xfId="0" applyBorder="1"/>
    <xf numFmtId="0" fontId="0" fillId="0" borderId="14" xfId="0" applyBorder="1"/>
    <xf numFmtId="0" fontId="6" fillId="0" borderId="0" xfId="0" applyFont="1" applyAlignment="1">
      <alignment horizontal="justify" wrapText="1"/>
    </xf>
    <xf numFmtId="0" fontId="6" fillId="0" borderId="0" xfId="0" applyFont="1" applyAlignment="1">
      <alignment horizontal="left" wrapText="1"/>
    </xf>
    <xf numFmtId="164" fontId="11" fillId="2" borderId="0" xfId="0" applyNumberFormat="1" applyFont="1" applyFill="1"/>
    <xf numFmtId="0" fontId="20" fillId="0" borderId="0" xfId="0" applyFont="1" applyBorder="1" applyAlignment="1">
      <alignment horizontal="left" vertical="center"/>
    </xf>
    <xf numFmtId="0" fontId="0" fillId="4" borderId="1" xfId="0" applyFill="1" applyBorder="1" applyAlignment="1">
      <alignment horizontal="left" vertical="center" wrapText="1"/>
    </xf>
    <xf numFmtId="0" fontId="0" fillId="0" borderId="1" xfId="0" applyBorder="1"/>
    <xf numFmtId="0" fontId="0" fillId="4" borderId="6" xfId="0" applyFill="1" applyBorder="1" applyAlignment="1">
      <alignment horizontal="left" vertical="center" wrapText="1"/>
    </xf>
    <xf numFmtId="0" fontId="0" fillId="4" borderId="7" xfId="0" applyFill="1" applyBorder="1" applyAlignment="1">
      <alignment horizontal="left" vertical="center" wrapText="1"/>
    </xf>
    <xf numFmtId="0" fontId="0" fillId="4" borderId="3" xfId="0" applyFill="1" applyBorder="1" applyAlignment="1">
      <alignment horizontal="left" vertical="center" wrapText="1"/>
    </xf>
    <xf numFmtId="0" fontId="0" fillId="0" borderId="1" xfId="0" applyBorder="1" applyAlignment="1"/>
    <xf numFmtId="0" fontId="0" fillId="4" borderId="1" xfId="0" applyFill="1" applyBorder="1" applyAlignment="1">
      <alignment horizontal="left" vertical="top"/>
    </xf>
    <xf numFmtId="0" fontId="0" fillId="4" borderId="1" xfId="0" applyFill="1" applyBorder="1" applyAlignment="1">
      <alignment horizontal="left"/>
    </xf>
    <xf numFmtId="0" fontId="11" fillId="3" borderId="5" xfId="0" applyFont="1" applyFill="1" applyBorder="1" applyAlignment="1">
      <alignment horizontal="left"/>
    </xf>
    <xf numFmtId="0" fontId="11" fillId="3" borderId="0" xfId="0" applyFont="1" applyFill="1" applyBorder="1" applyAlignment="1">
      <alignment horizontal="left"/>
    </xf>
    <xf numFmtId="0" fontId="0" fillId="4" borderId="6" xfId="0" applyFill="1" applyBorder="1" applyAlignment="1">
      <alignment vertical="top"/>
    </xf>
    <xf numFmtId="0" fontId="0" fillId="4" borderId="7" xfId="0" applyFill="1" applyBorder="1" applyAlignment="1">
      <alignment vertical="top"/>
    </xf>
    <xf numFmtId="0" fontId="0" fillId="4" borderId="3" xfId="0" applyFill="1" applyBorder="1" applyAlignment="1">
      <alignment vertical="top"/>
    </xf>
    <xf numFmtId="0" fontId="0" fillId="4" borderId="6" xfId="0" applyFill="1" applyBorder="1" applyAlignment="1">
      <alignment horizontal="left" vertical="top"/>
    </xf>
    <xf numFmtId="0" fontId="0" fillId="4" borderId="3" xfId="0" applyFill="1" applyBorder="1" applyAlignment="1">
      <alignment horizontal="left" vertical="top"/>
    </xf>
    <xf numFmtId="0" fontId="0" fillId="4" borderId="8" xfId="0" applyFill="1" applyBorder="1" applyAlignment="1">
      <alignment horizontal="center" vertical="center" wrapText="1"/>
    </xf>
    <xf numFmtId="0" fontId="0" fillId="4" borderId="9" xfId="0" applyFill="1" applyBorder="1" applyAlignment="1">
      <alignment horizontal="center" vertical="center" wrapText="1"/>
    </xf>
    <xf numFmtId="0" fontId="0" fillId="4" borderId="4" xfId="0" applyFill="1" applyBorder="1" applyAlignment="1">
      <alignment horizontal="center" vertical="center" wrapText="1"/>
    </xf>
    <xf numFmtId="0" fontId="0" fillId="4" borderId="5" xfId="0" applyFill="1" applyBorder="1" applyAlignment="1">
      <alignment horizontal="center" vertical="center" wrapText="1"/>
    </xf>
    <xf numFmtId="0" fontId="0" fillId="4" borderId="0" xfId="0" applyFill="1" applyBorder="1" applyAlignment="1">
      <alignment horizontal="center" vertical="center" wrapText="1"/>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2" xfId="0" applyFill="1" applyBorder="1" applyAlignment="1">
      <alignment horizontal="center" vertical="center" wrapText="1"/>
    </xf>
    <xf numFmtId="0" fontId="0" fillId="4" borderId="2" xfId="0" applyFill="1" applyBorder="1" applyAlignment="1">
      <alignment horizontal="center" vertical="center" wrapText="1"/>
    </xf>
    <xf numFmtId="0" fontId="0" fillId="4" borderId="7" xfId="0" applyFill="1" applyBorder="1" applyAlignment="1">
      <alignment horizontal="left" vertical="top"/>
    </xf>
    <xf numFmtId="0" fontId="0" fillId="0" borderId="20" xfId="0" applyBorder="1"/>
    <xf numFmtId="0" fontId="0" fillId="0" borderId="21" xfId="0" applyBorder="1"/>
    <xf numFmtId="0" fontId="0" fillId="0" borderId="31" xfId="0" applyBorder="1"/>
    <xf numFmtId="0" fontId="0" fillId="0" borderId="16" xfId="0" applyBorder="1"/>
    <xf numFmtId="0" fontId="0" fillId="0" borderId="17" xfId="0" applyBorder="1"/>
    <xf numFmtId="0" fontId="0" fillId="0" borderId="30" xfId="0" applyBorder="1"/>
    <xf numFmtId="0" fontId="0" fillId="0" borderId="18" xfId="0" applyBorder="1"/>
    <xf numFmtId="0" fontId="0" fillId="0" borderId="13" xfId="0" applyBorder="1"/>
    <xf numFmtId="0" fontId="0" fillId="0" borderId="15" xfId="0" applyBorder="1"/>
    <xf numFmtId="0" fontId="0" fillId="0" borderId="27" xfId="0" applyBorder="1"/>
    <xf numFmtId="0" fontId="0" fillId="0" borderId="28" xfId="0" applyBorder="1"/>
    <xf numFmtId="0" fontId="0" fillId="6" borderId="22" xfId="0" applyFill="1" applyBorder="1" applyAlignment="1">
      <alignment vertical="center"/>
    </xf>
    <xf numFmtId="0" fontId="0" fillId="6" borderId="23" xfId="0" applyFill="1" applyBorder="1" applyAlignment="1">
      <alignment vertical="center"/>
    </xf>
    <xf numFmtId="0" fontId="0" fillId="6" borderId="22" xfId="0" applyFill="1" applyBorder="1"/>
    <xf numFmtId="0" fontId="0" fillId="6" borderId="23" xfId="0" applyFill="1" applyBorder="1"/>
    <xf numFmtId="0" fontId="0" fillId="0" borderId="14" xfId="0" applyBorder="1"/>
    <xf numFmtId="0" fontId="0" fillId="0" borderId="25" xfId="0" applyBorder="1" applyAlignment="1">
      <alignment vertical="center"/>
    </xf>
    <xf numFmtId="0" fontId="0" fillId="0" borderId="27" xfId="0" applyBorder="1" applyAlignment="1">
      <alignment vertical="center"/>
    </xf>
    <xf numFmtId="0" fontId="0" fillId="0" borderId="25" xfId="0" applyBorder="1"/>
    <xf numFmtId="0" fontId="0" fillId="0" borderId="18" xfId="0" applyBorder="1" applyAlignment="1">
      <alignment horizontal="center"/>
    </xf>
    <xf numFmtId="0" fontId="0" fillId="0" borderId="13" xfId="0" applyBorder="1" applyAlignment="1">
      <alignment horizontal="center"/>
    </xf>
    <xf numFmtId="10" fontId="0" fillId="0" borderId="19" xfId="0" applyNumberFormat="1" applyBorder="1" applyAlignment="1">
      <alignment horizontal="center"/>
    </xf>
    <xf numFmtId="0" fontId="11" fillId="0" borderId="16" xfId="0" applyFont="1" applyBorder="1"/>
    <xf numFmtId="0" fontId="11" fillId="0" borderId="17" xfId="0" applyFont="1" applyBorder="1"/>
    <xf numFmtId="0" fontId="11" fillId="0" borderId="30" xfId="0" applyFont="1" applyBorder="1"/>
  </cellXfs>
  <cellStyles count="2">
    <cellStyle name="Hyperlink" xfId="1" builtinId="8"/>
    <cellStyle name="Normal" xfId="0" builtinId="0"/>
  </cellStyles>
  <dxfs count="321">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left"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right" vertical="center" textRotation="0" wrapText="1" relativeIndent="0" justifyLastLine="0" shrinkToFit="0" readingOrder="0"/>
      <border diagonalUp="0" diagonalDown="0">
        <left/>
        <right style="thin">
          <color indexed="64"/>
        </right>
        <top style="thin">
          <color indexed="64"/>
        </top>
        <bottom style="thin">
          <color indexed="64"/>
        </bottom>
      </border>
    </dxf>
    <dxf>
      <border outline="0">
        <top style="thin">
          <color indexed="64"/>
        </top>
      </border>
    </dxf>
    <dxf>
      <border outline="0">
        <left style="thin">
          <color indexed="64"/>
        </left>
        <right style="thin">
          <color theme="0"/>
        </right>
        <top style="thin">
          <color indexed="64"/>
        </top>
        <bottom style="thin">
          <color indexed="64"/>
        </bottom>
      </border>
    </dxf>
    <dxf>
      <border outline="0">
        <bottom style="thin">
          <color indexed="64"/>
        </bottom>
      </border>
    </dxf>
    <dxf>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2" formatCode="0.00"/>
      <fill>
        <patternFill patternType="none">
          <fgColor indexed="64"/>
          <bgColor indexed="65"/>
        </patternFill>
      </fill>
      <alignment horizontal="general" vertical="bottom" textRotation="0" wrapText="1" relativeIndent="0" justifyLastLine="0" shrinkToFit="0" readingOrder="0"/>
    </dxf>
    <dxf>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font>
        <outline val="0"/>
        <shadow val="0"/>
        <vertAlign val="baseline"/>
        <sz val="11"/>
      </font>
      <numFmt numFmtId="2" formatCode="0.00"/>
      <fill>
        <patternFill patternType="none">
          <fgColor indexed="64"/>
          <bgColor indexed="65"/>
        </patternFill>
      </fill>
      <alignment horizontal="general" vertical="bottom" textRotation="0" wrapText="1" relativeIndent="0" justifyLastLine="0" shrinkToFit="0" readingOrder="0"/>
    </dxf>
    <dxf>
      <numFmt numFmtId="30" formatCode="@"/>
      <fill>
        <patternFill patternType="none">
          <fgColor indexed="64"/>
          <bgColor indexed="65"/>
        </patternFill>
      </fill>
      <alignment horizontal="general" vertical="bottom" textRotation="0" wrapText="1" relativeIndent="0" justifyLastLine="0" shrinkToFit="0" readingOrder="0"/>
    </dxf>
    <dxf>
      <numFmt numFmtId="30" formatCode="@"/>
      <fill>
        <patternFill patternType="none">
          <fgColor indexed="64"/>
          <bgColor indexed="65"/>
        </patternFill>
      </fill>
    </dxf>
    <dxf>
      <fill>
        <patternFill patternType="none">
          <fgColor indexed="64"/>
          <bgColor indexed="65"/>
        </patternFill>
      </fill>
    </dxf>
    <dxf>
      <font>
        <strike/>
      </font>
    </dxf>
    <dxf>
      <font>
        <b/>
        <i val="0"/>
        <strike val="0"/>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color rgb="FFFF0000"/>
      </font>
      <fill>
        <patternFill patternType="none">
          <bgColor indexed="65"/>
        </patternFill>
      </fill>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windows/ProtocolsTest/2007/07/RequirementTable'">
  <Schema ID="Schema3"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scope">
        <xs:restriction base="xs:string">
          <xs:enumeration value="In"/>
          <xs:enumeration value="Out"/>
        </xs:restriction>
      </xs:simpleType>
      <!-- Root element, attributes of this element should not be changed. -->
      <xs:element name="scopeTable">
        <xs:complexType>
          <xs:sequence maxOccurs="unbounded">
            <xs:element name="RoleScope">
              <xs:complexType>
                <xs:all>
                  <xs:element name="Role" type="xs:string"/>
                  <!-- <Role>Client</Role> -->
                  <xs:element name="Scope" type="rt:scope" minOccurs="0" maxOccurs="1"/>
                  <!-- <Scope>In</Scope> -->
                  <xs:element name="Description" type="xs:string"/>
                  <!-- <Description>The requirement describes behavior performed by the initiator of the exchange.</Description> optional -->
                </xs:all>
              </xs:complexType>
            </xs:element>
          </xs:sequence>
        </xs:complexType>
        <xs:unique name="Unique_Role">
          <xs:selector xpath="rt:RoleScope"/>
          <xs:field xpath="rt:Role"/>
        </xs:unique>
      </xs:element>
    </xs:schema>
  </Schema>
  <Schema ID="Schema4"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isExtension_type">
        <xs:restriction base="xs:string">
          <!-- Non-extension or Extension -->
          <xs:enumeration value="Non-extension"/>
          <xs:enumeration value="Extension"/>
        </xs:restriction>
      </xs:simpleType>
      <xs:simpleType name="behavior_type">
        <xs:restriction base="xs:string">
          <!-- Protocol or Windows -->
          <xs:enumeration value="Protocol"/>
          <xs:enumeration value="Windows"/>
          <xs:enumeration value="Product"/>
          <xs:enumeration value="Microsoft"/>
        </xs:restriction>
      </xs:simpleType>
      <xs:simpleType name="actor_type">
        <xs:restriction base="xs:string">
          <!-- Client, Server or Both -->
          <xs:enumeration value="Client"/>
          <xs:enumeration value="Server"/>
          <xs:enumeration value="Both"/>
        </xs:restriction>
      </xs:simpleType>
      <xs:simpleType name="scope_type">
        <xs:restriction base="xs:string">
          <!-- Client, Server or Both -->
          <xs:pattern value="^(\w|_)+$"/>
        </xs:restriction>
      </xs:simpleType>
      <xs:simpleType name="priority_type">
        <xs:restriction base="xs:string">
          <!-- p0, p1 or p2 -->
          <xs:enumeration value="p0"/>
          <xs:enumeration value="p1"/>
          <xs:enumeration value="p2"/>
        </xs:restriction>
      </xs:simpleType>
      <xs:simpleType name="isNormative_type">
        <xs:restriction base="xs:string">
          <!-- Normative or Informative -->
          <xs:enumeration value="Normative"/>
          <xs:enumeration value="Informative"/>
        </xs:restriction>
      </xs:simpleType>
      <xs:simpleType name="verification_type">
        <xs:restriction base="xs:string">
          <!-- Non-testable, Adapter, Test Case or Unverified -->
          <xs:enumeration value="Non-testable"/>
          <xs:enumeration value="Adapter"/>
          <xs:enumeration value="Test Case"/>
          <xs:enumeration value="Unverified"/>
          <xs:enumeration value="Deleted"/>
        </xs:restriction>
      </xs:simpleType>
      <!-- Root element, attributes of this element should not be changed. -->
      <xs:element name="ReqTable">
        <xs:complexType>
          <xs:sequence maxOccurs="unbounded">
            <xs:element name="Requirement">
              <xs:complexType>
                <xs:all>
                  <xs:element name="REQ_ID" type="xs:string"/>
                  <!-- <REQ_ID>MS-KILE_R1</REQ_ID> -->
                  <xs:element name="Doc_Sect" type="xs:string" minOccurs="0" maxOccurs="1"/>
                  <!-- <Doc_Sect>3.2.2</Doc_Sect> -->
                  <xs:element name="Description" type="xs:string"/>
                  <!-- <Description>Verify Tickets are removed from the cache once they have expired.</Description> optional -->
                  <xs:element name="Pos" type="xs:string" minOccurs="0" maxOccurs="1"/>
                  <!--<Pos>Requirement describing affect of this cause.</Pos>-->
                  <xs:element name="Neg" type="xs:string" minOccurs="0" maxOccurs="1"/>
                  <!--<Neg>Requirement describing affect of this cause not occurring.</Neg> optional-->
                  <xs:element name="Derived" type="xs:string" minOccurs="0" maxOccurs="1"/>
                  <!--<Derived>Requirement(s) this specific requirement is derived as a more specific case from.</Derived> optional-->
                  <xs:element name="Scenario" type="xs:string" minOccurs="0" maxOccurs="1"/>
                  <!-- <Scenario>S1, S2</Scenario> -->
                  <xs:element name="IsExtension" type="rt:isExtension_type" minOccurs="0" maxOccurs="1"/>
                  <!-- <IsExtension>Extension</IsExtension> -->
                  <xs:element name="Behavior" type="rt:behavior_type" minOccurs="0" maxOccurs="1"/>
                  <!-- <Behavior>Protocol</Behavior> -->
                  <xs:element name="Actor" type="rt:actor_type" maxOccurs="1" minOccurs="0"/>
                  <xs:element name="Scope" type="rt:scope_type" maxOccurs="1" minOccurs="0"/>
                  <!-- <Actor>Client</Actor> or <Scope>Server</Scope> -->
                  <xs:element name="Priority" type="rt:priority_type" minOccurs="0" maxOccurs="1"/>
                  <!-- <Priority>p1</Priority> -->
                  <xs:element name="IsNormative" type="rt:isNormative_type"/>
                  <!-- <IsNormative>TRUE</IsNormative> -->
                  <xs:element name="Verification" type="rt:verification_type"/>
                  <!-- <Verification>Adapter</Verification> -->
                  <xs:element name="VerificationComment" type="xs:string" minOccurs="0" maxOccurs="1"/>
                  <!-- <VerificationComment>Why the requirement is non-verifiable or unverified</VerificationComment> -->
                  <xs:element name="ReviewComment" type="xs:string" minOccurs="0" maxOccurs="1"/>
                  <xs:element name="InternalId" type="xs:string" minOccurs="0" maxOccurs="1"/>
                </xs:all>
              </xs:complexType>
            </xs:element>
          </xs:sequence>
        </xs:complexType>
        <xs:unique name="Unique_REQ_ID">
          <xs:selector xpath="rt:Requirement"/>
          <xs:field xpath="rt:REQ_ID"/>
        </xs:unique>
      </xs:element>
    </xs:schema>
  </Schema>
  <Map ID="12" Name="ReqTable_Map" RootElement="ReqTable" SchemaID="Schema4" ShowImportExportValidationErrors="false" AutoFit="true" Append="false" PreserveSortAFLayout="true" PreserveFormat="true"/>
  <Map ID="9" Name="scopeTable_Map" RootElement="scopeTable" SchemaID="Schema3"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openxmlformats.org/officeDocument/2006/relationships/xmlMaps" Target="xmlMap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ables/table1.xml><?xml version="1.0" encoding="utf-8"?>
<table xmlns="http://schemas.openxmlformats.org/spreadsheetml/2006/main" id="1" name="Requirement" displayName="Requirement" ref="A21:P2082" tableType="xml" totalsRowShown="0" dataDxfId="22" headerRowCellStyle="Normal" dataCellStyle="Normal">
  <autoFilter ref="A21:P2082"/>
  <tableColumns count="16">
    <tableColumn id="1" uniqueName="ns1:REQ_ID" name="Req ID" dataDxfId="21" dataCellStyle="Normal">
      <xmlColumnPr mapId="12" xpath="/ns1:ReqTable/ns1:Requirement/ns1:REQ_ID" xmlDataType="string"/>
    </tableColumn>
    <tableColumn id="2" uniqueName="ns1:Doc_Sect" name="Doc Sect" dataDxfId="20" dataCellStyle="Normal">
      <xmlColumnPr mapId="12" xpath="/ns1:ReqTable/ns1:Requirement/ns1:Doc_Sect" xmlDataType="string"/>
    </tableColumn>
    <tableColumn id="3" uniqueName="ns1:Description" name="Description" dataDxfId="19" dataCellStyle="Normal">
      <xmlColumnPr mapId="12" xpath="/ns1:ReqTable/ns1:Requirement/ns1:Description" xmlDataType="string"/>
    </tableColumn>
    <tableColumn id="17" uniqueName="ns1:Pos" name="Pos" dataDxfId="18" dataCellStyle="Normal">
      <xmlColumnPr mapId="12" xpath="/ns1:ReqTable/ns1:Requirement/ns1:Pos" xmlDataType="string"/>
    </tableColumn>
    <tableColumn id="19" uniqueName="ns1:Neg" name="Neg" dataDxfId="17" dataCellStyle="Normal">
      <xmlColumnPr mapId="12" xpath="/ns1:ReqTable/ns1:Requirement/ns1:Neg" xmlDataType="string"/>
    </tableColumn>
    <tableColumn id="18" uniqueName="ns1:Derived" name="Derived" dataDxfId="16" dataCellStyle="Normal">
      <xmlColumnPr mapId="12" xpath="/ns1:ReqTable/ns1:Requirement/ns1:Derived" xmlDataType="string"/>
    </tableColumn>
    <tableColumn id="4" uniqueName="ns1:Scenario" name="Scenario" dataDxfId="15" dataCellStyle="Normal">
      <xmlColumnPr mapId="12" xpath="/ns1:ReqTable/ns1:Requirement/ns1:Scenario" xmlDataType="string"/>
    </tableColumn>
    <tableColumn id="6" uniqueName="ns1:Behavior" name="Behavior" dataDxfId="14" dataCellStyle="Normal">
      <xmlColumnPr mapId="12" xpath="/ns1:ReqTable/ns1:Requirement/ns1:Behavior" xmlDataType="string"/>
    </tableColumn>
    <tableColumn id="7" uniqueName="ns1:Scope" name="Scope" dataDxfId="13" dataCellStyle="Normal">
      <xmlColumnPr mapId="12" xpath="/ns1:ReqTable/ns1:Requirement/ns1:Scope" xmlDataType="string"/>
    </tableColumn>
    <tableColumn id="8" uniqueName="ns1:Priority" name="Priority" dataDxfId="12" dataCellStyle="Normal">
      <xmlColumnPr mapId="12" xpath="/ns1:ReqTable/ns1:Requirement/ns1:Priority" xmlDataType="string"/>
    </tableColumn>
    <tableColumn id="9" uniqueName="ns1:IsNormative" name="Informative_x000a_/Normative" dataDxfId="11" dataCellStyle="Normal">
      <xmlColumnPr mapId="12" xpath="/ns1:ReqTable/ns1:Requirement/ns1:IsNormative" xmlDataType="string"/>
    </tableColumn>
    <tableColumn id="10" uniqueName="ns1:Verification" name="Verification" dataDxfId="10" dataCellStyle="Normal">
      <xmlColumnPr mapId="12" xpath="/ns1:ReqTable/ns1:Requirement/ns1:Verification" xmlDataType="string"/>
    </tableColumn>
    <tableColumn id="11" uniqueName="ns1:VerificationComment" name="Verification Comment" dataDxfId="9" dataCellStyle="Normal">
      <xmlColumnPr mapId="12" xpath="/ns1:ReqTable/ns1:Requirement/ns1:VerificationComment" xmlDataType="string"/>
    </tableColumn>
    <tableColumn id="5" uniqueName="ns1:InternalId" name="InternalId" dataDxfId="8" dataCellStyle="Normal">
      <xmlColumnPr mapId="12" xpath="/ns1:ReqTable/ns1:Requirement/ns1:InternalId" xmlDataType="string"/>
    </tableColumn>
    <tableColumn id="13" uniqueName="ns1:ReviewComment" name="Review Comment" dataDxfId="7" dataCellStyle="Normal">
      <xmlColumnPr mapId="12" xpath="/ns1:ReqTable/ns1:Requirement/ns1:ReviewComment" xmlDataType="string"/>
    </tableColumn>
    <tableColumn id="12" uniqueName="12" name="IgnoreRuleList" dataDxfId="6" dataCellStyle="Normal"/>
  </tableColumns>
  <tableStyleInfo name="TableStyleMedium15" showFirstColumn="0" showLastColumn="0" showRowStripes="1" showColumnStripes="0"/>
</table>
</file>

<file path=xl/tables/table2.xml><?xml version="1.0" encoding="utf-8"?>
<table xmlns="http://schemas.openxmlformats.org/spreadsheetml/2006/main" id="2" name="Scope" displayName="Scope" ref="A14:C17" tableType="xml" totalsRowShown="0" headerRowBorderDxfId="5" tableBorderDxfId="4" totalsRowBorderDxfId="3">
  <autoFilter ref="A14:C17"/>
  <tableColumns count="3">
    <tableColumn id="1" uniqueName="ns1:Role" name="Role" dataDxfId="2">
      <xmlColumnPr mapId="9" xpath="/ns1:scopeTable/ns1:RoleScope/ns1:Role" xmlDataType="string"/>
    </tableColumn>
    <tableColumn id="2" uniqueName="ns1:Scope" name="Scope" dataDxfId="1">
      <xmlColumnPr mapId="9" xpath="/ns1:scopeTable/ns1:RoleScope/ns1:Scope" xmlDataType="string"/>
    </tableColumn>
    <tableColumn id="3" uniqueName="ns1:Description" name="Description" dataDxfId="0">
      <xmlColumnPr mapId="9" xpath="/ns1:scopeTable/ns1:RoleScope/ns1:Description" xmlDataType="string"/>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2082"/>
  <sheetViews>
    <sheetView topLeftCell="A2075" zoomScale="80" zoomScaleNormal="80" workbookViewId="0">
      <selection activeCell="C2076" sqref="C2076"/>
    </sheetView>
  </sheetViews>
  <sheetFormatPr defaultRowHeight="15"/>
  <cols>
    <col min="1" max="1" width="20.42578125" style="8" customWidth="1"/>
    <col min="2" max="2" width="11.42578125" customWidth="1"/>
    <col min="3" max="3" width="100.85546875" style="18" customWidth="1"/>
    <col min="4" max="4" width="5.42578125" customWidth="1"/>
    <col min="5" max="5" width="6.85546875" customWidth="1"/>
    <col min="6" max="6" width="5.7109375" customWidth="1"/>
    <col min="7" max="7" width="6.42578125" customWidth="1"/>
    <col min="8" max="8" width="8.85546875" customWidth="1"/>
    <col min="9" max="9" width="8.140625" customWidth="1"/>
    <col min="10" max="10" width="3.85546875" customWidth="1"/>
    <col min="11" max="11" width="13.42578125" bestFit="1" customWidth="1"/>
    <col min="12" max="12" width="14.28515625" bestFit="1" customWidth="1"/>
    <col min="13" max="13" width="30.7109375" customWidth="1"/>
    <col min="14" max="14" width="12" hidden="1" customWidth="1"/>
    <col min="15" max="15" width="21.140625" customWidth="1"/>
    <col min="16" max="16" width="15" customWidth="1"/>
  </cols>
  <sheetData>
    <row r="1" spans="1:15">
      <c r="A1" s="19" t="s">
        <v>3661</v>
      </c>
      <c r="B1" s="1" t="s">
        <v>72</v>
      </c>
      <c r="I1" s="9"/>
    </row>
    <row r="2" spans="1:15">
      <c r="A2" s="11" t="s">
        <v>3660</v>
      </c>
      <c r="B2" s="10"/>
      <c r="C2" s="42"/>
      <c r="F2" s="36"/>
      <c r="G2" s="36"/>
      <c r="J2" s="16" t="s">
        <v>23</v>
      </c>
      <c r="K2" s="43">
        <v>4</v>
      </c>
      <c r="M2" t="s">
        <v>106</v>
      </c>
      <c r="O2" s="43">
        <v>1</v>
      </c>
    </row>
    <row r="3" spans="1:15">
      <c r="B3" t="s">
        <v>4</v>
      </c>
      <c r="C3" s="43">
        <v>12</v>
      </c>
      <c r="E3" s="16" t="s">
        <v>5</v>
      </c>
      <c r="F3" s="90">
        <v>40274</v>
      </c>
      <c r="G3" s="90"/>
      <c r="J3" s="16" t="s">
        <v>24</v>
      </c>
      <c r="K3" s="90">
        <v>40298</v>
      </c>
      <c r="L3" s="90"/>
    </row>
    <row r="4" spans="1:15" ht="20.25">
      <c r="A4" s="91" t="s">
        <v>71</v>
      </c>
      <c r="B4" s="91"/>
      <c r="C4" s="91"/>
      <c r="D4" s="91"/>
      <c r="E4" s="91"/>
      <c r="F4" s="91"/>
      <c r="G4" s="91"/>
      <c r="H4" s="91"/>
      <c r="I4" s="91"/>
      <c r="J4" s="91"/>
      <c r="K4" s="91"/>
    </row>
    <row r="5" spans="1:15">
      <c r="A5" s="12" t="s">
        <v>84</v>
      </c>
      <c r="B5" s="100" t="s">
        <v>1</v>
      </c>
      <c r="C5" s="101"/>
      <c r="D5" s="101"/>
      <c r="E5" s="101"/>
      <c r="F5" s="101"/>
      <c r="G5" s="101"/>
      <c r="H5" s="101"/>
      <c r="I5" s="101"/>
      <c r="J5" s="101"/>
      <c r="K5" s="101"/>
      <c r="L5" s="101"/>
      <c r="M5" s="101"/>
      <c r="N5" s="101"/>
      <c r="O5" s="101"/>
    </row>
    <row r="6" spans="1:15">
      <c r="A6" s="13" t="s">
        <v>0</v>
      </c>
      <c r="B6" s="99" t="s">
        <v>27</v>
      </c>
      <c r="C6" s="99"/>
      <c r="D6" s="99"/>
      <c r="E6" s="99"/>
      <c r="F6" s="99"/>
      <c r="G6" s="99"/>
      <c r="H6" s="99"/>
      <c r="I6" s="99"/>
      <c r="J6" s="99"/>
      <c r="K6" s="99"/>
      <c r="L6" s="99"/>
      <c r="M6" s="99"/>
      <c r="N6" s="99"/>
      <c r="O6" s="99"/>
    </row>
    <row r="7" spans="1:15">
      <c r="A7" s="13" t="s">
        <v>3</v>
      </c>
      <c r="B7" s="98" t="s">
        <v>28</v>
      </c>
      <c r="C7" s="98"/>
      <c r="D7" s="98"/>
      <c r="E7" s="98"/>
      <c r="F7" s="98"/>
      <c r="G7" s="98"/>
      <c r="H7" s="98"/>
      <c r="I7" s="98"/>
      <c r="J7" s="98"/>
      <c r="K7" s="98"/>
      <c r="L7" s="98"/>
      <c r="M7" s="98"/>
      <c r="N7" s="98"/>
      <c r="O7" s="98"/>
    </row>
    <row r="8" spans="1:15">
      <c r="A8" s="13" t="s">
        <v>1</v>
      </c>
      <c r="B8" s="98" t="s">
        <v>29</v>
      </c>
      <c r="C8" s="98"/>
      <c r="D8" s="98"/>
      <c r="E8" s="98"/>
      <c r="F8" s="98"/>
      <c r="G8" s="98"/>
      <c r="H8" s="98"/>
      <c r="I8" s="98"/>
      <c r="J8" s="98"/>
      <c r="K8" s="98"/>
      <c r="L8" s="98"/>
      <c r="M8" s="98"/>
      <c r="N8" s="98"/>
      <c r="O8" s="98"/>
    </row>
    <row r="9" spans="1:15">
      <c r="A9" s="13" t="s">
        <v>85</v>
      </c>
      <c r="B9" s="98" t="s">
        <v>79</v>
      </c>
      <c r="C9" s="93"/>
      <c r="D9" s="98" t="s">
        <v>81</v>
      </c>
      <c r="E9" s="93"/>
      <c r="F9" s="93"/>
      <c r="G9" s="93"/>
      <c r="H9" s="93"/>
      <c r="I9" s="93"/>
      <c r="J9" s="93"/>
      <c r="K9" s="93"/>
      <c r="L9" s="98"/>
      <c r="M9" s="98"/>
      <c r="N9" s="98"/>
      <c r="O9" s="97"/>
    </row>
    <row r="10" spans="1:15">
      <c r="A10" s="13" t="s">
        <v>50</v>
      </c>
      <c r="B10" s="105" t="s">
        <v>82</v>
      </c>
      <c r="C10" s="106"/>
      <c r="D10" s="105" t="s">
        <v>83</v>
      </c>
      <c r="E10" s="116"/>
      <c r="F10" s="116"/>
      <c r="G10" s="116"/>
      <c r="H10" s="116"/>
      <c r="I10" s="116"/>
      <c r="J10" s="116"/>
      <c r="K10" s="106"/>
      <c r="L10" s="35"/>
      <c r="M10" s="102"/>
      <c r="N10" s="103"/>
      <c r="O10" s="104"/>
    </row>
    <row r="11" spans="1:15">
      <c r="A11" s="13" t="s">
        <v>19</v>
      </c>
      <c r="B11" s="94" t="s">
        <v>20</v>
      </c>
      <c r="C11" s="95"/>
      <c r="D11" s="95"/>
      <c r="E11" s="95"/>
      <c r="F11" s="95"/>
      <c r="G11" s="95"/>
      <c r="H11" s="95"/>
      <c r="I11" s="95"/>
      <c r="J11" s="95"/>
      <c r="K11" s="95"/>
      <c r="L11" s="95"/>
      <c r="M11" s="95"/>
      <c r="N11" s="95"/>
      <c r="O11" s="96"/>
    </row>
    <row r="12" spans="1:15" ht="34.5" customHeight="1">
      <c r="A12" s="13" t="s">
        <v>21</v>
      </c>
      <c r="B12" s="92" t="s">
        <v>68</v>
      </c>
      <c r="C12" s="93"/>
      <c r="D12" s="92" t="s">
        <v>73</v>
      </c>
      <c r="E12" s="93"/>
      <c r="F12" s="93"/>
      <c r="G12" s="93"/>
      <c r="H12" s="93"/>
      <c r="I12" s="93"/>
      <c r="J12" s="93"/>
      <c r="K12" s="93"/>
      <c r="L12" s="32"/>
      <c r="M12" s="92"/>
      <c r="N12" s="92"/>
      <c r="O12" s="97"/>
    </row>
    <row r="13" spans="1:15">
      <c r="A13" s="13" t="s">
        <v>39</v>
      </c>
      <c r="B13" s="92" t="s">
        <v>44</v>
      </c>
      <c r="C13" s="92"/>
      <c r="D13" s="92"/>
      <c r="E13" s="92"/>
      <c r="F13" s="92"/>
      <c r="G13" s="92"/>
      <c r="H13" s="92"/>
      <c r="I13" s="92"/>
      <c r="J13" s="92"/>
      <c r="K13" s="92"/>
      <c r="L13" s="92"/>
      <c r="M13" s="92"/>
      <c r="N13" s="92"/>
      <c r="O13" s="97"/>
    </row>
    <row r="14" spans="1:15">
      <c r="A14" s="14" t="s">
        <v>38</v>
      </c>
      <c r="B14" s="33" t="s">
        <v>39</v>
      </c>
      <c r="C14" s="34" t="s">
        <v>1</v>
      </c>
      <c r="D14" s="107"/>
      <c r="E14" s="108"/>
      <c r="F14" s="108"/>
      <c r="G14" s="108"/>
      <c r="H14" s="108"/>
      <c r="I14" s="108"/>
      <c r="J14" s="108"/>
      <c r="K14" s="108"/>
      <c r="L14" s="108"/>
      <c r="M14" s="108"/>
      <c r="N14" s="108"/>
      <c r="O14" s="109"/>
    </row>
    <row r="15" spans="1:15">
      <c r="A15" s="37" t="s">
        <v>30</v>
      </c>
      <c r="B15" s="40" t="s">
        <v>40</v>
      </c>
      <c r="C15" s="41" t="s">
        <v>41</v>
      </c>
      <c r="D15" s="110"/>
      <c r="E15" s="111"/>
      <c r="F15" s="111"/>
      <c r="G15" s="111"/>
      <c r="H15" s="111"/>
      <c r="I15" s="111"/>
      <c r="J15" s="111"/>
      <c r="K15" s="111"/>
      <c r="L15" s="111"/>
      <c r="M15" s="111"/>
      <c r="N15" s="111"/>
      <c r="O15" s="112"/>
    </row>
    <row r="16" spans="1:15">
      <c r="A16" s="38" t="s">
        <v>31</v>
      </c>
      <c r="B16" s="40" t="s">
        <v>40</v>
      </c>
      <c r="C16" s="41" t="s">
        <v>42</v>
      </c>
      <c r="D16" s="110"/>
      <c r="E16" s="111"/>
      <c r="F16" s="111"/>
      <c r="G16" s="111"/>
      <c r="H16" s="111"/>
      <c r="I16" s="111"/>
      <c r="J16" s="111"/>
      <c r="K16" s="111"/>
      <c r="L16" s="111"/>
      <c r="M16" s="111"/>
      <c r="N16" s="111"/>
      <c r="O16" s="112"/>
    </row>
    <row r="17" spans="1:16">
      <c r="A17" s="39" t="s">
        <v>22</v>
      </c>
      <c r="B17" s="40" t="s">
        <v>40</v>
      </c>
      <c r="C17" s="41" t="s">
        <v>43</v>
      </c>
      <c r="D17" s="113"/>
      <c r="E17" s="114"/>
      <c r="F17" s="114"/>
      <c r="G17" s="114"/>
      <c r="H17" s="114"/>
      <c r="I17" s="114"/>
      <c r="J17" s="114"/>
      <c r="K17" s="114"/>
      <c r="L17" s="114"/>
      <c r="M17" s="114"/>
      <c r="N17" s="114"/>
      <c r="O17" s="115"/>
    </row>
    <row r="18" spans="1:16" ht="15" customHeight="1">
      <c r="A18" s="13" t="s">
        <v>2</v>
      </c>
      <c r="B18" s="92" t="s">
        <v>74</v>
      </c>
      <c r="C18" s="92"/>
      <c r="D18" s="92"/>
      <c r="E18" s="92"/>
      <c r="F18" s="92"/>
      <c r="G18" s="92"/>
      <c r="H18" s="92"/>
      <c r="I18" s="92"/>
      <c r="J18" s="92"/>
      <c r="K18" s="92"/>
      <c r="L18" s="92"/>
      <c r="M18" s="92"/>
      <c r="N18" s="92"/>
      <c r="O18" s="97"/>
    </row>
    <row r="19" spans="1:16" ht="30" customHeight="1">
      <c r="A19" s="13" t="s">
        <v>6</v>
      </c>
      <c r="B19" s="92" t="s">
        <v>80</v>
      </c>
      <c r="C19" s="92"/>
      <c r="D19" s="92"/>
      <c r="E19" s="92"/>
      <c r="F19" s="92"/>
      <c r="G19" s="92"/>
      <c r="H19" s="92"/>
      <c r="I19" s="92"/>
      <c r="J19" s="92"/>
      <c r="K19" s="92"/>
      <c r="L19" s="92"/>
      <c r="M19" s="92"/>
      <c r="N19" s="92"/>
      <c r="O19" s="97"/>
    </row>
    <row r="20" spans="1:16" ht="30" customHeight="1">
      <c r="A20" s="13" t="s">
        <v>26</v>
      </c>
      <c r="B20" s="92" t="s">
        <v>75</v>
      </c>
      <c r="C20" s="92"/>
      <c r="D20" s="92"/>
      <c r="E20" s="92"/>
      <c r="F20" s="92"/>
      <c r="G20" s="92"/>
      <c r="H20" s="92"/>
      <c r="I20" s="92"/>
      <c r="J20" s="92"/>
      <c r="K20" s="92"/>
      <c r="L20" s="92"/>
      <c r="M20" s="92"/>
      <c r="N20" s="92"/>
      <c r="O20" s="97"/>
    </row>
    <row r="21" spans="1:16" ht="27.6" customHeight="1">
      <c r="A21" t="s">
        <v>0</v>
      </c>
      <c r="B21" t="s">
        <v>3</v>
      </c>
      <c r="C21" s="18" t="s">
        <v>1</v>
      </c>
      <c r="D21" t="s">
        <v>48</v>
      </c>
      <c r="E21" t="s">
        <v>49</v>
      </c>
      <c r="F21" t="s">
        <v>50</v>
      </c>
      <c r="G21" t="s">
        <v>19</v>
      </c>
      <c r="H21" t="s">
        <v>21</v>
      </c>
      <c r="I21" t="s">
        <v>39</v>
      </c>
      <c r="J21" t="s">
        <v>2</v>
      </c>
      <c r="K21" s="24" t="s">
        <v>88</v>
      </c>
      <c r="L21" t="s">
        <v>25</v>
      </c>
      <c r="M21" t="s">
        <v>26</v>
      </c>
      <c r="N21" s="31" t="s">
        <v>104</v>
      </c>
      <c r="O21" s="31" t="s">
        <v>105</v>
      </c>
      <c r="P21" s="31" t="s">
        <v>3659</v>
      </c>
    </row>
    <row r="22" spans="1:16" ht="45" customHeight="1">
      <c r="A22" s="30" t="s">
        <v>158</v>
      </c>
      <c r="B22" s="47" t="s">
        <v>159</v>
      </c>
      <c r="C22" s="48" t="s">
        <v>160</v>
      </c>
      <c r="D22" s="30"/>
      <c r="E22" s="30"/>
      <c r="F22" s="30"/>
      <c r="G22" s="30" t="s">
        <v>4032</v>
      </c>
      <c r="H22" s="30" t="s">
        <v>141</v>
      </c>
      <c r="I22" s="30" t="s">
        <v>22</v>
      </c>
      <c r="J22" s="30" t="s">
        <v>142</v>
      </c>
      <c r="K22" s="30" t="s">
        <v>116</v>
      </c>
      <c r="L22" s="30" t="s">
        <v>146</v>
      </c>
      <c r="M22" s="48"/>
      <c r="N22" s="30"/>
      <c r="O22" s="30"/>
      <c r="P22" s="30"/>
    </row>
    <row r="23" spans="1:16" ht="45" customHeight="1">
      <c r="A23" s="30" t="s">
        <v>161</v>
      </c>
      <c r="B23" s="47" t="s">
        <v>162</v>
      </c>
      <c r="C23" s="48" t="s">
        <v>163</v>
      </c>
      <c r="D23" s="30"/>
      <c r="E23" s="30"/>
      <c r="F23" s="30"/>
      <c r="G23" s="30" t="s">
        <v>4032</v>
      </c>
      <c r="H23" s="30" t="s">
        <v>141</v>
      </c>
      <c r="I23" s="30" t="s">
        <v>22</v>
      </c>
      <c r="J23" s="30" t="s">
        <v>142</v>
      </c>
      <c r="K23" s="30" t="s">
        <v>116</v>
      </c>
      <c r="L23" s="30" t="s">
        <v>146</v>
      </c>
      <c r="M23" s="47"/>
      <c r="N23" s="30"/>
      <c r="O23" s="30"/>
      <c r="P23" s="30"/>
    </row>
    <row r="24" spans="1:16" ht="45" customHeight="1">
      <c r="A24" s="30" t="s">
        <v>164</v>
      </c>
      <c r="B24" s="47" t="s">
        <v>162</v>
      </c>
      <c r="C24" s="48" t="s">
        <v>165</v>
      </c>
      <c r="D24" s="30"/>
      <c r="E24" s="30"/>
      <c r="F24" s="30"/>
      <c r="G24" s="30" t="s">
        <v>4032</v>
      </c>
      <c r="H24" s="30" t="s">
        <v>141</v>
      </c>
      <c r="I24" s="30" t="s">
        <v>22</v>
      </c>
      <c r="J24" s="30" t="s">
        <v>142</v>
      </c>
      <c r="K24" s="30" t="s">
        <v>116</v>
      </c>
      <c r="L24" s="30" t="s">
        <v>146</v>
      </c>
      <c r="M24" s="47"/>
      <c r="N24" s="30"/>
      <c r="O24" s="30"/>
      <c r="P24" s="30"/>
    </row>
    <row r="25" spans="1:16" ht="45" customHeight="1">
      <c r="A25" s="30" t="s">
        <v>166</v>
      </c>
      <c r="B25" s="47" t="s">
        <v>162</v>
      </c>
      <c r="C25" s="48" t="s">
        <v>167</v>
      </c>
      <c r="D25" s="30"/>
      <c r="E25" s="30"/>
      <c r="F25" s="30"/>
      <c r="G25" s="30"/>
      <c r="H25" s="30" t="s">
        <v>141</v>
      </c>
      <c r="I25" s="30" t="s">
        <v>22</v>
      </c>
      <c r="J25" s="30" t="s">
        <v>144</v>
      </c>
      <c r="K25" s="30" t="s">
        <v>117</v>
      </c>
      <c r="L25" s="30" t="s">
        <v>122</v>
      </c>
      <c r="M25" s="48"/>
      <c r="N25" s="30"/>
      <c r="O25" s="30"/>
      <c r="P25" s="30"/>
    </row>
    <row r="26" spans="1:16" ht="45" customHeight="1">
      <c r="A26" s="30" t="s">
        <v>168</v>
      </c>
      <c r="B26" s="47" t="s">
        <v>162</v>
      </c>
      <c r="C26" s="49" t="s">
        <v>169</v>
      </c>
      <c r="D26" s="30"/>
      <c r="E26" s="30"/>
      <c r="F26" s="30"/>
      <c r="G26" s="30"/>
      <c r="H26" s="30" t="s">
        <v>141</v>
      </c>
      <c r="I26" s="30" t="s">
        <v>22</v>
      </c>
      <c r="J26" s="30" t="s">
        <v>144</v>
      </c>
      <c r="K26" s="30" t="s">
        <v>117</v>
      </c>
      <c r="L26" s="30" t="s">
        <v>122</v>
      </c>
      <c r="M26" s="48"/>
      <c r="N26" s="30"/>
      <c r="O26" s="30"/>
      <c r="P26" s="30"/>
    </row>
    <row r="27" spans="1:16" ht="30" customHeight="1">
      <c r="A27" s="30" t="s">
        <v>170</v>
      </c>
      <c r="B27" s="47" t="s">
        <v>162</v>
      </c>
      <c r="C27" s="49" t="s">
        <v>171</v>
      </c>
      <c r="D27" s="30"/>
      <c r="E27" s="30"/>
      <c r="F27" s="30"/>
      <c r="G27" s="30"/>
      <c r="H27" s="30" t="s">
        <v>141</v>
      </c>
      <c r="I27" s="30" t="s">
        <v>22</v>
      </c>
      <c r="J27" s="30" t="s">
        <v>142</v>
      </c>
      <c r="K27" s="30" t="s">
        <v>116</v>
      </c>
      <c r="L27" s="30" t="s">
        <v>122</v>
      </c>
      <c r="M27" s="48" t="s">
        <v>172</v>
      </c>
      <c r="N27" s="30"/>
      <c r="O27" s="30"/>
      <c r="P27" s="30"/>
    </row>
    <row r="28" spans="1:16" ht="30" customHeight="1">
      <c r="A28" s="30" t="s">
        <v>173</v>
      </c>
      <c r="B28" s="47" t="s">
        <v>162</v>
      </c>
      <c r="C28" s="49" t="s">
        <v>174</v>
      </c>
      <c r="D28" s="30"/>
      <c r="E28" s="30"/>
      <c r="F28" s="30"/>
      <c r="G28" s="30"/>
      <c r="H28" s="30" t="s">
        <v>141</v>
      </c>
      <c r="I28" s="30" t="s">
        <v>22</v>
      </c>
      <c r="J28" s="30" t="s">
        <v>144</v>
      </c>
      <c r="K28" s="30" t="s">
        <v>117</v>
      </c>
      <c r="L28" s="30" t="s">
        <v>122</v>
      </c>
      <c r="M28" s="48"/>
      <c r="N28" s="30"/>
      <c r="O28" s="30"/>
      <c r="P28" s="30"/>
    </row>
    <row r="29" spans="1:16" ht="75" customHeight="1">
      <c r="A29" s="30" t="s">
        <v>175</v>
      </c>
      <c r="B29" s="47" t="s">
        <v>162</v>
      </c>
      <c r="C29" s="48" t="s">
        <v>176</v>
      </c>
      <c r="D29" s="30"/>
      <c r="E29" s="30"/>
      <c r="F29" s="30"/>
      <c r="G29" s="30"/>
      <c r="H29" s="30" t="s">
        <v>141</v>
      </c>
      <c r="I29" s="30" t="s">
        <v>22</v>
      </c>
      <c r="J29" s="30" t="s">
        <v>142</v>
      </c>
      <c r="K29" s="30" t="s">
        <v>116</v>
      </c>
      <c r="L29" s="30" t="s">
        <v>121</v>
      </c>
      <c r="M29" s="48" t="s">
        <v>177</v>
      </c>
      <c r="N29" s="30"/>
      <c r="O29" s="30"/>
      <c r="P29" s="30"/>
    </row>
    <row r="30" spans="1:16" ht="60" customHeight="1">
      <c r="A30" s="30" t="s">
        <v>178</v>
      </c>
      <c r="B30" s="47" t="s">
        <v>162</v>
      </c>
      <c r="C30" s="48" t="s">
        <v>179</v>
      </c>
      <c r="D30" s="30"/>
      <c r="E30" s="30"/>
      <c r="F30" s="30"/>
      <c r="G30" s="30"/>
      <c r="H30" s="30" t="s">
        <v>141</v>
      </c>
      <c r="I30" s="30" t="s">
        <v>22</v>
      </c>
      <c r="J30" s="30" t="s">
        <v>144</v>
      </c>
      <c r="K30" s="30" t="s">
        <v>117</v>
      </c>
      <c r="L30" s="30" t="s">
        <v>122</v>
      </c>
      <c r="M30" s="48"/>
      <c r="N30" s="30"/>
      <c r="O30" s="30"/>
      <c r="P30" s="30"/>
    </row>
    <row r="31" spans="1:16" ht="45" customHeight="1">
      <c r="A31" s="30" t="s">
        <v>180</v>
      </c>
      <c r="B31" s="47" t="s">
        <v>162</v>
      </c>
      <c r="C31" s="48" t="s">
        <v>181</v>
      </c>
      <c r="D31" s="30"/>
      <c r="E31" s="30"/>
      <c r="F31" s="30"/>
      <c r="G31" s="30" t="s">
        <v>4032</v>
      </c>
      <c r="H31" s="30" t="s">
        <v>141</v>
      </c>
      <c r="I31" s="30" t="s">
        <v>22</v>
      </c>
      <c r="J31" s="30" t="s">
        <v>142</v>
      </c>
      <c r="K31" s="30" t="s">
        <v>116</v>
      </c>
      <c r="L31" s="30" t="s">
        <v>146</v>
      </c>
      <c r="M31" s="48"/>
      <c r="N31" s="30"/>
      <c r="O31" s="30"/>
      <c r="P31" s="30"/>
    </row>
    <row r="32" spans="1:16" ht="30" customHeight="1">
      <c r="A32" s="30" t="s">
        <v>182</v>
      </c>
      <c r="B32" s="47" t="s">
        <v>162</v>
      </c>
      <c r="C32" s="49" t="s">
        <v>183</v>
      </c>
      <c r="D32" s="30"/>
      <c r="E32" s="30"/>
      <c r="F32" s="30"/>
      <c r="G32" s="30"/>
      <c r="H32" s="30" t="s">
        <v>141</v>
      </c>
      <c r="I32" s="30" t="s">
        <v>31</v>
      </c>
      <c r="J32" s="30" t="s">
        <v>144</v>
      </c>
      <c r="K32" s="30" t="s">
        <v>116</v>
      </c>
      <c r="L32" s="30" t="s">
        <v>122</v>
      </c>
      <c r="M32" s="48" t="s">
        <v>184</v>
      </c>
      <c r="N32" s="30"/>
      <c r="O32" s="30"/>
      <c r="P32" s="30"/>
    </row>
    <row r="33" spans="1:16" ht="30" customHeight="1">
      <c r="A33" s="30" t="s">
        <v>185</v>
      </c>
      <c r="B33" s="47" t="s">
        <v>162</v>
      </c>
      <c r="C33" s="48" t="s">
        <v>186</v>
      </c>
      <c r="D33" s="30"/>
      <c r="E33" s="30"/>
      <c r="F33" s="30"/>
      <c r="G33" s="30" t="s">
        <v>4032</v>
      </c>
      <c r="H33" s="30" t="s">
        <v>141</v>
      </c>
      <c r="I33" s="30" t="s">
        <v>30</v>
      </c>
      <c r="J33" s="30" t="s">
        <v>145</v>
      </c>
      <c r="K33" s="30" t="s">
        <v>116</v>
      </c>
      <c r="L33" s="30" t="s">
        <v>146</v>
      </c>
      <c r="M33" s="48"/>
      <c r="N33" s="30"/>
      <c r="O33" s="30"/>
      <c r="P33" s="30"/>
    </row>
    <row r="34" spans="1:16" ht="30" customHeight="1">
      <c r="A34" s="30" t="s">
        <v>187</v>
      </c>
      <c r="B34" s="47" t="s">
        <v>162</v>
      </c>
      <c r="C34" s="48" t="s">
        <v>188</v>
      </c>
      <c r="D34" s="30"/>
      <c r="E34" s="30"/>
      <c r="F34" s="30" t="s">
        <v>189</v>
      </c>
      <c r="G34" s="30" t="s">
        <v>4032</v>
      </c>
      <c r="H34" s="30" t="s">
        <v>149</v>
      </c>
      <c r="I34" s="30" t="s">
        <v>30</v>
      </c>
      <c r="J34" s="30" t="s">
        <v>145</v>
      </c>
      <c r="K34" s="30" t="s">
        <v>116</v>
      </c>
      <c r="L34" s="30" t="s">
        <v>146</v>
      </c>
      <c r="M34" s="48"/>
      <c r="N34" s="30"/>
      <c r="O34" s="30"/>
      <c r="P34" s="30"/>
    </row>
    <row r="35" spans="1:16" ht="45" customHeight="1">
      <c r="A35" s="30" t="s">
        <v>190</v>
      </c>
      <c r="B35" s="47" t="s">
        <v>162</v>
      </c>
      <c r="C35" s="48" t="s">
        <v>191</v>
      </c>
      <c r="D35" s="30"/>
      <c r="E35" s="30"/>
      <c r="F35" s="30"/>
      <c r="G35" s="30"/>
      <c r="H35" s="30" t="s">
        <v>141</v>
      </c>
      <c r="I35" s="30" t="s">
        <v>22</v>
      </c>
      <c r="J35" s="30" t="s">
        <v>144</v>
      </c>
      <c r="K35" s="30" t="s">
        <v>117</v>
      </c>
      <c r="L35" s="30" t="s">
        <v>122</v>
      </c>
      <c r="M35" s="48"/>
      <c r="N35" s="30"/>
      <c r="O35" s="30"/>
      <c r="P35" s="30"/>
    </row>
    <row r="36" spans="1:16" ht="45" customHeight="1">
      <c r="A36" s="30" t="s">
        <v>192</v>
      </c>
      <c r="B36" s="50" t="s">
        <v>162</v>
      </c>
      <c r="C36" s="51" t="s">
        <v>193</v>
      </c>
      <c r="D36" s="30"/>
      <c r="E36" s="30"/>
      <c r="F36" s="30"/>
      <c r="G36" s="30" t="s">
        <v>4032</v>
      </c>
      <c r="H36" s="30" t="s">
        <v>141</v>
      </c>
      <c r="I36" s="30" t="s">
        <v>22</v>
      </c>
      <c r="J36" s="30" t="s">
        <v>142</v>
      </c>
      <c r="K36" s="30" t="s">
        <v>116</v>
      </c>
      <c r="L36" s="30" t="s">
        <v>146</v>
      </c>
      <c r="M36" s="48"/>
      <c r="N36" s="30"/>
      <c r="O36" s="30"/>
      <c r="P36" s="30"/>
    </row>
    <row r="37" spans="1:16" ht="60" customHeight="1">
      <c r="A37" s="30" t="s">
        <v>194</v>
      </c>
      <c r="B37" s="50" t="s">
        <v>162</v>
      </c>
      <c r="C37" s="52" t="s">
        <v>195</v>
      </c>
      <c r="D37" s="30"/>
      <c r="E37" s="30"/>
      <c r="F37" s="30"/>
      <c r="G37" s="30" t="s">
        <v>4032</v>
      </c>
      <c r="H37" s="30" t="s">
        <v>141</v>
      </c>
      <c r="I37" s="30" t="s">
        <v>22</v>
      </c>
      <c r="J37" s="30" t="s">
        <v>142</v>
      </c>
      <c r="K37" s="30" t="s">
        <v>116</v>
      </c>
      <c r="L37" s="30" t="s">
        <v>146</v>
      </c>
      <c r="M37" s="48"/>
      <c r="N37" s="30"/>
      <c r="O37" s="30"/>
      <c r="P37" s="30"/>
    </row>
    <row r="38" spans="1:16" ht="30" customHeight="1">
      <c r="A38" s="30" t="s">
        <v>196</v>
      </c>
      <c r="B38" s="47" t="s">
        <v>162</v>
      </c>
      <c r="C38" s="49" t="s">
        <v>197</v>
      </c>
      <c r="D38" s="30"/>
      <c r="E38" s="30"/>
      <c r="F38" s="30"/>
      <c r="G38" s="30"/>
      <c r="H38" s="30" t="s">
        <v>141</v>
      </c>
      <c r="I38" s="30" t="s">
        <v>22</v>
      </c>
      <c r="J38" s="30" t="s">
        <v>144</v>
      </c>
      <c r="K38" s="30" t="s">
        <v>117</v>
      </c>
      <c r="L38" s="30" t="s">
        <v>122</v>
      </c>
      <c r="M38" s="48"/>
      <c r="N38" s="30"/>
      <c r="O38" s="30"/>
      <c r="P38" s="30"/>
    </row>
    <row r="39" spans="1:16" ht="30" customHeight="1">
      <c r="A39" s="30" t="s">
        <v>198</v>
      </c>
      <c r="B39" s="47" t="s">
        <v>162</v>
      </c>
      <c r="C39" s="48" t="s">
        <v>199</v>
      </c>
      <c r="D39" s="30"/>
      <c r="E39" s="30"/>
      <c r="F39" s="30"/>
      <c r="G39" s="30"/>
      <c r="H39" s="30" t="s">
        <v>141</v>
      </c>
      <c r="I39" s="30" t="s">
        <v>22</v>
      </c>
      <c r="J39" s="30" t="s">
        <v>144</v>
      </c>
      <c r="K39" s="30" t="s">
        <v>117</v>
      </c>
      <c r="L39" s="30" t="s">
        <v>122</v>
      </c>
      <c r="M39" s="48"/>
      <c r="N39" s="30"/>
      <c r="O39" s="30"/>
      <c r="P39" s="30"/>
    </row>
    <row r="40" spans="1:16" ht="30" customHeight="1">
      <c r="A40" s="30" t="s">
        <v>200</v>
      </c>
      <c r="B40" s="47" t="s">
        <v>162</v>
      </c>
      <c r="C40" s="48" t="s">
        <v>201</v>
      </c>
      <c r="D40" s="30"/>
      <c r="E40" s="30"/>
      <c r="F40" s="30"/>
      <c r="G40" s="30" t="s">
        <v>4032</v>
      </c>
      <c r="H40" s="30" t="s">
        <v>141</v>
      </c>
      <c r="I40" s="30" t="s">
        <v>22</v>
      </c>
      <c r="J40" s="30" t="s">
        <v>142</v>
      </c>
      <c r="K40" s="30" t="s">
        <v>116</v>
      </c>
      <c r="L40" s="30" t="s">
        <v>146</v>
      </c>
      <c r="M40" s="48"/>
      <c r="N40" s="30"/>
      <c r="O40" s="30"/>
      <c r="P40" s="30"/>
    </row>
    <row r="41" spans="1:16" ht="30" customHeight="1">
      <c r="A41" s="30" t="s">
        <v>202</v>
      </c>
      <c r="B41" s="47" t="s">
        <v>162</v>
      </c>
      <c r="C41" s="49" t="s">
        <v>203</v>
      </c>
      <c r="D41" s="30"/>
      <c r="E41" s="30"/>
      <c r="F41" s="30"/>
      <c r="G41" s="30"/>
      <c r="H41" s="30" t="s">
        <v>141</v>
      </c>
      <c r="I41" s="30" t="s">
        <v>22</v>
      </c>
      <c r="J41" s="30" t="s">
        <v>144</v>
      </c>
      <c r="K41" s="30" t="s">
        <v>117</v>
      </c>
      <c r="L41" s="30" t="s">
        <v>122</v>
      </c>
      <c r="M41" s="48"/>
      <c r="N41" s="30"/>
      <c r="O41" s="30"/>
      <c r="P41" s="30"/>
    </row>
    <row r="42" spans="1:16" ht="45" customHeight="1">
      <c r="A42" s="30" t="s">
        <v>204</v>
      </c>
      <c r="B42" s="47" t="s">
        <v>162</v>
      </c>
      <c r="C42" s="49" t="s">
        <v>205</v>
      </c>
      <c r="D42" s="30"/>
      <c r="E42" s="30"/>
      <c r="F42" s="30"/>
      <c r="G42" s="30" t="s">
        <v>4032</v>
      </c>
      <c r="H42" s="30" t="s">
        <v>141</v>
      </c>
      <c r="I42" s="30" t="s">
        <v>22</v>
      </c>
      <c r="J42" s="30" t="s">
        <v>142</v>
      </c>
      <c r="K42" s="30" t="s">
        <v>116</v>
      </c>
      <c r="L42" s="30" t="s">
        <v>146</v>
      </c>
      <c r="M42" s="48"/>
      <c r="N42" s="30"/>
      <c r="O42" s="30"/>
      <c r="P42" s="30"/>
    </row>
    <row r="43" spans="1:16" s="31" customFormat="1" ht="30">
      <c r="A43" s="30" t="s">
        <v>206</v>
      </c>
      <c r="B43" s="47" t="s">
        <v>162</v>
      </c>
      <c r="C43" s="48" t="s">
        <v>207</v>
      </c>
      <c r="D43" s="30"/>
      <c r="E43" s="30"/>
      <c r="F43" s="30"/>
      <c r="G43" s="30"/>
      <c r="H43" s="30" t="s">
        <v>141</v>
      </c>
      <c r="I43" s="30" t="s">
        <v>22</v>
      </c>
      <c r="J43" s="30" t="s">
        <v>142</v>
      </c>
      <c r="K43" s="30" t="s">
        <v>116</v>
      </c>
      <c r="L43" s="30" t="s">
        <v>122</v>
      </c>
      <c r="M43" s="48" t="s">
        <v>4205</v>
      </c>
      <c r="N43" s="30"/>
      <c r="O43" s="30"/>
      <c r="P43" s="30"/>
    </row>
    <row r="44" spans="1:16" ht="30" customHeight="1">
      <c r="A44" s="30" t="s">
        <v>208</v>
      </c>
      <c r="B44" s="47" t="s">
        <v>162</v>
      </c>
      <c r="C44" s="49" t="s">
        <v>209</v>
      </c>
      <c r="D44" s="30"/>
      <c r="E44" s="30"/>
      <c r="F44" s="30"/>
      <c r="G44" s="30"/>
      <c r="H44" s="30" t="s">
        <v>141</v>
      </c>
      <c r="I44" s="30" t="s">
        <v>22</v>
      </c>
      <c r="J44" s="30" t="s">
        <v>144</v>
      </c>
      <c r="K44" s="30" t="s">
        <v>117</v>
      </c>
      <c r="L44" s="30" t="s">
        <v>122</v>
      </c>
      <c r="M44" s="48"/>
      <c r="N44" s="30"/>
      <c r="O44" s="30"/>
      <c r="P44" s="30"/>
    </row>
    <row r="45" spans="1:16" ht="45" customHeight="1">
      <c r="A45" s="30" t="s">
        <v>210</v>
      </c>
      <c r="B45" s="47" t="s">
        <v>162</v>
      </c>
      <c r="C45" s="48" t="s">
        <v>211</v>
      </c>
      <c r="D45" s="30"/>
      <c r="E45" s="30"/>
      <c r="F45" s="30"/>
      <c r="G45" s="30"/>
      <c r="H45" s="30" t="s">
        <v>141</v>
      </c>
      <c r="I45" s="30" t="s">
        <v>22</v>
      </c>
      <c r="J45" s="30" t="s">
        <v>144</v>
      </c>
      <c r="K45" s="30" t="s">
        <v>117</v>
      </c>
      <c r="L45" s="30" t="s">
        <v>122</v>
      </c>
      <c r="M45" s="48"/>
      <c r="N45" s="30"/>
      <c r="O45" s="30"/>
      <c r="P45" s="30"/>
    </row>
    <row r="46" spans="1:16" ht="45" customHeight="1">
      <c r="A46" s="30" t="s">
        <v>212</v>
      </c>
      <c r="B46" s="47" t="s">
        <v>213</v>
      </c>
      <c r="C46" s="48" t="s">
        <v>214</v>
      </c>
      <c r="D46" s="30"/>
      <c r="E46" s="30"/>
      <c r="F46" s="30"/>
      <c r="G46" s="30"/>
      <c r="H46" s="30" t="s">
        <v>141</v>
      </c>
      <c r="I46" s="30" t="s">
        <v>22</v>
      </c>
      <c r="J46" s="30" t="s">
        <v>144</v>
      </c>
      <c r="K46" s="30" t="s">
        <v>117</v>
      </c>
      <c r="L46" s="30" t="s">
        <v>122</v>
      </c>
      <c r="M46" s="48"/>
      <c r="N46" s="30"/>
      <c r="O46" s="30"/>
      <c r="P46" s="30"/>
    </row>
    <row r="47" spans="1:16" ht="30" customHeight="1">
      <c r="A47" s="30" t="s">
        <v>215</v>
      </c>
      <c r="B47" s="47" t="s">
        <v>216</v>
      </c>
      <c r="C47" s="48" t="s">
        <v>217</v>
      </c>
      <c r="D47" s="30"/>
      <c r="E47" s="30"/>
      <c r="F47" s="30"/>
      <c r="G47" s="30"/>
      <c r="H47" s="30" t="s">
        <v>141</v>
      </c>
      <c r="I47" s="30" t="s">
        <v>22</v>
      </c>
      <c r="J47" s="30" t="s">
        <v>144</v>
      </c>
      <c r="K47" s="30" t="s">
        <v>117</v>
      </c>
      <c r="L47" s="30" t="s">
        <v>122</v>
      </c>
      <c r="M47" s="48"/>
      <c r="N47" s="30"/>
      <c r="O47" s="30"/>
      <c r="P47" s="30"/>
    </row>
    <row r="48" spans="1:16" ht="30" customHeight="1">
      <c r="A48" s="30" t="s">
        <v>218</v>
      </c>
      <c r="B48" s="47" t="s">
        <v>216</v>
      </c>
      <c r="C48" s="48" t="s">
        <v>219</v>
      </c>
      <c r="D48" s="30"/>
      <c r="E48" s="30"/>
      <c r="F48" s="30"/>
      <c r="G48" s="30" t="s">
        <v>4032</v>
      </c>
      <c r="H48" s="30" t="s">
        <v>141</v>
      </c>
      <c r="I48" s="30" t="s">
        <v>22</v>
      </c>
      <c r="J48" s="30" t="s">
        <v>142</v>
      </c>
      <c r="K48" s="30" t="s">
        <v>116</v>
      </c>
      <c r="L48" s="30" t="s">
        <v>146</v>
      </c>
      <c r="M48" s="48"/>
      <c r="N48" s="30"/>
      <c r="O48" s="30"/>
      <c r="P48" s="30"/>
    </row>
    <row r="49" spans="1:16" ht="45" customHeight="1">
      <c r="A49" s="30" t="s">
        <v>220</v>
      </c>
      <c r="B49" s="47" t="s">
        <v>216</v>
      </c>
      <c r="C49" s="49" t="s">
        <v>221</v>
      </c>
      <c r="D49" s="30"/>
      <c r="E49" s="30"/>
      <c r="F49" s="30"/>
      <c r="G49" s="30"/>
      <c r="H49" s="30" t="s">
        <v>141</v>
      </c>
      <c r="I49" s="30" t="s">
        <v>22</v>
      </c>
      <c r="J49" s="30" t="s">
        <v>144</v>
      </c>
      <c r="K49" s="30" t="s">
        <v>117</v>
      </c>
      <c r="L49" s="30" t="s">
        <v>122</v>
      </c>
      <c r="M49" s="48"/>
      <c r="N49" s="30"/>
      <c r="O49" s="30"/>
      <c r="P49" s="30"/>
    </row>
    <row r="50" spans="1:16" ht="15" customHeight="1">
      <c r="A50" s="30" t="s">
        <v>222</v>
      </c>
      <c r="B50" s="47" t="s">
        <v>216</v>
      </c>
      <c r="C50" s="49" t="s">
        <v>223</v>
      </c>
      <c r="D50" s="30"/>
      <c r="E50" s="30"/>
      <c r="F50" s="30"/>
      <c r="G50" s="30"/>
      <c r="H50" s="30" t="s">
        <v>141</v>
      </c>
      <c r="I50" s="30" t="s">
        <v>22</v>
      </c>
      <c r="J50" s="30" t="s">
        <v>144</v>
      </c>
      <c r="K50" s="30" t="s">
        <v>117</v>
      </c>
      <c r="L50" s="30" t="s">
        <v>122</v>
      </c>
      <c r="M50" s="48"/>
      <c r="N50" s="30"/>
      <c r="O50" s="30"/>
      <c r="P50" s="30"/>
    </row>
    <row r="51" spans="1:16" ht="60" customHeight="1">
      <c r="A51" s="30" t="s">
        <v>224</v>
      </c>
      <c r="B51" s="47" t="s">
        <v>216</v>
      </c>
      <c r="C51" s="49" t="s">
        <v>225</v>
      </c>
      <c r="D51" s="30"/>
      <c r="E51" s="30"/>
      <c r="F51" s="30"/>
      <c r="G51" s="30"/>
      <c r="H51" s="30" t="s">
        <v>141</v>
      </c>
      <c r="I51" s="30" t="s">
        <v>22</v>
      </c>
      <c r="J51" s="30" t="s">
        <v>144</v>
      </c>
      <c r="K51" s="30" t="s">
        <v>117</v>
      </c>
      <c r="L51" s="30" t="s">
        <v>122</v>
      </c>
      <c r="M51" s="48"/>
      <c r="N51" s="30"/>
      <c r="O51" s="30"/>
      <c r="P51" s="30"/>
    </row>
    <row r="52" spans="1:16" ht="30" customHeight="1">
      <c r="A52" s="30" t="s">
        <v>226</v>
      </c>
      <c r="B52" s="47" t="s">
        <v>216</v>
      </c>
      <c r="C52" s="49" t="s">
        <v>227</v>
      </c>
      <c r="D52" s="30"/>
      <c r="E52" s="30"/>
      <c r="F52" s="30"/>
      <c r="G52" s="30"/>
      <c r="H52" s="30" t="s">
        <v>141</v>
      </c>
      <c r="I52" s="30" t="s">
        <v>22</v>
      </c>
      <c r="J52" s="30" t="s">
        <v>144</v>
      </c>
      <c r="K52" s="30" t="s">
        <v>117</v>
      </c>
      <c r="L52" s="30" t="s">
        <v>122</v>
      </c>
      <c r="M52" s="48"/>
      <c r="N52" s="30"/>
      <c r="O52" s="30"/>
      <c r="P52" s="30"/>
    </row>
    <row r="53" spans="1:16" ht="60" customHeight="1">
      <c r="A53" s="30" t="s">
        <v>228</v>
      </c>
      <c r="B53" s="47" t="s">
        <v>216</v>
      </c>
      <c r="C53" s="48" t="s">
        <v>229</v>
      </c>
      <c r="D53" s="30"/>
      <c r="E53" s="30"/>
      <c r="F53" s="30"/>
      <c r="G53" s="30" t="s">
        <v>4032</v>
      </c>
      <c r="H53" s="30" t="s">
        <v>141</v>
      </c>
      <c r="I53" s="30" t="s">
        <v>22</v>
      </c>
      <c r="J53" s="30" t="s">
        <v>142</v>
      </c>
      <c r="K53" s="30" t="s">
        <v>116</v>
      </c>
      <c r="L53" s="30" t="s">
        <v>146</v>
      </c>
      <c r="M53" s="48"/>
      <c r="N53" s="30"/>
      <c r="O53" s="30"/>
      <c r="P53" s="30"/>
    </row>
    <row r="54" spans="1:16" ht="30" customHeight="1">
      <c r="A54" s="30" t="s">
        <v>230</v>
      </c>
      <c r="B54" s="47" t="s">
        <v>216</v>
      </c>
      <c r="C54" s="48" t="s">
        <v>231</v>
      </c>
      <c r="D54" s="30"/>
      <c r="E54" s="30"/>
      <c r="F54" s="30"/>
      <c r="G54" s="30" t="s">
        <v>4032</v>
      </c>
      <c r="H54" s="30" t="s">
        <v>141</v>
      </c>
      <c r="I54" s="30" t="s">
        <v>22</v>
      </c>
      <c r="J54" s="30" t="s">
        <v>145</v>
      </c>
      <c r="K54" s="30" t="s">
        <v>116</v>
      </c>
      <c r="L54" s="30" t="s">
        <v>146</v>
      </c>
      <c r="M54" s="48"/>
      <c r="N54" s="30"/>
      <c r="O54" s="30"/>
      <c r="P54" s="30"/>
    </row>
    <row r="55" spans="1:16" ht="30" customHeight="1">
      <c r="A55" s="30" t="s">
        <v>232</v>
      </c>
      <c r="B55" s="47" t="s">
        <v>216</v>
      </c>
      <c r="C55" s="48" t="s">
        <v>233</v>
      </c>
      <c r="D55" s="30"/>
      <c r="E55" s="30"/>
      <c r="F55" s="30" t="s">
        <v>234</v>
      </c>
      <c r="G55" s="30" t="s">
        <v>4032</v>
      </c>
      <c r="H55" s="30" t="s">
        <v>149</v>
      </c>
      <c r="I55" s="30" t="s">
        <v>22</v>
      </c>
      <c r="J55" s="30" t="s">
        <v>145</v>
      </c>
      <c r="K55" s="30" t="s">
        <v>116</v>
      </c>
      <c r="L55" s="30" t="s">
        <v>146</v>
      </c>
      <c r="M55" s="48"/>
      <c r="N55" s="30"/>
      <c r="O55" s="30"/>
      <c r="P55" s="30"/>
    </row>
    <row r="56" spans="1:16" ht="30" customHeight="1">
      <c r="A56" s="30" t="s">
        <v>235</v>
      </c>
      <c r="B56" s="47" t="s">
        <v>216</v>
      </c>
      <c r="C56" s="48" t="s">
        <v>236</v>
      </c>
      <c r="D56" s="30"/>
      <c r="E56" s="30"/>
      <c r="F56" s="30"/>
      <c r="G56" s="30"/>
      <c r="H56" s="30" t="s">
        <v>141</v>
      </c>
      <c r="I56" s="30" t="s">
        <v>22</v>
      </c>
      <c r="J56" s="30" t="s">
        <v>142</v>
      </c>
      <c r="K56" s="30" t="s">
        <v>116</v>
      </c>
      <c r="L56" s="30" t="s">
        <v>121</v>
      </c>
      <c r="M56" s="48" t="s">
        <v>237</v>
      </c>
      <c r="N56" s="30"/>
      <c r="O56" s="30"/>
      <c r="P56" s="30"/>
    </row>
    <row r="57" spans="1:16" ht="45" customHeight="1">
      <c r="A57" s="30" t="s">
        <v>238</v>
      </c>
      <c r="B57" s="47" t="s">
        <v>216</v>
      </c>
      <c r="C57" s="48" t="s">
        <v>239</v>
      </c>
      <c r="D57" s="30"/>
      <c r="E57" s="30"/>
      <c r="F57" s="30" t="s">
        <v>4031</v>
      </c>
      <c r="G57" s="30" t="s">
        <v>138</v>
      </c>
      <c r="H57" s="30" t="s">
        <v>141</v>
      </c>
      <c r="I57" s="30" t="s">
        <v>22</v>
      </c>
      <c r="J57" s="30" t="s">
        <v>142</v>
      </c>
      <c r="K57" s="30" t="s">
        <v>116</v>
      </c>
      <c r="L57" s="30" t="s">
        <v>143</v>
      </c>
      <c r="M57" s="48"/>
      <c r="N57" s="30"/>
      <c r="O57" s="30"/>
      <c r="P57" s="30"/>
    </row>
    <row r="58" spans="1:16" ht="45" customHeight="1">
      <c r="A58" s="30" t="s">
        <v>240</v>
      </c>
      <c r="B58" s="47" t="s">
        <v>216</v>
      </c>
      <c r="C58" s="48" t="s">
        <v>241</v>
      </c>
      <c r="D58" s="30"/>
      <c r="E58" s="30"/>
      <c r="F58" s="30"/>
      <c r="G58" s="30" t="s">
        <v>4032</v>
      </c>
      <c r="H58" s="30" t="s">
        <v>141</v>
      </c>
      <c r="I58" s="30" t="s">
        <v>22</v>
      </c>
      <c r="J58" s="30" t="s">
        <v>145</v>
      </c>
      <c r="K58" s="30" t="s">
        <v>116</v>
      </c>
      <c r="L58" s="30" t="s">
        <v>146</v>
      </c>
      <c r="M58" s="48"/>
      <c r="N58" s="30"/>
      <c r="O58" s="30"/>
      <c r="P58" s="30"/>
    </row>
    <row r="59" spans="1:16" ht="45" customHeight="1">
      <c r="A59" s="30" t="s">
        <v>242</v>
      </c>
      <c r="B59" s="47" t="s">
        <v>216</v>
      </c>
      <c r="C59" s="48" t="s">
        <v>243</v>
      </c>
      <c r="D59" s="30"/>
      <c r="E59" s="30"/>
      <c r="F59" s="30" t="s">
        <v>244</v>
      </c>
      <c r="G59" s="30" t="s">
        <v>4032</v>
      </c>
      <c r="H59" s="30" t="s">
        <v>149</v>
      </c>
      <c r="I59" s="30" t="s">
        <v>22</v>
      </c>
      <c r="J59" s="30" t="s">
        <v>145</v>
      </c>
      <c r="K59" s="30" t="s">
        <v>116</v>
      </c>
      <c r="L59" s="30" t="s">
        <v>146</v>
      </c>
      <c r="M59" s="48"/>
      <c r="N59" s="30"/>
      <c r="O59" s="30"/>
      <c r="P59" s="30"/>
    </row>
    <row r="60" spans="1:16" ht="30" customHeight="1">
      <c r="A60" s="30" t="s">
        <v>245</v>
      </c>
      <c r="B60" s="47" t="s">
        <v>216</v>
      </c>
      <c r="C60" s="48" t="s">
        <v>246</v>
      </c>
      <c r="D60" s="30"/>
      <c r="E60" s="30"/>
      <c r="F60" s="30"/>
      <c r="G60" s="30"/>
      <c r="H60" s="30" t="s">
        <v>141</v>
      </c>
      <c r="I60" s="30" t="s">
        <v>22</v>
      </c>
      <c r="J60" s="30" t="s">
        <v>142</v>
      </c>
      <c r="K60" s="30" t="s">
        <v>116</v>
      </c>
      <c r="L60" s="30" t="s">
        <v>121</v>
      </c>
      <c r="M60" s="48" t="s">
        <v>237</v>
      </c>
      <c r="N60" s="30"/>
      <c r="O60" s="30"/>
      <c r="P60" s="30"/>
    </row>
    <row r="61" spans="1:16" ht="45" customHeight="1">
      <c r="A61" s="30" t="s">
        <v>247</v>
      </c>
      <c r="B61" s="47" t="s">
        <v>216</v>
      </c>
      <c r="C61" s="48" t="s">
        <v>248</v>
      </c>
      <c r="D61" s="30"/>
      <c r="E61" s="30"/>
      <c r="F61" s="30" t="s">
        <v>249</v>
      </c>
      <c r="G61" s="30" t="s">
        <v>138</v>
      </c>
      <c r="H61" s="30" t="s">
        <v>141</v>
      </c>
      <c r="I61" s="30" t="s">
        <v>22</v>
      </c>
      <c r="J61" s="30" t="s">
        <v>142</v>
      </c>
      <c r="K61" s="30" t="s">
        <v>116</v>
      </c>
      <c r="L61" s="30" t="s">
        <v>143</v>
      </c>
      <c r="M61" s="48"/>
      <c r="N61" s="30"/>
      <c r="O61" s="30"/>
      <c r="P61" s="30"/>
    </row>
    <row r="62" spans="1:16" ht="45" customHeight="1">
      <c r="A62" s="30" t="s">
        <v>250</v>
      </c>
      <c r="B62" s="47" t="s">
        <v>216</v>
      </c>
      <c r="C62" s="48" t="s">
        <v>251</v>
      </c>
      <c r="D62" s="30"/>
      <c r="E62" s="30"/>
      <c r="F62" s="30"/>
      <c r="G62" s="30" t="s">
        <v>4032</v>
      </c>
      <c r="H62" s="30" t="s">
        <v>141</v>
      </c>
      <c r="I62" s="30" t="s">
        <v>30</v>
      </c>
      <c r="J62" s="30" t="s">
        <v>145</v>
      </c>
      <c r="K62" s="30" t="s">
        <v>116</v>
      </c>
      <c r="L62" s="30" t="s">
        <v>143</v>
      </c>
      <c r="M62" s="48"/>
      <c r="N62" s="30"/>
      <c r="O62" s="30"/>
      <c r="P62" s="30"/>
    </row>
    <row r="63" spans="1:16" ht="45" customHeight="1">
      <c r="A63" s="30" t="s">
        <v>252</v>
      </c>
      <c r="B63" s="47" t="s">
        <v>216</v>
      </c>
      <c r="C63" s="48" t="s">
        <v>253</v>
      </c>
      <c r="D63" s="30"/>
      <c r="E63" s="30"/>
      <c r="F63" s="30" t="s">
        <v>254</v>
      </c>
      <c r="G63" s="30" t="s">
        <v>4032</v>
      </c>
      <c r="H63" s="30" t="s">
        <v>149</v>
      </c>
      <c r="I63" s="30" t="s">
        <v>30</v>
      </c>
      <c r="J63" s="30" t="s">
        <v>145</v>
      </c>
      <c r="K63" s="30" t="s">
        <v>116</v>
      </c>
      <c r="L63" s="30" t="s">
        <v>143</v>
      </c>
      <c r="M63" s="48"/>
      <c r="N63" s="30"/>
      <c r="O63" s="30"/>
      <c r="P63" s="30"/>
    </row>
    <row r="64" spans="1:16" ht="45" customHeight="1">
      <c r="A64" s="30" t="s">
        <v>255</v>
      </c>
      <c r="B64" s="47" t="s">
        <v>216</v>
      </c>
      <c r="C64" s="48" t="s">
        <v>256</v>
      </c>
      <c r="D64" s="30"/>
      <c r="E64" s="30"/>
      <c r="F64" s="30"/>
      <c r="G64" s="30"/>
      <c r="H64" s="30" t="s">
        <v>141</v>
      </c>
      <c r="I64" s="30" t="s">
        <v>22</v>
      </c>
      <c r="J64" s="30" t="s">
        <v>144</v>
      </c>
      <c r="K64" s="30" t="s">
        <v>117</v>
      </c>
      <c r="L64" s="30" t="s">
        <v>122</v>
      </c>
      <c r="M64" s="48"/>
      <c r="N64" s="30"/>
      <c r="O64" s="30"/>
      <c r="P64" s="30"/>
    </row>
    <row r="65" spans="1:16" ht="75" customHeight="1">
      <c r="A65" s="30" t="s">
        <v>257</v>
      </c>
      <c r="B65" s="47" t="s">
        <v>258</v>
      </c>
      <c r="C65" s="48" t="s">
        <v>259</v>
      </c>
      <c r="D65" s="30"/>
      <c r="E65" s="30"/>
      <c r="F65" s="30"/>
      <c r="G65" s="30"/>
      <c r="H65" s="30" t="s">
        <v>141</v>
      </c>
      <c r="I65" s="30" t="s">
        <v>31</v>
      </c>
      <c r="J65" s="30" t="s">
        <v>144</v>
      </c>
      <c r="K65" s="53" t="s">
        <v>117</v>
      </c>
      <c r="L65" s="30" t="s">
        <v>122</v>
      </c>
      <c r="M65" s="48"/>
      <c r="N65" s="30"/>
      <c r="O65" s="30"/>
      <c r="P65" s="30"/>
    </row>
    <row r="66" spans="1:16" ht="45" customHeight="1">
      <c r="A66" s="30" t="s">
        <v>260</v>
      </c>
      <c r="B66" s="47" t="s">
        <v>258</v>
      </c>
      <c r="C66" s="49" t="s">
        <v>261</v>
      </c>
      <c r="D66" s="30"/>
      <c r="E66" s="30"/>
      <c r="F66" s="30"/>
      <c r="G66" s="30"/>
      <c r="H66" s="30" t="s">
        <v>141</v>
      </c>
      <c r="I66" s="30" t="s">
        <v>31</v>
      </c>
      <c r="J66" s="30" t="s">
        <v>144</v>
      </c>
      <c r="K66" s="30" t="s">
        <v>117</v>
      </c>
      <c r="L66" s="30" t="s">
        <v>122</v>
      </c>
      <c r="M66" s="48"/>
      <c r="N66" s="30"/>
      <c r="O66" s="30"/>
      <c r="P66" s="30"/>
    </row>
    <row r="67" spans="1:16" ht="60" customHeight="1">
      <c r="A67" s="30" t="s">
        <v>262</v>
      </c>
      <c r="B67" s="47" t="s">
        <v>258</v>
      </c>
      <c r="C67" s="49" t="s">
        <v>263</v>
      </c>
      <c r="D67" s="30"/>
      <c r="E67" s="30"/>
      <c r="F67" s="30"/>
      <c r="G67" s="30"/>
      <c r="H67" s="30" t="s">
        <v>141</v>
      </c>
      <c r="I67" s="30" t="s">
        <v>31</v>
      </c>
      <c r="J67" s="30" t="s">
        <v>144</v>
      </c>
      <c r="K67" s="30" t="s">
        <v>117</v>
      </c>
      <c r="L67" s="30" t="s">
        <v>122</v>
      </c>
      <c r="M67" s="48"/>
      <c r="N67" s="30"/>
      <c r="O67" s="30"/>
      <c r="P67" s="30"/>
    </row>
    <row r="68" spans="1:16" ht="45" customHeight="1">
      <c r="A68" s="30" t="s">
        <v>264</v>
      </c>
      <c r="B68" s="47" t="s">
        <v>258</v>
      </c>
      <c r="C68" s="49" t="s">
        <v>265</v>
      </c>
      <c r="D68" s="30"/>
      <c r="E68" s="30"/>
      <c r="F68" s="30"/>
      <c r="G68" s="30"/>
      <c r="H68" s="30" t="s">
        <v>141</v>
      </c>
      <c r="I68" s="30" t="s">
        <v>31</v>
      </c>
      <c r="J68" s="30" t="s">
        <v>144</v>
      </c>
      <c r="K68" s="30" t="s">
        <v>117</v>
      </c>
      <c r="L68" s="30" t="s">
        <v>122</v>
      </c>
      <c r="M68" s="48"/>
      <c r="N68" s="30"/>
      <c r="O68" s="30"/>
      <c r="P68" s="30"/>
    </row>
    <row r="69" spans="1:16" ht="30" customHeight="1">
      <c r="A69" s="30" t="s">
        <v>266</v>
      </c>
      <c r="B69" s="47" t="s">
        <v>258</v>
      </c>
      <c r="C69" s="49" t="s">
        <v>267</v>
      </c>
      <c r="D69" s="30"/>
      <c r="E69" s="30"/>
      <c r="F69" s="30"/>
      <c r="G69" s="30"/>
      <c r="H69" s="30" t="s">
        <v>141</v>
      </c>
      <c r="I69" s="30" t="s">
        <v>31</v>
      </c>
      <c r="J69" s="30" t="s">
        <v>142</v>
      </c>
      <c r="K69" s="30" t="s">
        <v>116</v>
      </c>
      <c r="L69" s="30" t="s">
        <v>122</v>
      </c>
      <c r="M69" s="48" t="s">
        <v>184</v>
      </c>
      <c r="N69" s="30"/>
      <c r="O69" s="30"/>
      <c r="P69" s="30"/>
    </row>
    <row r="70" spans="1:16" ht="45" customHeight="1">
      <c r="A70" s="30" t="s">
        <v>268</v>
      </c>
      <c r="B70" s="47" t="s">
        <v>258</v>
      </c>
      <c r="C70" s="49" t="s">
        <v>269</v>
      </c>
      <c r="D70" s="30"/>
      <c r="E70" s="30"/>
      <c r="F70" s="30"/>
      <c r="G70" s="30"/>
      <c r="H70" s="30" t="s">
        <v>141</v>
      </c>
      <c r="I70" s="30" t="s">
        <v>31</v>
      </c>
      <c r="J70" s="30" t="s">
        <v>144</v>
      </c>
      <c r="K70" s="30" t="s">
        <v>117</v>
      </c>
      <c r="L70" s="30" t="s">
        <v>122</v>
      </c>
      <c r="M70" s="48"/>
      <c r="N70" s="30"/>
      <c r="O70" s="30"/>
      <c r="P70" s="30"/>
    </row>
    <row r="71" spans="1:16" ht="45" customHeight="1">
      <c r="A71" s="30" t="s">
        <v>270</v>
      </c>
      <c r="B71" s="47" t="s">
        <v>258</v>
      </c>
      <c r="C71" s="49" t="s">
        <v>271</v>
      </c>
      <c r="D71" s="30"/>
      <c r="E71" s="30"/>
      <c r="F71" s="30"/>
      <c r="G71" s="30"/>
      <c r="H71" s="30" t="s">
        <v>141</v>
      </c>
      <c r="I71" s="30" t="s">
        <v>31</v>
      </c>
      <c r="J71" s="30" t="s">
        <v>144</v>
      </c>
      <c r="K71" s="30" t="s">
        <v>117</v>
      </c>
      <c r="L71" s="30" t="s">
        <v>3664</v>
      </c>
      <c r="M71" s="51" t="s">
        <v>3665</v>
      </c>
      <c r="N71" s="30"/>
      <c r="O71" s="30"/>
      <c r="P71" s="30"/>
    </row>
    <row r="72" spans="1:16" ht="45" customHeight="1">
      <c r="A72" s="30" t="s">
        <v>272</v>
      </c>
      <c r="B72" s="47" t="s">
        <v>258</v>
      </c>
      <c r="C72" s="49" t="s">
        <v>273</v>
      </c>
      <c r="D72" s="30"/>
      <c r="E72" s="30"/>
      <c r="F72" s="30"/>
      <c r="G72" s="30"/>
      <c r="H72" s="30" t="s">
        <v>141</v>
      </c>
      <c r="I72" s="30" t="s">
        <v>31</v>
      </c>
      <c r="J72" s="30" t="s">
        <v>144</v>
      </c>
      <c r="K72" s="30" t="s">
        <v>117</v>
      </c>
      <c r="L72" s="30" t="s">
        <v>122</v>
      </c>
      <c r="M72" s="48"/>
      <c r="N72" s="30"/>
      <c r="O72" s="30"/>
      <c r="P72" s="30"/>
    </row>
    <row r="73" spans="1:16" ht="90" customHeight="1">
      <c r="A73" s="30" t="s">
        <v>274</v>
      </c>
      <c r="B73" s="47" t="s">
        <v>258</v>
      </c>
      <c r="C73" s="49" t="s">
        <v>275</v>
      </c>
      <c r="D73" s="30"/>
      <c r="E73" s="30"/>
      <c r="F73" s="30"/>
      <c r="G73" s="30"/>
      <c r="H73" s="30" t="s">
        <v>141</v>
      </c>
      <c r="I73" s="30" t="s">
        <v>31</v>
      </c>
      <c r="J73" s="30" t="s">
        <v>144</v>
      </c>
      <c r="K73" s="30" t="s">
        <v>117</v>
      </c>
      <c r="L73" s="30" t="s">
        <v>122</v>
      </c>
      <c r="M73" s="48"/>
      <c r="N73" s="30"/>
      <c r="O73" s="30"/>
      <c r="P73" s="30"/>
    </row>
    <row r="74" spans="1:16" ht="60" customHeight="1">
      <c r="A74" s="30" t="s">
        <v>276</v>
      </c>
      <c r="B74" s="47" t="s">
        <v>258</v>
      </c>
      <c r="C74" s="49" t="s">
        <v>277</v>
      </c>
      <c r="D74" s="30"/>
      <c r="E74" s="30"/>
      <c r="F74" s="30"/>
      <c r="G74" s="30"/>
      <c r="H74" s="30" t="s">
        <v>141</v>
      </c>
      <c r="I74" s="30" t="s">
        <v>31</v>
      </c>
      <c r="J74" s="30" t="s">
        <v>144</v>
      </c>
      <c r="K74" s="30" t="s">
        <v>117</v>
      </c>
      <c r="L74" s="30" t="s">
        <v>122</v>
      </c>
      <c r="M74" s="48"/>
      <c r="N74" s="30"/>
      <c r="O74" s="30"/>
      <c r="P74" s="30"/>
    </row>
    <row r="75" spans="1:16" ht="135" customHeight="1">
      <c r="A75" s="30" t="s">
        <v>278</v>
      </c>
      <c r="B75" s="47" t="s">
        <v>279</v>
      </c>
      <c r="C75" s="49" t="s">
        <v>280</v>
      </c>
      <c r="D75" s="30"/>
      <c r="E75" s="30"/>
      <c r="F75" s="30"/>
      <c r="G75" s="30"/>
      <c r="H75" s="30" t="s">
        <v>141</v>
      </c>
      <c r="I75" s="30" t="s">
        <v>30</v>
      </c>
      <c r="J75" s="30" t="s">
        <v>144</v>
      </c>
      <c r="K75" s="30" t="s">
        <v>117</v>
      </c>
      <c r="L75" s="30" t="s">
        <v>122</v>
      </c>
      <c r="M75" s="48"/>
      <c r="N75" s="30"/>
      <c r="O75" s="30"/>
      <c r="P75" s="30"/>
    </row>
    <row r="76" spans="1:16" ht="255" customHeight="1">
      <c r="A76" s="30" t="s">
        <v>281</v>
      </c>
      <c r="B76" s="47" t="s">
        <v>279</v>
      </c>
      <c r="C76" s="49" t="s">
        <v>282</v>
      </c>
      <c r="D76" s="30"/>
      <c r="E76" s="30"/>
      <c r="F76" s="30"/>
      <c r="G76" s="30"/>
      <c r="H76" s="30" t="s">
        <v>141</v>
      </c>
      <c r="I76" s="30" t="s">
        <v>22</v>
      </c>
      <c r="J76" s="30" t="s">
        <v>144</v>
      </c>
      <c r="K76" s="30" t="s">
        <v>117</v>
      </c>
      <c r="L76" s="30" t="s">
        <v>122</v>
      </c>
      <c r="M76" s="48"/>
      <c r="N76" s="30"/>
      <c r="O76" s="30"/>
      <c r="P76" s="30"/>
    </row>
    <row r="77" spans="1:16" ht="255" customHeight="1">
      <c r="A77" s="30" t="s">
        <v>283</v>
      </c>
      <c r="B77" s="47" t="s">
        <v>279</v>
      </c>
      <c r="C77" s="48" t="s">
        <v>284</v>
      </c>
      <c r="D77" s="30"/>
      <c r="E77" s="30"/>
      <c r="F77" s="30"/>
      <c r="G77" s="30"/>
      <c r="H77" s="30" t="s">
        <v>141</v>
      </c>
      <c r="I77" s="30" t="s">
        <v>22</v>
      </c>
      <c r="J77" s="30" t="s">
        <v>144</v>
      </c>
      <c r="K77" s="30" t="s">
        <v>117</v>
      </c>
      <c r="L77" s="30" t="s">
        <v>122</v>
      </c>
      <c r="M77" s="48"/>
      <c r="N77" s="30"/>
      <c r="O77" s="30"/>
      <c r="P77" s="30"/>
    </row>
    <row r="78" spans="1:16" ht="75" customHeight="1">
      <c r="A78" s="30" t="s">
        <v>285</v>
      </c>
      <c r="B78" s="47" t="s">
        <v>279</v>
      </c>
      <c r="C78" s="49" t="s">
        <v>286</v>
      </c>
      <c r="D78" s="30"/>
      <c r="E78" s="30"/>
      <c r="F78" s="30"/>
      <c r="G78" s="30"/>
      <c r="H78" s="30" t="s">
        <v>141</v>
      </c>
      <c r="I78" s="30" t="s">
        <v>22</v>
      </c>
      <c r="J78" s="30" t="s">
        <v>144</v>
      </c>
      <c r="K78" s="30" t="s">
        <v>117</v>
      </c>
      <c r="L78" s="30" t="s">
        <v>122</v>
      </c>
      <c r="M78" s="48"/>
      <c r="N78" s="30"/>
      <c r="O78" s="30"/>
      <c r="P78" s="30"/>
    </row>
    <row r="79" spans="1:16" ht="90" customHeight="1">
      <c r="A79" s="30" t="s">
        <v>287</v>
      </c>
      <c r="B79" s="47" t="s">
        <v>279</v>
      </c>
      <c r="C79" s="49" t="s">
        <v>288</v>
      </c>
      <c r="D79" s="30"/>
      <c r="E79" s="30"/>
      <c r="F79" s="30"/>
      <c r="G79" s="30"/>
      <c r="H79" s="30" t="s">
        <v>141</v>
      </c>
      <c r="I79" s="30" t="s">
        <v>22</v>
      </c>
      <c r="J79" s="30" t="s">
        <v>144</v>
      </c>
      <c r="K79" s="30" t="s">
        <v>117</v>
      </c>
      <c r="L79" s="30" t="s">
        <v>122</v>
      </c>
      <c r="M79" s="48"/>
      <c r="N79" s="30"/>
      <c r="O79" s="30"/>
      <c r="P79" s="30"/>
    </row>
    <row r="80" spans="1:16" ht="75" customHeight="1">
      <c r="A80" s="30" t="s">
        <v>289</v>
      </c>
      <c r="B80" s="47" t="s">
        <v>279</v>
      </c>
      <c r="C80" s="49" t="s">
        <v>290</v>
      </c>
      <c r="D80" s="30"/>
      <c r="E80" s="30"/>
      <c r="F80" s="30"/>
      <c r="G80" s="30"/>
      <c r="H80" s="30" t="s">
        <v>141</v>
      </c>
      <c r="I80" s="30" t="s">
        <v>22</v>
      </c>
      <c r="J80" s="30" t="s">
        <v>144</v>
      </c>
      <c r="K80" s="30" t="s">
        <v>117</v>
      </c>
      <c r="L80" s="30" t="s">
        <v>122</v>
      </c>
      <c r="M80" s="48"/>
      <c r="N80" s="30"/>
      <c r="O80" s="30"/>
      <c r="P80" s="30"/>
    </row>
    <row r="81" spans="1:16" ht="60" customHeight="1">
      <c r="A81" s="30" t="s">
        <v>291</v>
      </c>
      <c r="B81" s="47" t="s">
        <v>279</v>
      </c>
      <c r="C81" s="49" t="s">
        <v>292</v>
      </c>
      <c r="D81" s="30"/>
      <c r="E81" s="30"/>
      <c r="F81" s="30"/>
      <c r="G81" s="30"/>
      <c r="H81" s="30" t="s">
        <v>141</v>
      </c>
      <c r="I81" s="30" t="s">
        <v>22</v>
      </c>
      <c r="J81" s="30" t="s">
        <v>144</v>
      </c>
      <c r="K81" s="30" t="s">
        <v>117</v>
      </c>
      <c r="L81" s="30" t="s">
        <v>122</v>
      </c>
      <c r="M81" s="48"/>
      <c r="N81" s="30"/>
      <c r="O81" s="30"/>
      <c r="P81" s="30"/>
    </row>
    <row r="82" spans="1:16" ht="75" customHeight="1">
      <c r="A82" s="30" t="s">
        <v>293</v>
      </c>
      <c r="B82" s="47" t="s">
        <v>279</v>
      </c>
      <c r="C82" s="49" t="s">
        <v>294</v>
      </c>
      <c r="D82" s="30"/>
      <c r="E82" s="30"/>
      <c r="F82" s="30"/>
      <c r="G82" s="30"/>
      <c r="H82" s="30" t="s">
        <v>141</v>
      </c>
      <c r="I82" s="30" t="s">
        <v>22</v>
      </c>
      <c r="J82" s="30" t="s">
        <v>144</v>
      </c>
      <c r="K82" s="30" t="s">
        <v>117</v>
      </c>
      <c r="L82" s="30" t="s">
        <v>122</v>
      </c>
      <c r="M82" s="48"/>
      <c r="N82" s="30"/>
      <c r="O82" s="30"/>
      <c r="P82" s="30"/>
    </row>
    <row r="83" spans="1:16" ht="90" customHeight="1">
      <c r="A83" s="30" t="s">
        <v>295</v>
      </c>
      <c r="B83" s="47" t="s">
        <v>279</v>
      </c>
      <c r="C83" s="49" t="s">
        <v>296</v>
      </c>
      <c r="D83" s="30"/>
      <c r="E83" s="30"/>
      <c r="F83" s="30"/>
      <c r="G83" s="30"/>
      <c r="H83" s="30" t="s">
        <v>141</v>
      </c>
      <c r="I83" s="30" t="s">
        <v>22</v>
      </c>
      <c r="J83" s="30" t="s">
        <v>144</v>
      </c>
      <c r="K83" s="30" t="s">
        <v>117</v>
      </c>
      <c r="L83" s="30" t="s">
        <v>122</v>
      </c>
      <c r="M83" s="48"/>
      <c r="N83" s="30"/>
      <c r="O83" s="30"/>
      <c r="P83" s="30"/>
    </row>
    <row r="84" spans="1:16" ht="75" customHeight="1">
      <c r="A84" s="30" t="s">
        <v>297</v>
      </c>
      <c r="B84" s="47" t="s">
        <v>279</v>
      </c>
      <c r="C84" s="49" t="s">
        <v>298</v>
      </c>
      <c r="D84" s="30"/>
      <c r="E84" s="30"/>
      <c r="F84" s="30"/>
      <c r="G84" s="30"/>
      <c r="H84" s="30" t="s">
        <v>141</v>
      </c>
      <c r="I84" s="30" t="s">
        <v>22</v>
      </c>
      <c r="J84" s="30" t="s">
        <v>144</v>
      </c>
      <c r="K84" s="30" t="s">
        <v>117</v>
      </c>
      <c r="L84" s="30" t="s">
        <v>122</v>
      </c>
      <c r="M84" s="48"/>
      <c r="N84" s="30"/>
      <c r="O84" s="30"/>
      <c r="P84" s="30"/>
    </row>
    <row r="85" spans="1:16" ht="75" customHeight="1">
      <c r="A85" s="30" t="s">
        <v>299</v>
      </c>
      <c r="B85" s="47" t="s">
        <v>279</v>
      </c>
      <c r="C85" s="49" t="s">
        <v>300</v>
      </c>
      <c r="D85" s="30"/>
      <c r="E85" s="30"/>
      <c r="F85" s="30"/>
      <c r="G85" s="30"/>
      <c r="H85" s="30" t="s">
        <v>141</v>
      </c>
      <c r="I85" s="30" t="s">
        <v>22</v>
      </c>
      <c r="J85" s="30" t="s">
        <v>144</v>
      </c>
      <c r="K85" s="30" t="s">
        <v>117</v>
      </c>
      <c r="L85" s="30" t="s">
        <v>122</v>
      </c>
      <c r="M85" s="48"/>
      <c r="N85" s="30"/>
      <c r="O85" s="30"/>
      <c r="P85" s="30"/>
    </row>
    <row r="86" spans="1:16" ht="75" customHeight="1">
      <c r="A86" s="30" t="s">
        <v>301</v>
      </c>
      <c r="B86" s="47" t="s">
        <v>279</v>
      </c>
      <c r="C86" s="48" t="s">
        <v>302</v>
      </c>
      <c r="D86" s="30"/>
      <c r="E86" s="30"/>
      <c r="F86" s="30"/>
      <c r="G86" s="30"/>
      <c r="H86" s="30" t="s">
        <v>141</v>
      </c>
      <c r="I86" s="30" t="s">
        <v>22</v>
      </c>
      <c r="J86" s="30" t="s">
        <v>144</v>
      </c>
      <c r="K86" s="30" t="s">
        <v>117</v>
      </c>
      <c r="L86" s="30" t="s">
        <v>122</v>
      </c>
      <c r="M86" s="48"/>
      <c r="N86" s="30"/>
      <c r="O86" s="30"/>
      <c r="P86" s="30"/>
    </row>
    <row r="87" spans="1:16" ht="75" customHeight="1">
      <c r="A87" s="30" t="s">
        <v>303</v>
      </c>
      <c r="B87" s="47" t="s">
        <v>279</v>
      </c>
      <c r="C87" s="48" t="s">
        <v>4705</v>
      </c>
      <c r="D87" s="30"/>
      <c r="E87" s="30"/>
      <c r="F87" s="30"/>
      <c r="G87" s="30"/>
      <c r="H87" s="30" t="s">
        <v>141</v>
      </c>
      <c r="I87" s="30" t="s">
        <v>22</v>
      </c>
      <c r="J87" s="30" t="s">
        <v>144</v>
      </c>
      <c r="K87" s="30" t="s">
        <v>117</v>
      </c>
      <c r="L87" s="30" t="s">
        <v>122</v>
      </c>
      <c r="M87" s="48"/>
      <c r="N87" s="30"/>
      <c r="O87" s="30"/>
      <c r="P87" s="30"/>
    </row>
    <row r="88" spans="1:16" ht="75" customHeight="1">
      <c r="A88" s="30" t="s">
        <v>304</v>
      </c>
      <c r="B88" s="47" t="s">
        <v>279</v>
      </c>
      <c r="C88" s="48" t="s">
        <v>3666</v>
      </c>
      <c r="D88" s="30"/>
      <c r="E88" s="30"/>
      <c r="F88" s="30"/>
      <c r="G88" s="30"/>
      <c r="H88" s="30" t="s">
        <v>141</v>
      </c>
      <c r="I88" s="30" t="s">
        <v>22</v>
      </c>
      <c r="J88" s="30" t="s">
        <v>144</v>
      </c>
      <c r="K88" s="30" t="s">
        <v>117</v>
      </c>
      <c r="L88" s="30" t="s">
        <v>122</v>
      </c>
      <c r="M88" s="48"/>
      <c r="N88" s="30"/>
      <c r="O88" s="30"/>
      <c r="P88" s="30"/>
    </row>
    <row r="89" spans="1:16" ht="75" customHeight="1">
      <c r="A89" s="30" t="s">
        <v>305</v>
      </c>
      <c r="B89" s="47" t="s">
        <v>279</v>
      </c>
      <c r="C89" s="48" t="s">
        <v>306</v>
      </c>
      <c r="D89" s="30"/>
      <c r="E89" s="30"/>
      <c r="F89" s="30"/>
      <c r="G89" s="30" t="s">
        <v>4033</v>
      </c>
      <c r="H89" s="30" t="s">
        <v>141</v>
      </c>
      <c r="I89" s="30" t="s">
        <v>22</v>
      </c>
      <c r="J89" s="30" t="s">
        <v>145</v>
      </c>
      <c r="K89" s="30" t="s">
        <v>116</v>
      </c>
      <c r="L89" s="30" t="s">
        <v>146</v>
      </c>
      <c r="M89" s="48" t="s">
        <v>4120</v>
      </c>
      <c r="N89" s="30"/>
      <c r="O89" s="30"/>
      <c r="P89" s="30"/>
    </row>
    <row r="90" spans="1:16" ht="75" customHeight="1">
      <c r="A90" s="30" t="s">
        <v>307</v>
      </c>
      <c r="B90" s="47" t="s">
        <v>279</v>
      </c>
      <c r="C90" s="48" t="s">
        <v>308</v>
      </c>
      <c r="D90" s="30"/>
      <c r="E90" s="30"/>
      <c r="F90" s="30" t="s">
        <v>309</v>
      </c>
      <c r="G90" s="30" t="s">
        <v>4033</v>
      </c>
      <c r="H90" s="30" t="s">
        <v>149</v>
      </c>
      <c r="I90" s="30" t="s">
        <v>22</v>
      </c>
      <c r="J90" s="30" t="s">
        <v>145</v>
      </c>
      <c r="K90" s="30" t="s">
        <v>116</v>
      </c>
      <c r="L90" s="30" t="s">
        <v>146</v>
      </c>
      <c r="M90" s="48" t="s">
        <v>4120</v>
      </c>
      <c r="N90" s="30"/>
      <c r="O90" s="30"/>
      <c r="P90" s="30"/>
    </row>
    <row r="91" spans="1:16" ht="105" customHeight="1">
      <c r="A91" s="30" t="s">
        <v>310</v>
      </c>
      <c r="B91" s="47" t="s">
        <v>279</v>
      </c>
      <c r="C91" s="48" t="s">
        <v>311</v>
      </c>
      <c r="D91" s="30"/>
      <c r="E91" s="30"/>
      <c r="F91" s="30"/>
      <c r="G91" s="30"/>
      <c r="H91" s="30" t="s">
        <v>141</v>
      </c>
      <c r="I91" s="30" t="s">
        <v>22</v>
      </c>
      <c r="J91" s="30" t="s">
        <v>144</v>
      </c>
      <c r="K91" s="30" t="s">
        <v>117</v>
      </c>
      <c r="L91" s="30" t="s">
        <v>122</v>
      </c>
      <c r="M91" s="48"/>
      <c r="N91" s="30"/>
      <c r="O91" s="30"/>
      <c r="P91" s="30"/>
    </row>
    <row r="92" spans="1:16" ht="45" customHeight="1">
      <c r="A92" s="30" t="s">
        <v>312</v>
      </c>
      <c r="B92" s="47" t="s">
        <v>313</v>
      </c>
      <c r="C92" s="48" t="s">
        <v>4082</v>
      </c>
      <c r="D92" s="30"/>
      <c r="E92" s="30"/>
      <c r="F92" s="30"/>
      <c r="G92" s="30"/>
      <c r="H92" s="30" t="s">
        <v>141</v>
      </c>
      <c r="I92" s="30" t="s">
        <v>31</v>
      </c>
      <c r="J92" s="30" t="s">
        <v>145</v>
      </c>
      <c r="K92" s="30" t="s">
        <v>116</v>
      </c>
      <c r="L92" s="30" t="s">
        <v>122</v>
      </c>
      <c r="M92" s="48" t="s">
        <v>314</v>
      </c>
      <c r="N92" s="30"/>
      <c r="O92" s="30"/>
      <c r="P92" s="30"/>
    </row>
    <row r="93" spans="1:16" ht="45" customHeight="1">
      <c r="A93" s="30" t="s">
        <v>315</v>
      </c>
      <c r="B93" s="47" t="s">
        <v>279</v>
      </c>
      <c r="C93" s="48" t="s">
        <v>4081</v>
      </c>
      <c r="D93" s="30"/>
      <c r="E93" s="30"/>
      <c r="F93" s="30"/>
      <c r="G93" s="30"/>
      <c r="H93" s="30" t="s">
        <v>141</v>
      </c>
      <c r="I93" s="30" t="s">
        <v>30</v>
      </c>
      <c r="J93" s="30" t="s">
        <v>142</v>
      </c>
      <c r="K93" s="30" t="s">
        <v>116</v>
      </c>
      <c r="L93" s="30" t="s">
        <v>121</v>
      </c>
      <c r="M93" s="48" t="s">
        <v>316</v>
      </c>
      <c r="N93" s="30"/>
      <c r="O93" s="30"/>
      <c r="P93" s="30"/>
    </row>
    <row r="94" spans="1:16" ht="45" customHeight="1">
      <c r="A94" s="30" t="s">
        <v>317</v>
      </c>
      <c r="B94" s="47" t="s">
        <v>279</v>
      </c>
      <c r="C94" s="48" t="s">
        <v>4083</v>
      </c>
      <c r="D94" s="30"/>
      <c r="E94" s="30"/>
      <c r="F94" s="30" t="s">
        <v>318</v>
      </c>
      <c r="G94" s="30" t="s">
        <v>138</v>
      </c>
      <c r="H94" s="30" t="s">
        <v>141</v>
      </c>
      <c r="I94" s="30" t="s">
        <v>30</v>
      </c>
      <c r="J94" s="30" t="s">
        <v>142</v>
      </c>
      <c r="K94" s="30" t="s">
        <v>116</v>
      </c>
      <c r="L94" s="30" t="s">
        <v>143</v>
      </c>
      <c r="M94" s="48"/>
      <c r="N94" s="30"/>
      <c r="O94" s="30"/>
      <c r="P94" s="30"/>
    </row>
    <row r="95" spans="1:16" ht="45" customHeight="1">
      <c r="A95" s="30" t="s">
        <v>319</v>
      </c>
      <c r="B95" s="47" t="s">
        <v>320</v>
      </c>
      <c r="C95" s="48" t="s">
        <v>321</v>
      </c>
      <c r="D95" s="30"/>
      <c r="E95" s="30"/>
      <c r="F95" s="30"/>
      <c r="G95" s="30"/>
      <c r="H95" s="30" t="s">
        <v>141</v>
      </c>
      <c r="I95" s="30" t="s">
        <v>22</v>
      </c>
      <c r="J95" s="30" t="s">
        <v>144</v>
      </c>
      <c r="K95" s="30" t="s">
        <v>117</v>
      </c>
      <c r="L95" s="30" t="s">
        <v>122</v>
      </c>
      <c r="M95" s="48"/>
      <c r="N95" s="30"/>
      <c r="O95" s="30"/>
      <c r="P95" s="30"/>
    </row>
    <row r="96" spans="1:16" ht="45" customHeight="1">
      <c r="A96" s="30" t="s">
        <v>322</v>
      </c>
      <c r="B96" s="47" t="s">
        <v>320</v>
      </c>
      <c r="C96" s="49" t="s">
        <v>323</v>
      </c>
      <c r="D96" s="30"/>
      <c r="E96" s="30"/>
      <c r="F96" s="30"/>
      <c r="G96" s="30"/>
      <c r="H96" s="30" t="s">
        <v>141</v>
      </c>
      <c r="I96" s="30" t="s">
        <v>22</v>
      </c>
      <c r="J96" s="30" t="s">
        <v>144</v>
      </c>
      <c r="K96" s="30" t="s">
        <v>117</v>
      </c>
      <c r="L96" s="30" t="s">
        <v>122</v>
      </c>
      <c r="M96" s="48"/>
      <c r="N96" s="30"/>
      <c r="O96" s="30"/>
      <c r="P96" s="30"/>
    </row>
    <row r="97" spans="1:16" ht="30" customHeight="1">
      <c r="A97" s="30" t="s">
        <v>324</v>
      </c>
      <c r="B97" s="47" t="s">
        <v>320</v>
      </c>
      <c r="C97" s="49" t="s">
        <v>325</v>
      </c>
      <c r="D97" s="30"/>
      <c r="E97" s="30"/>
      <c r="F97" s="30"/>
      <c r="G97" s="30"/>
      <c r="H97" s="30" t="s">
        <v>141</v>
      </c>
      <c r="I97" s="30" t="s">
        <v>22</v>
      </c>
      <c r="J97" s="30" t="s">
        <v>144</v>
      </c>
      <c r="K97" s="30" t="s">
        <v>117</v>
      </c>
      <c r="L97" s="30" t="s">
        <v>122</v>
      </c>
      <c r="M97" s="48"/>
      <c r="N97" s="30"/>
      <c r="O97" s="30"/>
      <c r="P97" s="30"/>
    </row>
    <row r="98" spans="1:16" ht="30" customHeight="1">
      <c r="A98" s="30" t="s">
        <v>326</v>
      </c>
      <c r="B98" s="47" t="s">
        <v>320</v>
      </c>
      <c r="C98" s="49" t="s">
        <v>327</v>
      </c>
      <c r="D98" s="30"/>
      <c r="E98" s="30"/>
      <c r="F98" s="30"/>
      <c r="G98" s="30"/>
      <c r="H98" s="30" t="s">
        <v>141</v>
      </c>
      <c r="I98" s="30" t="s">
        <v>22</v>
      </c>
      <c r="J98" s="30" t="s">
        <v>144</v>
      </c>
      <c r="K98" s="30" t="s">
        <v>117</v>
      </c>
      <c r="L98" s="30" t="s">
        <v>122</v>
      </c>
      <c r="M98" s="48"/>
      <c r="N98" s="30"/>
      <c r="O98" s="30"/>
      <c r="P98" s="30"/>
    </row>
    <row r="99" spans="1:16" ht="30" customHeight="1">
      <c r="A99" s="30" t="s">
        <v>328</v>
      </c>
      <c r="B99" s="47" t="s">
        <v>320</v>
      </c>
      <c r="C99" s="48" t="s">
        <v>329</v>
      </c>
      <c r="D99" s="30"/>
      <c r="E99" s="30"/>
      <c r="F99" s="30"/>
      <c r="G99" s="30"/>
      <c r="H99" s="30" t="s">
        <v>141</v>
      </c>
      <c r="I99" s="30" t="s">
        <v>31</v>
      </c>
      <c r="J99" s="30" t="s">
        <v>145</v>
      </c>
      <c r="K99" s="30" t="s">
        <v>116</v>
      </c>
      <c r="L99" s="30" t="s">
        <v>122</v>
      </c>
      <c r="M99" s="48" t="s">
        <v>314</v>
      </c>
      <c r="N99" s="30"/>
      <c r="O99" s="30"/>
      <c r="P99" s="30"/>
    </row>
    <row r="100" spans="1:16" ht="30" customHeight="1">
      <c r="A100" s="30" t="s">
        <v>330</v>
      </c>
      <c r="B100" s="47" t="s">
        <v>320</v>
      </c>
      <c r="C100" s="48" t="s">
        <v>331</v>
      </c>
      <c r="D100" s="30"/>
      <c r="E100" s="30"/>
      <c r="F100" s="30"/>
      <c r="G100" s="30"/>
      <c r="H100" s="30" t="s">
        <v>141</v>
      </c>
      <c r="I100" s="30" t="s">
        <v>30</v>
      </c>
      <c r="J100" s="30" t="s">
        <v>142</v>
      </c>
      <c r="K100" s="30" t="s">
        <v>116</v>
      </c>
      <c r="L100" s="30" t="s">
        <v>121</v>
      </c>
      <c r="M100" s="48" t="s">
        <v>316</v>
      </c>
      <c r="N100" s="30"/>
      <c r="O100" s="30"/>
      <c r="P100" s="30"/>
    </row>
    <row r="101" spans="1:16" ht="45" customHeight="1">
      <c r="A101" s="30" t="s">
        <v>332</v>
      </c>
      <c r="B101" s="47" t="s">
        <v>320</v>
      </c>
      <c r="C101" s="48" t="s">
        <v>333</v>
      </c>
      <c r="D101" s="30"/>
      <c r="E101" s="30"/>
      <c r="F101" s="30" t="s">
        <v>334</v>
      </c>
      <c r="G101" s="30" t="s">
        <v>138</v>
      </c>
      <c r="H101" s="30" t="s">
        <v>141</v>
      </c>
      <c r="I101" s="30" t="s">
        <v>30</v>
      </c>
      <c r="J101" s="30" t="s">
        <v>142</v>
      </c>
      <c r="K101" s="30" t="s">
        <v>116</v>
      </c>
      <c r="L101" s="30" t="s">
        <v>143</v>
      </c>
      <c r="M101" s="48"/>
      <c r="N101" s="30"/>
      <c r="O101" s="30"/>
      <c r="P101" s="30"/>
    </row>
    <row r="102" spans="1:16" ht="75" customHeight="1">
      <c r="A102" s="30" t="s">
        <v>335</v>
      </c>
      <c r="B102" s="47" t="s">
        <v>320</v>
      </c>
      <c r="C102" s="49" t="s">
        <v>336</v>
      </c>
      <c r="D102" s="30"/>
      <c r="E102" s="30"/>
      <c r="F102" s="30"/>
      <c r="G102" s="30"/>
      <c r="H102" s="30" t="s">
        <v>141</v>
      </c>
      <c r="I102" s="30" t="s">
        <v>22</v>
      </c>
      <c r="J102" s="30" t="s">
        <v>144</v>
      </c>
      <c r="K102" s="30" t="s">
        <v>117</v>
      </c>
      <c r="L102" s="30" t="s">
        <v>122</v>
      </c>
      <c r="M102" s="48"/>
      <c r="N102" s="30"/>
      <c r="O102" s="30"/>
      <c r="P102" s="30"/>
    </row>
    <row r="103" spans="1:16" ht="75" customHeight="1">
      <c r="A103" s="30" t="s">
        <v>337</v>
      </c>
      <c r="B103" s="47" t="s">
        <v>320</v>
      </c>
      <c r="C103" s="49" t="s">
        <v>338</v>
      </c>
      <c r="D103" s="30"/>
      <c r="E103" s="30"/>
      <c r="F103" s="30"/>
      <c r="G103" s="30"/>
      <c r="H103" s="30" t="s">
        <v>141</v>
      </c>
      <c r="I103" s="30" t="s">
        <v>22</v>
      </c>
      <c r="J103" s="30" t="s">
        <v>144</v>
      </c>
      <c r="K103" s="30" t="s">
        <v>117</v>
      </c>
      <c r="L103" s="30" t="s">
        <v>122</v>
      </c>
      <c r="M103" s="48"/>
      <c r="N103" s="30"/>
      <c r="O103" s="30"/>
      <c r="P103" s="30"/>
    </row>
    <row r="104" spans="1:16" ht="75" customHeight="1">
      <c r="A104" s="30" t="s">
        <v>339</v>
      </c>
      <c r="B104" s="47" t="s">
        <v>320</v>
      </c>
      <c r="C104" s="49" t="s">
        <v>340</v>
      </c>
      <c r="D104" s="30"/>
      <c r="E104" s="30"/>
      <c r="F104" s="30"/>
      <c r="G104" s="30"/>
      <c r="H104" s="30" t="s">
        <v>141</v>
      </c>
      <c r="I104" s="30" t="s">
        <v>22</v>
      </c>
      <c r="J104" s="30" t="s">
        <v>144</v>
      </c>
      <c r="K104" s="30" t="s">
        <v>117</v>
      </c>
      <c r="L104" s="30" t="s">
        <v>122</v>
      </c>
      <c r="M104" s="48"/>
      <c r="N104" s="30"/>
      <c r="O104" s="30"/>
      <c r="P104" s="30"/>
    </row>
    <row r="105" spans="1:16" ht="60" customHeight="1">
      <c r="A105" s="30" t="s">
        <v>341</v>
      </c>
      <c r="B105" s="47" t="s">
        <v>320</v>
      </c>
      <c r="C105" s="48" t="s">
        <v>342</v>
      </c>
      <c r="D105" s="30"/>
      <c r="E105" s="30"/>
      <c r="F105" s="30"/>
      <c r="G105" s="30"/>
      <c r="H105" s="30" t="s">
        <v>141</v>
      </c>
      <c r="I105" s="30" t="s">
        <v>22</v>
      </c>
      <c r="J105" s="30" t="s">
        <v>144</v>
      </c>
      <c r="K105" s="30" t="s">
        <v>117</v>
      </c>
      <c r="L105" s="30" t="s">
        <v>122</v>
      </c>
      <c r="M105" s="48"/>
      <c r="N105" s="30"/>
      <c r="O105" s="30"/>
      <c r="P105" s="30"/>
    </row>
    <row r="106" spans="1:16" ht="90" customHeight="1">
      <c r="A106" s="30" t="s">
        <v>343</v>
      </c>
      <c r="B106" s="47" t="s">
        <v>320</v>
      </c>
      <c r="C106" s="49" t="s">
        <v>344</v>
      </c>
      <c r="D106" s="30"/>
      <c r="E106" s="30"/>
      <c r="F106" s="30"/>
      <c r="G106" s="30"/>
      <c r="H106" s="30" t="s">
        <v>141</v>
      </c>
      <c r="I106" s="30" t="s">
        <v>22</v>
      </c>
      <c r="J106" s="30" t="s">
        <v>144</v>
      </c>
      <c r="K106" s="30" t="s">
        <v>117</v>
      </c>
      <c r="L106" s="30" t="s">
        <v>122</v>
      </c>
      <c r="M106" s="48"/>
      <c r="N106" s="30"/>
      <c r="O106" s="30"/>
      <c r="P106" s="30"/>
    </row>
    <row r="107" spans="1:16" ht="60" customHeight="1">
      <c r="A107" s="30" t="s">
        <v>345</v>
      </c>
      <c r="B107" s="47" t="s">
        <v>320</v>
      </c>
      <c r="C107" s="49" t="s">
        <v>346</v>
      </c>
      <c r="D107" s="30"/>
      <c r="E107" s="30"/>
      <c r="F107" s="30"/>
      <c r="G107" s="30"/>
      <c r="H107" s="30" t="s">
        <v>141</v>
      </c>
      <c r="I107" s="30" t="s">
        <v>22</v>
      </c>
      <c r="J107" s="30" t="s">
        <v>144</v>
      </c>
      <c r="K107" s="30" t="s">
        <v>117</v>
      </c>
      <c r="L107" s="30" t="s">
        <v>122</v>
      </c>
      <c r="M107" s="48"/>
      <c r="N107" s="30"/>
      <c r="O107" s="30"/>
      <c r="P107" s="30"/>
    </row>
    <row r="108" spans="1:16" ht="60" customHeight="1">
      <c r="A108" s="30" t="s">
        <v>347</v>
      </c>
      <c r="B108" s="47" t="s">
        <v>320</v>
      </c>
      <c r="C108" s="49" t="s">
        <v>348</v>
      </c>
      <c r="D108" s="30"/>
      <c r="E108" s="30"/>
      <c r="F108" s="30"/>
      <c r="G108" s="30"/>
      <c r="H108" s="30" t="s">
        <v>141</v>
      </c>
      <c r="I108" s="30" t="s">
        <v>22</v>
      </c>
      <c r="J108" s="30" t="s">
        <v>144</v>
      </c>
      <c r="K108" s="30" t="s">
        <v>117</v>
      </c>
      <c r="L108" s="30" t="s">
        <v>122</v>
      </c>
      <c r="M108" s="48"/>
      <c r="N108" s="30"/>
      <c r="O108" s="30"/>
      <c r="P108" s="30"/>
    </row>
    <row r="109" spans="1:16" ht="75" customHeight="1">
      <c r="A109" s="30" t="s">
        <v>349</v>
      </c>
      <c r="B109" s="47" t="s">
        <v>320</v>
      </c>
      <c r="C109" s="48" t="s">
        <v>350</v>
      </c>
      <c r="D109" s="30"/>
      <c r="E109" s="30"/>
      <c r="F109" s="30"/>
      <c r="G109" s="30"/>
      <c r="H109" s="30" t="s">
        <v>141</v>
      </c>
      <c r="I109" s="30" t="s">
        <v>22</v>
      </c>
      <c r="J109" s="30" t="s">
        <v>144</v>
      </c>
      <c r="K109" s="30" t="s">
        <v>117</v>
      </c>
      <c r="L109" s="30" t="s">
        <v>122</v>
      </c>
      <c r="M109" s="48"/>
      <c r="N109" s="30"/>
      <c r="O109" s="30"/>
      <c r="P109" s="30"/>
    </row>
    <row r="110" spans="1:16" ht="75" customHeight="1">
      <c r="A110" s="30" t="s">
        <v>351</v>
      </c>
      <c r="B110" s="47" t="s">
        <v>320</v>
      </c>
      <c r="C110" s="49" t="s">
        <v>352</v>
      </c>
      <c r="D110" s="30"/>
      <c r="E110" s="30"/>
      <c r="F110" s="30"/>
      <c r="G110" s="30"/>
      <c r="H110" s="30" t="s">
        <v>141</v>
      </c>
      <c r="I110" s="30" t="s">
        <v>22</v>
      </c>
      <c r="J110" s="30" t="s">
        <v>144</v>
      </c>
      <c r="K110" s="30" t="s">
        <v>117</v>
      </c>
      <c r="L110" s="30" t="s">
        <v>122</v>
      </c>
      <c r="M110" s="48"/>
      <c r="N110" s="30"/>
      <c r="O110" s="30"/>
      <c r="P110" s="30"/>
    </row>
    <row r="111" spans="1:16" ht="90" customHeight="1">
      <c r="A111" s="30" t="s">
        <v>353</v>
      </c>
      <c r="B111" s="47" t="s">
        <v>320</v>
      </c>
      <c r="C111" s="49" t="s">
        <v>354</v>
      </c>
      <c r="D111" s="30"/>
      <c r="E111" s="30"/>
      <c r="F111" s="30"/>
      <c r="G111" s="30"/>
      <c r="H111" s="30" t="s">
        <v>141</v>
      </c>
      <c r="I111" s="30" t="s">
        <v>22</v>
      </c>
      <c r="J111" s="30" t="s">
        <v>144</v>
      </c>
      <c r="K111" s="30" t="s">
        <v>117</v>
      </c>
      <c r="L111" s="30" t="s">
        <v>122</v>
      </c>
      <c r="M111" s="48"/>
      <c r="N111" s="30"/>
      <c r="O111" s="30"/>
      <c r="P111" s="30"/>
    </row>
    <row r="112" spans="1:16" ht="60" customHeight="1">
      <c r="A112" s="30" t="s">
        <v>355</v>
      </c>
      <c r="B112" s="47" t="s">
        <v>320</v>
      </c>
      <c r="C112" s="49" t="s">
        <v>356</v>
      </c>
      <c r="D112" s="30"/>
      <c r="E112" s="30"/>
      <c r="F112" s="30"/>
      <c r="G112" s="30"/>
      <c r="H112" s="30" t="s">
        <v>141</v>
      </c>
      <c r="I112" s="30" t="s">
        <v>22</v>
      </c>
      <c r="J112" s="30" t="s">
        <v>144</v>
      </c>
      <c r="K112" s="30" t="s">
        <v>117</v>
      </c>
      <c r="L112" s="30" t="s">
        <v>122</v>
      </c>
      <c r="M112" s="48"/>
      <c r="N112" s="30"/>
      <c r="O112" s="30"/>
      <c r="P112" s="30"/>
    </row>
    <row r="113" spans="1:16" ht="75" customHeight="1">
      <c r="A113" s="30" t="s">
        <v>357</v>
      </c>
      <c r="B113" s="47" t="s">
        <v>320</v>
      </c>
      <c r="C113" s="49" t="s">
        <v>358</v>
      </c>
      <c r="D113" s="30"/>
      <c r="E113" s="30"/>
      <c r="F113" s="30"/>
      <c r="G113" s="30"/>
      <c r="H113" s="30" t="s">
        <v>141</v>
      </c>
      <c r="I113" s="30" t="s">
        <v>22</v>
      </c>
      <c r="J113" s="30" t="s">
        <v>144</v>
      </c>
      <c r="K113" s="30" t="s">
        <v>117</v>
      </c>
      <c r="L113" s="30" t="s">
        <v>122</v>
      </c>
      <c r="M113" s="48"/>
      <c r="N113" s="30"/>
      <c r="O113" s="30"/>
      <c r="P113" s="30"/>
    </row>
    <row r="114" spans="1:16" ht="60" customHeight="1">
      <c r="A114" s="30" t="s">
        <v>359</v>
      </c>
      <c r="B114" s="47" t="s">
        <v>320</v>
      </c>
      <c r="C114" s="49" t="s">
        <v>360</v>
      </c>
      <c r="D114" s="30"/>
      <c r="E114" s="30"/>
      <c r="F114" s="30"/>
      <c r="G114" s="30"/>
      <c r="H114" s="30" t="s">
        <v>141</v>
      </c>
      <c r="I114" s="30" t="s">
        <v>22</v>
      </c>
      <c r="J114" s="30" t="s">
        <v>144</v>
      </c>
      <c r="K114" s="30" t="s">
        <v>117</v>
      </c>
      <c r="L114" s="30" t="s">
        <v>122</v>
      </c>
      <c r="M114" s="48"/>
      <c r="N114" s="30"/>
      <c r="O114" s="30"/>
      <c r="P114" s="30"/>
    </row>
    <row r="115" spans="1:16" ht="75" customHeight="1">
      <c r="A115" s="30" t="s">
        <v>361</v>
      </c>
      <c r="B115" s="47" t="s">
        <v>320</v>
      </c>
      <c r="C115" s="49" t="s">
        <v>362</v>
      </c>
      <c r="D115" s="30"/>
      <c r="E115" s="30"/>
      <c r="F115" s="30"/>
      <c r="G115" s="30"/>
      <c r="H115" s="30" t="s">
        <v>141</v>
      </c>
      <c r="I115" s="30" t="s">
        <v>22</v>
      </c>
      <c r="J115" s="30" t="s">
        <v>144</v>
      </c>
      <c r="K115" s="30" t="s">
        <v>117</v>
      </c>
      <c r="L115" s="30" t="s">
        <v>122</v>
      </c>
      <c r="M115" s="48"/>
      <c r="N115" s="30"/>
      <c r="O115" s="30"/>
      <c r="P115" s="30"/>
    </row>
    <row r="116" spans="1:16" ht="60" customHeight="1">
      <c r="A116" s="30" t="s">
        <v>363</v>
      </c>
      <c r="B116" s="47" t="s">
        <v>320</v>
      </c>
      <c r="C116" s="49" t="s">
        <v>364</v>
      </c>
      <c r="D116" s="30"/>
      <c r="E116" s="30"/>
      <c r="F116" s="30"/>
      <c r="G116" s="30"/>
      <c r="H116" s="30" t="s">
        <v>141</v>
      </c>
      <c r="I116" s="30" t="s">
        <v>22</v>
      </c>
      <c r="J116" s="30" t="s">
        <v>144</v>
      </c>
      <c r="K116" s="30" t="s">
        <v>117</v>
      </c>
      <c r="L116" s="30" t="s">
        <v>122</v>
      </c>
      <c r="M116" s="48"/>
      <c r="N116" s="30"/>
      <c r="O116" s="30"/>
      <c r="P116" s="30"/>
    </row>
    <row r="117" spans="1:16" ht="60" customHeight="1">
      <c r="A117" s="30" t="s">
        <v>365</v>
      </c>
      <c r="B117" s="47" t="s">
        <v>320</v>
      </c>
      <c r="C117" s="49" t="s">
        <v>366</v>
      </c>
      <c r="D117" s="30"/>
      <c r="E117" s="30"/>
      <c r="F117" s="30"/>
      <c r="G117" s="30"/>
      <c r="H117" s="30" t="s">
        <v>141</v>
      </c>
      <c r="I117" s="30" t="s">
        <v>22</v>
      </c>
      <c r="J117" s="30" t="s">
        <v>142</v>
      </c>
      <c r="K117" s="30" t="s">
        <v>116</v>
      </c>
      <c r="L117" s="30" t="s">
        <v>121</v>
      </c>
      <c r="M117" s="48" t="s">
        <v>4133</v>
      </c>
      <c r="N117" s="30"/>
      <c r="O117" s="30"/>
      <c r="P117" s="30"/>
    </row>
    <row r="118" spans="1:16" ht="60" customHeight="1">
      <c r="A118" s="30" t="s">
        <v>367</v>
      </c>
      <c r="B118" s="47" t="s">
        <v>320</v>
      </c>
      <c r="C118" s="49" t="s">
        <v>368</v>
      </c>
      <c r="D118" s="30"/>
      <c r="E118" s="30"/>
      <c r="F118" s="30"/>
      <c r="G118" s="30"/>
      <c r="H118" s="30" t="s">
        <v>141</v>
      </c>
      <c r="I118" s="30" t="s">
        <v>22</v>
      </c>
      <c r="J118" s="30" t="s">
        <v>144</v>
      </c>
      <c r="K118" s="30" t="s">
        <v>117</v>
      </c>
      <c r="L118" s="30" t="s">
        <v>122</v>
      </c>
      <c r="M118" s="48"/>
      <c r="N118" s="30"/>
      <c r="O118" s="30"/>
      <c r="P118" s="30"/>
    </row>
    <row r="119" spans="1:16" ht="90" customHeight="1">
      <c r="A119" s="30" t="s">
        <v>369</v>
      </c>
      <c r="B119" s="47" t="s">
        <v>320</v>
      </c>
      <c r="C119" s="49" t="s">
        <v>370</v>
      </c>
      <c r="D119" s="30"/>
      <c r="E119" s="30"/>
      <c r="F119" s="30"/>
      <c r="G119" s="30"/>
      <c r="H119" s="30" t="s">
        <v>141</v>
      </c>
      <c r="I119" s="30" t="s">
        <v>22</v>
      </c>
      <c r="J119" s="30" t="s">
        <v>144</v>
      </c>
      <c r="K119" s="30" t="s">
        <v>117</v>
      </c>
      <c r="L119" s="30" t="s">
        <v>122</v>
      </c>
      <c r="M119" s="48"/>
      <c r="N119" s="30"/>
      <c r="O119" s="30"/>
      <c r="P119" s="30"/>
    </row>
    <row r="120" spans="1:16" ht="60" customHeight="1">
      <c r="A120" s="30" t="s">
        <v>371</v>
      </c>
      <c r="B120" s="47" t="s">
        <v>320</v>
      </c>
      <c r="C120" s="49" t="s">
        <v>372</v>
      </c>
      <c r="D120" s="30"/>
      <c r="E120" s="30"/>
      <c r="F120" s="30"/>
      <c r="G120" s="30"/>
      <c r="H120" s="30" t="s">
        <v>141</v>
      </c>
      <c r="I120" s="30" t="s">
        <v>22</v>
      </c>
      <c r="J120" s="30" t="s">
        <v>144</v>
      </c>
      <c r="K120" s="30" t="s">
        <v>117</v>
      </c>
      <c r="L120" s="30" t="s">
        <v>122</v>
      </c>
      <c r="M120" s="48"/>
      <c r="N120" s="30"/>
      <c r="O120" s="30"/>
      <c r="P120" s="30"/>
    </row>
    <row r="121" spans="1:16" ht="75" customHeight="1">
      <c r="A121" s="30" t="s">
        <v>373</v>
      </c>
      <c r="B121" s="47" t="s">
        <v>320</v>
      </c>
      <c r="C121" s="48" t="s">
        <v>374</v>
      </c>
      <c r="D121" s="30"/>
      <c r="E121" s="30"/>
      <c r="F121" s="30"/>
      <c r="G121" s="30"/>
      <c r="H121" s="30" t="s">
        <v>141</v>
      </c>
      <c r="I121" s="30" t="s">
        <v>22</v>
      </c>
      <c r="J121" s="30" t="s">
        <v>144</v>
      </c>
      <c r="K121" s="30" t="s">
        <v>117</v>
      </c>
      <c r="L121" s="30" t="s">
        <v>122</v>
      </c>
      <c r="M121" s="48"/>
      <c r="N121" s="30"/>
      <c r="O121" s="30"/>
      <c r="P121" s="30"/>
    </row>
    <row r="122" spans="1:16" ht="75" customHeight="1">
      <c r="A122" s="30" t="s">
        <v>375</v>
      </c>
      <c r="B122" s="47" t="s">
        <v>320</v>
      </c>
      <c r="C122" s="49" t="s">
        <v>376</v>
      </c>
      <c r="D122" s="30"/>
      <c r="E122" s="30"/>
      <c r="F122" s="30"/>
      <c r="G122" s="30"/>
      <c r="H122" s="30" t="s">
        <v>141</v>
      </c>
      <c r="I122" s="30" t="s">
        <v>22</v>
      </c>
      <c r="J122" s="30" t="s">
        <v>144</v>
      </c>
      <c r="K122" s="30" t="s">
        <v>117</v>
      </c>
      <c r="L122" s="30" t="s">
        <v>122</v>
      </c>
      <c r="M122" s="48"/>
      <c r="N122" s="30"/>
      <c r="O122" s="30"/>
      <c r="P122" s="30"/>
    </row>
    <row r="123" spans="1:16" ht="45" customHeight="1">
      <c r="A123" s="30" t="s">
        <v>377</v>
      </c>
      <c r="B123" s="47" t="s">
        <v>320</v>
      </c>
      <c r="C123" s="49" t="s">
        <v>378</v>
      </c>
      <c r="D123" s="30"/>
      <c r="E123" s="30"/>
      <c r="F123" s="30"/>
      <c r="G123" s="30"/>
      <c r="H123" s="30" t="s">
        <v>141</v>
      </c>
      <c r="I123" s="30" t="s">
        <v>31</v>
      </c>
      <c r="J123" s="30" t="s">
        <v>145</v>
      </c>
      <c r="K123" s="30" t="s">
        <v>116</v>
      </c>
      <c r="L123" s="30" t="s">
        <v>122</v>
      </c>
      <c r="M123" s="48" t="s">
        <v>314</v>
      </c>
      <c r="N123" s="30"/>
      <c r="O123" s="30"/>
      <c r="P123" s="30"/>
    </row>
    <row r="124" spans="1:16" ht="45" customHeight="1">
      <c r="A124" s="30" t="s">
        <v>379</v>
      </c>
      <c r="B124" s="47" t="s">
        <v>320</v>
      </c>
      <c r="C124" s="48" t="s">
        <v>380</v>
      </c>
      <c r="D124" s="30"/>
      <c r="E124" s="30"/>
      <c r="F124" s="30"/>
      <c r="G124" s="30"/>
      <c r="H124" s="30" t="s">
        <v>141</v>
      </c>
      <c r="I124" s="30" t="s">
        <v>30</v>
      </c>
      <c r="J124" s="30" t="s">
        <v>142</v>
      </c>
      <c r="K124" s="30" t="s">
        <v>116</v>
      </c>
      <c r="L124" s="30" t="s">
        <v>121</v>
      </c>
      <c r="M124" s="48" t="s">
        <v>316</v>
      </c>
      <c r="N124" s="30"/>
      <c r="O124" s="30"/>
      <c r="P124" s="30"/>
    </row>
    <row r="125" spans="1:16" ht="60" customHeight="1">
      <c r="A125" s="30" t="s">
        <v>381</v>
      </c>
      <c r="B125" s="47" t="s">
        <v>320</v>
      </c>
      <c r="C125" s="48" t="s">
        <v>4084</v>
      </c>
      <c r="D125" s="30"/>
      <c r="E125" s="30"/>
      <c r="F125" s="30" t="s">
        <v>382</v>
      </c>
      <c r="G125" s="30" t="s">
        <v>4033</v>
      </c>
      <c r="H125" s="30" t="s">
        <v>141</v>
      </c>
      <c r="I125" s="30" t="s">
        <v>30</v>
      </c>
      <c r="J125" s="30" t="s">
        <v>142</v>
      </c>
      <c r="K125" s="30" t="s">
        <v>116</v>
      </c>
      <c r="L125" s="30" t="s">
        <v>143</v>
      </c>
      <c r="M125" s="48"/>
      <c r="N125" s="30"/>
      <c r="O125" s="30"/>
      <c r="P125" s="30"/>
    </row>
    <row r="126" spans="1:16" ht="45" customHeight="1">
      <c r="A126" s="30" t="s">
        <v>3667</v>
      </c>
      <c r="B126" s="47" t="s">
        <v>384</v>
      </c>
      <c r="C126" s="48" t="s">
        <v>3668</v>
      </c>
      <c r="D126" s="30"/>
      <c r="E126" s="30"/>
      <c r="F126" s="30"/>
      <c r="G126" s="30"/>
      <c r="H126" s="30" t="s">
        <v>141</v>
      </c>
      <c r="I126" s="30" t="s">
        <v>22</v>
      </c>
      <c r="J126" s="30" t="s">
        <v>144</v>
      </c>
      <c r="K126" s="30" t="s">
        <v>117</v>
      </c>
      <c r="L126" s="30" t="s">
        <v>122</v>
      </c>
      <c r="M126" s="48"/>
      <c r="N126" s="30"/>
      <c r="O126" s="30"/>
      <c r="P126" s="30"/>
    </row>
    <row r="127" spans="1:16" ht="75" customHeight="1">
      <c r="A127" s="30" t="s">
        <v>383</v>
      </c>
      <c r="B127" s="47" t="s">
        <v>384</v>
      </c>
      <c r="C127" s="49" t="s">
        <v>385</v>
      </c>
      <c r="D127" s="30"/>
      <c r="E127" s="30"/>
      <c r="F127" s="30"/>
      <c r="G127" s="30"/>
      <c r="H127" s="30" t="s">
        <v>141</v>
      </c>
      <c r="I127" s="30" t="s">
        <v>22</v>
      </c>
      <c r="J127" s="30" t="s">
        <v>144</v>
      </c>
      <c r="K127" s="30" t="s">
        <v>117</v>
      </c>
      <c r="L127" s="30" t="s">
        <v>122</v>
      </c>
      <c r="M127" s="48"/>
      <c r="N127" s="30"/>
      <c r="O127" s="30"/>
      <c r="P127" s="30"/>
    </row>
    <row r="128" spans="1:16" ht="30" customHeight="1">
      <c r="A128" s="30" t="s">
        <v>386</v>
      </c>
      <c r="B128" s="47" t="s">
        <v>387</v>
      </c>
      <c r="C128" s="49" t="s">
        <v>388</v>
      </c>
      <c r="D128" s="30"/>
      <c r="E128" s="30"/>
      <c r="F128" s="30"/>
      <c r="G128" s="30"/>
      <c r="H128" s="30" t="s">
        <v>141</v>
      </c>
      <c r="I128" s="30" t="s">
        <v>22</v>
      </c>
      <c r="J128" s="30" t="s">
        <v>144</v>
      </c>
      <c r="K128" s="30" t="s">
        <v>117</v>
      </c>
      <c r="L128" s="30" t="s">
        <v>122</v>
      </c>
      <c r="M128" s="48"/>
      <c r="N128" s="30"/>
      <c r="O128" s="30"/>
      <c r="P128" s="30"/>
    </row>
    <row r="129" spans="1:16" ht="45" customHeight="1">
      <c r="A129" s="30" t="s">
        <v>389</v>
      </c>
      <c r="B129" s="47" t="s">
        <v>387</v>
      </c>
      <c r="C129" s="49" t="s">
        <v>390</v>
      </c>
      <c r="D129" s="30"/>
      <c r="E129" s="30"/>
      <c r="F129" s="30"/>
      <c r="G129" s="30" t="s">
        <v>4032</v>
      </c>
      <c r="H129" s="30" t="s">
        <v>141</v>
      </c>
      <c r="I129" s="30" t="s">
        <v>22</v>
      </c>
      <c r="J129" s="30" t="s">
        <v>142</v>
      </c>
      <c r="K129" s="30" t="s">
        <v>116</v>
      </c>
      <c r="L129" s="30" t="s">
        <v>146</v>
      </c>
      <c r="M129" s="48"/>
      <c r="N129" s="30"/>
      <c r="O129" s="30"/>
      <c r="P129" s="30"/>
    </row>
    <row r="130" spans="1:16" s="31" customFormat="1" ht="30">
      <c r="A130" s="30" t="s">
        <v>391</v>
      </c>
      <c r="B130" s="47" t="s">
        <v>387</v>
      </c>
      <c r="C130" s="48" t="s">
        <v>392</v>
      </c>
      <c r="D130" s="30"/>
      <c r="E130" s="30"/>
      <c r="F130" s="30"/>
      <c r="G130" s="30" t="s">
        <v>4032</v>
      </c>
      <c r="H130" s="30" t="s">
        <v>141</v>
      </c>
      <c r="I130" s="30" t="s">
        <v>22</v>
      </c>
      <c r="J130" s="30" t="s">
        <v>142</v>
      </c>
      <c r="K130" s="30" t="s">
        <v>116</v>
      </c>
      <c r="L130" s="30" t="s">
        <v>146</v>
      </c>
      <c r="M130" s="48"/>
      <c r="N130" s="30"/>
      <c r="O130" s="30"/>
      <c r="P130" s="30"/>
    </row>
    <row r="131" spans="1:16" s="31" customFormat="1" ht="165" customHeight="1">
      <c r="A131" s="30" t="s">
        <v>393</v>
      </c>
      <c r="B131" s="47" t="s">
        <v>387</v>
      </c>
      <c r="C131" s="48" t="s">
        <v>394</v>
      </c>
      <c r="D131" s="30"/>
      <c r="E131" s="30"/>
      <c r="F131" s="30"/>
      <c r="G131" s="30"/>
      <c r="H131" s="30" t="s">
        <v>141</v>
      </c>
      <c r="I131" s="30" t="s">
        <v>22</v>
      </c>
      <c r="J131" s="30" t="s">
        <v>142</v>
      </c>
      <c r="K131" s="30" t="s">
        <v>116</v>
      </c>
      <c r="L131" s="30" t="s">
        <v>122</v>
      </c>
      <c r="M131" s="48" t="s">
        <v>4226</v>
      </c>
      <c r="N131" s="66"/>
      <c r="O131" s="30"/>
      <c r="P131" s="30"/>
    </row>
    <row r="132" spans="1:16" s="31" customFormat="1" ht="30">
      <c r="A132" s="30" t="s">
        <v>395</v>
      </c>
      <c r="B132" s="47" t="s">
        <v>387</v>
      </c>
      <c r="C132" s="49" t="s">
        <v>396</v>
      </c>
      <c r="D132" s="30"/>
      <c r="E132" s="30"/>
      <c r="F132" s="30"/>
      <c r="G132" s="30"/>
      <c r="H132" s="30" t="s">
        <v>141</v>
      </c>
      <c r="I132" s="30" t="s">
        <v>22</v>
      </c>
      <c r="J132" s="30" t="s">
        <v>142</v>
      </c>
      <c r="K132" s="30" t="s">
        <v>116</v>
      </c>
      <c r="L132" s="30" t="s">
        <v>121</v>
      </c>
      <c r="M132" s="48" t="s">
        <v>466</v>
      </c>
      <c r="N132" s="30"/>
      <c r="O132" s="30"/>
      <c r="P132" s="30"/>
    </row>
    <row r="133" spans="1:16" ht="45" customHeight="1">
      <c r="A133" s="30" t="s">
        <v>397</v>
      </c>
      <c r="B133" s="47" t="s">
        <v>387</v>
      </c>
      <c r="C133" s="49" t="s">
        <v>398</v>
      </c>
      <c r="D133" s="30"/>
      <c r="E133" s="30"/>
      <c r="F133" s="30"/>
      <c r="G133" s="30"/>
      <c r="H133" s="30" t="s">
        <v>141</v>
      </c>
      <c r="I133" s="30" t="s">
        <v>22</v>
      </c>
      <c r="J133" s="30" t="s">
        <v>142</v>
      </c>
      <c r="K133" s="30" t="s">
        <v>116</v>
      </c>
      <c r="L133" s="30" t="s">
        <v>121</v>
      </c>
      <c r="M133" s="48" t="s">
        <v>4098</v>
      </c>
      <c r="N133" s="30"/>
      <c r="O133" s="30"/>
      <c r="P133" s="30"/>
    </row>
    <row r="134" spans="1:16" ht="45" customHeight="1">
      <c r="A134" s="30" t="s">
        <v>399</v>
      </c>
      <c r="B134" s="47" t="s">
        <v>387</v>
      </c>
      <c r="C134" s="48" t="s">
        <v>400</v>
      </c>
      <c r="D134" s="30"/>
      <c r="E134" s="30"/>
      <c r="F134" s="30"/>
      <c r="G134" s="30"/>
      <c r="H134" s="30" t="s">
        <v>149</v>
      </c>
      <c r="I134" s="30" t="s">
        <v>22</v>
      </c>
      <c r="J134" s="30" t="s">
        <v>144</v>
      </c>
      <c r="K134" s="30" t="s">
        <v>117</v>
      </c>
      <c r="L134" s="30" t="s">
        <v>3664</v>
      </c>
      <c r="M134" s="51" t="s">
        <v>4044</v>
      </c>
      <c r="N134" s="30"/>
      <c r="O134" s="30"/>
      <c r="P134" s="30"/>
    </row>
    <row r="135" spans="1:16" ht="45" customHeight="1">
      <c r="A135" s="30" t="s">
        <v>401</v>
      </c>
      <c r="B135" s="47" t="s">
        <v>387</v>
      </c>
      <c r="C135" s="49" t="s">
        <v>402</v>
      </c>
      <c r="D135" s="30"/>
      <c r="E135" s="30"/>
      <c r="F135" s="30"/>
      <c r="G135" s="30"/>
      <c r="H135" s="30" t="s">
        <v>141</v>
      </c>
      <c r="I135" s="30" t="s">
        <v>22</v>
      </c>
      <c r="J135" s="30" t="s">
        <v>142</v>
      </c>
      <c r="K135" s="30" t="s">
        <v>116</v>
      </c>
      <c r="L135" s="30" t="s">
        <v>121</v>
      </c>
      <c r="M135" s="48" t="s">
        <v>403</v>
      </c>
      <c r="N135" s="30"/>
      <c r="O135" s="30"/>
      <c r="P135" s="30"/>
    </row>
    <row r="136" spans="1:16" ht="45" customHeight="1">
      <c r="A136" s="30" t="s">
        <v>404</v>
      </c>
      <c r="B136" s="47" t="s">
        <v>387</v>
      </c>
      <c r="C136" s="48" t="s">
        <v>405</v>
      </c>
      <c r="D136" s="30"/>
      <c r="E136" s="30"/>
      <c r="F136" s="30" t="s">
        <v>406</v>
      </c>
      <c r="G136" s="30" t="s">
        <v>4032</v>
      </c>
      <c r="H136" s="30" t="s">
        <v>141</v>
      </c>
      <c r="I136" s="30" t="s">
        <v>22</v>
      </c>
      <c r="J136" s="30" t="s">
        <v>142</v>
      </c>
      <c r="K136" s="30" t="s">
        <v>116</v>
      </c>
      <c r="L136" s="30" t="s">
        <v>146</v>
      </c>
      <c r="M136" s="48"/>
      <c r="N136" s="30"/>
      <c r="O136" s="30"/>
      <c r="P136" s="30"/>
    </row>
    <row r="137" spans="1:16" ht="45" customHeight="1">
      <c r="A137" s="30" t="s">
        <v>407</v>
      </c>
      <c r="B137" s="47" t="s">
        <v>408</v>
      </c>
      <c r="C137" s="49" t="s">
        <v>409</v>
      </c>
      <c r="D137" s="30"/>
      <c r="E137" s="30"/>
      <c r="F137" s="30"/>
      <c r="G137" s="30"/>
      <c r="H137" s="30" t="s">
        <v>141</v>
      </c>
      <c r="I137" s="30" t="s">
        <v>30</v>
      </c>
      <c r="J137" s="30" t="s">
        <v>144</v>
      </c>
      <c r="K137" s="30" t="s">
        <v>117</v>
      </c>
      <c r="L137" s="30" t="s">
        <v>122</v>
      </c>
      <c r="M137" s="48"/>
      <c r="N137" s="30"/>
      <c r="O137" s="30"/>
      <c r="P137" s="30"/>
    </row>
    <row r="138" spans="1:16" ht="45" customHeight="1">
      <c r="A138" s="30" t="s">
        <v>410</v>
      </c>
      <c r="B138" s="47" t="s">
        <v>408</v>
      </c>
      <c r="C138" s="49" t="s">
        <v>411</v>
      </c>
      <c r="D138" s="30"/>
      <c r="E138" s="30"/>
      <c r="F138" s="30"/>
      <c r="G138" s="30" t="s">
        <v>4032</v>
      </c>
      <c r="H138" s="30" t="s">
        <v>141</v>
      </c>
      <c r="I138" s="30" t="s">
        <v>22</v>
      </c>
      <c r="J138" s="30" t="s">
        <v>142</v>
      </c>
      <c r="K138" s="30" t="s">
        <v>116</v>
      </c>
      <c r="L138" s="30" t="s">
        <v>143</v>
      </c>
      <c r="M138" s="48"/>
      <c r="N138" s="30"/>
      <c r="O138" s="30"/>
      <c r="P138" s="30"/>
    </row>
    <row r="139" spans="1:16" ht="60" customHeight="1">
      <c r="A139" s="30" t="s">
        <v>412</v>
      </c>
      <c r="B139" s="47" t="s">
        <v>408</v>
      </c>
      <c r="C139" s="48" t="s">
        <v>413</v>
      </c>
      <c r="D139" s="30"/>
      <c r="E139" s="30"/>
      <c r="F139" s="30"/>
      <c r="G139" s="30" t="s">
        <v>4032</v>
      </c>
      <c r="H139" s="30" t="s">
        <v>141</v>
      </c>
      <c r="I139" s="30" t="s">
        <v>30</v>
      </c>
      <c r="J139" s="30" t="s">
        <v>142</v>
      </c>
      <c r="K139" s="30" t="s">
        <v>116</v>
      </c>
      <c r="L139" s="30" t="s">
        <v>146</v>
      </c>
      <c r="M139" s="48"/>
      <c r="N139" s="30"/>
      <c r="O139" s="30"/>
      <c r="P139" s="30"/>
    </row>
    <row r="140" spans="1:16" ht="60" customHeight="1">
      <c r="A140" s="30" t="s">
        <v>414</v>
      </c>
      <c r="B140" s="47" t="s">
        <v>408</v>
      </c>
      <c r="C140" s="48" t="s">
        <v>4094</v>
      </c>
      <c r="D140" s="30"/>
      <c r="E140" s="30"/>
      <c r="F140" s="30"/>
      <c r="G140" s="30"/>
      <c r="H140" s="30" t="s">
        <v>141</v>
      </c>
      <c r="I140" s="30" t="s">
        <v>22</v>
      </c>
      <c r="J140" s="30" t="s">
        <v>144</v>
      </c>
      <c r="K140" s="30" t="s">
        <v>117</v>
      </c>
      <c r="L140" s="30" t="s">
        <v>122</v>
      </c>
      <c r="M140" s="48"/>
      <c r="N140" s="30"/>
      <c r="O140" s="30"/>
      <c r="P140" s="30"/>
    </row>
    <row r="141" spans="1:16" ht="45" customHeight="1">
      <c r="A141" s="30" t="s">
        <v>415</v>
      </c>
      <c r="B141" s="47" t="s">
        <v>408</v>
      </c>
      <c r="C141" s="48" t="s">
        <v>4095</v>
      </c>
      <c r="D141" s="30"/>
      <c r="E141" s="30"/>
      <c r="F141" s="30"/>
      <c r="G141" s="30"/>
      <c r="H141" s="30" t="s">
        <v>141</v>
      </c>
      <c r="I141" s="30" t="s">
        <v>22</v>
      </c>
      <c r="J141" s="30" t="s">
        <v>144</v>
      </c>
      <c r="K141" s="30" t="s">
        <v>117</v>
      </c>
      <c r="L141" s="30" t="s">
        <v>122</v>
      </c>
      <c r="M141" s="48"/>
      <c r="N141" s="30"/>
      <c r="O141" s="30"/>
      <c r="P141" s="30"/>
    </row>
    <row r="142" spans="1:16" ht="45" customHeight="1">
      <c r="A142" s="30" t="s">
        <v>416</v>
      </c>
      <c r="B142" s="47" t="s">
        <v>408</v>
      </c>
      <c r="C142" s="48" t="s">
        <v>4096</v>
      </c>
      <c r="D142" s="30"/>
      <c r="E142" s="30"/>
      <c r="F142" s="30"/>
      <c r="G142" s="30"/>
      <c r="H142" s="30" t="s">
        <v>141</v>
      </c>
      <c r="I142" s="30" t="s">
        <v>22</v>
      </c>
      <c r="J142" s="30" t="s">
        <v>142</v>
      </c>
      <c r="K142" s="30" t="s">
        <v>116</v>
      </c>
      <c r="L142" s="30" t="s">
        <v>121</v>
      </c>
      <c r="M142" s="48" t="s">
        <v>4199</v>
      </c>
      <c r="N142" s="30"/>
      <c r="O142" s="30"/>
      <c r="P142" s="30"/>
    </row>
    <row r="143" spans="1:16" s="31" customFormat="1" ht="30">
      <c r="A143" s="30" t="s">
        <v>417</v>
      </c>
      <c r="B143" s="47" t="s">
        <v>408</v>
      </c>
      <c r="C143" s="48" t="s">
        <v>4097</v>
      </c>
      <c r="D143" s="30"/>
      <c r="E143" s="30"/>
      <c r="F143" s="30"/>
      <c r="G143" s="30"/>
      <c r="H143" s="30" t="s">
        <v>141</v>
      </c>
      <c r="I143" s="30" t="s">
        <v>22</v>
      </c>
      <c r="J143" s="30" t="s">
        <v>144</v>
      </c>
      <c r="K143" s="30" t="s">
        <v>117</v>
      </c>
      <c r="L143" s="30" t="s">
        <v>3664</v>
      </c>
      <c r="M143" s="48" t="s">
        <v>4206</v>
      </c>
      <c r="N143" s="30"/>
      <c r="O143" s="30"/>
      <c r="P143" s="30"/>
    </row>
    <row r="144" spans="1:16" ht="30" customHeight="1">
      <c r="A144" s="30" t="s">
        <v>418</v>
      </c>
      <c r="B144" s="47" t="s">
        <v>419</v>
      </c>
      <c r="C144" s="49" t="s">
        <v>420</v>
      </c>
      <c r="D144" s="30"/>
      <c r="E144" s="30"/>
      <c r="F144" s="30"/>
      <c r="G144" s="30"/>
      <c r="H144" s="30" t="s">
        <v>141</v>
      </c>
      <c r="I144" s="30" t="s">
        <v>30</v>
      </c>
      <c r="J144" s="30" t="s">
        <v>144</v>
      </c>
      <c r="K144" s="30" t="s">
        <v>117</v>
      </c>
      <c r="L144" s="30" t="s">
        <v>122</v>
      </c>
      <c r="M144" s="48"/>
      <c r="N144" s="30"/>
      <c r="O144" s="30"/>
      <c r="P144" s="30"/>
    </row>
    <row r="145" spans="1:16" ht="105" customHeight="1">
      <c r="A145" s="30" t="s">
        <v>421</v>
      </c>
      <c r="B145" s="47" t="s">
        <v>419</v>
      </c>
      <c r="C145" s="49" t="s">
        <v>422</v>
      </c>
      <c r="D145" s="30"/>
      <c r="E145" s="30"/>
      <c r="F145" s="30"/>
      <c r="G145" s="30" t="s">
        <v>4032</v>
      </c>
      <c r="H145" s="30" t="s">
        <v>141</v>
      </c>
      <c r="I145" s="30" t="s">
        <v>22</v>
      </c>
      <c r="J145" s="30" t="s">
        <v>142</v>
      </c>
      <c r="K145" s="30" t="s">
        <v>116</v>
      </c>
      <c r="L145" s="30" t="s">
        <v>146</v>
      </c>
      <c r="M145" s="48"/>
      <c r="N145" s="30"/>
      <c r="O145" s="30"/>
      <c r="P145" s="30"/>
    </row>
    <row r="146" spans="1:16" ht="60" customHeight="1">
      <c r="A146" s="30" t="s">
        <v>423</v>
      </c>
      <c r="B146" s="47" t="s">
        <v>419</v>
      </c>
      <c r="C146" s="49" t="s">
        <v>424</v>
      </c>
      <c r="D146" s="30"/>
      <c r="E146" s="30"/>
      <c r="F146" s="30"/>
      <c r="G146" s="30" t="s">
        <v>4032</v>
      </c>
      <c r="H146" s="30" t="s">
        <v>141</v>
      </c>
      <c r="I146" s="30" t="s">
        <v>30</v>
      </c>
      <c r="J146" s="30" t="s">
        <v>142</v>
      </c>
      <c r="K146" s="30" t="s">
        <v>116</v>
      </c>
      <c r="L146" s="30" t="s">
        <v>146</v>
      </c>
      <c r="M146" s="48"/>
      <c r="N146" s="30"/>
      <c r="O146" s="30"/>
      <c r="P146" s="30"/>
    </row>
    <row r="147" spans="1:16" ht="60" customHeight="1">
      <c r="A147" s="30" t="s">
        <v>425</v>
      </c>
      <c r="B147" s="47" t="s">
        <v>419</v>
      </c>
      <c r="C147" s="48" t="s">
        <v>426</v>
      </c>
      <c r="D147" s="30"/>
      <c r="E147" s="30"/>
      <c r="F147" s="30"/>
      <c r="G147" s="30" t="s">
        <v>4032</v>
      </c>
      <c r="H147" s="30" t="s">
        <v>141</v>
      </c>
      <c r="I147" s="30" t="s">
        <v>30</v>
      </c>
      <c r="J147" s="30" t="s">
        <v>142</v>
      </c>
      <c r="K147" s="30" t="s">
        <v>116</v>
      </c>
      <c r="L147" s="30" t="s">
        <v>143</v>
      </c>
      <c r="M147" s="48"/>
      <c r="N147" s="30"/>
      <c r="O147" s="30"/>
      <c r="P147" s="30"/>
    </row>
    <row r="148" spans="1:16" ht="60" customHeight="1">
      <c r="A148" s="30" t="s">
        <v>427</v>
      </c>
      <c r="B148" s="47" t="s">
        <v>419</v>
      </c>
      <c r="C148" s="49" t="s">
        <v>428</v>
      </c>
      <c r="D148" s="30"/>
      <c r="E148" s="30"/>
      <c r="F148" s="30"/>
      <c r="G148" s="30" t="s">
        <v>4032</v>
      </c>
      <c r="H148" s="30" t="s">
        <v>141</v>
      </c>
      <c r="I148" s="30" t="s">
        <v>22</v>
      </c>
      <c r="J148" s="30" t="s">
        <v>142</v>
      </c>
      <c r="K148" s="30" t="s">
        <v>116</v>
      </c>
      <c r="L148" s="30" t="s">
        <v>146</v>
      </c>
      <c r="M148" s="48"/>
      <c r="N148" s="30"/>
      <c r="O148" s="30"/>
      <c r="P148" s="30"/>
    </row>
    <row r="149" spans="1:16" ht="60" customHeight="1">
      <c r="A149" s="30" t="s">
        <v>429</v>
      </c>
      <c r="B149" s="47" t="s">
        <v>430</v>
      </c>
      <c r="C149" s="49" t="s">
        <v>431</v>
      </c>
      <c r="D149" s="30"/>
      <c r="E149" s="30"/>
      <c r="F149" s="30"/>
      <c r="G149" s="30"/>
      <c r="H149" s="30" t="s">
        <v>141</v>
      </c>
      <c r="I149" s="30" t="s">
        <v>22</v>
      </c>
      <c r="J149" s="30" t="s">
        <v>144</v>
      </c>
      <c r="K149" s="30" t="s">
        <v>117</v>
      </c>
      <c r="L149" s="30" t="s">
        <v>122</v>
      </c>
      <c r="M149" s="48"/>
      <c r="N149" s="30"/>
      <c r="O149" s="30"/>
      <c r="P149" s="30"/>
    </row>
    <row r="150" spans="1:16" ht="60" customHeight="1">
      <c r="A150" s="30" t="s">
        <v>432</v>
      </c>
      <c r="B150" s="47" t="s">
        <v>430</v>
      </c>
      <c r="C150" s="49" t="s">
        <v>433</v>
      </c>
      <c r="D150" s="30"/>
      <c r="E150" s="30"/>
      <c r="F150" s="30"/>
      <c r="G150" s="30"/>
      <c r="H150" s="30" t="s">
        <v>141</v>
      </c>
      <c r="I150" s="30" t="s">
        <v>22</v>
      </c>
      <c r="J150" s="30" t="s">
        <v>144</v>
      </c>
      <c r="K150" s="30" t="s">
        <v>117</v>
      </c>
      <c r="L150" s="30" t="s">
        <v>122</v>
      </c>
      <c r="M150" s="48"/>
      <c r="N150" s="30"/>
      <c r="O150" s="30"/>
      <c r="P150" s="30"/>
    </row>
    <row r="151" spans="1:16" ht="30" customHeight="1">
      <c r="A151" s="30" t="s">
        <v>434</v>
      </c>
      <c r="B151" s="47" t="s">
        <v>430</v>
      </c>
      <c r="C151" s="49" t="s">
        <v>435</v>
      </c>
      <c r="D151" s="30"/>
      <c r="E151" s="30"/>
      <c r="F151" s="30"/>
      <c r="G151" s="30" t="s">
        <v>4034</v>
      </c>
      <c r="H151" s="30" t="s">
        <v>141</v>
      </c>
      <c r="I151" s="30" t="s">
        <v>22</v>
      </c>
      <c r="J151" s="30" t="s">
        <v>142</v>
      </c>
      <c r="K151" s="30" t="s">
        <v>116</v>
      </c>
      <c r="L151" s="30" t="s">
        <v>146</v>
      </c>
      <c r="M151" s="48"/>
      <c r="N151" s="30"/>
      <c r="O151" s="30"/>
      <c r="P151" s="30"/>
    </row>
    <row r="152" spans="1:16" ht="45" customHeight="1">
      <c r="A152" s="30" t="s">
        <v>436</v>
      </c>
      <c r="B152" s="47" t="s">
        <v>437</v>
      </c>
      <c r="C152" s="49" t="s">
        <v>438</v>
      </c>
      <c r="D152" s="30"/>
      <c r="E152" s="30"/>
      <c r="F152" s="30"/>
      <c r="G152" s="30"/>
      <c r="H152" s="30" t="s">
        <v>141</v>
      </c>
      <c r="I152" s="30" t="s">
        <v>22</v>
      </c>
      <c r="J152" s="30" t="s">
        <v>144</v>
      </c>
      <c r="K152" s="30" t="s">
        <v>117</v>
      </c>
      <c r="L152" s="30" t="s">
        <v>122</v>
      </c>
      <c r="M152" s="48"/>
      <c r="N152" s="30"/>
      <c r="O152" s="30"/>
      <c r="P152" s="30"/>
    </row>
    <row r="153" spans="1:16" s="31" customFormat="1" ht="360" customHeight="1">
      <c r="A153" s="30" t="s">
        <v>439</v>
      </c>
      <c r="B153" s="47" t="s">
        <v>437</v>
      </c>
      <c r="C153" s="48" t="s">
        <v>4186</v>
      </c>
      <c r="D153" s="30"/>
      <c r="E153" s="30"/>
      <c r="F153" s="30"/>
      <c r="G153" s="30" t="s">
        <v>4187</v>
      </c>
      <c r="H153" s="30" t="s">
        <v>141</v>
      </c>
      <c r="I153" s="30" t="s">
        <v>22</v>
      </c>
      <c r="J153" s="30" t="s">
        <v>142</v>
      </c>
      <c r="K153" s="30" t="s">
        <v>116</v>
      </c>
      <c r="L153" s="30" t="s">
        <v>146</v>
      </c>
      <c r="M153" s="48"/>
      <c r="N153" s="66"/>
      <c r="O153" s="30"/>
      <c r="P153" s="30"/>
    </row>
    <row r="154" spans="1:16" s="31" customFormat="1" ht="75" customHeight="1">
      <c r="A154" s="30" t="s">
        <v>4188</v>
      </c>
      <c r="B154" s="47" t="s">
        <v>437</v>
      </c>
      <c r="C154" s="48" t="s">
        <v>4189</v>
      </c>
      <c r="D154" s="30"/>
      <c r="E154" s="30"/>
      <c r="F154" s="30"/>
      <c r="G154" s="30" t="s">
        <v>4187</v>
      </c>
      <c r="H154" s="30" t="s">
        <v>141</v>
      </c>
      <c r="I154" s="30" t="s">
        <v>22</v>
      </c>
      <c r="J154" s="30" t="s">
        <v>142</v>
      </c>
      <c r="K154" s="30" t="s">
        <v>116</v>
      </c>
      <c r="L154" s="30" t="s">
        <v>146</v>
      </c>
      <c r="M154" s="48"/>
      <c r="N154" s="66"/>
      <c r="O154" s="30"/>
      <c r="P154" s="30"/>
    </row>
    <row r="155" spans="1:16" ht="75" customHeight="1">
      <c r="A155" s="30" t="s">
        <v>440</v>
      </c>
      <c r="B155" s="47" t="s">
        <v>437</v>
      </c>
      <c r="C155" s="49" t="s">
        <v>441</v>
      </c>
      <c r="D155" s="30"/>
      <c r="E155" s="30"/>
      <c r="F155" s="30"/>
      <c r="G155" s="30"/>
      <c r="H155" s="30" t="s">
        <v>141</v>
      </c>
      <c r="I155" s="30" t="s">
        <v>22</v>
      </c>
      <c r="J155" s="30" t="s">
        <v>144</v>
      </c>
      <c r="K155" s="30" t="s">
        <v>117</v>
      </c>
      <c r="L155" s="30" t="s">
        <v>122</v>
      </c>
      <c r="M155" s="48"/>
      <c r="N155" s="30"/>
      <c r="O155" s="30"/>
      <c r="P155" s="30"/>
    </row>
    <row r="156" spans="1:16" ht="75" customHeight="1">
      <c r="A156" s="30" t="s">
        <v>442</v>
      </c>
      <c r="B156" s="47" t="s">
        <v>437</v>
      </c>
      <c r="C156" s="49" t="s">
        <v>443</v>
      </c>
      <c r="D156" s="30"/>
      <c r="E156" s="30"/>
      <c r="F156" s="30"/>
      <c r="G156" s="30"/>
      <c r="H156" s="30" t="s">
        <v>141</v>
      </c>
      <c r="I156" s="30" t="s">
        <v>22</v>
      </c>
      <c r="J156" s="30" t="s">
        <v>144</v>
      </c>
      <c r="K156" s="30" t="s">
        <v>117</v>
      </c>
      <c r="L156" s="30" t="s">
        <v>122</v>
      </c>
      <c r="M156" s="48"/>
      <c r="N156" s="30"/>
      <c r="O156" s="30"/>
      <c r="P156" s="30"/>
    </row>
    <row r="157" spans="1:16" ht="75" customHeight="1">
      <c r="A157" s="30" t="s">
        <v>444</v>
      </c>
      <c r="B157" s="47" t="s">
        <v>437</v>
      </c>
      <c r="C157" s="49" t="s">
        <v>445</v>
      </c>
      <c r="D157" s="30"/>
      <c r="E157" s="30"/>
      <c r="F157" s="30"/>
      <c r="G157" s="30"/>
      <c r="H157" s="30" t="s">
        <v>141</v>
      </c>
      <c r="I157" s="30" t="s">
        <v>22</v>
      </c>
      <c r="J157" s="30" t="s">
        <v>144</v>
      </c>
      <c r="K157" s="30" t="s">
        <v>117</v>
      </c>
      <c r="L157" s="30" t="s">
        <v>122</v>
      </c>
      <c r="M157" s="48"/>
      <c r="N157" s="30"/>
      <c r="O157" s="30"/>
      <c r="P157" s="30"/>
    </row>
    <row r="158" spans="1:16" ht="60" customHeight="1">
      <c r="A158" s="30" t="s">
        <v>446</v>
      </c>
      <c r="B158" s="47" t="s">
        <v>437</v>
      </c>
      <c r="C158" s="49" t="s">
        <v>447</v>
      </c>
      <c r="D158" s="30"/>
      <c r="E158" s="30"/>
      <c r="F158" s="30"/>
      <c r="G158" s="30"/>
      <c r="H158" s="30" t="s">
        <v>141</v>
      </c>
      <c r="I158" s="30" t="s">
        <v>22</v>
      </c>
      <c r="J158" s="30" t="s">
        <v>144</v>
      </c>
      <c r="K158" s="30" t="s">
        <v>117</v>
      </c>
      <c r="L158" s="30" t="s">
        <v>122</v>
      </c>
      <c r="M158" s="48"/>
      <c r="N158" s="30"/>
      <c r="O158" s="30"/>
      <c r="P158" s="30"/>
    </row>
    <row r="159" spans="1:16" ht="60" customHeight="1">
      <c r="A159" s="30" t="s">
        <v>448</v>
      </c>
      <c r="B159" s="47" t="s">
        <v>437</v>
      </c>
      <c r="C159" s="49" t="s">
        <v>449</v>
      </c>
      <c r="D159" s="30"/>
      <c r="E159" s="30"/>
      <c r="F159" s="30"/>
      <c r="G159" s="30"/>
      <c r="H159" s="30" t="s">
        <v>141</v>
      </c>
      <c r="I159" s="30" t="s">
        <v>22</v>
      </c>
      <c r="J159" s="30" t="s">
        <v>144</v>
      </c>
      <c r="K159" s="30" t="s">
        <v>117</v>
      </c>
      <c r="L159" s="30" t="s">
        <v>122</v>
      </c>
      <c r="M159" s="48"/>
      <c r="N159" s="30"/>
      <c r="O159" s="30"/>
      <c r="P159" s="30"/>
    </row>
    <row r="160" spans="1:16" ht="45" customHeight="1">
      <c r="A160" s="30" t="s">
        <v>450</v>
      </c>
      <c r="B160" s="47" t="s">
        <v>437</v>
      </c>
      <c r="C160" s="49" t="s">
        <v>451</v>
      </c>
      <c r="D160" s="30"/>
      <c r="E160" s="30"/>
      <c r="F160" s="30"/>
      <c r="G160" s="30"/>
      <c r="H160" s="30" t="s">
        <v>141</v>
      </c>
      <c r="I160" s="30" t="s">
        <v>22</v>
      </c>
      <c r="J160" s="30" t="s">
        <v>144</v>
      </c>
      <c r="K160" s="30" t="s">
        <v>117</v>
      </c>
      <c r="L160" s="30" t="s">
        <v>122</v>
      </c>
      <c r="M160" s="48"/>
      <c r="N160" s="30"/>
      <c r="O160" s="30"/>
      <c r="P160" s="30"/>
    </row>
    <row r="161" spans="1:16" ht="75" customHeight="1">
      <c r="A161" s="30" t="s">
        <v>452</v>
      </c>
      <c r="B161" s="47" t="s">
        <v>437</v>
      </c>
      <c r="C161" s="49" t="s">
        <v>453</v>
      </c>
      <c r="D161" s="30"/>
      <c r="E161" s="30"/>
      <c r="F161" s="30"/>
      <c r="G161" s="30"/>
      <c r="H161" s="30" t="s">
        <v>141</v>
      </c>
      <c r="I161" s="30" t="s">
        <v>22</v>
      </c>
      <c r="J161" s="30" t="s">
        <v>144</v>
      </c>
      <c r="K161" s="30" t="s">
        <v>117</v>
      </c>
      <c r="L161" s="30" t="s">
        <v>122</v>
      </c>
      <c r="M161" s="48"/>
      <c r="N161" s="30"/>
      <c r="O161" s="30"/>
      <c r="P161" s="30"/>
    </row>
    <row r="162" spans="1:16" ht="75" customHeight="1">
      <c r="A162" s="30" t="s">
        <v>454</v>
      </c>
      <c r="B162" s="47" t="s">
        <v>437</v>
      </c>
      <c r="C162" s="49" t="s">
        <v>455</v>
      </c>
      <c r="D162" s="30"/>
      <c r="E162" s="30"/>
      <c r="F162" s="30"/>
      <c r="G162" s="30"/>
      <c r="H162" s="30" t="s">
        <v>141</v>
      </c>
      <c r="I162" s="30" t="s">
        <v>22</v>
      </c>
      <c r="J162" s="30" t="s">
        <v>144</v>
      </c>
      <c r="K162" s="30" t="s">
        <v>117</v>
      </c>
      <c r="L162" s="30" t="s">
        <v>122</v>
      </c>
      <c r="M162" s="48"/>
      <c r="N162" s="30"/>
      <c r="O162" s="30"/>
      <c r="P162" s="30"/>
    </row>
    <row r="163" spans="1:16" ht="30" customHeight="1">
      <c r="A163" s="30" t="s">
        <v>456</v>
      </c>
      <c r="B163" s="47" t="s">
        <v>437</v>
      </c>
      <c r="C163" s="49" t="s">
        <v>457</v>
      </c>
      <c r="D163" s="30"/>
      <c r="E163" s="30"/>
      <c r="F163" s="30"/>
      <c r="G163" s="30"/>
      <c r="H163" s="30" t="s">
        <v>141</v>
      </c>
      <c r="I163" s="30" t="s">
        <v>22</v>
      </c>
      <c r="J163" s="30" t="s">
        <v>144</v>
      </c>
      <c r="K163" s="30" t="s">
        <v>117</v>
      </c>
      <c r="L163" s="30" t="s">
        <v>122</v>
      </c>
      <c r="M163" s="48"/>
      <c r="N163" s="30"/>
      <c r="O163" s="30"/>
      <c r="P163" s="30"/>
    </row>
    <row r="164" spans="1:16" ht="60" customHeight="1">
      <c r="A164" s="30" t="s">
        <v>458</v>
      </c>
      <c r="B164" s="47" t="s">
        <v>437</v>
      </c>
      <c r="C164" s="49" t="s">
        <v>459</v>
      </c>
      <c r="D164" s="30"/>
      <c r="E164" s="30"/>
      <c r="F164" s="30"/>
      <c r="G164" s="30"/>
      <c r="H164" s="30" t="s">
        <v>141</v>
      </c>
      <c r="I164" s="30" t="s">
        <v>22</v>
      </c>
      <c r="J164" s="30" t="s">
        <v>144</v>
      </c>
      <c r="K164" s="30" t="s">
        <v>117</v>
      </c>
      <c r="L164" s="30" t="s">
        <v>122</v>
      </c>
      <c r="M164" s="48"/>
      <c r="N164" s="30"/>
      <c r="O164" s="30"/>
      <c r="P164" s="30"/>
    </row>
    <row r="165" spans="1:16" ht="75" customHeight="1">
      <c r="A165" s="30" t="s">
        <v>460</v>
      </c>
      <c r="B165" s="47" t="s">
        <v>437</v>
      </c>
      <c r="C165" s="49" t="s">
        <v>461</v>
      </c>
      <c r="D165" s="30"/>
      <c r="E165" s="30"/>
      <c r="F165" s="30"/>
      <c r="G165" s="30"/>
      <c r="H165" s="30" t="s">
        <v>141</v>
      </c>
      <c r="I165" s="30" t="s">
        <v>22</v>
      </c>
      <c r="J165" s="30" t="s">
        <v>144</v>
      </c>
      <c r="K165" s="30" t="s">
        <v>117</v>
      </c>
      <c r="L165" s="30" t="s">
        <v>122</v>
      </c>
      <c r="M165" s="48"/>
      <c r="N165" s="30"/>
      <c r="O165" s="30"/>
      <c r="P165" s="30"/>
    </row>
    <row r="166" spans="1:16" ht="60" customHeight="1">
      <c r="A166" s="30" t="s">
        <v>462</v>
      </c>
      <c r="B166" s="47" t="s">
        <v>437</v>
      </c>
      <c r="C166" s="49" t="s">
        <v>463</v>
      </c>
      <c r="D166" s="30"/>
      <c r="E166" s="30"/>
      <c r="F166" s="30"/>
      <c r="G166" s="30"/>
      <c r="H166" s="30" t="s">
        <v>141</v>
      </c>
      <c r="I166" s="30" t="s">
        <v>22</v>
      </c>
      <c r="J166" s="30" t="s">
        <v>144</v>
      </c>
      <c r="K166" s="30" t="s">
        <v>117</v>
      </c>
      <c r="L166" s="30" t="s">
        <v>122</v>
      </c>
      <c r="M166" s="48"/>
      <c r="N166" s="30"/>
      <c r="O166" s="30"/>
      <c r="P166" s="30"/>
    </row>
    <row r="167" spans="1:16" ht="45" customHeight="1">
      <c r="A167" s="30" t="s">
        <v>464</v>
      </c>
      <c r="B167" s="47" t="s">
        <v>437</v>
      </c>
      <c r="C167" s="48" t="s">
        <v>465</v>
      </c>
      <c r="D167" s="30"/>
      <c r="E167" s="30"/>
      <c r="F167" s="30"/>
      <c r="G167" s="30"/>
      <c r="H167" s="30" t="s">
        <v>141</v>
      </c>
      <c r="I167" s="30" t="s">
        <v>22</v>
      </c>
      <c r="J167" s="30" t="s">
        <v>145</v>
      </c>
      <c r="K167" s="30" t="s">
        <v>116</v>
      </c>
      <c r="L167" s="30" t="s">
        <v>121</v>
      </c>
      <c r="M167" s="48" t="s">
        <v>466</v>
      </c>
      <c r="N167" s="30"/>
      <c r="O167" s="30"/>
      <c r="P167" s="30"/>
    </row>
    <row r="168" spans="1:16" ht="60" customHeight="1">
      <c r="A168" s="30" t="s">
        <v>467</v>
      </c>
      <c r="B168" s="47" t="s">
        <v>437</v>
      </c>
      <c r="C168" s="48" t="s">
        <v>468</v>
      </c>
      <c r="D168" s="30"/>
      <c r="E168" s="30"/>
      <c r="F168" s="30"/>
      <c r="G168" s="30"/>
      <c r="H168" s="30" t="s">
        <v>141</v>
      </c>
      <c r="I168" s="30" t="s">
        <v>31</v>
      </c>
      <c r="J168" s="30" t="s">
        <v>144</v>
      </c>
      <c r="K168" s="30" t="s">
        <v>117</v>
      </c>
      <c r="L168" s="30" t="s">
        <v>3664</v>
      </c>
      <c r="M168" s="51" t="s">
        <v>4044</v>
      </c>
      <c r="N168" s="30"/>
      <c r="O168" s="30"/>
      <c r="P168" s="30"/>
    </row>
    <row r="169" spans="1:16" ht="60" customHeight="1">
      <c r="A169" s="30" t="s">
        <v>469</v>
      </c>
      <c r="B169" s="47" t="s">
        <v>437</v>
      </c>
      <c r="C169" s="48" t="s">
        <v>470</v>
      </c>
      <c r="D169" s="30"/>
      <c r="E169" s="30"/>
      <c r="F169" s="30"/>
      <c r="G169" s="30"/>
      <c r="H169" s="30" t="s">
        <v>149</v>
      </c>
      <c r="I169" s="30" t="s">
        <v>31</v>
      </c>
      <c r="J169" s="30" t="s">
        <v>144</v>
      </c>
      <c r="K169" s="30" t="s">
        <v>117</v>
      </c>
      <c r="L169" s="30" t="s">
        <v>3664</v>
      </c>
      <c r="M169" s="51" t="s">
        <v>4044</v>
      </c>
      <c r="N169" s="30"/>
      <c r="O169" s="30"/>
      <c r="P169" s="30"/>
    </row>
    <row r="170" spans="1:16" ht="105" customHeight="1">
      <c r="A170" s="30" t="s">
        <v>471</v>
      </c>
      <c r="B170" s="47" t="s">
        <v>437</v>
      </c>
      <c r="C170" s="49" t="s">
        <v>472</v>
      </c>
      <c r="D170" s="30"/>
      <c r="E170" s="30"/>
      <c r="F170" s="30"/>
      <c r="G170" s="30"/>
      <c r="H170" s="30" t="s">
        <v>141</v>
      </c>
      <c r="I170" s="30" t="s">
        <v>22</v>
      </c>
      <c r="J170" s="30" t="s">
        <v>144</v>
      </c>
      <c r="K170" s="30" t="s">
        <v>117</v>
      </c>
      <c r="L170" s="30" t="s">
        <v>122</v>
      </c>
      <c r="M170" s="48"/>
      <c r="N170" s="30"/>
      <c r="O170" s="30"/>
      <c r="P170" s="30"/>
    </row>
    <row r="171" spans="1:16" ht="60" customHeight="1">
      <c r="A171" s="30" t="s">
        <v>473</v>
      </c>
      <c r="B171" s="47" t="s">
        <v>437</v>
      </c>
      <c r="C171" s="49" t="s">
        <v>474</v>
      </c>
      <c r="D171" s="30"/>
      <c r="E171" s="30"/>
      <c r="F171" s="30"/>
      <c r="G171" s="30"/>
      <c r="H171" s="30" t="s">
        <v>141</v>
      </c>
      <c r="I171" s="30" t="s">
        <v>22</v>
      </c>
      <c r="J171" s="30" t="s">
        <v>144</v>
      </c>
      <c r="K171" s="30" t="s">
        <v>117</v>
      </c>
      <c r="L171" s="30" t="s">
        <v>122</v>
      </c>
      <c r="M171" s="48"/>
      <c r="N171" s="30"/>
      <c r="O171" s="30"/>
      <c r="P171" s="30"/>
    </row>
    <row r="172" spans="1:16" ht="45" customHeight="1">
      <c r="A172" s="30" t="s">
        <v>475</v>
      </c>
      <c r="B172" s="47" t="s">
        <v>437</v>
      </c>
      <c r="C172" s="49" t="s">
        <v>476</v>
      </c>
      <c r="D172" s="30"/>
      <c r="E172" s="30"/>
      <c r="F172" s="30"/>
      <c r="G172" s="30" t="s">
        <v>4034</v>
      </c>
      <c r="H172" s="30" t="s">
        <v>141</v>
      </c>
      <c r="I172" s="30" t="s">
        <v>30</v>
      </c>
      <c r="J172" s="30" t="s">
        <v>142</v>
      </c>
      <c r="K172" s="30" t="s">
        <v>116</v>
      </c>
      <c r="L172" s="30" t="s">
        <v>143</v>
      </c>
      <c r="M172" s="48"/>
      <c r="N172" s="30"/>
      <c r="O172" s="30"/>
      <c r="P172" s="30"/>
    </row>
    <row r="173" spans="1:16" ht="60" customHeight="1">
      <c r="A173" s="30" t="s">
        <v>477</v>
      </c>
      <c r="B173" s="47" t="s">
        <v>437</v>
      </c>
      <c r="C173" s="49" t="s">
        <v>478</v>
      </c>
      <c r="D173" s="30"/>
      <c r="E173" s="30"/>
      <c r="F173" s="30"/>
      <c r="G173" s="30"/>
      <c r="H173" s="30" t="s">
        <v>141</v>
      </c>
      <c r="I173" s="30" t="s">
        <v>22</v>
      </c>
      <c r="J173" s="30" t="s">
        <v>144</v>
      </c>
      <c r="K173" s="30" t="s">
        <v>117</v>
      </c>
      <c r="L173" s="30" t="s">
        <v>122</v>
      </c>
      <c r="M173" s="48"/>
      <c r="N173" s="30"/>
      <c r="O173" s="30"/>
      <c r="P173" s="30"/>
    </row>
    <row r="174" spans="1:16" ht="90" customHeight="1">
      <c r="A174" s="30" t="s">
        <v>479</v>
      </c>
      <c r="B174" s="47" t="s">
        <v>437</v>
      </c>
      <c r="C174" s="49" t="s">
        <v>480</v>
      </c>
      <c r="D174" s="30"/>
      <c r="E174" s="30"/>
      <c r="F174" s="30"/>
      <c r="G174" s="30"/>
      <c r="H174" s="30" t="s">
        <v>141</v>
      </c>
      <c r="I174" s="30" t="s">
        <v>22</v>
      </c>
      <c r="J174" s="30" t="s">
        <v>144</v>
      </c>
      <c r="K174" s="30" t="s">
        <v>117</v>
      </c>
      <c r="L174" s="30" t="s">
        <v>122</v>
      </c>
      <c r="M174" s="48"/>
      <c r="N174" s="30"/>
      <c r="O174" s="30"/>
      <c r="P174" s="30"/>
    </row>
    <row r="175" spans="1:16" ht="90" customHeight="1">
      <c r="A175" s="30" t="s">
        <v>481</v>
      </c>
      <c r="B175" s="47" t="s">
        <v>437</v>
      </c>
      <c r="C175" s="49" t="s">
        <v>482</v>
      </c>
      <c r="D175" s="30"/>
      <c r="E175" s="30"/>
      <c r="F175" s="30"/>
      <c r="G175" s="30"/>
      <c r="H175" s="30" t="s">
        <v>141</v>
      </c>
      <c r="I175" s="30" t="s">
        <v>30</v>
      </c>
      <c r="J175" s="30" t="s">
        <v>144</v>
      </c>
      <c r="K175" s="30" t="s">
        <v>117</v>
      </c>
      <c r="L175" s="30" t="s">
        <v>122</v>
      </c>
      <c r="M175" s="48"/>
      <c r="N175" s="30"/>
      <c r="O175" s="30"/>
      <c r="P175" s="30"/>
    </row>
    <row r="176" spans="1:16" ht="90" customHeight="1">
      <c r="A176" s="30" t="s">
        <v>483</v>
      </c>
      <c r="B176" s="47" t="s">
        <v>437</v>
      </c>
      <c r="C176" s="49" t="s">
        <v>484</v>
      </c>
      <c r="D176" s="30"/>
      <c r="E176" s="30"/>
      <c r="F176" s="30"/>
      <c r="G176" s="30"/>
      <c r="H176" s="30" t="s">
        <v>141</v>
      </c>
      <c r="I176" s="30" t="s">
        <v>22</v>
      </c>
      <c r="J176" s="30" t="s">
        <v>144</v>
      </c>
      <c r="K176" s="30" t="s">
        <v>117</v>
      </c>
      <c r="L176" s="30" t="s">
        <v>122</v>
      </c>
      <c r="M176" s="48"/>
      <c r="N176" s="30"/>
      <c r="O176" s="30"/>
      <c r="P176" s="30"/>
    </row>
    <row r="177" spans="1:16" ht="30" customHeight="1">
      <c r="A177" s="30" t="s">
        <v>485</v>
      </c>
      <c r="B177" s="47" t="s">
        <v>486</v>
      </c>
      <c r="C177" s="48" t="s">
        <v>487</v>
      </c>
      <c r="D177" s="30"/>
      <c r="E177" s="30"/>
      <c r="F177" s="30"/>
      <c r="G177" s="30"/>
      <c r="H177" s="30" t="s">
        <v>141</v>
      </c>
      <c r="I177" s="30" t="s">
        <v>22</v>
      </c>
      <c r="J177" s="30" t="s">
        <v>144</v>
      </c>
      <c r="K177" s="30" t="s">
        <v>117</v>
      </c>
      <c r="L177" s="30" t="s">
        <v>122</v>
      </c>
      <c r="M177" s="48"/>
      <c r="N177" s="30"/>
      <c r="O177" s="30"/>
      <c r="P177" s="30"/>
    </row>
    <row r="178" spans="1:16" ht="345" customHeight="1">
      <c r="A178" s="30" t="s">
        <v>488</v>
      </c>
      <c r="B178" s="47" t="s">
        <v>486</v>
      </c>
      <c r="C178" s="48" t="s">
        <v>489</v>
      </c>
      <c r="D178" s="30"/>
      <c r="E178" s="30"/>
      <c r="F178" s="30"/>
      <c r="G178" s="30" t="s">
        <v>4034</v>
      </c>
      <c r="H178" s="30" t="s">
        <v>141</v>
      </c>
      <c r="I178" s="30" t="s">
        <v>22</v>
      </c>
      <c r="J178" s="30" t="s">
        <v>142</v>
      </c>
      <c r="K178" s="30" t="s">
        <v>116</v>
      </c>
      <c r="L178" s="30" t="s">
        <v>146</v>
      </c>
      <c r="M178" s="48"/>
      <c r="N178" s="30"/>
      <c r="O178" s="30"/>
      <c r="P178" s="30"/>
    </row>
    <row r="179" spans="1:16" ht="60" customHeight="1">
      <c r="A179" s="30" t="s">
        <v>490</v>
      </c>
      <c r="B179" s="47" t="s">
        <v>486</v>
      </c>
      <c r="C179" s="48" t="s">
        <v>491</v>
      </c>
      <c r="D179" s="30"/>
      <c r="E179" s="30"/>
      <c r="F179" s="30"/>
      <c r="G179" s="30"/>
      <c r="H179" s="30" t="s">
        <v>141</v>
      </c>
      <c r="I179" s="30" t="s">
        <v>22</v>
      </c>
      <c r="J179" s="30" t="s">
        <v>144</v>
      </c>
      <c r="K179" s="30" t="s">
        <v>117</v>
      </c>
      <c r="L179" s="30" t="s">
        <v>122</v>
      </c>
      <c r="M179" s="48"/>
      <c r="N179" s="30"/>
      <c r="O179" s="30"/>
      <c r="P179" s="30"/>
    </row>
    <row r="180" spans="1:16" ht="60" customHeight="1">
      <c r="A180" s="30" t="s">
        <v>492</v>
      </c>
      <c r="B180" s="47" t="s">
        <v>486</v>
      </c>
      <c r="C180" s="48" t="s">
        <v>493</v>
      </c>
      <c r="D180" s="30"/>
      <c r="E180" s="30"/>
      <c r="F180" s="30"/>
      <c r="G180" s="30"/>
      <c r="H180" s="30" t="s">
        <v>141</v>
      </c>
      <c r="I180" s="30" t="s">
        <v>22</v>
      </c>
      <c r="J180" s="30" t="s">
        <v>144</v>
      </c>
      <c r="K180" s="30" t="s">
        <v>117</v>
      </c>
      <c r="L180" s="30" t="s">
        <v>122</v>
      </c>
      <c r="M180" s="48"/>
      <c r="N180" s="30"/>
      <c r="O180" s="30"/>
      <c r="P180" s="30"/>
    </row>
    <row r="181" spans="1:16" ht="60" customHeight="1">
      <c r="A181" s="30" t="s">
        <v>494</v>
      </c>
      <c r="B181" s="47" t="s">
        <v>486</v>
      </c>
      <c r="C181" s="48" t="s">
        <v>495</v>
      </c>
      <c r="D181" s="30"/>
      <c r="E181" s="30"/>
      <c r="F181" s="30"/>
      <c r="G181" s="30"/>
      <c r="H181" s="30" t="s">
        <v>141</v>
      </c>
      <c r="I181" s="30" t="s">
        <v>22</v>
      </c>
      <c r="J181" s="30" t="s">
        <v>144</v>
      </c>
      <c r="K181" s="30" t="s">
        <v>117</v>
      </c>
      <c r="L181" s="30" t="s">
        <v>122</v>
      </c>
      <c r="M181" s="48"/>
      <c r="N181" s="30"/>
      <c r="O181" s="30"/>
      <c r="P181" s="30"/>
    </row>
    <row r="182" spans="1:16" ht="60" customHeight="1">
      <c r="A182" s="30" t="s">
        <v>496</v>
      </c>
      <c r="B182" s="47" t="s">
        <v>486</v>
      </c>
      <c r="C182" s="48" t="s">
        <v>497</v>
      </c>
      <c r="D182" s="30"/>
      <c r="E182" s="30"/>
      <c r="F182" s="30"/>
      <c r="G182" s="30"/>
      <c r="H182" s="30" t="s">
        <v>141</v>
      </c>
      <c r="I182" s="30" t="s">
        <v>22</v>
      </c>
      <c r="J182" s="30" t="s">
        <v>144</v>
      </c>
      <c r="K182" s="30" t="s">
        <v>117</v>
      </c>
      <c r="L182" s="30" t="s">
        <v>122</v>
      </c>
      <c r="M182" s="48"/>
      <c r="N182" s="30"/>
      <c r="O182" s="30"/>
      <c r="P182" s="30"/>
    </row>
    <row r="183" spans="1:16" ht="60" customHeight="1">
      <c r="A183" s="30" t="s">
        <v>498</v>
      </c>
      <c r="B183" s="47" t="s">
        <v>486</v>
      </c>
      <c r="C183" s="48" t="s">
        <v>499</v>
      </c>
      <c r="D183" s="30"/>
      <c r="E183" s="30"/>
      <c r="F183" s="30"/>
      <c r="G183" s="30"/>
      <c r="H183" s="30" t="s">
        <v>141</v>
      </c>
      <c r="I183" s="30" t="s">
        <v>22</v>
      </c>
      <c r="J183" s="30" t="s">
        <v>144</v>
      </c>
      <c r="K183" s="30" t="s">
        <v>117</v>
      </c>
      <c r="L183" s="30" t="s">
        <v>122</v>
      </c>
      <c r="M183" s="48"/>
      <c r="N183" s="30"/>
      <c r="O183" s="30"/>
      <c r="P183" s="30"/>
    </row>
    <row r="184" spans="1:16" ht="60" customHeight="1">
      <c r="A184" s="30" t="s">
        <v>500</v>
      </c>
      <c r="B184" s="47" t="s">
        <v>486</v>
      </c>
      <c r="C184" s="48" t="s">
        <v>501</v>
      </c>
      <c r="D184" s="30"/>
      <c r="E184" s="30"/>
      <c r="F184" s="30"/>
      <c r="G184" s="30"/>
      <c r="H184" s="30" t="s">
        <v>141</v>
      </c>
      <c r="I184" s="30" t="s">
        <v>22</v>
      </c>
      <c r="J184" s="30" t="s">
        <v>144</v>
      </c>
      <c r="K184" s="30" t="s">
        <v>117</v>
      </c>
      <c r="L184" s="30" t="s">
        <v>122</v>
      </c>
      <c r="M184" s="48"/>
      <c r="N184" s="30"/>
      <c r="O184" s="30"/>
      <c r="P184" s="30"/>
    </row>
    <row r="185" spans="1:16" ht="60" customHeight="1">
      <c r="A185" s="30" t="s">
        <v>502</v>
      </c>
      <c r="B185" s="47" t="s">
        <v>486</v>
      </c>
      <c r="C185" s="48" t="s">
        <v>503</v>
      </c>
      <c r="D185" s="30"/>
      <c r="E185" s="30"/>
      <c r="F185" s="30"/>
      <c r="G185" s="30"/>
      <c r="H185" s="30" t="s">
        <v>141</v>
      </c>
      <c r="I185" s="30" t="s">
        <v>22</v>
      </c>
      <c r="J185" s="30" t="s">
        <v>144</v>
      </c>
      <c r="K185" s="30" t="s">
        <v>117</v>
      </c>
      <c r="L185" s="30" t="s">
        <v>122</v>
      </c>
      <c r="M185" s="48"/>
      <c r="N185" s="30"/>
      <c r="O185" s="30"/>
      <c r="P185" s="30"/>
    </row>
    <row r="186" spans="1:16" ht="60" customHeight="1">
      <c r="A186" s="30" t="s">
        <v>504</v>
      </c>
      <c r="B186" s="47" t="s">
        <v>486</v>
      </c>
      <c r="C186" s="48" t="s">
        <v>505</v>
      </c>
      <c r="D186" s="30"/>
      <c r="E186" s="30"/>
      <c r="F186" s="30"/>
      <c r="G186" s="30"/>
      <c r="H186" s="30" t="s">
        <v>141</v>
      </c>
      <c r="I186" s="30" t="s">
        <v>22</v>
      </c>
      <c r="J186" s="30" t="s">
        <v>144</v>
      </c>
      <c r="K186" s="30" t="s">
        <v>117</v>
      </c>
      <c r="L186" s="30" t="s">
        <v>122</v>
      </c>
      <c r="M186" s="48"/>
      <c r="N186" s="30"/>
      <c r="O186" s="30"/>
      <c r="P186" s="30"/>
    </row>
    <row r="187" spans="1:16" ht="60" customHeight="1">
      <c r="A187" s="30" t="s">
        <v>506</v>
      </c>
      <c r="B187" s="47" t="s">
        <v>486</v>
      </c>
      <c r="C187" s="48" t="s">
        <v>507</v>
      </c>
      <c r="D187" s="30"/>
      <c r="E187" s="30"/>
      <c r="F187" s="30"/>
      <c r="G187" s="30"/>
      <c r="H187" s="30" t="s">
        <v>141</v>
      </c>
      <c r="I187" s="30" t="s">
        <v>22</v>
      </c>
      <c r="J187" s="30" t="s">
        <v>144</v>
      </c>
      <c r="K187" s="30" t="s">
        <v>117</v>
      </c>
      <c r="L187" s="30" t="s">
        <v>122</v>
      </c>
      <c r="M187" s="48"/>
      <c r="N187" s="30"/>
      <c r="O187" s="30"/>
      <c r="P187" s="30"/>
    </row>
    <row r="188" spans="1:16" ht="45" customHeight="1">
      <c r="A188" s="30" t="s">
        <v>508</v>
      </c>
      <c r="B188" s="47" t="s">
        <v>486</v>
      </c>
      <c r="C188" s="48" t="s">
        <v>509</v>
      </c>
      <c r="D188" s="30"/>
      <c r="E188" s="30"/>
      <c r="F188" s="30"/>
      <c r="G188" s="30"/>
      <c r="H188" s="30" t="s">
        <v>141</v>
      </c>
      <c r="I188" s="30" t="s">
        <v>22</v>
      </c>
      <c r="J188" s="30" t="s">
        <v>144</v>
      </c>
      <c r="K188" s="30" t="s">
        <v>117</v>
      </c>
      <c r="L188" s="30" t="s">
        <v>122</v>
      </c>
      <c r="M188" s="48"/>
      <c r="N188" s="30"/>
      <c r="O188" s="30"/>
      <c r="P188" s="30"/>
    </row>
    <row r="189" spans="1:16" ht="60" customHeight="1">
      <c r="A189" s="30" t="s">
        <v>510</v>
      </c>
      <c r="B189" s="47" t="s">
        <v>486</v>
      </c>
      <c r="C189" s="48" t="s">
        <v>511</v>
      </c>
      <c r="D189" s="30"/>
      <c r="E189" s="30"/>
      <c r="F189" s="30"/>
      <c r="G189" s="30"/>
      <c r="H189" s="30" t="s">
        <v>141</v>
      </c>
      <c r="I189" s="30" t="s">
        <v>22</v>
      </c>
      <c r="J189" s="30" t="s">
        <v>144</v>
      </c>
      <c r="K189" s="30" t="s">
        <v>117</v>
      </c>
      <c r="L189" s="30" t="s">
        <v>122</v>
      </c>
      <c r="M189" s="48"/>
      <c r="N189" s="30"/>
      <c r="O189" s="30"/>
      <c r="P189" s="30"/>
    </row>
    <row r="190" spans="1:16" ht="60" customHeight="1">
      <c r="A190" s="30" t="s">
        <v>512</v>
      </c>
      <c r="B190" s="47" t="s">
        <v>486</v>
      </c>
      <c r="C190" s="48" t="s">
        <v>513</v>
      </c>
      <c r="D190" s="30"/>
      <c r="E190" s="30"/>
      <c r="F190" s="30"/>
      <c r="G190" s="30"/>
      <c r="H190" s="30" t="s">
        <v>141</v>
      </c>
      <c r="I190" s="30" t="s">
        <v>22</v>
      </c>
      <c r="J190" s="30" t="s">
        <v>144</v>
      </c>
      <c r="K190" s="30" t="s">
        <v>117</v>
      </c>
      <c r="L190" s="30" t="s">
        <v>122</v>
      </c>
      <c r="M190" s="48"/>
      <c r="N190" s="30"/>
      <c r="O190" s="30"/>
      <c r="P190" s="30"/>
    </row>
    <row r="191" spans="1:16" ht="60" customHeight="1">
      <c r="A191" s="30" t="s">
        <v>514</v>
      </c>
      <c r="B191" s="47" t="s">
        <v>486</v>
      </c>
      <c r="C191" s="48" t="s">
        <v>515</v>
      </c>
      <c r="D191" s="30"/>
      <c r="E191" s="30"/>
      <c r="F191" s="30"/>
      <c r="G191" s="30"/>
      <c r="H191" s="30" t="s">
        <v>141</v>
      </c>
      <c r="I191" s="30" t="s">
        <v>22</v>
      </c>
      <c r="J191" s="30" t="s">
        <v>144</v>
      </c>
      <c r="K191" s="30" t="s">
        <v>117</v>
      </c>
      <c r="L191" s="30" t="s">
        <v>122</v>
      </c>
      <c r="M191" s="48"/>
      <c r="N191" s="30"/>
      <c r="O191" s="30"/>
      <c r="P191" s="30"/>
    </row>
    <row r="192" spans="1:16" ht="45" customHeight="1">
      <c r="A192" s="30" t="s">
        <v>516</v>
      </c>
      <c r="B192" s="47" t="s">
        <v>486</v>
      </c>
      <c r="C192" s="48" t="s">
        <v>517</v>
      </c>
      <c r="D192" s="30"/>
      <c r="E192" s="30"/>
      <c r="F192" s="30"/>
      <c r="G192" s="30"/>
      <c r="H192" s="30" t="s">
        <v>141</v>
      </c>
      <c r="I192" s="30" t="s">
        <v>22</v>
      </c>
      <c r="J192" s="30" t="s">
        <v>145</v>
      </c>
      <c r="K192" s="30" t="s">
        <v>116</v>
      </c>
      <c r="L192" s="30" t="s">
        <v>121</v>
      </c>
      <c r="M192" s="48" t="s">
        <v>466</v>
      </c>
      <c r="N192" s="30"/>
      <c r="O192" s="30"/>
      <c r="P192" s="30"/>
    </row>
    <row r="193" spans="1:16" ht="60" customHeight="1">
      <c r="A193" s="30" t="s">
        <v>518</v>
      </c>
      <c r="B193" s="47" t="s">
        <v>486</v>
      </c>
      <c r="C193" s="48" t="s">
        <v>519</v>
      </c>
      <c r="D193" s="30"/>
      <c r="E193" s="30"/>
      <c r="F193" s="30"/>
      <c r="G193" s="30"/>
      <c r="H193" s="30" t="s">
        <v>141</v>
      </c>
      <c r="I193" s="30" t="s">
        <v>31</v>
      </c>
      <c r="J193" s="30" t="s">
        <v>144</v>
      </c>
      <c r="K193" s="30" t="s">
        <v>117</v>
      </c>
      <c r="L193" s="30" t="s">
        <v>3664</v>
      </c>
      <c r="M193" s="51" t="s">
        <v>4044</v>
      </c>
      <c r="N193" s="30"/>
      <c r="O193" s="30"/>
      <c r="P193" s="30"/>
    </row>
    <row r="194" spans="1:16" ht="60" customHeight="1">
      <c r="A194" s="30" t="s">
        <v>520</v>
      </c>
      <c r="B194" s="47" t="s">
        <v>486</v>
      </c>
      <c r="C194" s="48" t="s">
        <v>521</v>
      </c>
      <c r="D194" s="30"/>
      <c r="E194" s="30"/>
      <c r="F194" s="30"/>
      <c r="G194" s="30"/>
      <c r="H194" s="30" t="s">
        <v>149</v>
      </c>
      <c r="I194" s="30" t="s">
        <v>31</v>
      </c>
      <c r="J194" s="30" t="s">
        <v>144</v>
      </c>
      <c r="K194" s="30" t="s">
        <v>117</v>
      </c>
      <c r="L194" s="30" t="s">
        <v>3664</v>
      </c>
      <c r="M194" s="51" t="s">
        <v>4044</v>
      </c>
      <c r="N194" s="30"/>
      <c r="O194" s="30"/>
      <c r="P194" s="30"/>
    </row>
    <row r="195" spans="1:16" ht="60" customHeight="1">
      <c r="A195" s="30" t="s">
        <v>522</v>
      </c>
      <c r="B195" s="47" t="s">
        <v>486</v>
      </c>
      <c r="C195" s="48" t="s">
        <v>523</v>
      </c>
      <c r="D195" s="30"/>
      <c r="E195" s="30"/>
      <c r="F195" s="30"/>
      <c r="G195" s="30"/>
      <c r="H195" s="30" t="s">
        <v>141</v>
      </c>
      <c r="I195" s="30" t="s">
        <v>22</v>
      </c>
      <c r="J195" s="30" t="s">
        <v>144</v>
      </c>
      <c r="K195" s="30" t="s">
        <v>117</v>
      </c>
      <c r="L195" s="30" t="s">
        <v>122</v>
      </c>
      <c r="M195" s="48"/>
      <c r="N195" s="30"/>
      <c r="O195" s="30"/>
      <c r="P195" s="30"/>
    </row>
    <row r="196" spans="1:16" ht="75" customHeight="1">
      <c r="A196" s="30" t="s">
        <v>524</v>
      </c>
      <c r="B196" s="47" t="s">
        <v>486</v>
      </c>
      <c r="C196" s="48" t="s">
        <v>525</v>
      </c>
      <c r="D196" s="30"/>
      <c r="E196" s="30"/>
      <c r="F196" s="30"/>
      <c r="G196" s="30"/>
      <c r="H196" s="30" t="s">
        <v>141</v>
      </c>
      <c r="I196" s="30" t="s">
        <v>22</v>
      </c>
      <c r="J196" s="30" t="s">
        <v>144</v>
      </c>
      <c r="K196" s="30" t="s">
        <v>117</v>
      </c>
      <c r="L196" s="30" t="s">
        <v>122</v>
      </c>
      <c r="M196" s="48"/>
      <c r="N196" s="30"/>
      <c r="O196" s="30"/>
      <c r="P196" s="30"/>
    </row>
    <row r="197" spans="1:16" ht="75" customHeight="1">
      <c r="A197" s="30" t="s">
        <v>526</v>
      </c>
      <c r="B197" s="47" t="s">
        <v>486</v>
      </c>
      <c r="C197" s="48" t="s">
        <v>527</v>
      </c>
      <c r="D197" s="30"/>
      <c r="E197" s="30"/>
      <c r="F197" s="30"/>
      <c r="G197" s="30" t="s">
        <v>4034</v>
      </c>
      <c r="H197" s="30" t="s">
        <v>141</v>
      </c>
      <c r="I197" s="30" t="s">
        <v>30</v>
      </c>
      <c r="J197" s="30" t="s">
        <v>142</v>
      </c>
      <c r="K197" s="30" t="s">
        <v>116</v>
      </c>
      <c r="L197" s="30" t="s">
        <v>143</v>
      </c>
      <c r="M197" s="48"/>
      <c r="N197" s="30"/>
      <c r="O197" s="30"/>
      <c r="P197" s="30"/>
    </row>
    <row r="198" spans="1:16" ht="75" customHeight="1">
      <c r="A198" s="30" t="s">
        <v>528</v>
      </c>
      <c r="B198" s="47" t="s">
        <v>486</v>
      </c>
      <c r="C198" s="48" t="s">
        <v>529</v>
      </c>
      <c r="D198" s="30"/>
      <c r="E198" s="30"/>
      <c r="F198" s="30"/>
      <c r="G198" s="30"/>
      <c r="H198" s="30" t="s">
        <v>141</v>
      </c>
      <c r="I198" s="30" t="s">
        <v>22</v>
      </c>
      <c r="J198" s="30" t="s">
        <v>144</v>
      </c>
      <c r="K198" s="30" t="s">
        <v>117</v>
      </c>
      <c r="L198" s="30" t="s">
        <v>122</v>
      </c>
      <c r="M198" s="48"/>
      <c r="N198" s="30"/>
      <c r="O198" s="30"/>
      <c r="P198" s="30"/>
    </row>
    <row r="199" spans="1:16" ht="75" customHeight="1">
      <c r="A199" s="30" t="s">
        <v>530</v>
      </c>
      <c r="B199" s="47" t="s">
        <v>486</v>
      </c>
      <c r="C199" s="48" t="s">
        <v>531</v>
      </c>
      <c r="D199" s="30"/>
      <c r="E199" s="30"/>
      <c r="F199" s="30"/>
      <c r="G199" s="30"/>
      <c r="H199" s="30" t="s">
        <v>141</v>
      </c>
      <c r="I199" s="30" t="s">
        <v>22</v>
      </c>
      <c r="J199" s="30" t="s">
        <v>144</v>
      </c>
      <c r="K199" s="30" t="s">
        <v>117</v>
      </c>
      <c r="L199" s="30" t="s">
        <v>122</v>
      </c>
      <c r="M199" s="48"/>
      <c r="N199" s="30"/>
      <c r="O199" s="30"/>
      <c r="P199" s="30"/>
    </row>
    <row r="200" spans="1:16" ht="90" customHeight="1">
      <c r="A200" s="30" t="s">
        <v>532</v>
      </c>
      <c r="B200" s="47" t="s">
        <v>486</v>
      </c>
      <c r="C200" s="48" t="s">
        <v>533</v>
      </c>
      <c r="D200" s="30"/>
      <c r="E200" s="30"/>
      <c r="F200" s="30"/>
      <c r="G200" s="30"/>
      <c r="H200" s="30" t="s">
        <v>141</v>
      </c>
      <c r="I200" s="30" t="s">
        <v>22</v>
      </c>
      <c r="J200" s="30" t="s">
        <v>144</v>
      </c>
      <c r="K200" s="30" t="s">
        <v>117</v>
      </c>
      <c r="L200" s="30" t="s">
        <v>122</v>
      </c>
      <c r="M200" s="48"/>
      <c r="N200" s="30"/>
      <c r="O200" s="30"/>
      <c r="P200" s="30"/>
    </row>
    <row r="201" spans="1:16" ht="75" customHeight="1">
      <c r="A201" s="30" t="s">
        <v>534</v>
      </c>
      <c r="B201" s="47" t="s">
        <v>486</v>
      </c>
      <c r="C201" s="48" t="s">
        <v>535</v>
      </c>
      <c r="D201" s="30"/>
      <c r="E201" s="30"/>
      <c r="F201" s="30"/>
      <c r="G201" s="30"/>
      <c r="H201" s="30" t="s">
        <v>141</v>
      </c>
      <c r="I201" s="30" t="s">
        <v>22</v>
      </c>
      <c r="J201" s="30" t="s">
        <v>144</v>
      </c>
      <c r="K201" s="30" t="s">
        <v>117</v>
      </c>
      <c r="L201" s="30" t="s">
        <v>122</v>
      </c>
      <c r="M201" s="48"/>
      <c r="N201" s="30"/>
      <c r="O201" s="30"/>
      <c r="P201" s="30"/>
    </row>
    <row r="202" spans="1:16" ht="30" customHeight="1">
      <c r="A202" s="30" t="s">
        <v>536</v>
      </c>
      <c r="B202" s="47" t="s">
        <v>537</v>
      </c>
      <c r="C202" s="49" t="s">
        <v>538</v>
      </c>
      <c r="D202" s="30"/>
      <c r="E202" s="30"/>
      <c r="F202" s="30"/>
      <c r="G202" s="30"/>
      <c r="H202" s="30" t="s">
        <v>141</v>
      </c>
      <c r="I202" s="30" t="s">
        <v>22</v>
      </c>
      <c r="J202" s="30" t="s">
        <v>144</v>
      </c>
      <c r="K202" s="30" t="s">
        <v>117</v>
      </c>
      <c r="L202" s="30" t="s">
        <v>122</v>
      </c>
      <c r="M202" s="48"/>
      <c r="N202" s="30"/>
      <c r="O202" s="30"/>
      <c r="P202" s="30"/>
    </row>
    <row r="203" spans="1:16" ht="60" customHeight="1">
      <c r="A203" s="30" t="s">
        <v>539</v>
      </c>
      <c r="B203" s="47" t="s">
        <v>540</v>
      </c>
      <c r="C203" s="48" t="s">
        <v>541</v>
      </c>
      <c r="D203" s="30"/>
      <c r="E203" s="30"/>
      <c r="F203" s="30"/>
      <c r="G203" s="30"/>
      <c r="H203" s="30" t="s">
        <v>141</v>
      </c>
      <c r="I203" s="30" t="s">
        <v>22</v>
      </c>
      <c r="J203" s="30" t="s">
        <v>144</v>
      </c>
      <c r="K203" s="30" t="s">
        <v>117</v>
      </c>
      <c r="L203" s="30" t="s">
        <v>122</v>
      </c>
      <c r="M203" s="48"/>
      <c r="N203" s="30"/>
      <c r="O203" s="30"/>
      <c r="P203" s="30"/>
    </row>
    <row r="204" spans="1:16" ht="45" customHeight="1">
      <c r="A204" s="30" t="s">
        <v>542</v>
      </c>
      <c r="B204" s="47" t="s">
        <v>540</v>
      </c>
      <c r="C204" s="48" t="s">
        <v>543</v>
      </c>
      <c r="D204" s="30"/>
      <c r="E204" s="30"/>
      <c r="F204" s="30"/>
      <c r="G204" s="30"/>
      <c r="H204" s="30" t="s">
        <v>141</v>
      </c>
      <c r="I204" s="30" t="s">
        <v>22</v>
      </c>
      <c r="J204" s="30" t="s">
        <v>144</v>
      </c>
      <c r="K204" s="30" t="s">
        <v>117</v>
      </c>
      <c r="L204" s="30" t="s">
        <v>122</v>
      </c>
      <c r="M204" s="48"/>
      <c r="N204" s="30"/>
      <c r="O204" s="30"/>
      <c r="P204" s="30"/>
    </row>
    <row r="205" spans="1:16" ht="75" customHeight="1">
      <c r="A205" s="30" t="s">
        <v>544</v>
      </c>
      <c r="B205" s="47" t="s">
        <v>540</v>
      </c>
      <c r="C205" s="49" t="s">
        <v>545</v>
      </c>
      <c r="D205" s="30"/>
      <c r="E205" s="30"/>
      <c r="F205" s="30"/>
      <c r="G205" s="30"/>
      <c r="H205" s="30" t="s">
        <v>141</v>
      </c>
      <c r="I205" s="30" t="s">
        <v>22</v>
      </c>
      <c r="J205" s="30" t="s">
        <v>144</v>
      </c>
      <c r="K205" s="30" t="s">
        <v>117</v>
      </c>
      <c r="L205" s="30" t="s">
        <v>122</v>
      </c>
      <c r="M205" s="48"/>
      <c r="N205" s="30"/>
      <c r="O205" s="30"/>
      <c r="P205" s="30"/>
    </row>
    <row r="206" spans="1:16" ht="75" customHeight="1">
      <c r="A206" s="30" t="s">
        <v>546</v>
      </c>
      <c r="B206" s="47" t="s">
        <v>540</v>
      </c>
      <c r="C206" s="49" t="s">
        <v>547</v>
      </c>
      <c r="D206" s="30"/>
      <c r="E206" s="30"/>
      <c r="F206" s="30"/>
      <c r="G206" s="30"/>
      <c r="H206" s="30" t="s">
        <v>141</v>
      </c>
      <c r="I206" s="30" t="s">
        <v>22</v>
      </c>
      <c r="J206" s="30" t="s">
        <v>144</v>
      </c>
      <c r="K206" s="30" t="s">
        <v>117</v>
      </c>
      <c r="L206" s="30" t="s">
        <v>122</v>
      </c>
      <c r="M206" s="48"/>
      <c r="N206" s="30"/>
      <c r="O206" s="30"/>
      <c r="P206" s="30"/>
    </row>
    <row r="207" spans="1:16" ht="105" customHeight="1">
      <c r="A207" s="30" t="s">
        <v>548</v>
      </c>
      <c r="B207" s="47" t="s">
        <v>540</v>
      </c>
      <c r="C207" s="49" t="s">
        <v>549</v>
      </c>
      <c r="D207" s="30"/>
      <c r="E207" s="30"/>
      <c r="F207" s="30"/>
      <c r="G207" s="30"/>
      <c r="H207" s="30" t="s">
        <v>141</v>
      </c>
      <c r="I207" s="30" t="s">
        <v>22</v>
      </c>
      <c r="J207" s="30" t="s">
        <v>144</v>
      </c>
      <c r="K207" s="30" t="s">
        <v>117</v>
      </c>
      <c r="L207" s="30" t="s">
        <v>122</v>
      </c>
      <c r="M207" s="48"/>
      <c r="N207" s="30"/>
      <c r="O207" s="30"/>
      <c r="P207" s="30"/>
    </row>
    <row r="208" spans="1:16" ht="90" customHeight="1">
      <c r="A208" s="30" t="s">
        <v>550</v>
      </c>
      <c r="B208" s="47" t="s">
        <v>540</v>
      </c>
      <c r="C208" s="49" t="s">
        <v>551</v>
      </c>
      <c r="D208" s="30"/>
      <c r="E208" s="30"/>
      <c r="F208" s="30"/>
      <c r="G208" s="30"/>
      <c r="H208" s="30" t="s">
        <v>141</v>
      </c>
      <c r="I208" s="30" t="s">
        <v>22</v>
      </c>
      <c r="J208" s="30" t="s">
        <v>144</v>
      </c>
      <c r="K208" s="30" t="s">
        <v>117</v>
      </c>
      <c r="L208" s="30" t="s">
        <v>122</v>
      </c>
      <c r="M208" s="48"/>
      <c r="N208" s="30"/>
      <c r="O208" s="30"/>
      <c r="P208" s="30"/>
    </row>
    <row r="209" spans="1:16" ht="75" customHeight="1">
      <c r="A209" s="30" t="s">
        <v>552</v>
      </c>
      <c r="B209" s="47" t="s">
        <v>540</v>
      </c>
      <c r="C209" s="49" t="s">
        <v>553</v>
      </c>
      <c r="D209" s="30"/>
      <c r="E209" s="30"/>
      <c r="F209" s="30"/>
      <c r="G209" s="30"/>
      <c r="H209" s="30" t="s">
        <v>141</v>
      </c>
      <c r="I209" s="30" t="s">
        <v>22</v>
      </c>
      <c r="J209" s="30" t="s">
        <v>144</v>
      </c>
      <c r="K209" s="30" t="s">
        <v>117</v>
      </c>
      <c r="L209" s="30" t="s">
        <v>122</v>
      </c>
      <c r="M209" s="48"/>
      <c r="N209" s="30"/>
      <c r="O209" s="30"/>
      <c r="P209" s="30"/>
    </row>
    <row r="210" spans="1:16" ht="120" customHeight="1">
      <c r="A210" s="30" t="s">
        <v>554</v>
      </c>
      <c r="B210" s="47" t="s">
        <v>540</v>
      </c>
      <c r="C210" s="48" t="s">
        <v>3669</v>
      </c>
      <c r="D210" s="30"/>
      <c r="E210" s="30"/>
      <c r="F210" s="30"/>
      <c r="G210" s="30"/>
      <c r="H210" s="30" t="s">
        <v>141</v>
      </c>
      <c r="I210" s="30" t="s">
        <v>22</v>
      </c>
      <c r="J210" s="30" t="s">
        <v>144</v>
      </c>
      <c r="K210" s="30" t="s">
        <v>117</v>
      </c>
      <c r="L210" s="30" t="s">
        <v>122</v>
      </c>
      <c r="M210" s="48"/>
      <c r="N210" s="30"/>
      <c r="O210" s="30"/>
      <c r="P210" s="30"/>
    </row>
    <row r="211" spans="1:16" ht="45" customHeight="1">
      <c r="A211" s="30" t="s">
        <v>555</v>
      </c>
      <c r="B211" s="47" t="s">
        <v>556</v>
      </c>
      <c r="C211" s="49" t="s">
        <v>557</v>
      </c>
      <c r="D211" s="30"/>
      <c r="E211" s="30"/>
      <c r="F211" s="30"/>
      <c r="G211" s="30"/>
      <c r="H211" s="30" t="s">
        <v>141</v>
      </c>
      <c r="I211" s="30" t="s">
        <v>22</v>
      </c>
      <c r="J211" s="30" t="s">
        <v>144</v>
      </c>
      <c r="K211" s="30" t="s">
        <v>117</v>
      </c>
      <c r="L211" s="30" t="s">
        <v>122</v>
      </c>
      <c r="M211" s="48"/>
      <c r="N211" s="30"/>
      <c r="O211" s="30"/>
      <c r="P211" s="30"/>
    </row>
    <row r="212" spans="1:16" ht="45" customHeight="1">
      <c r="A212" s="30" t="s">
        <v>558</v>
      </c>
      <c r="B212" s="47" t="s">
        <v>559</v>
      </c>
      <c r="C212" s="49" t="s">
        <v>560</v>
      </c>
      <c r="D212" s="30"/>
      <c r="E212" s="30"/>
      <c r="F212" s="30"/>
      <c r="G212" s="30"/>
      <c r="H212" s="30" t="s">
        <v>141</v>
      </c>
      <c r="I212" s="30" t="s">
        <v>22</v>
      </c>
      <c r="J212" s="30" t="s">
        <v>144</v>
      </c>
      <c r="K212" s="30" t="s">
        <v>117</v>
      </c>
      <c r="L212" s="30" t="s">
        <v>122</v>
      </c>
      <c r="M212" s="48"/>
      <c r="N212" s="30"/>
      <c r="O212" s="30"/>
      <c r="P212" s="30"/>
    </row>
    <row r="213" spans="1:16" ht="75" customHeight="1">
      <c r="A213" s="30" t="s">
        <v>561</v>
      </c>
      <c r="B213" s="47" t="s">
        <v>559</v>
      </c>
      <c r="C213" s="49" t="s">
        <v>562</v>
      </c>
      <c r="D213" s="30"/>
      <c r="E213" s="30"/>
      <c r="F213" s="30"/>
      <c r="G213" s="30"/>
      <c r="H213" s="30" t="s">
        <v>141</v>
      </c>
      <c r="I213" s="30" t="s">
        <v>22</v>
      </c>
      <c r="J213" s="30" t="s">
        <v>144</v>
      </c>
      <c r="K213" s="30" t="s">
        <v>117</v>
      </c>
      <c r="L213" s="30" t="s">
        <v>122</v>
      </c>
      <c r="M213" s="48"/>
      <c r="N213" s="30"/>
      <c r="O213" s="30"/>
      <c r="P213" s="30"/>
    </row>
    <row r="214" spans="1:16" ht="75" customHeight="1">
      <c r="A214" s="30" t="s">
        <v>563</v>
      </c>
      <c r="B214" s="47" t="s">
        <v>559</v>
      </c>
      <c r="C214" s="48" t="s">
        <v>564</v>
      </c>
      <c r="D214" s="30"/>
      <c r="E214" s="30"/>
      <c r="F214" s="30"/>
      <c r="G214" s="30"/>
      <c r="H214" s="30" t="s">
        <v>141</v>
      </c>
      <c r="I214" s="30" t="s">
        <v>22</v>
      </c>
      <c r="J214" s="30" t="s">
        <v>144</v>
      </c>
      <c r="K214" s="30" t="s">
        <v>117</v>
      </c>
      <c r="L214" s="30" t="s">
        <v>122</v>
      </c>
      <c r="M214" s="48"/>
      <c r="N214" s="30"/>
      <c r="O214" s="30"/>
      <c r="P214" s="30"/>
    </row>
    <row r="215" spans="1:16" ht="30" customHeight="1">
      <c r="A215" s="30" t="s">
        <v>565</v>
      </c>
      <c r="B215" s="47" t="s">
        <v>566</v>
      </c>
      <c r="C215" s="49" t="s">
        <v>567</v>
      </c>
      <c r="D215" s="30"/>
      <c r="E215" s="30"/>
      <c r="F215" s="30"/>
      <c r="G215" s="30"/>
      <c r="H215" s="30" t="s">
        <v>141</v>
      </c>
      <c r="I215" s="30" t="s">
        <v>22</v>
      </c>
      <c r="J215" s="30" t="s">
        <v>144</v>
      </c>
      <c r="K215" s="30" t="s">
        <v>117</v>
      </c>
      <c r="L215" s="30" t="s">
        <v>122</v>
      </c>
      <c r="M215" s="48"/>
      <c r="N215" s="30"/>
      <c r="O215" s="30"/>
      <c r="P215" s="30"/>
    </row>
    <row r="216" spans="1:16" ht="30" customHeight="1">
      <c r="A216" s="30" t="s">
        <v>568</v>
      </c>
      <c r="B216" s="47" t="s">
        <v>569</v>
      </c>
      <c r="C216" s="49" t="s">
        <v>570</v>
      </c>
      <c r="D216" s="30"/>
      <c r="E216" s="30"/>
      <c r="F216" s="30"/>
      <c r="G216" s="30"/>
      <c r="H216" s="30" t="s">
        <v>141</v>
      </c>
      <c r="I216" s="30" t="s">
        <v>22</v>
      </c>
      <c r="J216" s="30" t="s">
        <v>144</v>
      </c>
      <c r="K216" s="30" t="s">
        <v>117</v>
      </c>
      <c r="L216" s="30" t="s">
        <v>122</v>
      </c>
      <c r="M216" s="48"/>
      <c r="N216" s="30"/>
      <c r="O216" s="30"/>
      <c r="P216" s="30"/>
    </row>
    <row r="217" spans="1:16" ht="30" customHeight="1">
      <c r="A217" s="30" t="s">
        <v>571</v>
      </c>
      <c r="B217" s="47" t="s">
        <v>572</v>
      </c>
      <c r="C217" s="49" t="s">
        <v>573</v>
      </c>
      <c r="D217" s="30"/>
      <c r="E217" s="30"/>
      <c r="F217" s="30"/>
      <c r="G217" s="30"/>
      <c r="H217" s="30" t="s">
        <v>141</v>
      </c>
      <c r="I217" s="30" t="s">
        <v>22</v>
      </c>
      <c r="J217" s="30" t="s">
        <v>144</v>
      </c>
      <c r="K217" s="30" t="s">
        <v>117</v>
      </c>
      <c r="L217" s="30" t="s">
        <v>122</v>
      </c>
      <c r="M217" s="48"/>
      <c r="N217" s="30"/>
      <c r="O217" s="30"/>
      <c r="P217" s="30"/>
    </row>
    <row r="218" spans="1:16" ht="60" customHeight="1">
      <c r="A218" s="30" t="s">
        <v>574</v>
      </c>
      <c r="B218" s="47" t="s">
        <v>575</v>
      </c>
      <c r="C218" s="49" t="s">
        <v>576</v>
      </c>
      <c r="D218" s="30"/>
      <c r="E218" s="30"/>
      <c r="F218" s="30"/>
      <c r="G218" s="30"/>
      <c r="H218" s="30" t="s">
        <v>141</v>
      </c>
      <c r="I218" s="30" t="s">
        <v>22</v>
      </c>
      <c r="J218" s="30" t="s">
        <v>144</v>
      </c>
      <c r="K218" s="30" t="s">
        <v>117</v>
      </c>
      <c r="L218" s="30" t="s">
        <v>122</v>
      </c>
      <c r="M218" s="48"/>
      <c r="N218" s="30"/>
      <c r="O218" s="30"/>
      <c r="P218" s="30"/>
    </row>
    <row r="219" spans="1:16" ht="60" customHeight="1">
      <c r="A219" s="30" t="s">
        <v>577</v>
      </c>
      <c r="B219" s="47" t="s">
        <v>575</v>
      </c>
      <c r="C219" s="49" t="s">
        <v>578</v>
      </c>
      <c r="D219" s="30"/>
      <c r="E219" s="30"/>
      <c r="F219" s="30"/>
      <c r="G219" s="30"/>
      <c r="H219" s="30" t="s">
        <v>141</v>
      </c>
      <c r="I219" s="30" t="s">
        <v>22</v>
      </c>
      <c r="J219" s="30" t="s">
        <v>144</v>
      </c>
      <c r="K219" s="30" t="s">
        <v>117</v>
      </c>
      <c r="L219" s="30" t="s">
        <v>122</v>
      </c>
      <c r="M219" s="48"/>
      <c r="N219" s="30"/>
      <c r="O219" s="30"/>
      <c r="P219" s="30"/>
    </row>
    <row r="220" spans="1:16" ht="75" customHeight="1">
      <c r="A220" s="30" t="s">
        <v>579</v>
      </c>
      <c r="B220" s="47" t="s">
        <v>575</v>
      </c>
      <c r="C220" s="49" t="s">
        <v>580</v>
      </c>
      <c r="D220" s="30"/>
      <c r="E220" s="30"/>
      <c r="F220" s="30"/>
      <c r="G220" s="30"/>
      <c r="H220" s="30" t="s">
        <v>141</v>
      </c>
      <c r="I220" s="30" t="s">
        <v>22</v>
      </c>
      <c r="J220" s="30" t="s">
        <v>144</v>
      </c>
      <c r="K220" s="30" t="s">
        <v>117</v>
      </c>
      <c r="L220" s="30" t="s">
        <v>122</v>
      </c>
      <c r="M220" s="48"/>
      <c r="N220" s="30"/>
      <c r="O220" s="30"/>
      <c r="P220" s="30"/>
    </row>
    <row r="221" spans="1:16" ht="60" customHeight="1">
      <c r="A221" s="30" t="s">
        <v>581</v>
      </c>
      <c r="B221" s="47" t="s">
        <v>575</v>
      </c>
      <c r="C221" s="49" t="s">
        <v>582</v>
      </c>
      <c r="D221" s="30"/>
      <c r="E221" s="30"/>
      <c r="F221" s="30"/>
      <c r="G221" s="30"/>
      <c r="H221" s="30" t="s">
        <v>141</v>
      </c>
      <c r="I221" s="30" t="s">
        <v>22</v>
      </c>
      <c r="J221" s="30" t="s">
        <v>144</v>
      </c>
      <c r="K221" s="30" t="s">
        <v>117</v>
      </c>
      <c r="L221" s="30" t="s">
        <v>122</v>
      </c>
      <c r="M221" s="48"/>
      <c r="N221" s="30"/>
      <c r="O221" s="30"/>
      <c r="P221" s="30"/>
    </row>
    <row r="222" spans="1:16" ht="60" customHeight="1">
      <c r="A222" s="30" t="s">
        <v>583</v>
      </c>
      <c r="B222" s="47" t="s">
        <v>575</v>
      </c>
      <c r="C222" s="49" t="s">
        <v>584</v>
      </c>
      <c r="D222" s="30"/>
      <c r="E222" s="30"/>
      <c r="F222" s="30"/>
      <c r="G222" s="30"/>
      <c r="H222" s="30" t="s">
        <v>141</v>
      </c>
      <c r="I222" s="30" t="s">
        <v>22</v>
      </c>
      <c r="J222" s="30" t="s">
        <v>144</v>
      </c>
      <c r="K222" s="30" t="s">
        <v>117</v>
      </c>
      <c r="L222" s="30" t="s">
        <v>122</v>
      </c>
      <c r="M222" s="48"/>
      <c r="N222" s="30"/>
      <c r="O222" s="30"/>
      <c r="P222" s="30"/>
    </row>
    <row r="223" spans="1:16" ht="45" customHeight="1">
      <c r="A223" s="30" t="s">
        <v>585</v>
      </c>
      <c r="B223" s="47" t="s">
        <v>586</v>
      </c>
      <c r="C223" s="49" t="s">
        <v>587</v>
      </c>
      <c r="D223" s="30"/>
      <c r="E223" s="30"/>
      <c r="F223" s="30"/>
      <c r="G223" s="30"/>
      <c r="H223" s="30" t="s">
        <v>141</v>
      </c>
      <c r="I223" s="30" t="s">
        <v>22</v>
      </c>
      <c r="J223" s="30" t="s">
        <v>144</v>
      </c>
      <c r="K223" s="30" t="s">
        <v>117</v>
      </c>
      <c r="L223" s="30" t="s">
        <v>122</v>
      </c>
      <c r="M223" s="48"/>
      <c r="N223" s="30"/>
      <c r="O223" s="30"/>
      <c r="P223" s="30"/>
    </row>
    <row r="224" spans="1:16" ht="60" customHeight="1">
      <c r="A224" s="30" t="s">
        <v>588</v>
      </c>
      <c r="B224" s="47" t="s">
        <v>589</v>
      </c>
      <c r="C224" s="49" t="s">
        <v>590</v>
      </c>
      <c r="D224" s="30"/>
      <c r="E224" s="30"/>
      <c r="F224" s="30"/>
      <c r="G224" s="30"/>
      <c r="H224" s="30" t="s">
        <v>141</v>
      </c>
      <c r="I224" s="30" t="s">
        <v>22</v>
      </c>
      <c r="J224" s="30" t="s">
        <v>144</v>
      </c>
      <c r="K224" s="30" t="s">
        <v>117</v>
      </c>
      <c r="L224" s="30" t="s">
        <v>122</v>
      </c>
      <c r="M224" s="48"/>
      <c r="N224" s="30"/>
      <c r="O224" s="30"/>
      <c r="P224" s="30"/>
    </row>
    <row r="225" spans="1:16" ht="45" customHeight="1">
      <c r="A225" s="30" t="s">
        <v>591</v>
      </c>
      <c r="B225" s="47" t="s">
        <v>589</v>
      </c>
      <c r="C225" s="48" t="s">
        <v>592</v>
      </c>
      <c r="D225" s="30"/>
      <c r="E225" s="30"/>
      <c r="F225" s="30"/>
      <c r="G225" s="30"/>
      <c r="H225" s="30" t="s">
        <v>141</v>
      </c>
      <c r="I225" s="30" t="s">
        <v>22</v>
      </c>
      <c r="J225" s="30" t="s">
        <v>144</v>
      </c>
      <c r="K225" s="30" t="s">
        <v>117</v>
      </c>
      <c r="L225" s="30" t="s">
        <v>122</v>
      </c>
      <c r="M225" s="48"/>
      <c r="N225" s="30"/>
      <c r="O225" s="30"/>
      <c r="P225" s="30"/>
    </row>
    <row r="226" spans="1:16" ht="45" customHeight="1">
      <c r="A226" s="30" t="s">
        <v>593</v>
      </c>
      <c r="B226" s="47" t="s">
        <v>589</v>
      </c>
      <c r="C226" s="48" t="s">
        <v>594</v>
      </c>
      <c r="D226" s="30"/>
      <c r="E226" s="30"/>
      <c r="F226" s="30"/>
      <c r="G226" s="30"/>
      <c r="H226" s="30" t="s">
        <v>141</v>
      </c>
      <c r="I226" s="30" t="s">
        <v>22</v>
      </c>
      <c r="J226" s="30" t="s">
        <v>144</v>
      </c>
      <c r="K226" s="30" t="s">
        <v>117</v>
      </c>
      <c r="L226" s="30" t="s">
        <v>122</v>
      </c>
      <c r="M226" s="48"/>
      <c r="N226" s="30"/>
      <c r="O226" s="30"/>
      <c r="P226" s="30"/>
    </row>
    <row r="227" spans="1:16" ht="60" customHeight="1">
      <c r="A227" s="30" t="s">
        <v>595</v>
      </c>
      <c r="B227" s="47" t="s">
        <v>589</v>
      </c>
      <c r="C227" s="49" t="s">
        <v>596</v>
      </c>
      <c r="D227" s="30"/>
      <c r="E227" s="30"/>
      <c r="F227" s="30"/>
      <c r="G227" s="30"/>
      <c r="H227" s="30" t="s">
        <v>141</v>
      </c>
      <c r="I227" s="30" t="s">
        <v>22</v>
      </c>
      <c r="J227" s="30" t="s">
        <v>144</v>
      </c>
      <c r="K227" s="30" t="s">
        <v>117</v>
      </c>
      <c r="L227" s="30" t="s">
        <v>122</v>
      </c>
      <c r="M227" s="48"/>
      <c r="N227" s="30"/>
      <c r="O227" s="30"/>
      <c r="P227" s="30"/>
    </row>
    <row r="228" spans="1:16" ht="60" customHeight="1">
      <c r="A228" s="30" t="s">
        <v>597</v>
      </c>
      <c r="B228" s="47" t="s">
        <v>589</v>
      </c>
      <c r="C228" s="48" t="s">
        <v>598</v>
      </c>
      <c r="D228" s="30"/>
      <c r="E228" s="30"/>
      <c r="F228" s="30"/>
      <c r="G228" s="30"/>
      <c r="H228" s="30" t="s">
        <v>141</v>
      </c>
      <c r="I228" s="30" t="s">
        <v>22</v>
      </c>
      <c r="J228" s="30" t="s">
        <v>144</v>
      </c>
      <c r="K228" s="30" t="s">
        <v>117</v>
      </c>
      <c r="L228" s="30" t="s">
        <v>122</v>
      </c>
      <c r="M228" s="48"/>
      <c r="N228" s="30"/>
      <c r="O228" s="30"/>
      <c r="P228" s="30"/>
    </row>
    <row r="229" spans="1:16" ht="60" customHeight="1">
      <c r="A229" s="30" t="s">
        <v>599</v>
      </c>
      <c r="B229" s="47" t="s">
        <v>589</v>
      </c>
      <c r="C229" s="49" t="s">
        <v>600</v>
      </c>
      <c r="D229" s="30"/>
      <c r="E229" s="30"/>
      <c r="F229" s="30"/>
      <c r="G229" s="30"/>
      <c r="H229" s="30" t="s">
        <v>141</v>
      </c>
      <c r="I229" s="30" t="s">
        <v>22</v>
      </c>
      <c r="J229" s="30" t="s">
        <v>144</v>
      </c>
      <c r="K229" s="30" t="s">
        <v>117</v>
      </c>
      <c r="L229" s="30" t="s">
        <v>122</v>
      </c>
      <c r="M229" s="48"/>
      <c r="N229" s="30"/>
      <c r="O229" s="30"/>
      <c r="P229" s="30"/>
    </row>
    <row r="230" spans="1:16" ht="75" customHeight="1">
      <c r="A230" s="30" t="s">
        <v>601</v>
      </c>
      <c r="B230" s="47" t="s">
        <v>589</v>
      </c>
      <c r="C230" s="48" t="s">
        <v>602</v>
      </c>
      <c r="D230" s="30"/>
      <c r="E230" s="30"/>
      <c r="F230" s="30"/>
      <c r="G230" s="30"/>
      <c r="H230" s="30" t="s">
        <v>141</v>
      </c>
      <c r="I230" s="30" t="s">
        <v>22</v>
      </c>
      <c r="J230" s="30" t="s">
        <v>144</v>
      </c>
      <c r="K230" s="30" t="s">
        <v>117</v>
      </c>
      <c r="L230" s="30" t="s">
        <v>122</v>
      </c>
      <c r="M230" s="48"/>
      <c r="N230" s="30"/>
      <c r="O230" s="30"/>
      <c r="P230" s="30"/>
    </row>
    <row r="231" spans="1:16" ht="45" customHeight="1">
      <c r="A231" s="30" t="s">
        <v>603</v>
      </c>
      <c r="B231" s="47" t="s">
        <v>589</v>
      </c>
      <c r="C231" s="48" t="s">
        <v>604</v>
      </c>
      <c r="D231" s="30"/>
      <c r="E231" s="30"/>
      <c r="F231" s="30"/>
      <c r="G231" s="30"/>
      <c r="H231" s="30" t="s">
        <v>141</v>
      </c>
      <c r="I231" s="30" t="s">
        <v>31</v>
      </c>
      <c r="J231" s="30" t="s">
        <v>145</v>
      </c>
      <c r="K231" s="30" t="s">
        <v>116</v>
      </c>
      <c r="L231" s="30" t="s">
        <v>122</v>
      </c>
      <c r="M231" s="48" t="s">
        <v>314</v>
      </c>
      <c r="N231" s="30"/>
      <c r="O231" s="30"/>
      <c r="P231" s="30"/>
    </row>
    <row r="232" spans="1:16" ht="60" customHeight="1">
      <c r="A232" s="30" t="s">
        <v>605</v>
      </c>
      <c r="B232" s="47" t="s">
        <v>589</v>
      </c>
      <c r="C232" s="49" t="s">
        <v>606</v>
      </c>
      <c r="D232" s="30"/>
      <c r="E232" s="30"/>
      <c r="F232" s="30"/>
      <c r="G232" s="30"/>
      <c r="H232" s="30" t="s">
        <v>141</v>
      </c>
      <c r="I232" s="30" t="s">
        <v>22</v>
      </c>
      <c r="J232" s="30" t="s">
        <v>144</v>
      </c>
      <c r="K232" s="30" t="s">
        <v>117</v>
      </c>
      <c r="L232" s="30" t="s">
        <v>122</v>
      </c>
      <c r="M232" s="48"/>
      <c r="N232" s="30"/>
      <c r="O232" s="30"/>
      <c r="P232" s="30"/>
    </row>
    <row r="233" spans="1:16" ht="45" customHeight="1">
      <c r="A233" s="30" t="s">
        <v>607</v>
      </c>
      <c r="B233" s="47" t="s">
        <v>589</v>
      </c>
      <c r="C233" s="49" t="s">
        <v>608</v>
      </c>
      <c r="D233" s="30"/>
      <c r="E233" s="30"/>
      <c r="F233" s="30"/>
      <c r="G233" s="30"/>
      <c r="H233" s="30" t="s">
        <v>141</v>
      </c>
      <c r="I233" s="30" t="s">
        <v>22</v>
      </c>
      <c r="J233" s="30" t="s">
        <v>144</v>
      </c>
      <c r="K233" s="30" t="s">
        <v>117</v>
      </c>
      <c r="L233" s="30" t="s">
        <v>122</v>
      </c>
      <c r="M233" s="48"/>
      <c r="N233" s="30"/>
      <c r="O233" s="30"/>
      <c r="P233" s="30"/>
    </row>
    <row r="234" spans="1:16" ht="60" customHeight="1">
      <c r="A234" s="30" t="s">
        <v>609</v>
      </c>
      <c r="B234" s="47" t="s">
        <v>589</v>
      </c>
      <c r="C234" s="49" t="s">
        <v>610</v>
      </c>
      <c r="D234" s="30"/>
      <c r="E234" s="30"/>
      <c r="F234" s="30"/>
      <c r="G234" s="30"/>
      <c r="H234" s="30" t="s">
        <v>141</v>
      </c>
      <c r="I234" s="30" t="s">
        <v>22</v>
      </c>
      <c r="J234" s="30" t="s">
        <v>144</v>
      </c>
      <c r="K234" s="30" t="s">
        <v>117</v>
      </c>
      <c r="L234" s="30" t="s">
        <v>122</v>
      </c>
      <c r="M234" s="48"/>
      <c r="N234" s="30"/>
      <c r="O234" s="30"/>
      <c r="P234" s="30"/>
    </row>
    <row r="235" spans="1:16" ht="45" customHeight="1">
      <c r="A235" s="30" t="s">
        <v>611</v>
      </c>
      <c r="B235" s="47" t="s">
        <v>589</v>
      </c>
      <c r="C235" s="49" t="s">
        <v>612</v>
      </c>
      <c r="D235" s="30"/>
      <c r="E235" s="30"/>
      <c r="F235" s="30"/>
      <c r="G235" s="30"/>
      <c r="H235" s="30" t="s">
        <v>141</v>
      </c>
      <c r="I235" s="30" t="s">
        <v>22</v>
      </c>
      <c r="J235" s="30" t="s">
        <v>144</v>
      </c>
      <c r="K235" s="30" t="s">
        <v>117</v>
      </c>
      <c r="L235" s="30" t="s">
        <v>122</v>
      </c>
      <c r="M235" s="48"/>
      <c r="N235" s="30"/>
      <c r="O235" s="30"/>
      <c r="P235" s="30"/>
    </row>
    <row r="236" spans="1:16" ht="45" customHeight="1">
      <c r="A236" s="30" t="s">
        <v>613</v>
      </c>
      <c r="B236" s="47" t="s">
        <v>589</v>
      </c>
      <c r="C236" s="49" t="s">
        <v>614</v>
      </c>
      <c r="D236" s="30"/>
      <c r="E236" s="30"/>
      <c r="F236" s="30"/>
      <c r="G236" s="30"/>
      <c r="H236" s="30" t="s">
        <v>141</v>
      </c>
      <c r="I236" s="30" t="s">
        <v>22</v>
      </c>
      <c r="J236" s="30" t="s">
        <v>144</v>
      </c>
      <c r="K236" s="30" t="s">
        <v>117</v>
      </c>
      <c r="L236" s="30" t="s">
        <v>122</v>
      </c>
      <c r="M236" s="48"/>
      <c r="N236" s="30"/>
      <c r="O236" s="30"/>
      <c r="P236" s="30"/>
    </row>
    <row r="237" spans="1:16" ht="45" customHeight="1">
      <c r="A237" s="30" t="s">
        <v>615</v>
      </c>
      <c r="B237" s="47" t="s">
        <v>589</v>
      </c>
      <c r="C237" s="49" t="s">
        <v>616</v>
      </c>
      <c r="D237" s="30"/>
      <c r="E237" s="30"/>
      <c r="F237" s="30"/>
      <c r="G237" s="30"/>
      <c r="H237" s="30" t="s">
        <v>141</v>
      </c>
      <c r="I237" s="30" t="s">
        <v>22</v>
      </c>
      <c r="J237" s="30" t="s">
        <v>144</v>
      </c>
      <c r="K237" s="30" t="s">
        <v>117</v>
      </c>
      <c r="L237" s="30" t="s">
        <v>122</v>
      </c>
      <c r="M237" s="48"/>
      <c r="N237" s="30"/>
      <c r="O237" s="30"/>
      <c r="P237" s="30"/>
    </row>
    <row r="238" spans="1:16" ht="75" customHeight="1">
      <c r="A238" s="30" t="s">
        <v>617</v>
      </c>
      <c r="B238" s="47" t="s">
        <v>589</v>
      </c>
      <c r="C238" s="49" t="s">
        <v>618</v>
      </c>
      <c r="D238" s="30"/>
      <c r="E238" s="30"/>
      <c r="F238" s="30"/>
      <c r="G238" s="30"/>
      <c r="H238" s="30" t="s">
        <v>141</v>
      </c>
      <c r="I238" s="30" t="s">
        <v>22</v>
      </c>
      <c r="J238" s="30" t="s">
        <v>144</v>
      </c>
      <c r="K238" s="30" t="s">
        <v>117</v>
      </c>
      <c r="L238" s="30" t="s">
        <v>122</v>
      </c>
      <c r="M238" s="48"/>
      <c r="N238" s="30"/>
      <c r="O238" s="30"/>
      <c r="P238" s="30"/>
    </row>
    <row r="239" spans="1:16" ht="120" customHeight="1">
      <c r="A239" s="30" t="s">
        <v>619</v>
      </c>
      <c r="B239" s="47" t="s">
        <v>589</v>
      </c>
      <c r="C239" s="48" t="s">
        <v>620</v>
      </c>
      <c r="D239" s="30"/>
      <c r="E239" s="30"/>
      <c r="F239" s="30"/>
      <c r="G239" s="30"/>
      <c r="H239" s="30" t="s">
        <v>141</v>
      </c>
      <c r="I239" s="30" t="s">
        <v>22</v>
      </c>
      <c r="J239" s="30" t="s">
        <v>144</v>
      </c>
      <c r="K239" s="30" t="s">
        <v>117</v>
      </c>
      <c r="L239" s="30" t="s">
        <v>122</v>
      </c>
      <c r="M239" s="48"/>
      <c r="N239" s="30"/>
      <c r="O239" s="30"/>
      <c r="P239" s="30"/>
    </row>
    <row r="240" spans="1:16" ht="60" customHeight="1">
      <c r="A240" s="30" t="s">
        <v>621</v>
      </c>
      <c r="B240" s="47" t="s">
        <v>589</v>
      </c>
      <c r="C240" s="48" t="s">
        <v>622</v>
      </c>
      <c r="D240" s="30"/>
      <c r="E240" s="30"/>
      <c r="F240" s="30"/>
      <c r="G240" s="30"/>
      <c r="H240" s="30" t="s">
        <v>141</v>
      </c>
      <c r="I240" s="30" t="s">
        <v>22</v>
      </c>
      <c r="J240" s="30" t="s">
        <v>144</v>
      </c>
      <c r="K240" s="30" t="s">
        <v>117</v>
      </c>
      <c r="L240" s="30" t="s">
        <v>122</v>
      </c>
      <c r="M240" s="48"/>
      <c r="N240" s="30"/>
      <c r="O240" s="30"/>
      <c r="P240" s="30"/>
    </row>
    <row r="241" spans="1:16" ht="60" customHeight="1">
      <c r="A241" s="30" t="s">
        <v>623</v>
      </c>
      <c r="B241" s="47" t="s">
        <v>589</v>
      </c>
      <c r="C241" s="49" t="s">
        <v>624</v>
      </c>
      <c r="D241" s="30"/>
      <c r="E241" s="30"/>
      <c r="F241" s="30"/>
      <c r="G241" s="30"/>
      <c r="H241" s="30" t="s">
        <v>141</v>
      </c>
      <c r="I241" s="30" t="s">
        <v>22</v>
      </c>
      <c r="J241" s="30" t="s">
        <v>144</v>
      </c>
      <c r="K241" s="30" t="s">
        <v>117</v>
      </c>
      <c r="L241" s="30" t="s">
        <v>122</v>
      </c>
      <c r="M241" s="48"/>
      <c r="N241" s="30"/>
      <c r="O241" s="30"/>
      <c r="P241" s="30"/>
    </row>
    <row r="242" spans="1:16" ht="60" customHeight="1">
      <c r="A242" s="30" t="s">
        <v>625</v>
      </c>
      <c r="B242" s="47" t="s">
        <v>589</v>
      </c>
      <c r="C242" s="49" t="s">
        <v>626</v>
      </c>
      <c r="D242" s="30"/>
      <c r="E242" s="30"/>
      <c r="F242" s="30"/>
      <c r="G242" s="30"/>
      <c r="H242" s="30" t="s">
        <v>141</v>
      </c>
      <c r="I242" s="30" t="s">
        <v>22</v>
      </c>
      <c r="J242" s="30" t="s">
        <v>144</v>
      </c>
      <c r="K242" s="30" t="s">
        <v>117</v>
      </c>
      <c r="L242" s="30" t="s">
        <v>122</v>
      </c>
      <c r="M242" s="48"/>
      <c r="N242" s="30"/>
      <c r="O242" s="30"/>
      <c r="P242" s="30"/>
    </row>
    <row r="243" spans="1:16" ht="60" customHeight="1">
      <c r="A243" s="30" t="s">
        <v>627</v>
      </c>
      <c r="B243" s="47" t="s">
        <v>589</v>
      </c>
      <c r="C243" s="49" t="s">
        <v>628</v>
      </c>
      <c r="D243" s="30"/>
      <c r="E243" s="30"/>
      <c r="F243" s="30"/>
      <c r="G243" s="30"/>
      <c r="H243" s="30" t="s">
        <v>141</v>
      </c>
      <c r="I243" s="30" t="s">
        <v>22</v>
      </c>
      <c r="J243" s="30" t="s">
        <v>144</v>
      </c>
      <c r="K243" s="30" t="s">
        <v>117</v>
      </c>
      <c r="L243" s="30" t="s">
        <v>122</v>
      </c>
      <c r="M243" s="48"/>
      <c r="N243" s="30"/>
      <c r="O243" s="30"/>
      <c r="P243" s="30"/>
    </row>
    <row r="244" spans="1:16" ht="45" customHeight="1">
      <c r="A244" s="30" t="s">
        <v>629</v>
      </c>
      <c r="B244" s="47" t="s">
        <v>589</v>
      </c>
      <c r="C244" s="49" t="s">
        <v>630</v>
      </c>
      <c r="D244" s="30"/>
      <c r="E244" s="30"/>
      <c r="F244" s="30"/>
      <c r="G244" s="30"/>
      <c r="H244" s="30" t="s">
        <v>141</v>
      </c>
      <c r="I244" s="30" t="s">
        <v>22</v>
      </c>
      <c r="J244" s="30" t="s">
        <v>144</v>
      </c>
      <c r="K244" s="30" t="s">
        <v>117</v>
      </c>
      <c r="L244" s="30" t="s">
        <v>122</v>
      </c>
      <c r="M244" s="48"/>
      <c r="N244" s="30"/>
      <c r="O244" s="30"/>
      <c r="P244" s="30"/>
    </row>
    <row r="245" spans="1:16" ht="75" customHeight="1">
      <c r="A245" s="30" t="s">
        <v>631</v>
      </c>
      <c r="B245" s="47" t="s">
        <v>589</v>
      </c>
      <c r="C245" s="49" t="s">
        <v>632</v>
      </c>
      <c r="D245" s="30"/>
      <c r="E245" s="30"/>
      <c r="F245" s="30"/>
      <c r="G245" s="30"/>
      <c r="H245" s="30" t="s">
        <v>141</v>
      </c>
      <c r="I245" s="30" t="s">
        <v>22</v>
      </c>
      <c r="J245" s="30" t="s">
        <v>144</v>
      </c>
      <c r="K245" s="30" t="s">
        <v>117</v>
      </c>
      <c r="L245" s="30" t="s">
        <v>122</v>
      </c>
      <c r="M245" s="48"/>
      <c r="N245" s="30"/>
      <c r="O245" s="30"/>
      <c r="P245" s="30"/>
    </row>
    <row r="246" spans="1:16" ht="45" customHeight="1">
      <c r="A246" s="30" t="s">
        <v>633</v>
      </c>
      <c r="B246" s="47" t="s">
        <v>589</v>
      </c>
      <c r="C246" s="49" t="s">
        <v>634</v>
      </c>
      <c r="D246" s="30"/>
      <c r="E246" s="30"/>
      <c r="F246" s="30"/>
      <c r="G246" s="30"/>
      <c r="H246" s="30" t="s">
        <v>141</v>
      </c>
      <c r="I246" s="30" t="s">
        <v>22</v>
      </c>
      <c r="J246" s="30" t="s">
        <v>144</v>
      </c>
      <c r="K246" s="30" t="s">
        <v>117</v>
      </c>
      <c r="L246" s="30" t="s">
        <v>122</v>
      </c>
      <c r="M246" s="48"/>
      <c r="N246" s="30"/>
      <c r="O246" s="30"/>
      <c r="P246" s="30"/>
    </row>
    <row r="247" spans="1:16" ht="60" customHeight="1">
      <c r="A247" s="30" t="s">
        <v>635</v>
      </c>
      <c r="B247" s="47" t="s">
        <v>589</v>
      </c>
      <c r="C247" s="49" t="s">
        <v>636</v>
      </c>
      <c r="D247" s="30"/>
      <c r="E247" s="30"/>
      <c r="F247" s="30"/>
      <c r="G247" s="30"/>
      <c r="H247" s="30" t="s">
        <v>141</v>
      </c>
      <c r="I247" s="30" t="s">
        <v>22</v>
      </c>
      <c r="J247" s="30" t="s">
        <v>144</v>
      </c>
      <c r="K247" s="30" t="s">
        <v>117</v>
      </c>
      <c r="L247" s="30" t="s">
        <v>122</v>
      </c>
      <c r="M247" s="48"/>
      <c r="N247" s="30"/>
      <c r="O247" s="30"/>
      <c r="P247" s="30"/>
    </row>
    <row r="248" spans="1:16" ht="60" customHeight="1">
      <c r="A248" s="30" t="s">
        <v>637</v>
      </c>
      <c r="B248" s="47" t="s">
        <v>589</v>
      </c>
      <c r="C248" s="49" t="s">
        <v>638</v>
      </c>
      <c r="D248" s="30"/>
      <c r="E248" s="30"/>
      <c r="F248" s="30"/>
      <c r="G248" s="30"/>
      <c r="H248" s="30" t="s">
        <v>141</v>
      </c>
      <c r="I248" s="30" t="s">
        <v>22</v>
      </c>
      <c r="J248" s="30" t="s">
        <v>144</v>
      </c>
      <c r="K248" s="30" t="s">
        <v>117</v>
      </c>
      <c r="L248" s="30" t="s">
        <v>122</v>
      </c>
      <c r="M248" s="48"/>
      <c r="N248" s="30"/>
      <c r="O248" s="30"/>
      <c r="P248" s="30"/>
    </row>
    <row r="249" spans="1:16" ht="60" customHeight="1">
      <c r="A249" s="30" t="s">
        <v>639</v>
      </c>
      <c r="B249" s="47" t="s">
        <v>589</v>
      </c>
      <c r="C249" s="49" t="s">
        <v>640</v>
      </c>
      <c r="D249" s="30"/>
      <c r="E249" s="30"/>
      <c r="F249" s="30"/>
      <c r="G249" s="30"/>
      <c r="H249" s="30" t="s">
        <v>141</v>
      </c>
      <c r="I249" s="30" t="s">
        <v>22</v>
      </c>
      <c r="J249" s="30" t="s">
        <v>144</v>
      </c>
      <c r="K249" s="30" t="s">
        <v>117</v>
      </c>
      <c r="L249" s="30" t="s">
        <v>122</v>
      </c>
      <c r="M249" s="48"/>
      <c r="N249" s="30"/>
      <c r="O249" s="30"/>
      <c r="P249" s="30"/>
    </row>
    <row r="250" spans="1:16" ht="45" customHeight="1">
      <c r="A250" s="30" t="s">
        <v>641</v>
      </c>
      <c r="B250" s="47" t="s">
        <v>589</v>
      </c>
      <c r="C250" s="48" t="s">
        <v>642</v>
      </c>
      <c r="D250" s="30"/>
      <c r="E250" s="30"/>
      <c r="F250" s="30"/>
      <c r="G250" s="30"/>
      <c r="H250" s="30" t="s">
        <v>141</v>
      </c>
      <c r="I250" s="30" t="s">
        <v>22</v>
      </c>
      <c r="J250" s="30" t="s">
        <v>144</v>
      </c>
      <c r="K250" s="30" t="s">
        <v>117</v>
      </c>
      <c r="L250" s="30" t="s">
        <v>122</v>
      </c>
      <c r="M250" s="48"/>
      <c r="N250" s="30"/>
      <c r="O250" s="30"/>
      <c r="P250" s="30"/>
    </row>
    <row r="251" spans="1:16" ht="60" customHeight="1">
      <c r="A251" s="30" t="s">
        <v>643</v>
      </c>
      <c r="B251" s="47" t="s">
        <v>589</v>
      </c>
      <c r="C251" s="48" t="s">
        <v>644</v>
      </c>
      <c r="D251" s="30"/>
      <c r="E251" s="30"/>
      <c r="F251" s="30"/>
      <c r="G251" s="30"/>
      <c r="H251" s="30" t="s">
        <v>141</v>
      </c>
      <c r="I251" s="30" t="s">
        <v>22</v>
      </c>
      <c r="J251" s="30" t="s">
        <v>144</v>
      </c>
      <c r="K251" s="30" t="s">
        <v>117</v>
      </c>
      <c r="L251" s="30" t="s">
        <v>122</v>
      </c>
      <c r="M251" s="48"/>
      <c r="N251" s="30"/>
      <c r="O251" s="30"/>
      <c r="P251" s="30"/>
    </row>
    <row r="252" spans="1:16" ht="60" customHeight="1">
      <c r="A252" s="30" t="s">
        <v>645</v>
      </c>
      <c r="B252" s="47" t="s">
        <v>589</v>
      </c>
      <c r="C252" s="48" t="s">
        <v>646</v>
      </c>
      <c r="D252" s="30"/>
      <c r="E252" s="30"/>
      <c r="F252" s="30"/>
      <c r="G252" s="30"/>
      <c r="H252" s="30" t="s">
        <v>141</v>
      </c>
      <c r="I252" s="30" t="s">
        <v>22</v>
      </c>
      <c r="J252" s="30" t="s">
        <v>144</v>
      </c>
      <c r="K252" s="30" t="s">
        <v>117</v>
      </c>
      <c r="L252" s="30" t="s">
        <v>122</v>
      </c>
      <c r="M252" s="48"/>
      <c r="N252" s="30"/>
      <c r="O252" s="30"/>
      <c r="P252" s="30"/>
    </row>
    <row r="253" spans="1:16" ht="45" customHeight="1">
      <c r="A253" s="30" t="s">
        <v>647</v>
      </c>
      <c r="B253" s="47" t="s">
        <v>589</v>
      </c>
      <c r="C253" s="48" t="s">
        <v>648</v>
      </c>
      <c r="D253" s="30"/>
      <c r="E253" s="30"/>
      <c r="F253" s="30"/>
      <c r="G253" s="30"/>
      <c r="H253" s="30" t="s">
        <v>141</v>
      </c>
      <c r="I253" s="30" t="s">
        <v>22</v>
      </c>
      <c r="J253" s="30" t="s">
        <v>144</v>
      </c>
      <c r="K253" s="30" t="s">
        <v>117</v>
      </c>
      <c r="L253" s="30" t="s">
        <v>122</v>
      </c>
      <c r="M253" s="48"/>
      <c r="N253" s="30"/>
      <c r="O253" s="30"/>
      <c r="P253" s="30"/>
    </row>
    <row r="254" spans="1:16" ht="45" customHeight="1">
      <c r="A254" s="30" t="s">
        <v>649</v>
      </c>
      <c r="B254" s="47" t="s">
        <v>589</v>
      </c>
      <c r="C254" s="49" t="s">
        <v>650</v>
      </c>
      <c r="D254" s="30"/>
      <c r="E254" s="30"/>
      <c r="F254" s="30"/>
      <c r="G254" s="30"/>
      <c r="H254" s="30" t="s">
        <v>141</v>
      </c>
      <c r="I254" s="30" t="s">
        <v>30</v>
      </c>
      <c r="J254" s="30" t="s">
        <v>144</v>
      </c>
      <c r="K254" s="30" t="s">
        <v>117</v>
      </c>
      <c r="L254" s="30" t="s">
        <v>122</v>
      </c>
      <c r="M254" s="48"/>
      <c r="N254" s="30"/>
      <c r="O254" s="30"/>
      <c r="P254" s="30"/>
    </row>
    <row r="255" spans="1:16" ht="45" customHeight="1">
      <c r="A255" s="30" t="s">
        <v>651</v>
      </c>
      <c r="B255" s="47" t="s">
        <v>589</v>
      </c>
      <c r="C255" s="49" t="s">
        <v>652</v>
      </c>
      <c r="D255" s="30"/>
      <c r="E255" s="30"/>
      <c r="F255" s="30"/>
      <c r="G255" s="30"/>
      <c r="H255" s="30" t="s">
        <v>141</v>
      </c>
      <c r="I255" s="30" t="s">
        <v>22</v>
      </c>
      <c r="J255" s="30" t="s">
        <v>144</v>
      </c>
      <c r="K255" s="30" t="s">
        <v>117</v>
      </c>
      <c r="L255" s="30" t="s">
        <v>122</v>
      </c>
      <c r="M255" s="48"/>
      <c r="N255" s="30"/>
      <c r="O255" s="30"/>
      <c r="P255" s="30"/>
    </row>
    <row r="256" spans="1:16" ht="60" customHeight="1">
      <c r="A256" s="30" t="s">
        <v>653</v>
      </c>
      <c r="B256" s="47" t="s">
        <v>589</v>
      </c>
      <c r="C256" s="49" t="s">
        <v>654</v>
      </c>
      <c r="D256" s="30"/>
      <c r="E256" s="30"/>
      <c r="F256" s="30"/>
      <c r="G256" s="30"/>
      <c r="H256" s="30" t="s">
        <v>141</v>
      </c>
      <c r="I256" s="30" t="s">
        <v>31</v>
      </c>
      <c r="J256" s="30" t="s">
        <v>142</v>
      </c>
      <c r="K256" s="30" t="s">
        <v>116</v>
      </c>
      <c r="L256" s="30" t="s">
        <v>122</v>
      </c>
      <c r="M256" s="48" t="s">
        <v>314</v>
      </c>
      <c r="N256" s="30"/>
      <c r="O256" s="30"/>
      <c r="P256" s="30"/>
    </row>
    <row r="257" spans="1:16" ht="75" customHeight="1">
      <c r="A257" s="30" t="s">
        <v>655</v>
      </c>
      <c r="B257" s="47" t="s">
        <v>589</v>
      </c>
      <c r="C257" s="48" t="s">
        <v>656</v>
      </c>
      <c r="D257" s="30"/>
      <c r="E257" s="30"/>
      <c r="F257" s="30"/>
      <c r="G257" s="30"/>
      <c r="H257" s="30" t="s">
        <v>141</v>
      </c>
      <c r="I257" s="30" t="s">
        <v>22</v>
      </c>
      <c r="J257" s="30" t="s">
        <v>144</v>
      </c>
      <c r="K257" s="30" t="s">
        <v>117</v>
      </c>
      <c r="L257" s="30" t="s">
        <v>122</v>
      </c>
      <c r="M257" s="48"/>
      <c r="N257" s="30"/>
      <c r="O257" s="30"/>
      <c r="P257" s="30"/>
    </row>
    <row r="258" spans="1:16" ht="30" customHeight="1">
      <c r="A258" s="30" t="s">
        <v>657</v>
      </c>
      <c r="B258" s="47" t="s">
        <v>658</v>
      </c>
      <c r="C258" s="49" t="s">
        <v>659</v>
      </c>
      <c r="D258" s="30"/>
      <c r="E258" s="30"/>
      <c r="F258" s="30"/>
      <c r="G258" s="30"/>
      <c r="H258" s="30" t="s">
        <v>141</v>
      </c>
      <c r="I258" s="30" t="s">
        <v>22</v>
      </c>
      <c r="J258" s="30" t="s">
        <v>144</v>
      </c>
      <c r="K258" s="30" t="s">
        <v>117</v>
      </c>
      <c r="L258" s="30" t="s">
        <v>122</v>
      </c>
      <c r="M258" s="48"/>
      <c r="N258" s="30"/>
      <c r="O258" s="30"/>
      <c r="P258" s="30"/>
    </row>
    <row r="259" spans="1:16" ht="45" customHeight="1">
      <c r="A259" s="30" t="s">
        <v>660</v>
      </c>
      <c r="B259" s="47" t="s">
        <v>661</v>
      </c>
      <c r="C259" s="49" t="s">
        <v>662</v>
      </c>
      <c r="D259" s="30"/>
      <c r="E259" s="30"/>
      <c r="F259" s="30"/>
      <c r="G259" s="30"/>
      <c r="H259" s="30" t="s">
        <v>141</v>
      </c>
      <c r="I259" s="30" t="s">
        <v>31</v>
      </c>
      <c r="J259" s="30" t="s">
        <v>142</v>
      </c>
      <c r="K259" s="30" t="s">
        <v>116</v>
      </c>
      <c r="L259" s="30" t="s">
        <v>122</v>
      </c>
      <c r="M259" s="48" t="s">
        <v>314</v>
      </c>
      <c r="N259" s="30"/>
      <c r="O259" s="30"/>
      <c r="P259" s="30"/>
    </row>
    <row r="260" spans="1:16" ht="60" customHeight="1">
      <c r="A260" s="30" t="s">
        <v>663</v>
      </c>
      <c r="B260" s="47" t="s">
        <v>661</v>
      </c>
      <c r="C260" s="48" t="s">
        <v>664</v>
      </c>
      <c r="D260" s="48"/>
      <c r="E260" s="30"/>
      <c r="F260" s="30"/>
      <c r="G260" s="30"/>
      <c r="H260" s="30" t="s">
        <v>141</v>
      </c>
      <c r="I260" s="30" t="s">
        <v>30</v>
      </c>
      <c r="J260" s="30" t="s">
        <v>142</v>
      </c>
      <c r="K260" s="30" t="s">
        <v>116</v>
      </c>
      <c r="L260" s="30" t="s">
        <v>121</v>
      </c>
      <c r="M260" s="48" t="s">
        <v>665</v>
      </c>
      <c r="N260" s="30"/>
      <c r="O260" s="30"/>
      <c r="P260" s="30"/>
    </row>
    <row r="261" spans="1:16" ht="75" customHeight="1">
      <c r="A261" s="30" t="s">
        <v>666</v>
      </c>
      <c r="B261" s="47" t="s">
        <v>661</v>
      </c>
      <c r="C261" s="48" t="s">
        <v>667</v>
      </c>
      <c r="D261" s="30"/>
      <c r="E261" s="30"/>
      <c r="F261" s="47" t="s">
        <v>668</v>
      </c>
      <c r="G261" s="30" t="s">
        <v>133</v>
      </c>
      <c r="H261" s="30" t="s">
        <v>141</v>
      </c>
      <c r="I261" s="30" t="s">
        <v>30</v>
      </c>
      <c r="J261" s="30" t="s">
        <v>142</v>
      </c>
      <c r="K261" s="30" t="s">
        <v>116</v>
      </c>
      <c r="L261" s="30" t="s">
        <v>146</v>
      </c>
      <c r="M261" s="48"/>
      <c r="N261" s="30"/>
      <c r="O261" s="30"/>
      <c r="P261" s="30"/>
    </row>
    <row r="262" spans="1:16" ht="60" customHeight="1">
      <c r="A262" s="30" t="s">
        <v>669</v>
      </c>
      <c r="B262" s="47" t="s">
        <v>670</v>
      </c>
      <c r="C262" s="48" t="s">
        <v>671</v>
      </c>
      <c r="D262" s="30"/>
      <c r="E262" s="30"/>
      <c r="F262" s="30"/>
      <c r="G262" s="30"/>
      <c r="H262" s="30" t="s">
        <v>141</v>
      </c>
      <c r="I262" s="30" t="s">
        <v>22</v>
      </c>
      <c r="J262" s="30" t="s">
        <v>144</v>
      </c>
      <c r="K262" s="30" t="s">
        <v>117</v>
      </c>
      <c r="L262" s="30" t="s">
        <v>122</v>
      </c>
      <c r="M262" s="48"/>
      <c r="N262" s="30"/>
      <c r="O262" s="30"/>
      <c r="P262" s="30"/>
    </row>
    <row r="263" spans="1:16" ht="30" customHeight="1">
      <c r="A263" s="30" t="s">
        <v>672</v>
      </c>
      <c r="B263" s="47" t="s">
        <v>670</v>
      </c>
      <c r="C263" s="48" t="s">
        <v>673</v>
      </c>
      <c r="D263" s="30"/>
      <c r="E263" s="30"/>
      <c r="F263" s="30"/>
      <c r="G263" s="30"/>
      <c r="H263" s="30" t="s">
        <v>141</v>
      </c>
      <c r="I263" s="30" t="s">
        <v>22</v>
      </c>
      <c r="J263" s="30" t="s">
        <v>144</v>
      </c>
      <c r="K263" s="30" t="s">
        <v>117</v>
      </c>
      <c r="L263" s="30" t="s">
        <v>122</v>
      </c>
      <c r="M263" s="48" t="s">
        <v>674</v>
      </c>
      <c r="N263" s="30"/>
      <c r="O263" s="30"/>
      <c r="P263" s="30"/>
    </row>
    <row r="264" spans="1:16" ht="45" customHeight="1">
      <c r="A264" s="30" t="s">
        <v>675</v>
      </c>
      <c r="B264" s="47" t="s">
        <v>670</v>
      </c>
      <c r="C264" s="48" t="s">
        <v>676</v>
      </c>
      <c r="D264" s="30"/>
      <c r="E264" s="30"/>
      <c r="F264" s="30"/>
      <c r="G264" s="30"/>
      <c r="H264" s="30" t="s">
        <v>141</v>
      </c>
      <c r="I264" s="30" t="s">
        <v>22</v>
      </c>
      <c r="J264" s="30" t="s">
        <v>144</v>
      </c>
      <c r="K264" s="30" t="s">
        <v>117</v>
      </c>
      <c r="L264" s="30" t="s">
        <v>122</v>
      </c>
      <c r="M264" s="48"/>
      <c r="N264" s="30"/>
      <c r="O264" s="30"/>
      <c r="P264" s="30"/>
    </row>
    <row r="265" spans="1:16" ht="45" customHeight="1">
      <c r="A265" s="30" t="s">
        <v>677</v>
      </c>
      <c r="B265" s="50" t="s">
        <v>670</v>
      </c>
      <c r="C265" s="51" t="s">
        <v>678</v>
      </c>
      <c r="D265" s="30"/>
      <c r="E265" s="30"/>
      <c r="F265" s="30"/>
      <c r="G265" s="30"/>
      <c r="H265" s="30" t="s">
        <v>141</v>
      </c>
      <c r="I265" s="30" t="s">
        <v>31</v>
      </c>
      <c r="J265" s="30" t="s">
        <v>145</v>
      </c>
      <c r="K265" s="30" t="s">
        <v>116</v>
      </c>
      <c r="L265" s="30" t="s">
        <v>122</v>
      </c>
      <c r="M265" s="48" t="s">
        <v>314</v>
      </c>
      <c r="N265" s="30"/>
      <c r="O265" s="30"/>
      <c r="P265" s="30"/>
    </row>
    <row r="266" spans="1:16" ht="30" customHeight="1">
      <c r="A266" s="30" t="s">
        <v>679</v>
      </c>
      <c r="B266" s="47" t="s">
        <v>670</v>
      </c>
      <c r="C266" s="48" t="s">
        <v>680</v>
      </c>
      <c r="D266" s="30"/>
      <c r="E266" s="30"/>
      <c r="F266" s="30"/>
      <c r="G266" s="30"/>
      <c r="H266" s="30" t="s">
        <v>141</v>
      </c>
      <c r="I266" s="30" t="s">
        <v>30</v>
      </c>
      <c r="J266" s="30" t="s">
        <v>142</v>
      </c>
      <c r="K266" s="30" t="s">
        <v>116</v>
      </c>
      <c r="L266" s="30" t="s">
        <v>121</v>
      </c>
      <c r="M266" s="48" t="s">
        <v>681</v>
      </c>
      <c r="N266" s="30"/>
      <c r="O266" s="30"/>
      <c r="P266" s="30"/>
    </row>
    <row r="267" spans="1:16" ht="60" customHeight="1">
      <c r="A267" s="30" t="s">
        <v>682</v>
      </c>
      <c r="B267" s="47" t="s">
        <v>670</v>
      </c>
      <c r="C267" s="48" t="s">
        <v>683</v>
      </c>
      <c r="D267" s="30"/>
      <c r="E267" s="30"/>
      <c r="F267" s="47" t="s">
        <v>684</v>
      </c>
      <c r="G267" s="30" t="s">
        <v>138</v>
      </c>
      <c r="H267" s="30" t="s">
        <v>141</v>
      </c>
      <c r="I267" s="30" t="s">
        <v>22</v>
      </c>
      <c r="J267" s="30" t="s">
        <v>142</v>
      </c>
      <c r="K267" s="30" t="s">
        <v>116</v>
      </c>
      <c r="L267" s="30" t="s">
        <v>143</v>
      </c>
      <c r="M267" s="48"/>
      <c r="N267" s="30"/>
      <c r="O267" s="30"/>
      <c r="P267" s="30"/>
    </row>
    <row r="268" spans="1:16" ht="150" customHeight="1">
      <c r="A268" s="30" t="s">
        <v>685</v>
      </c>
      <c r="B268" s="47" t="s">
        <v>670</v>
      </c>
      <c r="C268" s="48" t="s">
        <v>686</v>
      </c>
      <c r="D268" s="30"/>
      <c r="E268" s="30"/>
      <c r="F268" s="30"/>
      <c r="G268" s="30"/>
      <c r="H268" s="30" t="s">
        <v>141</v>
      </c>
      <c r="I268" s="30" t="s">
        <v>22</v>
      </c>
      <c r="J268" s="30" t="s">
        <v>144</v>
      </c>
      <c r="K268" s="30" t="s">
        <v>117</v>
      </c>
      <c r="L268" s="30" t="s">
        <v>122</v>
      </c>
      <c r="M268" s="48"/>
      <c r="N268" s="30"/>
      <c r="O268" s="30"/>
      <c r="P268" s="30"/>
    </row>
    <row r="269" spans="1:16" ht="45" customHeight="1">
      <c r="A269" s="30" t="s">
        <v>687</v>
      </c>
      <c r="B269" s="47" t="s">
        <v>670</v>
      </c>
      <c r="C269" s="48" t="s">
        <v>688</v>
      </c>
      <c r="D269" s="30"/>
      <c r="E269" s="30"/>
      <c r="F269" s="30"/>
      <c r="G269" s="30"/>
      <c r="H269" s="30" t="s">
        <v>141</v>
      </c>
      <c r="I269" s="30" t="s">
        <v>31</v>
      </c>
      <c r="J269" s="30" t="s">
        <v>144</v>
      </c>
      <c r="K269" s="30" t="s">
        <v>117</v>
      </c>
      <c r="L269" s="30" t="s">
        <v>122</v>
      </c>
      <c r="M269" s="48"/>
      <c r="N269" s="30"/>
      <c r="O269" s="30"/>
      <c r="P269" s="30"/>
    </row>
    <row r="270" spans="1:16" ht="45" customHeight="1">
      <c r="A270" s="30" t="s">
        <v>689</v>
      </c>
      <c r="B270" s="47" t="s">
        <v>670</v>
      </c>
      <c r="C270" s="48" t="s">
        <v>4706</v>
      </c>
      <c r="D270" s="30"/>
      <c r="E270" s="30"/>
      <c r="F270" s="30"/>
      <c r="G270" s="30"/>
      <c r="H270" s="30" t="s">
        <v>141</v>
      </c>
      <c r="I270" s="30" t="s">
        <v>30</v>
      </c>
      <c r="J270" s="30" t="s">
        <v>144</v>
      </c>
      <c r="K270" s="30" t="s">
        <v>117</v>
      </c>
      <c r="L270" s="30" t="s">
        <v>122</v>
      </c>
      <c r="M270" s="48"/>
      <c r="N270" s="30"/>
      <c r="O270" s="30"/>
      <c r="P270" s="30"/>
    </row>
    <row r="271" spans="1:16" ht="60" customHeight="1">
      <c r="A271" s="30" t="s">
        <v>690</v>
      </c>
      <c r="B271" s="47" t="s">
        <v>670</v>
      </c>
      <c r="C271" s="48" t="s">
        <v>691</v>
      </c>
      <c r="D271" s="30"/>
      <c r="E271" s="30"/>
      <c r="F271" s="30"/>
      <c r="G271" s="30"/>
      <c r="H271" s="30" t="s">
        <v>141</v>
      </c>
      <c r="I271" s="30" t="s">
        <v>22</v>
      </c>
      <c r="J271" s="30" t="s">
        <v>145</v>
      </c>
      <c r="K271" s="30" t="s">
        <v>116</v>
      </c>
      <c r="L271" s="30" t="s">
        <v>692</v>
      </c>
      <c r="M271" s="48" t="s">
        <v>693</v>
      </c>
      <c r="N271" s="30"/>
      <c r="O271" s="30"/>
      <c r="P271" s="30"/>
    </row>
    <row r="272" spans="1:16" ht="60" customHeight="1">
      <c r="A272" s="30" t="s">
        <v>694</v>
      </c>
      <c r="B272" s="47" t="s">
        <v>670</v>
      </c>
      <c r="C272" s="48" t="s">
        <v>695</v>
      </c>
      <c r="D272" s="30"/>
      <c r="E272" s="30"/>
      <c r="F272" s="47"/>
      <c r="G272" s="30"/>
      <c r="H272" s="30" t="s">
        <v>141</v>
      </c>
      <c r="I272" s="30" t="s">
        <v>31</v>
      </c>
      <c r="J272" s="30" t="s">
        <v>144</v>
      </c>
      <c r="K272" s="30" t="s">
        <v>117</v>
      </c>
      <c r="L272" s="30" t="s">
        <v>3664</v>
      </c>
      <c r="M272" s="51" t="s">
        <v>4090</v>
      </c>
      <c r="N272" s="30"/>
      <c r="O272" s="30"/>
      <c r="P272" s="30"/>
    </row>
    <row r="273" spans="1:16" ht="60" customHeight="1">
      <c r="A273" s="30" t="s">
        <v>696</v>
      </c>
      <c r="B273" s="47" t="s">
        <v>670</v>
      </c>
      <c r="C273" s="48" t="s">
        <v>697</v>
      </c>
      <c r="D273" s="30"/>
      <c r="E273" s="30"/>
      <c r="F273" s="47"/>
      <c r="G273" s="30"/>
      <c r="H273" s="30" t="s">
        <v>149</v>
      </c>
      <c r="I273" s="30" t="s">
        <v>31</v>
      </c>
      <c r="J273" s="30" t="s">
        <v>144</v>
      </c>
      <c r="K273" s="30" t="s">
        <v>117</v>
      </c>
      <c r="L273" s="30" t="s">
        <v>3664</v>
      </c>
      <c r="M273" s="51" t="s">
        <v>4089</v>
      </c>
      <c r="N273" s="30"/>
      <c r="O273" s="30"/>
      <c r="P273" s="30"/>
    </row>
    <row r="274" spans="1:16" ht="105" customHeight="1">
      <c r="A274" s="30" t="s">
        <v>698</v>
      </c>
      <c r="B274" s="47" t="s">
        <v>670</v>
      </c>
      <c r="C274" s="48" t="s">
        <v>699</v>
      </c>
      <c r="D274" s="30"/>
      <c r="E274" s="30"/>
      <c r="F274" s="30"/>
      <c r="G274" s="30"/>
      <c r="H274" s="30" t="s">
        <v>141</v>
      </c>
      <c r="I274" s="30" t="s">
        <v>31</v>
      </c>
      <c r="J274" s="30" t="s">
        <v>142</v>
      </c>
      <c r="K274" s="30" t="s">
        <v>116</v>
      </c>
      <c r="L274" s="30" t="s">
        <v>122</v>
      </c>
      <c r="M274" s="48" t="s">
        <v>184</v>
      </c>
      <c r="N274" s="30"/>
      <c r="O274" s="30"/>
      <c r="P274" s="30"/>
    </row>
    <row r="275" spans="1:16" ht="90" customHeight="1">
      <c r="A275" s="30" t="s">
        <v>700</v>
      </c>
      <c r="B275" s="47" t="s">
        <v>670</v>
      </c>
      <c r="C275" s="48" t="s">
        <v>701</v>
      </c>
      <c r="D275" s="30"/>
      <c r="E275" s="30"/>
      <c r="F275" s="47"/>
      <c r="G275" s="30" t="s">
        <v>133</v>
      </c>
      <c r="H275" s="30" t="s">
        <v>141</v>
      </c>
      <c r="I275" s="30" t="s">
        <v>30</v>
      </c>
      <c r="J275" s="30" t="s">
        <v>142</v>
      </c>
      <c r="K275" s="30" t="s">
        <v>116</v>
      </c>
      <c r="L275" s="30" t="s">
        <v>143</v>
      </c>
      <c r="M275" s="48"/>
      <c r="N275" s="30"/>
      <c r="O275" s="30"/>
      <c r="P275" s="30"/>
    </row>
    <row r="276" spans="1:16" ht="45" customHeight="1">
      <c r="A276" s="30" t="s">
        <v>702</v>
      </c>
      <c r="B276" s="47" t="s">
        <v>670</v>
      </c>
      <c r="C276" s="48" t="s">
        <v>703</v>
      </c>
      <c r="D276" s="30"/>
      <c r="E276" s="30"/>
      <c r="F276" s="30"/>
      <c r="G276" s="30"/>
      <c r="H276" s="30" t="s">
        <v>141</v>
      </c>
      <c r="I276" s="30" t="s">
        <v>31</v>
      </c>
      <c r="J276" s="30" t="s">
        <v>142</v>
      </c>
      <c r="K276" s="30" t="s">
        <v>116</v>
      </c>
      <c r="L276" s="30" t="s">
        <v>122</v>
      </c>
      <c r="M276" s="48" t="s">
        <v>184</v>
      </c>
      <c r="N276" s="30"/>
      <c r="O276" s="30"/>
      <c r="P276" s="30"/>
    </row>
    <row r="277" spans="1:16" ht="60" customHeight="1">
      <c r="A277" s="30" t="s">
        <v>704</v>
      </c>
      <c r="B277" s="47" t="s">
        <v>670</v>
      </c>
      <c r="C277" s="48" t="s">
        <v>705</v>
      </c>
      <c r="D277" s="30"/>
      <c r="E277" s="30"/>
      <c r="F277" s="30"/>
      <c r="G277" s="30"/>
      <c r="H277" s="30" t="s">
        <v>141</v>
      </c>
      <c r="I277" s="30" t="s">
        <v>30</v>
      </c>
      <c r="J277" s="30" t="s">
        <v>142</v>
      </c>
      <c r="K277" s="30" t="s">
        <v>116</v>
      </c>
      <c r="L277" s="30" t="s">
        <v>121</v>
      </c>
      <c r="M277" s="48" t="s">
        <v>706</v>
      </c>
      <c r="N277" s="30"/>
      <c r="O277" s="30"/>
      <c r="P277" s="30"/>
    </row>
    <row r="278" spans="1:16" ht="90" customHeight="1">
      <c r="A278" s="30" t="s">
        <v>707</v>
      </c>
      <c r="B278" s="47" t="s">
        <v>670</v>
      </c>
      <c r="C278" s="48" t="s">
        <v>708</v>
      </c>
      <c r="D278" s="30"/>
      <c r="E278" s="30"/>
      <c r="F278" s="47" t="s">
        <v>709</v>
      </c>
      <c r="G278" s="30" t="s">
        <v>133</v>
      </c>
      <c r="H278" s="30" t="s">
        <v>141</v>
      </c>
      <c r="I278" s="30" t="s">
        <v>30</v>
      </c>
      <c r="J278" s="30" t="s">
        <v>142</v>
      </c>
      <c r="K278" s="30" t="s">
        <v>116</v>
      </c>
      <c r="L278" s="30" t="s">
        <v>143</v>
      </c>
      <c r="M278" s="48"/>
      <c r="N278" s="30"/>
      <c r="O278" s="30"/>
      <c r="P278" s="30"/>
    </row>
    <row r="279" spans="1:16" ht="75" customHeight="1">
      <c r="A279" s="30" t="s">
        <v>710</v>
      </c>
      <c r="B279" s="47" t="s">
        <v>670</v>
      </c>
      <c r="C279" s="48" t="s">
        <v>3670</v>
      </c>
      <c r="D279" s="30"/>
      <c r="E279" s="30"/>
      <c r="F279" s="30"/>
      <c r="G279" s="30"/>
      <c r="H279" s="30" t="s">
        <v>141</v>
      </c>
      <c r="I279" s="30" t="s">
        <v>31</v>
      </c>
      <c r="J279" s="30" t="s">
        <v>142</v>
      </c>
      <c r="K279" s="30" t="s">
        <v>116</v>
      </c>
      <c r="L279" s="30" t="s">
        <v>122</v>
      </c>
      <c r="M279" s="48" t="s">
        <v>314</v>
      </c>
      <c r="N279" s="30"/>
      <c r="O279" s="30"/>
      <c r="P279" s="30"/>
    </row>
    <row r="280" spans="1:16" ht="60" customHeight="1">
      <c r="A280" s="30" t="s">
        <v>711</v>
      </c>
      <c r="B280" s="47" t="s">
        <v>670</v>
      </c>
      <c r="C280" s="48" t="s">
        <v>712</v>
      </c>
      <c r="D280" s="30"/>
      <c r="E280" s="30"/>
      <c r="F280" s="30"/>
      <c r="G280" s="30"/>
      <c r="H280" s="30" t="s">
        <v>141</v>
      </c>
      <c r="I280" s="30" t="s">
        <v>31</v>
      </c>
      <c r="J280" s="30" t="s">
        <v>145</v>
      </c>
      <c r="K280" s="30" t="s">
        <v>116</v>
      </c>
      <c r="L280" s="30" t="s">
        <v>122</v>
      </c>
      <c r="M280" s="48" t="s">
        <v>314</v>
      </c>
      <c r="N280" s="30"/>
      <c r="O280" s="30"/>
      <c r="P280" s="30"/>
    </row>
    <row r="281" spans="1:16" ht="60" customHeight="1">
      <c r="A281" s="30" t="s">
        <v>713</v>
      </c>
      <c r="B281" s="47" t="s">
        <v>670</v>
      </c>
      <c r="C281" s="48" t="s">
        <v>714</v>
      </c>
      <c r="D281" s="30"/>
      <c r="E281" s="30"/>
      <c r="F281" s="47"/>
      <c r="G281" s="30" t="s">
        <v>133</v>
      </c>
      <c r="H281" s="30" t="s">
        <v>141</v>
      </c>
      <c r="I281" s="30" t="s">
        <v>22</v>
      </c>
      <c r="J281" s="30" t="s">
        <v>142</v>
      </c>
      <c r="K281" s="30" t="s">
        <v>116</v>
      </c>
      <c r="L281" s="30" t="s">
        <v>146</v>
      </c>
      <c r="M281" s="48" t="s">
        <v>4121</v>
      </c>
      <c r="N281" s="30"/>
      <c r="O281" s="30"/>
      <c r="P281" s="30"/>
    </row>
    <row r="282" spans="1:16" ht="45" customHeight="1">
      <c r="A282" s="30" t="s">
        <v>715</v>
      </c>
      <c r="B282" s="47" t="s">
        <v>670</v>
      </c>
      <c r="C282" s="48" t="s">
        <v>716</v>
      </c>
      <c r="D282" s="30"/>
      <c r="E282" s="30"/>
      <c r="F282" s="47"/>
      <c r="G282" s="30" t="s">
        <v>133</v>
      </c>
      <c r="H282" s="30" t="s">
        <v>141</v>
      </c>
      <c r="I282" s="30" t="s">
        <v>22</v>
      </c>
      <c r="J282" s="30" t="s">
        <v>142</v>
      </c>
      <c r="K282" s="30" t="s">
        <v>116</v>
      </c>
      <c r="L282" s="30" t="s">
        <v>146</v>
      </c>
      <c r="M282" s="48"/>
      <c r="N282" s="30"/>
      <c r="O282" s="30"/>
      <c r="P282" s="30"/>
    </row>
    <row r="283" spans="1:16" ht="60" customHeight="1">
      <c r="A283" s="30" t="s">
        <v>717</v>
      </c>
      <c r="B283" s="50" t="s">
        <v>670</v>
      </c>
      <c r="C283" s="51" t="s">
        <v>718</v>
      </c>
      <c r="D283" s="30"/>
      <c r="E283" s="30"/>
      <c r="F283" s="30"/>
      <c r="G283" s="30"/>
      <c r="H283" s="30" t="s">
        <v>141</v>
      </c>
      <c r="I283" s="30" t="s">
        <v>22</v>
      </c>
      <c r="J283" s="30" t="s">
        <v>145</v>
      </c>
      <c r="K283" s="30" t="s">
        <v>116</v>
      </c>
      <c r="L283" s="30" t="s">
        <v>121</v>
      </c>
      <c r="M283" s="48" t="s">
        <v>4121</v>
      </c>
      <c r="N283" s="30"/>
      <c r="O283" s="30"/>
      <c r="P283" s="30"/>
    </row>
    <row r="284" spans="1:16" ht="60" customHeight="1">
      <c r="A284" s="30" t="s">
        <v>719</v>
      </c>
      <c r="B284" s="47" t="s">
        <v>670</v>
      </c>
      <c r="C284" s="48" t="s">
        <v>720</v>
      </c>
      <c r="D284" s="30"/>
      <c r="E284" s="30"/>
      <c r="F284" s="47" t="s">
        <v>721</v>
      </c>
      <c r="G284" s="30" t="s">
        <v>133</v>
      </c>
      <c r="H284" s="30" t="s">
        <v>141</v>
      </c>
      <c r="I284" s="30" t="s">
        <v>22</v>
      </c>
      <c r="J284" s="30" t="s">
        <v>145</v>
      </c>
      <c r="K284" s="30" t="s">
        <v>116</v>
      </c>
      <c r="L284" s="30" t="s">
        <v>143</v>
      </c>
      <c r="M284" s="48" t="s">
        <v>4121</v>
      </c>
      <c r="N284" s="30"/>
      <c r="O284" s="30"/>
      <c r="P284" s="30"/>
    </row>
    <row r="285" spans="1:16" ht="120" customHeight="1">
      <c r="A285" s="30" t="s">
        <v>722</v>
      </c>
      <c r="B285" s="47" t="s">
        <v>670</v>
      </c>
      <c r="C285" s="48" t="s">
        <v>723</v>
      </c>
      <c r="D285" s="30"/>
      <c r="E285" s="30"/>
      <c r="F285" s="47" t="s">
        <v>724</v>
      </c>
      <c r="G285" s="30" t="s">
        <v>133</v>
      </c>
      <c r="H285" s="30" t="s">
        <v>149</v>
      </c>
      <c r="I285" s="30" t="s">
        <v>22</v>
      </c>
      <c r="J285" s="30" t="s">
        <v>145</v>
      </c>
      <c r="K285" s="30" t="s">
        <v>116</v>
      </c>
      <c r="L285" s="30" t="s">
        <v>143</v>
      </c>
      <c r="M285" s="48" t="s">
        <v>4121</v>
      </c>
      <c r="N285" s="30"/>
      <c r="O285" s="30"/>
      <c r="P285" s="30"/>
    </row>
    <row r="286" spans="1:16" ht="60" customHeight="1">
      <c r="A286" s="30" t="s">
        <v>725</v>
      </c>
      <c r="B286" s="47" t="s">
        <v>670</v>
      </c>
      <c r="C286" s="48" t="s">
        <v>726</v>
      </c>
      <c r="D286" s="30"/>
      <c r="E286" s="30"/>
      <c r="F286" s="30"/>
      <c r="G286" s="30"/>
      <c r="H286" s="30" t="s">
        <v>141</v>
      </c>
      <c r="I286" s="30" t="s">
        <v>31</v>
      </c>
      <c r="J286" s="30" t="s">
        <v>142</v>
      </c>
      <c r="K286" s="30" t="s">
        <v>116</v>
      </c>
      <c r="L286" s="30" t="s">
        <v>122</v>
      </c>
      <c r="M286" s="48" t="s">
        <v>184</v>
      </c>
      <c r="N286" s="30"/>
      <c r="O286" s="30"/>
      <c r="P286" s="30"/>
    </row>
    <row r="287" spans="1:16" ht="60" customHeight="1">
      <c r="A287" s="30" t="s">
        <v>727</v>
      </c>
      <c r="B287" s="50" t="s">
        <v>670</v>
      </c>
      <c r="C287" s="51" t="s">
        <v>728</v>
      </c>
      <c r="D287" s="30"/>
      <c r="E287" s="30"/>
      <c r="F287" s="47"/>
      <c r="G287" s="30" t="s">
        <v>133</v>
      </c>
      <c r="H287" s="30" t="s">
        <v>141</v>
      </c>
      <c r="I287" s="30" t="s">
        <v>22</v>
      </c>
      <c r="J287" s="30" t="s">
        <v>145</v>
      </c>
      <c r="K287" s="30" t="s">
        <v>116</v>
      </c>
      <c r="L287" s="30" t="s">
        <v>146</v>
      </c>
      <c r="M287" s="48"/>
      <c r="N287" s="30"/>
      <c r="O287" s="30"/>
      <c r="P287" s="30"/>
    </row>
    <row r="288" spans="1:16" ht="120" customHeight="1">
      <c r="A288" s="30" t="s">
        <v>729</v>
      </c>
      <c r="B288" s="47" t="s">
        <v>670</v>
      </c>
      <c r="C288" s="48" t="s">
        <v>4071</v>
      </c>
      <c r="D288" s="30"/>
      <c r="E288" s="30"/>
      <c r="F288" s="47" t="s">
        <v>4072</v>
      </c>
      <c r="G288" s="30" t="s">
        <v>133</v>
      </c>
      <c r="H288" s="30" t="s">
        <v>149</v>
      </c>
      <c r="I288" s="30" t="s">
        <v>22</v>
      </c>
      <c r="J288" s="30" t="s">
        <v>145</v>
      </c>
      <c r="K288" s="30" t="s">
        <v>116</v>
      </c>
      <c r="L288" s="30" t="s">
        <v>146</v>
      </c>
      <c r="M288" s="48"/>
      <c r="N288" s="30"/>
      <c r="O288" s="30"/>
      <c r="P288" s="30"/>
    </row>
    <row r="289" spans="1:16" ht="75" customHeight="1">
      <c r="A289" s="30" t="s">
        <v>730</v>
      </c>
      <c r="B289" s="47" t="s">
        <v>670</v>
      </c>
      <c r="C289" s="48" t="s">
        <v>731</v>
      </c>
      <c r="D289" s="30"/>
      <c r="E289" s="30"/>
      <c r="F289" s="30"/>
      <c r="G289" s="30"/>
      <c r="H289" s="30" t="s">
        <v>141</v>
      </c>
      <c r="I289" s="30" t="s">
        <v>22</v>
      </c>
      <c r="J289" s="30" t="s">
        <v>144</v>
      </c>
      <c r="K289" s="30" t="s">
        <v>117</v>
      </c>
      <c r="L289" s="30" t="s">
        <v>122</v>
      </c>
      <c r="M289" s="48"/>
      <c r="N289" s="30"/>
      <c r="O289" s="30"/>
      <c r="P289" s="30"/>
    </row>
    <row r="290" spans="1:16" ht="75" customHeight="1">
      <c r="A290" s="30" t="s">
        <v>732</v>
      </c>
      <c r="B290" s="50" t="s">
        <v>670</v>
      </c>
      <c r="C290" s="51" t="s">
        <v>733</v>
      </c>
      <c r="D290" s="30"/>
      <c r="E290" s="30"/>
      <c r="F290" s="47"/>
      <c r="G290" s="30" t="s">
        <v>133</v>
      </c>
      <c r="H290" s="30" t="s">
        <v>141</v>
      </c>
      <c r="I290" s="30" t="s">
        <v>22</v>
      </c>
      <c r="J290" s="30" t="s">
        <v>145</v>
      </c>
      <c r="K290" s="30" t="s">
        <v>116</v>
      </c>
      <c r="L290" s="30" t="s">
        <v>146</v>
      </c>
      <c r="M290" s="48"/>
      <c r="N290" s="30"/>
      <c r="O290" s="30"/>
      <c r="P290" s="30"/>
    </row>
    <row r="291" spans="1:16" ht="120" customHeight="1">
      <c r="A291" s="30" t="s">
        <v>734</v>
      </c>
      <c r="B291" s="47" t="s">
        <v>670</v>
      </c>
      <c r="C291" s="48" t="s">
        <v>735</v>
      </c>
      <c r="D291" s="30"/>
      <c r="E291" s="30"/>
      <c r="F291" s="47" t="s">
        <v>736</v>
      </c>
      <c r="G291" s="30" t="s">
        <v>133</v>
      </c>
      <c r="H291" s="30" t="s">
        <v>149</v>
      </c>
      <c r="I291" s="30" t="s">
        <v>22</v>
      </c>
      <c r="J291" s="30" t="s">
        <v>145</v>
      </c>
      <c r="K291" s="30" t="s">
        <v>116</v>
      </c>
      <c r="L291" s="30" t="s">
        <v>146</v>
      </c>
      <c r="M291" s="48"/>
      <c r="N291" s="30"/>
      <c r="O291" s="30"/>
      <c r="P291" s="30"/>
    </row>
    <row r="292" spans="1:16" ht="60" customHeight="1">
      <c r="A292" s="30" t="s">
        <v>737</v>
      </c>
      <c r="B292" s="47" t="s">
        <v>670</v>
      </c>
      <c r="C292" s="48" t="s">
        <v>738</v>
      </c>
      <c r="D292" s="30"/>
      <c r="E292" s="30"/>
      <c r="F292" s="30"/>
      <c r="G292" s="30"/>
      <c r="H292" s="30" t="s">
        <v>141</v>
      </c>
      <c r="I292" s="30" t="s">
        <v>31</v>
      </c>
      <c r="J292" s="30" t="s">
        <v>142</v>
      </c>
      <c r="K292" s="30" t="s">
        <v>116</v>
      </c>
      <c r="L292" s="30" t="s">
        <v>122</v>
      </c>
      <c r="M292" s="48" t="s">
        <v>314</v>
      </c>
      <c r="N292" s="30"/>
      <c r="O292" s="30"/>
      <c r="P292" s="30"/>
    </row>
    <row r="293" spans="1:16" ht="30" customHeight="1">
      <c r="A293" s="30" t="s">
        <v>739</v>
      </c>
      <c r="B293" s="47" t="s">
        <v>670</v>
      </c>
      <c r="C293" s="48" t="s">
        <v>740</v>
      </c>
      <c r="D293" s="30"/>
      <c r="E293" s="30"/>
      <c r="F293" s="30"/>
      <c r="G293" s="30"/>
      <c r="H293" s="30" t="s">
        <v>141</v>
      </c>
      <c r="I293" s="30" t="s">
        <v>31</v>
      </c>
      <c r="J293" s="30" t="s">
        <v>142</v>
      </c>
      <c r="K293" s="30" t="s">
        <v>116</v>
      </c>
      <c r="L293" s="30" t="s">
        <v>122</v>
      </c>
      <c r="M293" s="48" t="s">
        <v>314</v>
      </c>
      <c r="N293" s="30"/>
      <c r="O293" s="30"/>
      <c r="P293" s="30"/>
    </row>
    <row r="294" spans="1:16" ht="45" customHeight="1">
      <c r="A294" s="30" t="s">
        <v>741</v>
      </c>
      <c r="B294" s="47" t="s">
        <v>742</v>
      </c>
      <c r="C294" s="48" t="s">
        <v>743</v>
      </c>
      <c r="D294" s="30"/>
      <c r="E294" s="30"/>
      <c r="F294" s="30"/>
      <c r="G294" s="30"/>
      <c r="H294" s="30" t="s">
        <v>141</v>
      </c>
      <c r="I294" s="30" t="s">
        <v>31</v>
      </c>
      <c r="J294" s="30" t="s">
        <v>144</v>
      </c>
      <c r="K294" s="30" t="s">
        <v>117</v>
      </c>
      <c r="L294" s="30" t="s">
        <v>122</v>
      </c>
      <c r="M294" s="48"/>
      <c r="N294" s="30"/>
      <c r="O294" s="30"/>
      <c r="P294" s="30"/>
    </row>
    <row r="295" spans="1:16" ht="75" customHeight="1">
      <c r="A295" s="30" t="s">
        <v>744</v>
      </c>
      <c r="B295" s="47" t="s">
        <v>742</v>
      </c>
      <c r="C295" s="48" t="s">
        <v>745</v>
      </c>
      <c r="D295" s="30"/>
      <c r="E295" s="30"/>
      <c r="F295" s="30"/>
      <c r="G295" s="30"/>
      <c r="H295" s="30" t="s">
        <v>141</v>
      </c>
      <c r="I295" s="30" t="s">
        <v>30</v>
      </c>
      <c r="J295" s="30" t="s">
        <v>144</v>
      </c>
      <c r="K295" s="30" t="s">
        <v>117</v>
      </c>
      <c r="L295" s="30" t="s">
        <v>122</v>
      </c>
      <c r="M295" s="48"/>
      <c r="N295" s="30"/>
      <c r="O295" s="30"/>
      <c r="P295" s="30"/>
    </row>
    <row r="296" spans="1:16" ht="45" customHeight="1">
      <c r="A296" s="30" t="s">
        <v>746</v>
      </c>
      <c r="B296" s="47" t="s">
        <v>742</v>
      </c>
      <c r="C296" s="48" t="s">
        <v>747</v>
      </c>
      <c r="D296" s="30"/>
      <c r="E296" s="30"/>
      <c r="F296" s="30"/>
      <c r="G296" s="30"/>
      <c r="H296" s="30" t="s">
        <v>141</v>
      </c>
      <c r="I296" s="30" t="s">
        <v>31</v>
      </c>
      <c r="J296" s="30" t="s">
        <v>145</v>
      </c>
      <c r="K296" s="30" t="s">
        <v>116</v>
      </c>
      <c r="L296" s="30" t="s">
        <v>122</v>
      </c>
      <c r="M296" s="48" t="s">
        <v>314</v>
      </c>
      <c r="N296" s="30"/>
      <c r="O296" s="30"/>
      <c r="P296" s="30"/>
    </row>
    <row r="297" spans="1:16" ht="120" customHeight="1">
      <c r="A297" s="30" t="s">
        <v>748</v>
      </c>
      <c r="B297" s="47" t="s">
        <v>742</v>
      </c>
      <c r="C297" s="48" t="s">
        <v>749</v>
      </c>
      <c r="D297" s="30"/>
      <c r="E297" s="30"/>
      <c r="F297" s="30"/>
      <c r="G297" s="30"/>
      <c r="H297" s="30" t="s">
        <v>141</v>
      </c>
      <c r="I297" s="30" t="s">
        <v>22</v>
      </c>
      <c r="J297" s="30" t="s">
        <v>144</v>
      </c>
      <c r="K297" s="30" t="s">
        <v>117</v>
      </c>
      <c r="L297" s="30" t="s">
        <v>122</v>
      </c>
      <c r="M297" s="48"/>
      <c r="N297" s="30"/>
      <c r="O297" s="30"/>
      <c r="P297" s="30"/>
    </row>
    <row r="298" spans="1:16" ht="30" customHeight="1">
      <c r="A298" s="30" t="s">
        <v>750</v>
      </c>
      <c r="B298" s="47" t="s">
        <v>742</v>
      </c>
      <c r="C298" s="48" t="s">
        <v>751</v>
      </c>
      <c r="D298" s="30"/>
      <c r="E298" s="30"/>
      <c r="F298" s="30"/>
      <c r="G298" s="30"/>
      <c r="H298" s="30" t="s">
        <v>141</v>
      </c>
      <c r="I298" s="30" t="s">
        <v>31</v>
      </c>
      <c r="J298" s="30" t="s">
        <v>145</v>
      </c>
      <c r="K298" s="30" t="s">
        <v>116</v>
      </c>
      <c r="L298" s="30" t="s">
        <v>122</v>
      </c>
      <c r="M298" s="48" t="s">
        <v>314</v>
      </c>
      <c r="N298" s="30"/>
      <c r="O298" s="30"/>
      <c r="P298" s="30"/>
    </row>
    <row r="299" spans="1:16" ht="30" customHeight="1">
      <c r="A299" s="30" t="s">
        <v>752</v>
      </c>
      <c r="B299" s="47" t="s">
        <v>742</v>
      </c>
      <c r="C299" s="48" t="s">
        <v>753</v>
      </c>
      <c r="D299" s="30"/>
      <c r="E299" s="30"/>
      <c r="F299" s="30"/>
      <c r="G299" s="30"/>
      <c r="H299" s="30" t="s">
        <v>141</v>
      </c>
      <c r="I299" s="30" t="s">
        <v>30</v>
      </c>
      <c r="J299" s="30" t="s">
        <v>142</v>
      </c>
      <c r="K299" s="30" t="s">
        <v>116</v>
      </c>
      <c r="L299" s="30" t="s">
        <v>121</v>
      </c>
      <c r="M299" s="48" t="s">
        <v>316</v>
      </c>
      <c r="N299" s="30"/>
      <c r="O299" s="30"/>
      <c r="P299" s="30"/>
    </row>
    <row r="300" spans="1:16" ht="71.25" customHeight="1">
      <c r="A300" s="30" t="s">
        <v>754</v>
      </c>
      <c r="B300" s="47" t="s">
        <v>742</v>
      </c>
      <c r="C300" s="48" t="s">
        <v>755</v>
      </c>
      <c r="D300" s="30"/>
      <c r="E300" s="30"/>
      <c r="F300" s="30"/>
      <c r="G300" s="30"/>
      <c r="H300" s="30" t="s">
        <v>141</v>
      </c>
      <c r="I300" s="30" t="s">
        <v>30</v>
      </c>
      <c r="J300" s="30" t="s">
        <v>144</v>
      </c>
      <c r="K300" s="30" t="s">
        <v>117</v>
      </c>
      <c r="L300" s="30" t="s">
        <v>3664</v>
      </c>
      <c r="M300" s="64" t="s">
        <v>4077</v>
      </c>
      <c r="N300" s="30"/>
      <c r="O300" s="30"/>
      <c r="P300" s="30"/>
    </row>
    <row r="301" spans="1:16" ht="60" customHeight="1">
      <c r="A301" s="30" t="s">
        <v>756</v>
      </c>
      <c r="B301" s="47" t="s">
        <v>742</v>
      </c>
      <c r="C301" s="48" t="s">
        <v>757</v>
      </c>
      <c r="D301" s="30"/>
      <c r="E301" s="30"/>
      <c r="F301" s="30"/>
      <c r="G301" s="30"/>
      <c r="H301" s="30" t="s">
        <v>141</v>
      </c>
      <c r="I301" s="30" t="s">
        <v>31</v>
      </c>
      <c r="J301" s="30" t="s">
        <v>142</v>
      </c>
      <c r="K301" s="30" t="s">
        <v>116</v>
      </c>
      <c r="L301" s="30" t="s">
        <v>122</v>
      </c>
      <c r="M301" s="48" t="s">
        <v>314</v>
      </c>
      <c r="N301" s="30"/>
      <c r="O301" s="30"/>
      <c r="P301" s="30"/>
    </row>
    <row r="302" spans="1:16" ht="45" customHeight="1">
      <c r="A302" s="30" t="s">
        <v>758</v>
      </c>
      <c r="B302" s="47" t="s">
        <v>742</v>
      </c>
      <c r="C302" s="48" t="s">
        <v>759</v>
      </c>
      <c r="D302" s="30"/>
      <c r="E302" s="30"/>
      <c r="F302" s="30"/>
      <c r="G302" s="30"/>
      <c r="H302" s="30" t="s">
        <v>141</v>
      </c>
      <c r="I302" s="30" t="s">
        <v>30</v>
      </c>
      <c r="J302" s="30" t="s">
        <v>142</v>
      </c>
      <c r="K302" s="30" t="s">
        <v>116</v>
      </c>
      <c r="L302" s="30" t="s">
        <v>121</v>
      </c>
      <c r="M302" s="64" t="s">
        <v>4076</v>
      </c>
      <c r="N302" s="30"/>
      <c r="O302" s="30"/>
      <c r="P302" s="30"/>
    </row>
    <row r="303" spans="1:16" ht="45" customHeight="1">
      <c r="A303" s="30" t="s">
        <v>760</v>
      </c>
      <c r="B303" s="47" t="s">
        <v>742</v>
      </c>
      <c r="C303" s="48" t="s">
        <v>761</v>
      </c>
      <c r="D303" s="30"/>
      <c r="E303" s="30"/>
      <c r="F303" s="30"/>
      <c r="G303" s="30"/>
      <c r="H303" s="30" t="s">
        <v>141</v>
      </c>
      <c r="I303" s="30" t="s">
        <v>30</v>
      </c>
      <c r="J303" s="30" t="s">
        <v>142</v>
      </c>
      <c r="K303" s="30" t="s">
        <v>116</v>
      </c>
      <c r="L303" s="30" t="s">
        <v>121</v>
      </c>
      <c r="M303" s="64" t="s">
        <v>4076</v>
      </c>
      <c r="N303" s="30"/>
      <c r="O303" s="30"/>
      <c r="P303" s="30"/>
    </row>
    <row r="304" spans="1:16" ht="45" customHeight="1">
      <c r="A304" s="30" t="s">
        <v>762</v>
      </c>
      <c r="B304" s="47" t="s">
        <v>742</v>
      </c>
      <c r="C304" s="48" t="s">
        <v>763</v>
      </c>
      <c r="D304" s="30"/>
      <c r="E304" s="30"/>
      <c r="F304" s="30"/>
      <c r="G304" s="30"/>
      <c r="H304" s="30" t="s">
        <v>141</v>
      </c>
      <c r="I304" s="30" t="s">
        <v>31</v>
      </c>
      <c r="J304" s="30" t="s">
        <v>142</v>
      </c>
      <c r="K304" s="30" t="s">
        <v>116</v>
      </c>
      <c r="L304" s="30" t="s">
        <v>122</v>
      </c>
      <c r="M304" s="48" t="s">
        <v>314</v>
      </c>
      <c r="N304" s="30"/>
      <c r="O304" s="30"/>
      <c r="P304" s="30"/>
    </row>
    <row r="305" spans="1:16" ht="45" customHeight="1">
      <c r="A305" s="30" t="s">
        <v>764</v>
      </c>
      <c r="B305" s="47" t="s">
        <v>742</v>
      </c>
      <c r="C305" s="48" t="s">
        <v>765</v>
      </c>
      <c r="D305" s="30"/>
      <c r="E305" s="30"/>
      <c r="F305" s="30"/>
      <c r="G305" s="30"/>
      <c r="H305" s="30" t="s">
        <v>141</v>
      </c>
      <c r="I305" s="30" t="s">
        <v>31</v>
      </c>
      <c r="J305" s="30" t="s">
        <v>142</v>
      </c>
      <c r="K305" s="30" t="s">
        <v>116</v>
      </c>
      <c r="L305" s="30" t="s">
        <v>122</v>
      </c>
      <c r="M305" s="48" t="s">
        <v>314</v>
      </c>
      <c r="N305" s="30"/>
      <c r="O305" s="30"/>
      <c r="P305" s="30"/>
    </row>
    <row r="306" spans="1:16" ht="60" customHeight="1">
      <c r="A306" s="30" t="s">
        <v>766</v>
      </c>
      <c r="B306" s="47" t="s">
        <v>742</v>
      </c>
      <c r="C306" s="48" t="s">
        <v>3671</v>
      </c>
      <c r="D306" s="30"/>
      <c r="E306" s="30"/>
      <c r="F306" s="30"/>
      <c r="G306" s="30"/>
      <c r="H306" s="30" t="s">
        <v>141</v>
      </c>
      <c r="I306" s="30" t="s">
        <v>31</v>
      </c>
      <c r="J306" s="30" t="s">
        <v>142</v>
      </c>
      <c r="K306" s="30" t="s">
        <v>116</v>
      </c>
      <c r="L306" s="30" t="s">
        <v>122</v>
      </c>
      <c r="M306" s="48" t="s">
        <v>314</v>
      </c>
      <c r="N306" s="30"/>
      <c r="O306" s="30"/>
      <c r="P306" s="30"/>
    </row>
    <row r="307" spans="1:16" ht="30" customHeight="1">
      <c r="A307" s="30" t="s">
        <v>767</v>
      </c>
      <c r="B307" s="47" t="s">
        <v>742</v>
      </c>
      <c r="C307" s="48" t="s">
        <v>768</v>
      </c>
      <c r="D307" s="30"/>
      <c r="E307" s="30"/>
      <c r="F307" s="30"/>
      <c r="G307" s="30"/>
      <c r="H307" s="30" t="s">
        <v>141</v>
      </c>
      <c r="I307" s="30" t="s">
        <v>22</v>
      </c>
      <c r="J307" s="30" t="s">
        <v>144</v>
      </c>
      <c r="K307" s="30" t="s">
        <v>117</v>
      </c>
      <c r="L307" s="30" t="s">
        <v>122</v>
      </c>
      <c r="M307" s="48"/>
      <c r="N307" s="30"/>
      <c r="O307" s="30"/>
      <c r="P307" s="30"/>
    </row>
    <row r="308" spans="1:16" ht="30" customHeight="1">
      <c r="A308" s="30" t="s">
        <v>769</v>
      </c>
      <c r="B308" s="47" t="s">
        <v>742</v>
      </c>
      <c r="C308" s="48" t="s">
        <v>770</v>
      </c>
      <c r="D308" s="30"/>
      <c r="E308" s="30"/>
      <c r="F308" s="30"/>
      <c r="G308" s="30"/>
      <c r="H308" s="30" t="s">
        <v>141</v>
      </c>
      <c r="I308" s="30" t="s">
        <v>31</v>
      </c>
      <c r="J308" s="30" t="s">
        <v>145</v>
      </c>
      <c r="K308" s="30" t="s">
        <v>116</v>
      </c>
      <c r="L308" s="30" t="s">
        <v>122</v>
      </c>
      <c r="M308" s="48" t="s">
        <v>314</v>
      </c>
      <c r="N308" s="30"/>
      <c r="O308" s="30"/>
      <c r="P308" s="30"/>
    </row>
    <row r="309" spans="1:16" ht="30" customHeight="1">
      <c r="A309" s="30" t="s">
        <v>771</v>
      </c>
      <c r="B309" s="47" t="s">
        <v>742</v>
      </c>
      <c r="C309" s="48" t="s">
        <v>772</v>
      </c>
      <c r="D309" s="30"/>
      <c r="E309" s="30"/>
      <c r="F309" s="30"/>
      <c r="G309" s="30"/>
      <c r="H309" s="30" t="s">
        <v>141</v>
      </c>
      <c r="I309" s="30" t="s">
        <v>30</v>
      </c>
      <c r="J309" s="30" t="s">
        <v>142</v>
      </c>
      <c r="K309" s="30" t="s">
        <v>116</v>
      </c>
      <c r="L309" s="30" t="s">
        <v>121</v>
      </c>
      <c r="M309" s="48" t="s">
        <v>316</v>
      </c>
      <c r="N309" s="30"/>
      <c r="O309" s="30"/>
      <c r="P309" s="30"/>
    </row>
    <row r="310" spans="1:16" ht="71.25" customHeight="1">
      <c r="A310" s="30" t="s">
        <v>773</v>
      </c>
      <c r="B310" s="47" t="s">
        <v>742</v>
      </c>
      <c r="C310" s="48" t="s">
        <v>774</v>
      </c>
      <c r="D310" s="30"/>
      <c r="E310" s="30"/>
      <c r="F310" s="30"/>
      <c r="G310" s="30"/>
      <c r="H310" s="30" t="s">
        <v>141</v>
      </c>
      <c r="I310" s="30" t="s">
        <v>30</v>
      </c>
      <c r="J310" s="30" t="s">
        <v>144</v>
      </c>
      <c r="K310" s="30" t="s">
        <v>117</v>
      </c>
      <c r="L310" s="30" t="s">
        <v>3664</v>
      </c>
      <c r="M310" s="64" t="s">
        <v>4078</v>
      </c>
      <c r="N310" s="30"/>
      <c r="O310" s="30"/>
      <c r="P310" s="30"/>
    </row>
    <row r="311" spans="1:16" ht="60" customHeight="1">
      <c r="A311" s="30" t="s">
        <v>775</v>
      </c>
      <c r="B311" s="47" t="s">
        <v>776</v>
      </c>
      <c r="C311" s="49" t="s">
        <v>777</v>
      </c>
      <c r="D311" s="30"/>
      <c r="E311" s="30"/>
      <c r="F311" s="30"/>
      <c r="G311" s="30"/>
      <c r="H311" s="30" t="s">
        <v>141</v>
      </c>
      <c r="I311" s="30" t="s">
        <v>30</v>
      </c>
      <c r="J311" s="30" t="s">
        <v>144</v>
      </c>
      <c r="K311" s="30" t="s">
        <v>117</v>
      </c>
      <c r="L311" s="30" t="s">
        <v>122</v>
      </c>
      <c r="M311" s="48"/>
      <c r="N311" s="30"/>
      <c r="O311" s="30"/>
      <c r="P311" s="30"/>
    </row>
    <row r="312" spans="1:16" ht="60" customHeight="1">
      <c r="A312" s="30" t="s">
        <v>778</v>
      </c>
      <c r="B312" s="47" t="s">
        <v>776</v>
      </c>
      <c r="C312" s="49" t="s">
        <v>779</v>
      </c>
      <c r="D312" s="30"/>
      <c r="E312" s="30"/>
      <c r="F312" s="30"/>
      <c r="G312" s="30"/>
      <c r="H312" s="30" t="s">
        <v>141</v>
      </c>
      <c r="I312" s="30" t="s">
        <v>30</v>
      </c>
      <c r="J312" s="30" t="s">
        <v>144</v>
      </c>
      <c r="K312" s="30" t="s">
        <v>117</v>
      </c>
      <c r="L312" s="30" t="s">
        <v>122</v>
      </c>
      <c r="M312" s="48"/>
      <c r="N312" s="30"/>
      <c r="O312" s="30"/>
      <c r="P312" s="30"/>
    </row>
    <row r="313" spans="1:16" ht="30" customHeight="1">
      <c r="A313" s="30" t="s">
        <v>780</v>
      </c>
      <c r="B313" s="47" t="s">
        <v>776</v>
      </c>
      <c r="C313" s="49" t="s">
        <v>781</v>
      </c>
      <c r="D313" s="30"/>
      <c r="E313" s="30"/>
      <c r="F313" s="30"/>
      <c r="G313" s="30"/>
      <c r="H313" s="30" t="s">
        <v>141</v>
      </c>
      <c r="I313" s="30" t="s">
        <v>22</v>
      </c>
      <c r="J313" s="30" t="s">
        <v>142</v>
      </c>
      <c r="K313" s="30" t="s">
        <v>116</v>
      </c>
      <c r="L313" s="30" t="s">
        <v>121</v>
      </c>
      <c r="M313" s="48" t="s">
        <v>4092</v>
      </c>
      <c r="N313" s="30"/>
      <c r="O313" s="30"/>
      <c r="P313" s="30"/>
    </row>
    <row r="314" spans="1:16" ht="45" customHeight="1">
      <c r="A314" s="30" t="s">
        <v>782</v>
      </c>
      <c r="B314" s="47" t="s">
        <v>776</v>
      </c>
      <c r="C314" s="49" t="s">
        <v>783</v>
      </c>
      <c r="D314" s="30"/>
      <c r="E314" s="30"/>
      <c r="F314" s="30"/>
      <c r="G314" s="30"/>
      <c r="H314" s="30" t="s">
        <v>141</v>
      </c>
      <c r="I314" s="30" t="s">
        <v>22</v>
      </c>
      <c r="J314" s="30" t="s">
        <v>145</v>
      </c>
      <c r="K314" s="30" t="s">
        <v>116</v>
      </c>
      <c r="L314" s="30" t="s">
        <v>121</v>
      </c>
      <c r="M314" s="48" t="s">
        <v>4092</v>
      </c>
      <c r="N314" s="30"/>
      <c r="O314" s="30"/>
      <c r="P314" s="30"/>
    </row>
    <row r="315" spans="1:16" ht="30" customHeight="1">
      <c r="A315" s="30" t="s">
        <v>784</v>
      </c>
      <c r="B315" s="47" t="s">
        <v>776</v>
      </c>
      <c r="C315" s="49" t="s">
        <v>785</v>
      </c>
      <c r="D315" s="30"/>
      <c r="E315" s="30"/>
      <c r="F315" s="30"/>
      <c r="G315" s="30"/>
      <c r="H315" s="30" t="s">
        <v>141</v>
      </c>
      <c r="I315" s="30" t="s">
        <v>22</v>
      </c>
      <c r="J315" s="30" t="s">
        <v>144</v>
      </c>
      <c r="K315" s="30" t="s">
        <v>117</v>
      </c>
      <c r="L315" s="30" t="s">
        <v>122</v>
      </c>
      <c r="M315" s="48"/>
      <c r="N315" s="30"/>
      <c r="O315" s="30"/>
      <c r="P315" s="30"/>
    </row>
    <row r="316" spans="1:16" ht="45" customHeight="1">
      <c r="A316" s="30" t="s">
        <v>786</v>
      </c>
      <c r="B316" s="47" t="s">
        <v>776</v>
      </c>
      <c r="C316" s="49" t="s">
        <v>787</v>
      </c>
      <c r="D316" s="30"/>
      <c r="E316" s="30"/>
      <c r="F316" s="30"/>
      <c r="G316" s="30"/>
      <c r="H316" s="30" t="s">
        <v>141</v>
      </c>
      <c r="I316" s="30" t="s">
        <v>22</v>
      </c>
      <c r="J316" s="30" t="s">
        <v>144</v>
      </c>
      <c r="K316" s="30" t="s">
        <v>117</v>
      </c>
      <c r="L316" s="30" t="s">
        <v>122</v>
      </c>
      <c r="M316" s="48"/>
      <c r="N316" s="30"/>
      <c r="O316" s="30"/>
      <c r="P316" s="30"/>
    </row>
    <row r="317" spans="1:16" ht="45" customHeight="1">
      <c r="A317" s="30" t="s">
        <v>788</v>
      </c>
      <c r="B317" s="47" t="s">
        <v>776</v>
      </c>
      <c r="C317" s="49" t="s">
        <v>789</v>
      </c>
      <c r="D317" s="30"/>
      <c r="E317" s="30"/>
      <c r="F317" s="30"/>
      <c r="G317" s="30"/>
      <c r="H317" s="30" t="s">
        <v>141</v>
      </c>
      <c r="I317" s="30" t="s">
        <v>22</v>
      </c>
      <c r="J317" s="30" t="s">
        <v>144</v>
      </c>
      <c r="K317" s="30" t="s">
        <v>117</v>
      </c>
      <c r="L317" s="30" t="s">
        <v>122</v>
      </c>
      <c r="M317" s="48"/>
      <c r="N317" s="30"/>
      <c r="O317" s="30"/>
      <c r="P317" s="30"/>
    </row>
    <row r="318" spans="1:16" ht="30" customHeight="1">
      <c r="A318" s="30" t="s">
        <v>790</v>
      </c>
      <c r="B318" s="47" t="s">
        <v>776</v>
      </c>
      <c r="C318" s="49" t="s">
        <v>791</v>
      </c>
      <c r="D318" s="30"/>
      <c r="E318" s="30"/>
      <c r="F318" s="30"/>
      <c r="G318" s="30"/>
      <c r="H318" s="30" t="s">
        <v>141</v>
      </c>
      <c r="I318" s="30" t="s">
        <v>22</v>
      </c>
      <c r="J318" s="30" t="s">
        <v>144</v>
      </c>
      <c r="K318" s="30" t="s">
        <v>117</v>
      </c>
      <c r="L318" s="30" t="s">
        <v>122</v>
      </c>
      <c r="M318" s="48"/>
      <c r="N318" s="30"/>
      <c r="O318" s="30"/>
      <c r="P318" s="30"/>
    </row>
    <row r="319" spans="1:16" ht="45" customHeight="1">
      <c r="A319" s="30" t="s">
        <v>792</v>
      </c>
      <c r="B319" s="47" t="s">
        <v>776</v>
      </c>
      <c r="C319" s="49" t="s">
        <v>793</v>
      </c>
      <c r="D319" s="30"/>
      <c r="E319" s="30"/>
      <c r="F319" s="30"/>
      <c r="G319" s="30"/>
      <c r="H319" s="30" t="s">
        <v>141</v>
      </c>
      <c r="I319" s="30" t="s">
        <v>22</v>
      </c>
      <c r="J319" s="30" t="s">
        <v>144</v>
      </c>
      <c r="K319" s="30" t="s">
        <v>117</v>
      </c>
      <c r="L319" s="30" t="s">
        <v>122</v>
      </c>
      <c r="M319" s="48"/>
      <c r="N319" s="30"/>
      <c r="O319" s="30"/>
      <c r="P319" s="30"/>
    </row>
    <row r="320" spans="1:16" ht="45" customHeight="1">
      <c r="A320" s="30" t="s">
        <v>794</v>
      </c>
      <c r="B320" s="47" t="s">
        <v>776</v>
      </c>
      <c r="C320" s="48" t="s">
        <v>3672</v>
      </c>
      <c r="D320" s="30"/>
      <c r="E320" s="30"/>
      <c r="F320" s="30"/>
      <c r="G320" s="30"/>
      <c r="H320" s="30" t="s">
        <v>141</v>
      </c>
      <c r="I320" s="30" t="s">
        <v>30</v>
      </c>
      <c r="J320" s="30" t="s">
        <v>142</v>
      </c>
      <c r="K320" s="30" t="s">
        <v>116</v>
      </c>
      <c r="L320" s="30" t="s">
        <v>121</v>
      </c>
      <c r="M320" s="48" t="s">
        <v>4092</v>
      </c>
      <c r="N320" s="30"/>
      <c r="O320" s="30"/>
      <c r="P320" s="30"/>
    </row>
    <row r="321" spans="1:16" ht="45" customHeight="1">
      <c r="A321" s="30" t="s">
        <v>3673</v>
      </c>
      <c r="B321" s="47" t="s">
        <v>776</v>
      </c>
      <c r="C321" s="48" t="s">
        <v>3674</v>
      </c>
      <c r="D321" s="30"/>
      <c r="E321" s="30"/>
      <c r="F321" s="30"/>
      <c r="G321" s="30"/>
      <c r="H321" s="30" t="s">
        <v>141</v>
      </c>
      <c r="I321" s="30" t="s">
        <v>30</v>
      </c>
      <c r="J321" s="30" t="s">
        <v>145</v>
      </c>
      <c r="K321" s="30" t="s">
        <v>116</v>
      </c>
      <c r="L321" s="30" t="s">
        <v>121</v>
      </c>
      <c r="M321" s="48" t="s">
        <v>4092</v>
      </c>
      <c r="N321" s="30"/>
      <c r="O321" s="30"/>
      <c r="P321" s="30"/>
    </row>
    <row r="322" spans="1:16" ht="45" customHeight="1">
      <c r="A322" s="30" t="s">
        <v>795</v>
      </c>
      <c r="B322" s="47" t="s">
        <v>776</v>
      </c>
      <c r="C322" s="49" t="s">
        <v>796</v>
      </c>
      <c r="D322" s="30"/>
      <c r="E322" s="30"/>
      <c r="F322" s="30"/>
      <c r="G322" s="30"/>
      <c r="H322" s="30" t="s">
        <v>141</v>
      </c>
      <c r="I322" s="30" t="s">
        <v>30</v>
      </c>
      <c r="J322" s="30" t="s">
        <v>145</v>
      </c>
      <c r="K322" s="30" t="s">
        <v>116</v>
      </c>
      <c r="L322" s="30" t="s">
        <v>121</v>
      </c>
      <c r="M322" s="48" t="s">
        <v>4112</v>
      </c>
      <c r="N322" s="30"/>
      <c r="O322" s="30"/>
      <c r="P322" s="30"/>
    </row>
    <row r="323" spans="1:16" ht="45" customHeight="1">
      <c r="A323" s="30" t="s">
        <v>797</v>
      </c>
      <c r="B323" s="47" t="s">
        <v>776</v>
      </c>
      <c r="C323" s="48" t="s">
        <v>798</v>
      </c>
      <c r="D323" s="30"/>
      <c r="E323" s="30"/>
      <c r="F323" s="30"/>
      <c r="G323" s="30"/>
      <c r="H323" s="30" t="s">
        <v>149</v>
      </c>
      <c r="I323" s="30" t="s">
        <v>30</v>
      </c>
      <c r="J323" s="30" t="s">
        <v>144</v>
      </c>
      <c r="K323" s="30" t="s">
        <v>117</v>
      </c>
      <c r="L323" s="30" t="s">
        <v>3664</v>
      </c>
      <c r="M323" s="51" t="s">
        <v>4089</v>
      </c>
      <c r="N323" s="30"/>
      <c r="O323" s="30"/>
      <c r="P323" s="30"/>
    </row>
    <row r="324" spans="1:16" ht="30" customHeight="1">
      <c r="A324" s="30" t="s">
        <v>799</v>
      </c>
      <c r="B324" s="47" t="s">
        <v>776</v>
      </c>
      <c r="C324" s="49" t="s">
        <v>800</v>
      </c>
      <c r="D324" s="30"/>
      <c r="E324" s="30"/>
      <c r="F324" s="30"/>
      <c r="G324" s="30"/>
      <c r="H324" s="30" t="s">
        <v>141</v>
      </c>
      <c r="I324" s="30" t="s">
        <v>31</v>
      </c>
      <c r="J324" s="30" t="s">
        <v>142</v>
      </c>
      <c r="K324" s="30" t="s">
        <v>116</v>
      </c>
      <c r="L324" s="30" t="s">
        <v>122</v>
      </c>
      <c r="M324" s="48" t="s">
        <v>314</v>
      </c>
      <c r="N324" s="30"/>
      <c r="O324" s="30"/>
      <c r="P324" s="30"/>
    </row>
    <row r="325" spans="1:16" ht="45" customHeight="1">
      <c r="A325" s="30" t="s">
        <v>801</v>
      </c>
      <c r="B325" s="47" t="s">
        <v>776</v>
      </c>
      <c r="C325" s="49" t="s">
        <v>802</v>
      </c>
      <c r="D325" s="30"/>
      <c r="E325" s="30"/>
      <c r="F325" s="30"/>
      <c r="G325" s="30"/>
      <c r="H325" s="30" t="s">
        <v>141</v>
      </c>
      <c r="I325" s="30" t="s">
        <v>30</v>
      </c>
      <c r="J325" s="30" t="s">
        <v>144</v>
      </c>
      <c r="K325" s="30" t="s">
        <v>117</v>
      </c>
      <c r="L325" s="30" t="s">
        <v>122</v>
      </c>
      <c r="M325" s="48"/>
      <c r="N325" s="30"/>
      <c r="O325" s="30"/>
      <c r="P325" s="30"/>
    </row>
    <row r="326" spans="1:16" ht="45" customHeight="1">
      <c r="A326" s="30" t="s">
        <v>803</v>
      </c>
      <c r="B326" s="47" t="s">
        <v>776</v>
      </c>
      <c r="C326" s="49" t="s">
        <v>804</v>
      </c>
      <c r="D326" s="30"/>
      <c r="E326" s="30"/>
      <c r="F326" s="30"/>
      <c r="G326" s="30"/>
      <c r="H326" s="30" t="s">
        <v>141</v>
      </c>
      <c r="I326" s="30" t="s">
        <v>22</v>
      </c>
      <c r="J326" s="30" t="s">
        <v>142</v>
      </c>
      <c r="K326" s="30" t="s">
        <v>116</v>
      </c>
      <c r="L326" s="30" t="s">
        <v>121</v>
      </c>
      <c r="M326" s="48" t="s">
        <v>4092</v>
      </c>
      <c r="N326" s="30"/>
      <c r="O326" s="30"/>
      <c r="P326" s="30"/>
    </row>
    <row r="327" spans="1:16" ht="45" customHeight="1">
      <c r="A327" s="30" t="s">
        <v>805</v>
      </c>
      <c r="B327" s="47" t="s">
        <v>776</v>
      </c>
      <c r="C327" s="49" t="s">
        <v>806</v>
      </c>
      <c r="D327" s="30"/>
      <c r="E327" s="30"/>
      <c r="F327" s="30"/>
      <c r="G327" s="30"/>
      <c r="H327" s="30" t="s">
        <v>141</v>
      </c>
      <c r="I327" s="30" t="s">
        <v>22</v>
      </c>
      <c r="J327" s="30" t="s">
        <v>144</v>
      </c>
      <c r="K327" s="30" t="s">
        <v>117</v>
      </c>
      <c r="L327" s="30" t="s">
        <v>122</v>
      </c>
      <c r="M327" s="48"/>
      <c r="N327" s="30"/>
      <c r="O327" s="30"/>
      <c r="P327" s="30"/>
    </row>
    <row r="328" spans="1:16" ht="45" customHeight="1">
      <c r="A328" s="30" t="s">
        <v>807</v>
      </c>
      <c r="B328" s="47" t="s">
        <v>776</v>
      </c>
      <c r="C328" s="49" t="s">
        <v>808</v>
      </c>
      <c r="D328" s="30"/>
      <c r="E328" s="30"/>
      <c r="F328" s="30"/>
      <c r="G328" s="30"/>
      <c r="H328" s="30" t="s">
        <v>141</v>
      </c>
      <c r="I328" s="30" t="s">
        <v>22</v>
      </c>
      <c r="J328" s="30" t="s">
        <v>142</v>
      </c>
      <c r="K328" s="30" t="s">
        <v>116</v>
      </c>
      <c r="L328" s="30" t="s">
        <v>121</v>
      </c>
      <c r="M328" s="63" t="s">
        <v>4113</v>
      </c>
      <c r="N328" s="30"/>
      <c r="O328" s="30"/>
      <c r="P328" s="30"/>
    </row>
    <row r="329" spans="1:16" ht="45" customHeight="1">
      <c r="A329" s="30" t="s">
        <v>809</v>
      </c>
      <c r="B329" s="47" t="s">
        <v>776</v>
      </c>
      <c r="C329" s="49" t="s">
        <v>810</v>
      </c>
      <c r="D329" s="30"/>
      <c r="E329" s="30"/>
      <c r="F329" s="30"/>
      <c r="G329" s="30"/>
      <c r="H329" s="30" t="s">
        <v>141</v>
      </c>
      <c r="I329" s="30" t="s">
        <v>22</v>
      </c>
      <c r="J329" s="30" t="s">
        <v>144</v>
      </c>
      <c r="K329" s="30" t="s">
        <v>117</v>
      </c>
      <c r="L329" s="30" t="s">
        <v>122</v>
      </c>
      <c r="M329" s="48"/>
      <c r="N329" s="30"/>
      <c r="O329" s="30"/>
      <c r="P329" s="30"/>
    </row>
    <row r="330" spans="1:16" ht="45" customHeight="1">
      <c r="A330" s="30" t="s">
        <v>811</v>
      </c>
      <c r="B330" s="47" t="s">
        <v>776</v>
      </c>
      <c r="C330" s="49" t="s">
        <v>812</v>
      </c>
      <c r="D330" s="30"/>
      <c r="E330" s="30"/>
      <c r="F330" s="30"/>
      <c r="G330" s="30"/>
      <c r="H330" s="30" t="s">
        <v>141</v>
      </c>
      <c r="I330" s="30" t="s">
        <v>30</v>
      </c>
      <c r="J330" s="30" t="s">
        <v>142</v>
      </c>
      <c r="K330" s="30" t="s">
        <v>116</v>
      </c>
      <c r="L330" s="30" t="s">
        <v>121</v>
      </c>
      <c r="M330" s="63" t="s">
        <v>4113</v>
      </c>
      <c r="N330" s="30"/>
      <c r="O330" s="30"/>
      <c r="P330" s="30"/>
    </row>
    <row r="331" spans="1:16" ht="30" customHeight="1">
      <c r="A331" s="30" t="s">
        <v>813</v>
      </c>
      <c r="B331" s="47" t="s">
        <v>776</v>
      </c>
      <c r="C331" s="49" t="s">
        <v>814</v>
      </c>
      <c r="D331" s="30"/>
      <c r="E331" s="30"/>
      <c r="F331" s="30"/>
      <c r="G331" s="30"/>
      <c r="H331" s="30" t="s">
        <v>141</v>
      </c>
      <c r="I331" s="30" t="s">
        <v>22</v>
      </c>
      <c r="J331" s="30" t="s">
        <v>145</v>
      </c>
      <c r="K331" s="30" t="s">
        <v>116</v>
      </c>
      <c r="L331" s="30" t="s">
        <v>121</v>
      </c>
      <c r="M331" s="63" t="s">
        <v>4113</v>
      </c>
      <c r="N331" s="30"/>
      <c r="O331" s="30"/>
      <c r="P331" s="30"/>
    </row>
    <row r="332" spans="1:16" ht="45" customHeight="1">
      <c r="A332" s="30" t="s">
        <v>815</v>
      </c>
      <c r="B332" s="47" t="s">
        <v>776</v>
      </c>
      <c r="C332" s="48" t="s">
        <v>4070</v>
      </c>
      <c r="D332" s="30"/>
      <c r="E332" s="30"/>
      <c r="F332" s="30"/>
      <c r="G332" s="30"/>
      <c r="H332" s="30" t="s">
        <v>149</v>
      </c>
      <c r="I332" s="30" t="s">
        <v>22</v>
      </c>
      <c r="J332" s="30" t="s">
        <v>144</v>
      </c>
      <c r="K332" s="30" t="s">
        <v>117</v>
      </c>
      <c r="L332" s="30" t="s">
        <v>3664</v>
      </c>
      <c r="M332" s="51" t="s">
        <v>4089</v>
      </c>
      <c r="N332" s="30"/>
      <c r="O332" s="30"/>
      <c r="P332" s="30"/>
    </row>
    <row r="333" spans="1:16" ht="30" customHeight="1">
      <c r="A333" s="30" t="s">
        <v>816</v>
      </c>
      <c r="B333" s="47" t="s">
        <v>776</v>
      </c>
      <c r="C333" s="49" t="s">
        <v>817</v>
      </c>
      <c r="D333" s="30"/>
      <c r="E333" s="30"/>
      <c r="F333" s="30"/>
      <c r="G333" s="30"/>
      <c r="H333" s="30" t="s">
        <v>141</v>
      </c>
      <c r="I333" s="30" t="s">
        <v>22</v>
      </c>
      <c r="J333" s="30" t="s">
        <v>144</v>
      </c>
      <c r="K333" s="30" t="s">
        <v>117</v>
      </c>
      <c r="L333" s="30" t="s">
        <v>122</v>
      </c>
      <c r="M333" s="48"/>
      <c r="N333" s="30"/>
      <c r="O333" s="30"/>
      <c r="P333" s="30"/>
    </row>
    <row r="334" spans="1:16" ht="45" customHeight="1">
      <c r="A334" s="30" t="s">
        <v>818</v>
      </c>
      <c r="B334" s="47" t="s">
        <v>819</v>
      </c>
      <c r="C334" s="49" t="s">
        <v>820</v>
      </c>
      <c r="D334" s="30"/>
      <c r="E334" s="30"/>
      <c r="F334" s="30"/>
      <c r="G334" s="30"/>
      <c r="H334" s="30" t="s">
        <v>141</v>
      </c>
      <c r="I334" s="30" t="s">
        <v>31</v>
      </c>
      <c r="J334" s="30" t="s">
        <v>144</v>
      </c>
      <c r="K334" s="30" t="s">
        <v>117</v>
      </c>
      <c r="L334" s="30" t="s">
        <v>122</v>
      </c>
      <c r="M334" s="48"/>
      <c r="N334" s="30"/>
      <c r="O334" s="30"/>
      <c r="P334" s="30"/>
    </row>
    <row r="335" spans="1:16" ht="90" customHeight="1">
      <c r="A335" s="30" t="s">
        <v>821</v>
      </c>
      <c r="B335" s="47" t="s">
        <v>819</v>
      </c>
      <c r="C335" s="49" t="s">
        <v>822</v>
      </c>
      <c r="D335" s="30"/>
      <c r="E335" s="30"/>
      <c r="F335" s="30"/>
      <c r="G335" s="30"/>
      <c r="H335" s="30" t="s">
        <v>141</v>
      </c>
      <c r="I335" s="30" t="s">
        <v>22</v>
      </c>
      <c r="J335" s="30" t="s">
        <v>144</v>
      </c>
      <c r="K335" s="30" t="s">
        <v>117</v>
      </c>
      <c r="L335" s="30" t="s">
        <v>122</v>
      </c>
      <c r="M335" s="48"/>
      <c r="N335" s="30"/>
      <c r="O335" s="30"/>
      <c r="P335" s="30"/>
    </row>
    <row r="336" spans="1:16" ht="45" customHeight="1">
      <c r="A336" s="30" t="s">
        <v>823</v>
      </c>
      <c r="B336" s="47" t="s">
        <v>819</v>
      </c>
      <c r="C336" s="49" t="s">
        <v>824</v>
      </c>
      <c r="D336" s="30"/>
      <c r="E336" s="30"/>
      <c r="F336" s="30"/>
      <c r="G336" s="30"/>
      <c r="H336" s="30" t="s">
        <v>141</v>
      </c>
      <c r="I336" s="30" t="s">
        <v>22</v>
      </c>
      <c r="J336" s="30" t="s">
        <v>144</v>
      </c>
      <c r="K336" s="30" t="s">
        <v>117</v>
      </c>
      <c r="L336" s="30" t="s">
        <v>122</v>
      </c>
      <c r="M336" s="48"/>
      <c r="N336" s="30"/>
      <c r="O336" s="30"/>
      <c r="P336" s="30"/>
    </row>
    <row r="337" spans="1:16" ht="45" customHeight="1">
      <c r="A337" s="30" t="s">
        <v>825</v>
      </c>
      <c r="B337" s="47" t="s">
        <v>819</v>
      </c>
      <c r="C337" s="49" t="s">
        <v>826</v>
      </c>
      <c r="D337" s="30"/>
      <c r="E337" s="30"/>
      <c r="F337" s="30"/>
      <c r="G337" s="30"/>
      <c r="H337" s="30" t="s">
        <v>141</v>
      </c>
      <c r="I337" s="30" t="s">
        <v>31</v>
      </c>
      <c r="J337" s="30" t="s">
        <v>142</v>
      </c>
      <c r="K337" s="30" t="s">
        <v>116</v>
      </c>
      <c r="L337" s="30" t="s">
        <v>122</v>
      </c>
      <c r="M337" s="48" t="s">
        <v>314</v>
      </c>
      <c r="N337" s="30"/>
      <c r="O337" s="30"/>
      <c r="P337" s="30"/>
    </row>
    <row r="338" spans="1:16" ht="30" customHeight="1">
      <c r="A338" s="30" t="s">
        <v>3675</v>
      </c>
      <c r="B338" s="47" t="s">
        <v>819</v>
      </c>
      <c r="C338" s="48" t="s">
        <v>3676</v>
      </c>
      <c r="D338" s="30"/>
      <c r="E338" s="30"/>
      <c r="F338" s="30"/>
      <c r="G338" s="30"/>
      <c r="H338" s="30" t="s">
        <v>141</v>
      </c>
      <c r="I338" s="30" t="s">
        <v>31</v>
      </c>
      <c r="J338" s="30" t="s">
        <v>142</v>
      </c>
      <c r="K338" s="30" t="s">
        <v>116</v>
      </c>
      <c r="L338" s="30" t="s">
        <v>122</v>
      </c>
      <c r="M338" s="48" t="s">
        <v>314</v>
      </c>
      <c r="N338" s="30"/>
      <c r="O338" s="30"/>
      <c r="P338" s="30"/>
    </row>
    <row r="339" spans="1:16" ht="75" customHeight="1">
      <c r="A339" s="30" t="s">
        <v>827</v>
      </c>
      <c r="B339" s="47" t="s">
        <v>819</v>
      </c>
      <c r="C339" s="48" t="s">
        <v>3677</v>
      </c>
      <c r="D339" s="30"/>
      <c r="E339" s="30"/>
      <c r="F339" s="30"/>
      <c r="G339" s="30"/>
      <c r="H339" s="30" t="s">
        <v>141</v>
      </c>
      <c r="I339" s="30" t="s">
        <v>31</v>
      </c>
      <c r="J339" s="30" t="s">
        <v>142</v>
      </c>
      <c r="K339" s="30" t="s">
        <v>116</v>
      </c>
      <c r="L339" s="30" t="s">
        <v>122</v>
      </c>
      <c r="M339" s="48" t="s">
        <v>314</v>
      </c>
      <c r="N339" s="30"/>
      <c r="O339" s="30"/>
      <c r="P339" s="30"/>
    </row>
    <row r="340" spans="1:16" ht="45" customHeight="1">
      <c r="A340" s="30" t="s">
        <v>3678</v>
      </c>
      <c r="B340" s="47" t="s">
        <v>819</v>
      </c>
      <c r="C340" s="48" t="s">
        <v>3679</v>
      </c>
      <c r="D340" s="30"/>
      <c r="E340" s="30"/>
      <c r="F340" s="30"/>
      <c r="G340" s="30"/>
      <c r="H340" s="30" t="s">
        <v>141</v>
      </c>
      <c r="I340" s="30" t="s">
        <v>31</v>
      </c>
      <c r="J340" s="30" t="s">
        <v>142</v>
      </c>
      <c r="K340" s="30" t="s">
        <v>116</v>
      </c>
      <c r="L340" s="30" t="s">
        <v>122</v>
      </c>
      <c r="M340" s="48" t="s">
        <v>314</v>
      </c>
      <c r="N340" s="30"/>
      <c r="O340" s="30"/>
      <c r="P340" s="30"/>
    </row>
    <row r="341" spans="1:16" ht="60" customHeight="1">
      <c r="A341" s="30" t="s">
        <v>828</v>
      </c>
      <c r="B341" s="47" t="s">
        <v>819</v>
      </c>
      <c r="C341" s="49" t="s">
        <v>829</v>
      </c>
      <c r="D341" s="30"/>
      <c r="E341" s="30"/>
      <c r="F341" s="30"/>
      <c r="G341" s="30"/>
      <c r="H341" s="30" t="s">
        <v>141</v>
      </c>
      <c r="I341" s="30" t="s">
        <v>31</v>
      </c>
      <c r="J341" s="30" t="s">
        <v>142</v>
      </c>
      <c r="K341" s="30" t="s">
        <v>116</v>
      </c>
      <c r="L341" s="30" t="s">
        <v>122</v>
      </c>
      <c r="M341" s="48" t="s">
        <v>314</v>
      </c>
      <c r="N341" s="30"/>
      <c r="O341" s="30"/>
      <c r="P341" s="30"/>
    </row>
    <row r="342" spans="1:16" ht="30" customHeight="1">
      <c r="A342" s="30" t="s">
        <v>830</v>
      </c>
      <c r="B342" s="47" t="s">
        <v>819</v>
      </c>
      <c r="C342" s="49" t="s">
        <v>831</v>
      </c>
      <c r="D342" s="30"/>
      <c r="E342" s="30"/>
      <c r="F342" s="30"/>
      <c r="G342" s="30"/>
      <c r="H342" s="30" t="s">
        <v>141</v>
      </c>
      <c r="I342" s="30" t="s">
        <v>31</v>
      </c>
      <c r="J342" s="30" t="s">
        <v>144</v>
      </c>
      <c r="K342" s="30" t="s">
        <v>117</v>
      </c>
      <c r="L342" s="30" t="s">
        <v>122</v>
      </c>
      <c r="M342" s="48"/>
      <c r="N342" s="30"/>
      <c r="O342" s="30"/>
      <c r="P342" s="30"/>
    </row>
    <row r="343" spans="1:16" ht="90" customHeight="1">
      <c r="A343" s="30" t="s">
        <v>832</v>
      </c>
      <c r="B343" s="47" t="s">
        <v>819</v>
      </c>
      <c r="C343" s="49" t="s">
        <v>833</v>
      </c>
      <c r="D343" s="30"/>
      <c r="E343" s="30"/>
      <c r="F343" s="30"/>
      <c r="G343" s="30"/>
      <c r="H343" s="30" t="s">
        <v>141</v>
      </c>
      <c r="I343" s="30" t="s">
        <v>31</v>
      </c>
      <c r="J343" s="30" t="s">
        <v>142</v>
      </c>
      <c r="K343" s="30" t="s">
        <v>116</v>
      </c>
      <c r="L343" s="30" t="s">
        <v>122</v>
      </c>
      <c r="M343" s="48" t="s">
        <v>314</v>
      </c>
      <c r="N343" s="30"/>
      <c r="O343" s="30"/>
      <c r="P343" s="30"/>
    </row>
    <row r="344" spans="1:16" ht="45" customHeight="1">
      <c r="A344" s="30" t="s">
        <v>834</v>
      </c>
      <c r="B344" s="47" t="s">
        <v>819</v>
      </c>
      <c r="C344" s="48" t="s">
        <v>3680</v>
      </c>
      <c r="D344" s="30"/>
      <c r="E344" s="30"/>
      <c r="F344" s="30"/>
      <c r="G344" s="30"/>
      <c r="H344" s="30" t="s">
        <v>141</v>
      </c>
      <c r="I344" s="30" t="s">
        <v>31</v>
      </c>
      <c r="J344" s="30" t="s">
        <v>142</v>
      </c>
      <c r="K344" s="30" t="s">
        <v>116</v>
      </c>
      <c r="L344" s="30" t="s">
        <v>122</v>
      </c>
      <c r="M344" s="48" t="s">
        <v>314</v>
      </c>
      <c r="N344" s="30"/>
      <c r="O344" s="30"/>
      <c r="P344" s="30"/>
    </row>
    <row r="345" spans="1:16" ht="45" customHeight="1">
      <c r="A345" s="30" t="s">
        <v>835</v>
      </c>
      <c r="B345" s="47" t="s">
        <v>819</v>
      </c>
      <c r="C345" s="49" t="s">
        <v>836</v>
      </c>
      <c r="D345" s="30"/>
      <c r="E345" s="30"/>
      <c r="F345" s="30"/>
      <c r="G345" s="30"/>
      <c r="H345" s="30" t="s">
        <v>141</v>
      </c>
      <c r="I345" s="30" t="s">
        <v>31</v>
      </c>
      <c r="J345" s="30" t="s">
        <v>144</v>
      </c>
      <c r="K345" s="30" t="s">
        <v>117</v>
      </c>
      <c r="L345" s="30" t="s">
        <v>122</v>
      </c>
      <c r="M345" s="48"/>
      <c r="N345" s="30"/>
      <c r="O345" s="30"/>
      <c r="P345" s="30"/>
    </row>
    <row r="346" spans="1:16" ht="45" customHeight="1">
      <c r="A346" s="30" t="s">
        <v>837</v>
      </c>
      <c r="B346" s="47" t="s">
        <v>819</v>
      </c>
      <c r="C346" s="49" t="s">
        <v>838</v>
      </c>
      <c r="D346" s="30"/>
      <c r="E346" s="30"/>
      <c r="F346" s="30"/>
      <c r="G346" s="30"/>
      <c r="H346" s="30" t="s">
        <v>141</v>
      </c>
      <c r="I346" s="30" t="s">
        <v>31</v>
      </c>
      <c r="J346" s="30" t="s">
        <v>145</v>
      </c>
      <c r="K346" s="30" t="s">
        <v>116</v>
      </c>
      <c r="L346" s="30" t="s">
        <v>122</v>
      </c>
      <c r="M346" s="48" t="s">
        <v>314</v>
      </c>
      <c r="N346" s="30"/>
      <c r="O346" s="30"/>
      <c r="P346" s="30"/>
    </row>
    <row r="347" spans="1:16" ht="45" customHeight="1">
      <c r="A347" s="30" t="s">
        <v>839</v>
      </c>
      <c r="B347" s="47" t="s">
        <v>819</v>
      </c>
      <c r="C347" s="49" t="s">
        <v>840</v>
      </c>
      <c r="D347" s="30"/>
      <c r="E347" s="30"/>
      <c r="F347" s="30"/>
      <c r="G347" s="30"/>
      <c r="H347" s="30" t="s">
        <v>141</v>
      </c>
      <c r="I347" s="30" t="s">
        <v>31</v>
      </c>
      <c r="J347" s="30" t="s">
        <v>145</v>
      </c>
      <c r="K347" s="30" t="s">
        <v>116</v>
      </c>
      <c r="L347" s="30" t="s">
        <v>122</v>
      </c>
      <c r="M347" s="48" t="s">
        <v>314</v>
      </c>
      <c r="N347" s="30"/>
      <c r="O347" s="30"/>
      <c r="P347" s="30"/>
    </row>
    <row r="348" spans="1:16" ht="30" customHeight="1">
      <c r="A348" s="30" t="s">
        <v>841</v>
      </c>
      <c r="B348" s="47" t="s">
        <v>819</v>
      </c>
      <c r="C348" s="49" t="s">
        <v>842</v>
      </c>
      <c r="D348" s="30"/>
      <c r="E348" s="30"/>
      <c r="F348" s="30"/>
      <c r="G348" s="30"/>
      <c r="H348" s="30" t="s">
        <v>141</v>
      </c>
      <c r="I348" s="30" t="s">
        <v>31</v>
      </c>
      <c r="J348" s="30" t="s">
        <v>145</v>
      </c>
      <c r="K348" s="30" t="s">
        <v>116</v>
      </c>
      <c r="L348" s="30" t="s">
        <v>122</v>
      </c>
      <c r="M348" s="48" t="s">
        <v>314</v>
      </c>
      <c r="N348" s="30"/>
      <c r="O348" s="30"/>
      <c r="P348" s="30"/>
    </row>
    <row r="349" spans="1:16" ht="30" customHeight="1">
      <c r="A349" s="30" t="s">
        <v>843</v>
      </c>
      <c r="B349" s="47" t="s">
        <v>819</v>
      </c>
      <c r="C349" s="49" t="s">
        <v>844</v>
      </c>
      <c r="D349" s="30"/>
      <c r="E349" s="30"/>
      <c r="F349" s="30"/>
      <c r="G349" s="30"/>
      <c r="H349" s="30" t="s">
        <v>141</v>
      </c>
      <c r="I349" s="30" t="s">
        <v>30</v>
      </c>
      <c r="J349" s="30" t="s">
        <v>142</v>
      </c>
      <c r="K349" s="30" t="s">
        <v>116</v>
      </c>
      <c r="L349" s="30" t="s">
        <v>121</v>
      </c>
      <c r="M349" s="48" t="s">
        <v>466</v>
      </c>
      <c r="N349" s="30"/>
      <c r="O349" s="30"/>
      <c r="P349" s="30"/>
    </row>
    <row r="350" spans="1:16" ht="30" customHeight="1">
      <c r="A350" s="30" t="s">
        <v>845</v>
      </c>
      <c r="B350" s="47" t="s">
        <v>846</v>
      </c>
      <c r="C350" s="49" t="s">
        <v>847</v>
      </c>
      <c r="D350" s="30"/>
      <c r="E350" s="30"/>
      <c r="F350" s="30"/>
      <c r="G350" s="30"/>
      <c r="H350" s="30" t="s">
        <v>141</v>
      </c>
      <c r="I350" s="30" t="s">
        <v>22</v>
      </c>
      <c r="J350" s="30" t="s">
        <v>144</v>
      </c>
      <c r="K350" s="30" t="s">
        <v>117</v>
      </c>
      <c r="L350" s="30" t="s">
        <v>122</v>
      </c>
      <c r="M350" s="48"/>
      <c r="N350" s="30"/>
      <c r="O350" s="30"/>
      <c r="P350" s="30"/>
    </row>
    <row r="351" spans="1:16" ht="75" customHeight="1">
      <c r="A351" s="30" t="s">
        <v>848</v>
      </c>
      <c r="B351" s="47" t="s">
        <v>846</v>
      </c>
      <c r="C351" s="49" t="s">
        <v>849</v>
      </c>
      <c r="D351" s="30"/>
      <c r="E351" s="30"/>
      <c r="F351" s="30"/>
      <c r="G351" s="30"/>
      <c r="H351" s="30" t="s">
        <v>141</v>
      </c>
      <c r="I351" s="30" t="s">
        <v>22</v>
      </c>
      <c r="J351" s="30" t="s">
        <v>144</v>
      </c>
      <c r="K351" s="30" t="s">
        <v>117</v>
      </c>
      <c r="L351" s="30" t="s">
        <v>122</v>
      </c>
      <c r="M351" s="48"/>
      <c r="N351" s="30"/>
      <c r="O351" s="30"/>
      <c r="P351" s="30"/>
    </row>
    <row r="352" spans="1:16" s="31" customFormat="1" ht="45">
      <c r="A352" s="30" t="s">
        <v>850</v>
      </c>
      <c r="B352" s="47" t="s">
        <v>846</v>
      </c>
      <c r="C352" s="48" t="s">
        <v>4048</v>
      </c>
      <c r="D352" s="30"/>
      <c r="E352" s="30"/>
      <c r="F352" s="30"/>
      <c r="G352" s="30"/>
      <c r="H352" s="30" t="s">
        <v>141</v>
      </c>
      <c r="I352" s="30" t="s">
        <v>30</v>
      </c>
      <c r="J352" s="30" t="s">
        <v>142</v>
      </c>
      <c r="K352" s="30" t="s">
        <v>116</v>
      </c>
      <c r="L352" s="30" t="s">
        <v>122</v>
      </c>
      <c r="M352" s="68" t="s">
        <v>4221</v>
      </c>
      <c r="N352" s="30"/>
      <c r="O352" s="30"/>
      <c r="P352" s="30"/>
    </row>
    <row r="353" spans="1:16" s="31" customFormat="1" ht="45">
      <c r="A353" s="30" t="s">
        <v>4047</v>
      </c>
      <c r="B353" s="47" t="s">
        <v>846</v>
      </c>
      <c r="C353" s="48" t="s">
        <v>4049</v>
      </c>
      <c r="D353" s="30"/>
      <c r="E353" s="30"/>
      <c r="F353" s="30"/>
      <c r="G353" s="30"/>
      <c r="H353" s="30" t="s">
        <v>141</v>
      </c>
      <c r="I353" s="30" t="s">
        <v>30</v>
      </c>
      <c r="J353" s="30" t="s">
        <v>142</v>
      </c>
      <c r="K353" s="30" t="s">
        <v>116</v>
      </c>
      <c r="L353" s="30" t="s">
        <v>122</v>
      </c>
      <c r="M353" s="68" t="s">
        <v>4221</v>
      </c>
      <c r="N353" s="30"/>
      <c r="O353" s="30"/>
      <c r="P353" s="30"/>
    </row>
    <row r="354" spans="1:16" s="31" customFormat="1" ht="45">
      <c r="A354" s="30" t="s">
        <v>851</v>
      </c>
      <c r="B354" s="47" t="s">
        <v>846</v>
      </c>
      <c r="C354" s="48" t="s">
        <v>4051</v>
      </c>
      <c r="D354" s="30"/>
      <c r="E354" s="30"/>
      <c r="F354" s="30"/>
      <c r="G354" s="30"/>
      <c r="H354" s="30" t="s">
        <v>141</v>
      </c>
      <c r="I354" s="30" t="s">
        <v>30</v>
      </c>
      <c r="J354" s="30" t="s">
        <v>142</v>
      </c>
      <c r="K354" s="30" t="s">
        <v>116</v>
      </c>
      <c r="L354" s="30" t="s">
        <v>122</v>
      </c>
      <c r="M354" s="68" t="s">
        <v>4221</v>
      </c>
      <c r="N354" s="30"/>
      <c r="O354" s="30"/>
      <c r="P354" s="30"/>
    </row>
    <row r="355" spans="1:16" s="31" customFormat="1" ht="30">
      <c r="A355" s="30" t="s">
        <v>4050</v>
      </c>
      <c r="B355" s="47" t="s">
        <v>846</v>
      </c>
      <c r="C355" s="48" t="s">
        <v>4052</v>
      </c>
      <c r="D355" s="30"/>
      <c r="E355" s="30"/>
      <c r="F355" s="30"/>
      <c r="G355" s="30"/>
      <c r="H355" s="30" t="s">
        <v>141</v>
      </c>
      <c r="I355" s="30" t="s">
        <v>30</v>
      </c>
      <c r="J355" s="30" t="s">
        <v>142</v>
      </c>
      <c r="K355" s="30" t="s">
        <v>116</v>
      </c>
      <c r="L355" s="30" t="s">
        <v>122</v>
      </c>
      <c r="M355" s="68" t="s">
        <v>4221</v>
      </c>
      <c r="N355" s="30"/>
      <c r="O355" s="30"/>
      <c r="P355" s="30"/>
    </row>
    <row r="356" spans="1:16" ht="45" customHeight="1">
      <c r="A356" s="30" t="s">
        <v>852</v>
      </c>
      <c r="B356" s="47" t="s">
        <v>846</v>
      </c>
      <c r="C356" s="49" t="s">
        <v>853</v>
      </c>
      <c r="D356" s="30"/>
      <c r="E356" s="30"/>
      <c r="F356" s="30"/>
      <c r="G356" s="30" t="s">
        <v>4104</v>
      </c>
      <c r="H356" s="30" t="s">
        <v>141</v>
      </c>
      <c r="I356" s="30" t="s">
        <v>30</v>
      </c>
      <c r="J356" s="30" t="s">
        <v>142</v>
      </c>
      <c r="K356" s="30" t="s">
        <v>116</v>
      </c>
      <c r="L356" s="30" t="s">
        <v>146</v>
      </c>
      <c r="M356" s="64"/>
      <c r="N356" s="30"/>
      <c r="O356" s="30"/>
      <c r="P356" s="30"/>
    </row>
    <row r="357" spans="1:16" ht="30" customHeight="1">
      <c r="A357" s="30" t="s">
        <v>854</v>
      </c>
      <c r="B357" s="47" t="s">
        <v>846</v>
      </c>
      <c r="C357" s="49" t="s">
        <v>855</v>
      </c>
      <c r="D357" s="30"/>
      <c r="E357" s="30"/>
      <c r="F357" s="30"/>
      <c r="G357" s="30" t="s">
        <v>4104</v>
      </c>
      <c r="H357" s="30" t="s">
        <v>141</v>
      </c>
      <c r="I357" s="30" t="s">
        <v>30</v>
      </c>
      <c r="J357" s="30" t="s">
        <v>142</v>
      </c>
      <c r="K357" s="30" t="s">
        <v>116</v>
      </c>
      <c r="L357" s="30" t="s">
        <v>146</v>
      </c>
      <c r="M357" s="64"/>
      <c r="N357" s="30"/>
      <c r="O357" s="30"/>
      <c r="P357" s="30"/>
    </row>
    <row r="358" spans="1:16" ht="30" customHeight="1">
      <c r="A358" s="30" t="s">
        <v>856</v>
      </c>
      <c r="B358" s="47" t="s">
        <v>846</v>
      </c>
      <c r="C358" s="49" t="s">
        <v>857</v>
      </c>
      <c r="D358" s="30"/>
      <c r="E358" s="30"/>
      <c r="F358" s="30"/>
      <c r="G358" s="30"/>
      <c r="H358" s="30" t="s">
        <v>141</v>
      </c>
      <c r="I358" s="30" t="s">
        <v>31</v>
      </c>
      <c r="J358" s="30" t="s">
        <v>142</v>
      </c>
      <c r="K358" s="30" t="s">
        <v>116</v>
      </c>
      <c r="L358" s="30" t="s">
        <v>122</v>
      </c>
      <c r="M358" s="48" t="s">
        <v>314</v>
      </c>
      <c r="N358" s="30"/>
      <c r="O358" s="30"/>
      <c r="P358" s="30"/>
    </row>
    <row r="359" spans="1:16" ht="60" customHeight="1">
      <c r="A359" s="30" t="s">
        <v>858</v>
      </c>
      <c r="B359" s="47" t="s">
        <v>846</v>
      </c>
      <c r="C359" s="49" t="s">
        <v>859</v>
      </c>
      <c r="D359" s="30"/>
      <c r="E359" s="30"/>
      <c r="F359" s="30"/>
      <c r="G359" s="30"/>
      <c r="H359" s="30" t="s">
        <v>141</v>
      </c>
      <c r="I359" s="30" t="s">
        <v>22</v>
      </c>
      <c r="J359" s="30" t="s">
        <v>144</v>
      </c>
      <c r="K359" s="30" t="s">
        <v>117</v>
      </c>
      <c r="L359" s="30" t="s">
        <v>122</v>
      </c>
      <c r="M359" s="48"/>
      <c r="N359" s="30"/>
      <c r="O359" s="30"/>
      <c r="P359" s="30"/>
    </row>
    <row r="360" spans="1:16" ht="45" customHeight="1">
      <c r="A360" s="30" t="s">
        <v>860</v>
      </c>
      <c r="B360" s="47" t="s">
        <v>861</v>
      </c>
      <c r="C360" s="49" t="s">
        <v>862</v>
      </c>
      <c r="D360" s="30"/>
      <c r="E360" s="30"/>
      <c r="F360" s="30"/>
      <c r="G360" s="30"/>
      <c r="H360" s="30" t="s">
        <v>141</v>
      </c>
      <c r="I360" s="30" t="s">
        <v>31</v>
      </c>
      <c r="J360" s="30" t="s">
        <v>144</v>
      </c>
      <c r="K360" s="30" t="s">
        <v>117</v>
      </c>
      <c r="L360" s="30" t="s">
        <v>122</v>
      </c>
      <c r="M360" s="48"/>
      <c r="N360" s="30"/>
      <c r="O360" s="30"/>
      <c r="P360" s="30"/>
    </row>
    <row r="361" spans="1:16" ht="45" customHeight="1">
      <c r="A361" s="30" t="s">
        <v>863</v>
      </c>
      <c r="B361" s="47" t="s">
        <v>861</v>
      </c>
      <c r="C361" s="49" t="s">
        <v>864</v>
      </c>
      <c r="D361" s="30"/>
      <c r="E361" s="30"/>
      <c r="F361" s="30"/>
      <c r="G361" s="30"/>
      <c r="H361" s="30" t="s">
        <v>141</v>
      </c>
      <c r="I361" s="30" t="s">
        <v>22</v>
      </c>
      <c r="J361" s="30" t="s">
        <v>144</v>
      </c>
      <c r="K361" s="30" t="s">
        <v>117</v>
      </c>
      <c r="L361" s="30" t="s">
        <v>122</v>
      </c>
      <c r="M361" s="48"/>
      <c r="N361" s="30"/>
      <c r="O361" s="30"/>
      <c r="P361" s="30"/>
    </row>
    <row r="362" spans="1:16" ht="75" customHeight="1">
      <c r="A362" s="30" t="s">
        <v>865</v>
      </c>
      <c r="B362" s="47" t="s">
        <v>861</v>
      </c>
      <c r="C362" s="49" t="s">
        <v>866</v>
      </c>
      <c r="D362" s="30"/>
      <c r="E362" s="30"/>
      <c r="F362" s="30"/>
      <c r="G362" s="30"/>
      <c r="H362" s="30" t="s">
        <v>141</v>
      </c>
      <c r="I362" s="30" t="s">
        <v>22</v>
      </c>
      <c r="J362" s="30" t="s">
        <v>144</v>
      </c>
      <c r="K362" s="30" t="s">
        <v>117</v>
      </c>
      <c r="L362" s="30" t="s">
        <v>122</v>
      </c>
      <c r="M362" s="48"/>
      <c r="N362" s="30"/>
      <c r="O362" s="30"/>
      <c r="P362" s="30"/>
    </row>
    <row r="363" spans="1:16" ht="45" customHeight="1">
      <c r="A363" s="30" t="s">
        <v>867</v>
      </c>
      <c r="B363" s="47" t="s">
        <v>861</v>
      </c>
      <c r="C363" s="49" t="s">
        <v>868</v>
      </c>
      <c r="D363" s="30"/>
      <c r="E363" s="30"/>
      <c r="F363" s="30"/>
      <c r="G363" s="30"/>
      <c r="H363" s="30" t="s">
        <v>141</v>
      </c>
      <c r="I363" s="30" t="s">
        <v>22</v>
      </c>
      <c r="J363" s="30" t="s">
        <v>144</v>
      </c>
      <c r="K363" s="30" t="s">
        <v>117</v>
      </c>
      <c r="L363" s="30" t="s">
        <v>122</v>
      </c>
      <c r="M363" s="48"/>
      <c r="N363" s="30"/>
      <c r="O363" s="30"/>
      <c r="P363" s="30"/>
    </row>
    <row r="364" spans="1:16" ht="90" customHeight="1">
      <c r="A364" s="30" t="s">
        <v>869</v>
      </c>
      <c r="B364" s="47" t="s">
        <v>861</v>
      </c>
      <c r="C364" s="49" t="s">
        <v>870</v>
      </c>
      <c r="D364" s="30"/>
      <c r="E364" s="30"/>
      <c r="F364" s="30"/>
      <c r="G364" s="30"/>
      <c r="H364" s="30" t="s">
        <v>141</v>
      </c>
      <c r="I364" s="30" t="s">
        <v>31</v>
      </c>
      <c r="J364" s="30" t="s">
        <v>142</v>
      </c>
      <c r="K364" s="30" t="s">
        <v>116</v>
      </c>
      <c r="L364" s="30" t="s">
        <v>122</v>
      </c>
      <c r="M364" s="48" t="s">
        <v>314</v>
      </c>
      <c r="N364" s="30"/>
      <c r="O364" s="30"/>
      <c r="P364" s="30"/>
    </row>
    <row r="365" spans="1:16" ht="30" customHeight="1">
      <c r="A365" s="30" t="s">
        <v>871</v>
      </c>
      <c r="B365" s="47" t="s">
        <v>872</v>
      </c>
      <c r="C365" s="49" t="s">
        <v>873</v>
      </c>
      <c r="D365" s="30"/>
      <c r="E365" s="30"/>
      <c r="F365" s="30"/>
      <c r="G365" s="30"/>
      <c r="H365" s="30" t="s">
        <v>141</v>
      </c>
      <c r="I365" s="30" t="s">
        <v>30</v>
      </c>
      <c r="J365" s="30" t="s">
        <v>144</v>
      </c>
      <c r="K365" s="30" t="s">
        <v>117</v>
      </c>
      <c r="L365" s="30" t="s">
        <v>122</v>
      </c>
      <c r="M365" s="48"/>
      <c r="N365" s="30"/>
      <c r="O365" s="30"/>
      <c r="P365" s="30"/>
    </row>
    <row r="366" spans="1:16" ht="45" customHeight="1">
      <c r="A366" s="30" t="s">
        <v>874</v>
      </c>
      <c r="B366" s="47" t="s">
        <v>872</v>
      </c>
      <c r="C366" s="49" t="s">
        <v>875</v>
      </c>
      <c r="D366" s="30"/>
      <c r="E366" s="30"/>
      <c r="F366" s="30"/>
      <c r="G366" s="30"/>
      <c r="H366" s="30" t="s">
        <v>141</v>
      </c>
      <c r="I366" s="30" t="s">
        <v>30</v>
      </c>
      <c r="J366" s="30" t="s">
        <v>144</v>
      </c>
      <c r="K366" s="30" t="s">
        <v>117</v>
      </c>
      <c r="L366" s="30" t="s">
        <v>122</v>
      </c>
      <c r="M366" s="48"/>
      <c r="N366" s="30"/>
      <c r="O366" s="30"/>
      <c r="P366" s="30"/>
    </row>
    <row r="367" spans="1:16" ht="75" customHeight="1">
      <c r="A367" s="30" t="s">
        <v>876</v>
      </c>
      <c r="B367" s="47" t="s">
        <v>872</v>
      </c>
      <c r="C367" s="48" t="s">
        <v>877</v>
      </c>
      <c r="D367" s="30"/>
      <c r="E367" s="30"/>
      <c r="F367" s="30"/>
      <c r="G367" s="30"/>
      <c r="H367" s="30" t="s">
        <v>141</v>
      </c>
      <c r="I367" s="30" t="s">
        <v>30</v>
      </c>
      <c r="J367" s="30" t="s">
        <v>144</v>
      </c>
      <c r="K367" s="30" t="s">
        <v>117</v>
      </c>
      <c r="L367" s="30" t="s">
        <v>122</v>
      </c>
      <c r="M367" s="48"/>
      <c r="N367" s="30"/>
      <c r="O367" s="30"/>
      <c r="P367" s="30"/>
    </row>
    <row r="368" spans="1:16" ht="45" customHeight="1">
      <c r="A368" s="30" t="s">
        <v>878</v>
      </c>
      <c r="B368" s="47" t="s">
        <v>872</v>
      </c>
      <c r="C368" s="49" t="s">
        <v>879</v>
      </c>
      <c r="D368" s="30"/>
      <c r="E368" s="30"/>
      <c r="F368" s="30"/>
      <c r="G368" s="30"/>
      <c r="H368" s="30" t="s">
        <v>141</v>
      </c>
      <c r="I368" s="30" t="s">
        <v>30</v>
      </c>
      <c r="J368" s="30" t="s">
        <v>144</v>
      </c>
      <c r="K368" s="30" t="s">
        <v>117</v>
      </c>
      <c r="L368" s="30" t="s">
        <v>122</v>
      </c>
      <c r="M368" s="48"/>
      <c r="N368" s="30"/>
      <c r="O368" s="30"/>
      <c r="P368" s="30"/>
    </row>
    <row r="369" spans="1:16" s="31" customFormat="1" ht="45">
      <c r="A369" s="30" t="s">
        <v>880</v>
      </c>
      <c r="B369" s="47" t="s">
        <v>872</v>
      </c>
      <c r="C369" s="48" t="s">
        <v>4054</v>
      </c>
      <c r="D369" s="30"/>
      <c r="E369" s="30"/>
      <c r="F369" s="30"/>
      <c r="G369" s="30"/>
      <c r="H369" s="30" t="s">
        <v>141</v>
      </c>
      <c r="I369" s="30" t="s">
        <v>30</v>
      </c>
      <c r="J369" s="30" t="s">
        <v>142</v>
      </c>
      <c r="K369" s="30" t="s">
        <v>116</v>
      </c>
      <c r="L369" s="30" t="s">
        <v>122</v>
      </c>
      <c r="M369" s="48" t="s">
        <v>4222</v>
      </c>
      <c r="N369" s="30"/>
      <c r="O369" s="30"/>
      <c r="P369" s="30"/>
    </row>
    <row r="370" spans="1:16" s="31" customFormat="1" ht="45">
      <c r="A370" s="30" t="s">
        <v>4053</v>
      </c>
      <c r="B370" s="47" t="s">
        <v>872</v>
      </c>
      <c r="C370" s="48" t="s">
        <v>4055</v>
      </c>
      <c r="D370" s="30"/>
      <c r="E370" s="30"/>
      <c r="F370" s="30"/>
      <c r="G370" s="30" t="s">
        <v>4025</v>
      </c>
      <c r="H370" s="30" t="s">
        <v>141</v>
      </c>
      <c r="I370" s="30" t="s">
        <v>30</v>
      </c>
      <c r="J370" s="30" t="s">
        <v>142</v>
      </c>
      <c r="K370" s="30" t="s">
        <v>116</v>
      </c>
      <c r="L370" s="30" t="s">
        <v>143</v>
      </c>
      <c r="M370" s="48"/>
      <c r="N370" s="30"/>
      <c r="O370" s="30"/>
      <c r="P370" s="30"/>
    </row>
    <row r="371" spans="1:16" s="31" customFormat="1" ht="45">
      <c r="A371" s="30" t="s">
        <v>881</v>
      </c>
      <c r="B371" s="47" t="s">
        <v>872</v>
      </c>
      <c r="C371" s="48" t="s">
        <v>4057</v>
      </c>
      <c r="D371" s="30"/>
      <c r="E371" s="30"/>
      <c r="F371" s="30"/>
      <c r="G371" s="30"/>
      <c r="H371" s="30" t="s">
        <v>141</v>
      </c>
      <c r="I371" s="30" t="s">
        <v>30</v>
      </c>
      <c r="J371" s="30" t="s">
        <v>142</v>
      </c>
      <c r="K371" s="30" t="s">
        <v>116</v>
      </c>
      <c r="L371" s="30" t="s">
        <v>122</v>
      </c>
      <c r="M371" s="48" t="s">
        <v>4222</v>
      </c>
      <c r="N371" s="30"/>
      <c r="O371" s="30"/>
      <c r="P371" s="30"/>
    </row>
    <row r="372" spans="1:16" s="31" customFormat="1" ht="30">
      <c r="A372" s="30" t="s">
        <v>4056</v>
      </c>
      <c r="B372" s="47" t="s">
        <v>872</v>
      </c>
      <c r="C372" s="48" t="s">
        <v>4058</v>
      </c>
      <c r="D372" s="30"/>
      <c r="E372" s="30"/>
      <c r="F372" s="30"/>
      <c r="G372" s="30" t="s">
        <v>4025</v>
      </c>
      <c r="H372" s="30" t="s">
        <v>141</v>
      </c>
      <c r="I372" s="30" t="s">
        <v>30</v>
      </c>
      <c r="J372" s="30" t="s">
        <v>142</v>
      </c>
      <c r="K372" s="30" t="s">
        <v>116</v>
      </c>
      <c r="L372" s="30" t="s">
        <v>143</v>
      </c>
      <c r="M372" s="48"/>
      <c r="N372" s="30"/>
      <c r="O372" s="30"/>
      <c r="P372" s="30"/>
    </row>
    <row r="373" spans="1:16" ht="30" customHeight="1">
      <c r="A373" s="30" t="s">
        <v>882</v>
      </c>
      <c r="B373" s="47" t="s">
        <v>872</v>
      </c>
      <c r="C373" s="49" t="s">
        <v>883</v>
      </c>
      <c r="D373" s="30"/>
      <c r="E373" s="30"/>
      <c r="F373" s="30"/>
      <c r="G373" s="30"/>
      <c r="H373" s="30" t="s">
        <v>141</v>
      </c>
      <c r="I373" s="30" t="s">
        <v>22</v>
      </c>
      <c r="J373" s="30" t="s">
        <v>144</v>
      </c>
      <c r="K373" s="30" t="s">
        <v>117</v>
      </c>
      <c r="L373" s="30" t="s">
        <v>122</v>
      </c>
      <c r="M373" s="48"/>
      <c r="N373" s="30"/>
      <c r="O373" s="30"/>
      <c r="P373" s="30"/>
    </row>
    <row r="374" spans="1:16" ht="30" customHeight="1">
      <c r="A374" s="30" t="s">
        <v>884</v>
      </c>
      <c r="B374" s="47" t="s">
        <v>872</v>
      </c>
      <c r="C374" s="49" t="s">
        <v>885</v>
      </c>
      <c r="D374" s="30"/>
      <c r="E374" s="30"/>
      <c r="F374" s="30"/>
      <c r="G374" s="30" t="s">
        <v>4025</v>
      </c>
      <c r="H374" s="30" t="s">
        <v>141</v>
      </c>
      <c r="I374" s="30" t="s">
        <v>30</v>
      </c>
      <c r="J374" s="30" t="s">
        <v>142</v>
      </c>
      <c r="K374" s="30" t="s">
        <v>116</v>
      </c>
      <c r="L374" s="30" t="s">
        <v>146</v>
      </c>
      <c r="M374" s="48"/>
      <c r="N374" s="30"/>
      <c r="O374" s="30"/>
      <c r="P374" s="30"/>
    </row>
    <row r="375" spans="1:16" ht="30" customHeight="1">
      <c r="A375" s="30" t="s">
        <v>886</v>
      </c>
      <c r="B375" s="47" t="s">
        <v>872</v>
      </c>
      <c r="C375" s="49" t="s">
        <v>887</v>
      </c>
      <c r="D375" s="30"/>
      <c r="E375" s="30"/>
      <c r="F375" s="30"/>
      <c r="G375" s="30"/>
      <c r="H375" s="30" t="s">
        <v>141</v>
      </c>
      <c r="I375" s="30" t="s">
        <v>31</v>
      </c>
      <c r="J375" s="30" t="s">
        <v>142</v>
      </c>
      <c r="K375" s="30" t="s">
        <v>116</v>
      </c>
      <c r="L375" s="30" t="s">
        <v>122</v>
      </c>
      <c r="M375" s="48" t="s">
        <v>314</v>
      </c>
      <c r="N375" s="30"/>
      <c r="O375" s="30"/>
      <c r="P375" s="30"/>
    </row>
    <row r="376" spans="1:16" ht="45" customHeight="1">
      <c r="A376" s="30" t="s">
        <v>888</v>
      </c>
      <c r="B376" s="47" t="s">
        <v>889</v>
      </c>
      <c r="C376" s="49" t="s">
        <v>890</v>
      </c>
      <c r="D376" s="30"/>
      <c r="E376" s="30"/>
      <c r="F376" s="30"/>
      <c r="G376" s="30"/>
      <c r="H376" s="30" t="s">
        <v>141</v>
      </c>
      <c r="I376" s="30" t="s">
        <v>31</v>
      </c>
      <c r="J376" s="30" t="s">
        <v>144</v>
      </c>
      <c r="K376" s="30" t="s">
        <v>117</v>
      </c>
      <c r="L376" s="30" t="s">
        <v>122</v>
      </c>
      <c r="M376" s="48"/>
      <c r="N376" s="30"/>
      <c r="O376" s="30"/>
      <c r="P376" s="30"/>
    </row>
    <row r="377" spans="1:16" ht="120" customHeight="1">
      <c r="A377" s="30" t="s">
        <v>891</v>
      </c>
      <c r="B377" s="47" t="s">
        <v>889</v>
      </c>
      <c r="C377" s="49" t="s">
        <v>892</v>
      </c>
      <c r="D377" s="30"/>
      <c r="E377" s="30"/>
      <c r="F377" s="30"/>
      <c r="G377" s="30"/>
      <c r="H377" s="30" t="s">
        <v>141</v>
      </c>
      <c r="I377" s="30" t="s">
        <v>22</v>
      </c>
      <c r="J377" s="30" t="s">
        <v>144</v>
      </c>
      <c r="K377" s="30" t="s">
        <v>117</v>
      </c>
      <c r="L377" s="30" t="s">
        <v>122</v>
      </c>
      <c r="M377" s="48"/>
      <c r="N377" s="30"/>
      <c r="O377" s="30"/>
      <c r="P377" s="30"/>
    </row>
    <row r="378" spans="1:16" ht="75" customHeight="1">
      <c r="A378" s="30" t="s">
        <v>893</v>
      </c>
      <c r="B378" s="47" t="s">
        <v>889</v>
      </c>
      <c r="C378" s="49" t="s">
        <v>894</v>
      </c>
      <c r="D378" s="30"/>
      <c r="E378" s="30"/>
      <c r="F378" s="30"/>
      <c r="G378" s="30"/>
      <c r="H378" s="30" t="s">
        <v>141</v>
      </c>
      <c r="I378" s="30" t="s">
        <v>22</v>
      </c>
      <c r="J378" s="30" t="s">
        <v>144</v>
      </c>
      <c r="K378" s="30" t="s">
        <v>117</v>
      </c>
      <c r="L378" s="30" t="s">
        <v>122</v>
      </c>
      <c r="M378" s="48"/>
      <c r="N378" s="30"/>
      <c r="O378" s="30"/>
      <c r="P378" s="30"/>
    </row>
    <row r="379" spans="1:16" ht="30" customHeight="1">
      <c r="A379" s="30" t="s">
        <v>895</v>
      </c>
      <c r="B379" s="47" t="s">
        <v>896</v>
      </c>
      <c r="C379" s="49" t="s">
        <v>897</v>
      </c>
      <c r="D379" s="30"/>
      <c r="E379" s="30"/>
      <c r="F379" s="30"/>
      <c r="G379" s="30"/>
      <c r="H379" s="30" t="s">
        <v>141</v>
      </c>
      <c r="I379" s="30" t="s">
        <v>31</v>
      </c>
      <c r="J379" s="30" t="s">
        <v>144</v>
      </c>
      <c r="K379" s="30" t="s">
        <v>117</v>
      </c>
      <c r="L379" s="30" t="s">
        <v>122</v>
      </c>
      <c r="M379" s="48"/>
      <c r="N379" s="30"/>
      <c r="O379" s="30"/>
      <c r="P379" s="30"/>
    </row>
    <row r="380" spans="1:16" ht="75" customHeight="1">
      <c r="A380" s="30" t="s">
        <v>898</v>
      </c>
      <c r="B380" s="47" t="s">
        <v>896</v>
      </c>
      <c r="C380" s="49" t="s">
        <v>899</v>
      </c>
      <c r="D380" s="30"/>
      <c r="E380" s="30"/>
      <c r="F380" s="30"/>
      <c r="G380" s="30"/>
      <c r="H380" s="30" t="s">
        <v>141</v>
      </c>
      <c r="I380" s="30" t="s">
        <v>31</v>
      </c>
      <c r="J380" s="30" t="s">
        <v>142</v>
      </c>
      <c r="K380" s="30" t="s">
        <v>116</v>
      </c>
      <c r="L380" s="30" t="s">
        <v>122</v>
      </c>
      <c r="M380" s="48" t="s">
        <v>314</v>
      </c>
      <c r="N380" s="30"/>
      <c r="O380" s="30"/>
      <c r="P380" s="30"/>
    </row>
    <row r="381" spans="1:16" ht="90" customHeight="1">
      <c r="A381" s="30" t="s">
        <v>900</v>
      </c>
      <c r="B381" s="47" t="s">
        <v>896</v>
      </c>
      <c r="C381" s="49" t="s">
        <v>901</v>
      </c>
      <c r="D381" s="30"/>
      <c r="E381" s="30"/>
      <c r="F381" s="30"/>
      <c r="G381" s="30"/>
      <c r="H381" s="30" t="s">
        <v>141</v>
      </c>
      <c r="I381" s="30" t="s">
        <v>22</v>
      </c>
      <c r="J381" s="30" t="s">
        <v>144</v>
      </c>
      <c r="K381" s="30" t="s">
        <v>117</v>
      </c>
      <c r="L381" s="30" t="s">
        <v>122</v>
      </c>
      <c r="M381" s="48"/>
      <c r="N381" s="30"/>
      <c r="O381" s="30"/>
      <c r="P381" s="30"/>
    </row>
    <row r="382" spans="1:16" ht="409.5" customHeight="1">
      <c r="A382" s="30" t="s">
        <v>902</v>
      </c>
      <c r="B382" s="47" t="s">
        <v>903</v>
      </c>
      <c r="C382" s="48" t="s">
        <v>904</v>
      </c>
      <c r="D382" s="30"/>
      <c r="E382" s="30"/>
      <c r="F382" s="30"/>
      <c r="G382" s="30" t="s">
        <v>4025</v>
      </c>
      <c r="H382" s="30" t="s">
        <v>141</v>
      </c>
      <c r="I382" s="30" t="s">
        <v>30</v>
      </c>
      <c r="J382" s="30" t="s">
        <v>142</v>
      </c>
      <c r="K382" s="30" t="s">
        <v>116</v>
      </c>
      <c r="L382" s="30" t="s">
        <v>146</v>
      </c>
      <c r="M382" s="48"/>
      <c r="N382" s="30"/>
      <c r="O382" s="30"/>
      <c r="P382" s="30"/>
    </row>
    <row r="383" spans="1:16" ht="105" customHeight="1">
      <c r="A383" s="30" t="s">
        <v>905</v>
      </c>
      <c r="B383" s="47" t="s">
        <v>903</v>
      </c>
      <c r="C383" s="49" t="s">
        <v>906</v>
      </c>
      <c r="D383" s="30"/>
      <c r="E383" s="30"/>
      <c r="F383" s="30"/>
      <c r="G383" s="30"/>
      <c r="H383" s="30" t="s">
        <v>141</v>
      </c>
      <c r="I383" s="30" t="s">
        <v>30</v>
      </c>
      <c r="J383" s="30" t="s">
        <v>144</v>
      </c>
      <c r="K383" s="30" t="s">
        <v>117</v>
      </c>
      <c r="L383" s="30" t="s">
        <v>122</v>
      </c>
      <c r="M383" s="48"/>
      <c r="N383" s="30"/>
      <c r="O383" s="30"/>
      <c r="P383" s="30"/>
    </row>
    <row r="384" spans="1:16" ht="45" customHeight="1">
      <c r="A384" s="30" t="s">
        <v>907</v>
      </c>
      <c r="B384" s="47" t="s">
        <v>903</v>
      </c>
      <c r="C384" s="49" t="s">
        <v>908</v>
      </c>
      <c r="D384" s="30"/>
      <c r="E384" s="30"/>
      <c r="F384" s="30"/>
      <c r="G384" s="30"/>
      <c r="H384" s="30" t="s">
        <v>141</v>
      </c>
      <c r="I384" s="30" t="s">
        <v>30</v>
      </c>
      <c r="J384" s="30" t="s">
        <v>144</v>
      </c>
      <c r="K384" s="30" t="s">
        <v>117</v>
      </c>
      <c r="L384" s="30" t="s">
        <v>122</v>
      </c>
      <c r="M384" s="48"/>
      <c r="N384" s="30"/>
      <c r="O384" s="30"/>
      <c r="P384" s="30"/>
    </row>
    <row r="385" spans="1:16" ht="60" customHeight="1">
      <c r="A385" s="30" t="s">
        <v>909</v>
      </c>
      <c r="B385" s="47" t="s">
        <v>903</v>
      </c>
      <c r="C385" s="49" t="s">
        <v>910</v>
      </c>
      <c r="D385" s="30"/>
      <c r="E385" s="30"/>
      <c r="F385" s="30"/>
      <c r="G385" s="30"/>
      <c r="H385" s="30" t="s">
        <v>141</v>
      </c>
      <c r="I385" s="30" t="s">
        <v>31</v>
      </c>
      <c r="J385" s="30" t="s">
        <v>144</v>
      </c>
      <c r="K385" s="30" t="s">
        <v>117</v>
      </c>
      <c r="L385" s="30" t="s">
        <v>122</v>
      </c>
      <c r="M385" s="48"/>
      <c r="N385" s="30"/>
      <c r="O385" s="30"/>
      <c r="P385" s="30"/>
    </row>
    <row r="386" spans="1:16" ht="60" customHeight="1">
      <c r="A386" s="30" t="s">
        <v>911</v>
      </c>
      <c r="B386" s="47" t="s">
        <v>903</v>
      </c>
      <c r="C386" s="48" t="s">
        <v>3684</v>
      </c>
      <c r="D386" s="30"/>
      <c r="E386" s="30"/>
      <c r="F386" s="30"/>
      <c r="G386" s="30"/>
      <c r="H386" s="30" t="s">
        <v>141</v>
      </c>
      <c r="I386" s="30" t="s">
        <v>22</v>
      </c>
      <c r="J386" s="30" t="s">
        <v>144</v>
      </c>
      <c r="K386" s="30" t="s">
        <v>117</v>
      </c>
      <c r="L386" s="30" t="s">
        <v>122</v>
      </c>
      <c r="M386" s="48"/>
      <c r="N386" s="30"/>
      <c r="O386" s="30"/>
      <c r="P386" s="30"/>
    </row>
    <row r="387" spans="1:16" s="31" customFormat="1" ht="60">
      <c r="A387" s="30" t="s">
        <v>912</v>
      </c>
      <c r="B387" s="47" t="s">
        <v>903</v>
      </c>
      <c r="C387" s="48" t="s">
        <v>4232</v>
      </c>
      <c r="D387" s="30"/>
      <c r="E387" s="30"/>
      <c r="F387" s="30"/>
      <c r="G387" s="30" t="s">
        <v>4025</v>
      </c>
      <c r="H387" s="30" t="s">
        <v>141</v>
      </c>
      <c r="I387" s="30" t="s">
        <v>22</v>
      </c>
      <c r="J387" s="30" t="s">
        <v>142</v>
      </c>
      <c r="K387" s="30" t="s">
        <v>116</v>
      </c>
      <c r="L387" s="30" t="s">
        <v>143</v>
      </c>
      <c r="M387" s="48"/>
      <c r="N387" s="30"/>
      <c r="O387" s="30"/>
      <c r="P387" s="30"/>
    </row>
    <row r="388" spans="1:16" s="31" customFormat="1" ht="60">
      <c r="A388" s="30" t="s">
        <v>4225</v>
      </c>
      <c r="B388" s="47" t="s">
        <v>903</v>
      </c>
      <c r="C388" s="48" t="s">
        <v>4231</v>
      </c>
      <c r="D388" s="30"/>
      <c r="E388" s="30"/>
      <c r="F388" s="30"/>
      <c r="G388" s="30" t="s">
        <v>4025</v>
      </c>
      <c r="H388" s="30" t="s">
        <v>141</v>
      </c>
      <c r="I388" s="30" t="s">
        <v>22</v>
      </c>
      <c r="J388" s="30" t="s">
        <v>142</v>
      </c>
      <c r="K388" s="30" t="s">
        <v>116</v>
      </c>
      <c r="L388" s="30" t="s">
        <v>143</v>
      </c>
      <c r="M388" s="48"/>
      <c r="N388" s="30"/>
      <c r="O388" s="30"/>
      <c r="P388" s="30"/>
    </row>
    <row r="389" spans="1:16" s="31" customFormat="1" ht="45">
      <c r="A389" s="30" t="s">
        <v>913</v>
      </c>
      <c r="B389" s="47" t="s">
        <v>903</v>
      </c>
      <c r="C389" s="48" t="s">
        <v>914</v>
      </c>
      <c r="D389" s="30"/>
      <c r="E389" s="30"/>
      <c r="F389" s="30"/>
      <c r="G389" s="30"/>
      <c r="H389" s="30" t="s">
        <v>141</v>
      </c>
      <c r="I389" s="30" t="s">
        <v>22</v>
      </c>
      <c r="J389" s="30" t="s">
        <v>142</v>
      </c>
      <c r="K389" s="30" t="s">
        <v>116</v>
      </c>
      <c r="L389" s="30" t="s">
        <v>122</v>
      </c>
      <c r="M389" s="48" t="s">
        <v>4224</v>
      </c>
      <c r="N389" s="30"/>
      <c r="O389" s="30"/>
      <c r="P389" s="30"/>
    </row>
    <row r="390" spans="1:16" s="31" customFormat="1" ht="45">
      <c r="A390" s="30" t="s">
        <v>4223</v>
      </c>
      <c r="B390" s="47" t="s">
        <v>903</v>
      </c>
      <c r="C390" s="48" t="s">
        <v>915</v>
      </c>
      <c r="D390" s="30"/>
      <c r="E390" s="30"/>
      <c r="F390" s="30"/>
      <c r="G390" s="30"/>
      <c r="H390" s="30" t="s">
        <v>141</v>
      </c>
      <c r="I390" s="30" t="s">
        <v>22</v>
      </c>
      <c r="J390" s="30" t="s">
        <v>144</v>
      </c>
      <c r="K390" s="30" t="s">
        <v>117</v>
      </c>
      <c r="L390" s="30" t="s">
        <v>3664</v>
      </c>
      <c r="M390" s="48" t="s">
        <v>4132</v>
      </c>
      <c r="N390" s="30"/>
      <c r="O390" s="30"/>
      <c r="P390" s="30"/>
    </row>
    <row r="391" spans="1:16" ht="30" customHeight="1">
      <c r="A391" s="30" t="s">
        <v>916</v>
      </c>
      <c r="B391" s="47" t="s">
        <v>903</v>
      </c>
      <c r="C391" s="49" t="s">
        <v>917</v>
      </c>
      <c r="D391" s="30"/>
      <c r="E391" s="30"/>
      <c r="F391" s="30"/>
      <c r="G391" s="30"/>
      <c r="H391" s="30" t="s">
        <v>141</v>
      </c>
      <c r="I391" s="30" t="s">
        <v>30</v>
      </c>
      <c r="J391" s="30" t="s">
        <v>144</v>
      </c>
      <c r="K391" s="30" t="s">
        <v>117</v>
      </c>
      <c r="L391" s="30" t="s">
        <v>122</v>
      </c>
      <c r="M391" s="48"/>
      <c r="N391" s="30"/>
      <c r="O391" s="30"/>
      <c r="P391" s="30"/>
    </row>
    <row r="392" spans="1:16" ht="45" customHeight="1">
      <c r="A392" s="30" t="s">
        <v>918</v>
      </c>
      <c r="B392" s="47" t="s">
        <v>903</v>
      </c>
      <c r="C392" s="49" t="s">
        <v>919</v>
      </c>
      <c r="D392" s="30"/>
      <c r="E392" s="30"/>
      <c r="F392" s="30"/>
      <c r="G392" s="30"/>
      <c r="H392" s="30" t="s">
        <v>141</v>
      </c>
      <c r="I392" s="30" t="s">
        <v>30</v>
      </c>
      <c r="J392" s="30" t="s">
        <v>144</v>
      </c>
      <c r="K392" s="30" t="s">
        <v>117</v>
      </c>
      <c r="L392" s="30" t="s">
        <v>122</v>
      </c>
      <c r="M392" s="48"/>
      <c r="N392" s="30"/>
      <c r="O392" s="30"/>
      <c r="P392" s="30"/>
    </row>
    <row r="393" spans="1:16" ht="330" customHeight="1">
      <c r="A393" s="30" t="s">
        <v>920</v>
      </c>
      <c r="B393" s="47" t="s">
        <v>903</v>
      </c>
      <c r="C393" s="49" t="s">
        <v>921</v>
      </c>
      <c r="D393" s="30"/>
      <c r="E393" s="30"/>
      <c r="F393" s="30"/>
      <c r="G393" s="30"/>
      <c r="H393" s="30" t="s">
        <v>141</v>
      </c>
      <c r="I393" s="30" t="s">
        <v>22</v>
      </c>
      <c r="J393" s="30" t="s">
        <v>144</v>
      </c>
      <c r="K393" s="30" t="s">
        <v>117</v>
      </c>
      <c r="L393" s="30" t="s">
        <v>122</v>
      </c>
      <c r="M393" s="48"/>
      <c r="N393" s="30"/>
      <c r="O393" s="30"/>
      <c r="P393" s="30"/>
    </row>
    <row r="394" spans="1:16" ht="30" customHeight="1">
      <c r="A394" s="30" t="s">
        <v>922</v>
      </c>
      <c r="B394" s="47" t="s">
        <v>903</v>
      </c>
      <c r="C394" s="49" t="s">
        <v>923</v>
      </c>
      <c r="D394" s="30"/>
      <c r="E394" s="30"/>
      <c r="F394" s="30"/>
      <c r="G394" s="30" t="s">
        <v>4025</v>
      </c>
      <c r="H394" s="30" t="s">
        <v>141</v>
      </c>
      <c r="I394" s="30" t="s">
        <v>30</v>
      </c>
      <c r="J394" s="30" t="s">
        <v>142</v>
      </c>
      <c r="K394" s="30" t="s">
        <v>116</v>
      </c>
      <c r="L394" s="30" t="s">
        <v>146</v>
      </c>
      <c r="M394" s="48"/>
      <c r="N394" s="30"/>
      <c r="O394" s="30"/>
      <c r="P394" s="30"/>
    </row>
    <row r="395" spans="1:16" ht="330" customHeight="1">
      <c r="A395" s="30" t="s">
        <v>924</v>
      </c>
      <c r="B395" s="47" t="s">
        <v>903</v>
      </c>
      <c r="C395" s="49" t="s">
        <v>925</v>
      </c>
      <c r="D395" s="30"/>
      <c r="E395" s="30"/>
      <c r="F395" s="30"/>
      <c r="G395" s="30"/>
      <c r="H395" s="30" t="s">
        <v>141</v>
      </c>
      <c r="I395" s="30" t="s">
        <v>31</v>
      </c>
      <c r="J395" s="30" t="s">
        <v>142</v>
      </c>
      <c r="K395" s="30" t="s">
        <v>116</v>
      </c>
      <c r="L395" s="30" t="s">
        <v>122</v>
      </c>
      <c r="M395" s="48" t="s">
        <v>314</v>
      </c>
      <c r="N395" s="30"/>
      <c r="O395" s="30"/>
      <c r="P395" s="30"/>
    </row>
    <row r="396" spans="1:16" ht="135" customHeight="1">
      <c r="A396" s="30" t="s">
        <v>926</v>
      </c>
      <c r="B396" s="47" t="s">
        <v>903</v>
      </c>
      <c r="C396" s="49" t="s">
        <v>927</v>
      </c>
      <c r="D396" s="30"/>
      <c r="E396" s="30"/>
      <c r="F396" s="30"/>
      <c r="G396" s="30"/>
      <c r="H396" s="30" t="s">
        <v>141</v>
      </c>
      <c r="I396" s="30" t="s">
        <v>22</v>
      </c>
      <c r="J396" s="30" t="s">
        <v>144</v>
      </c>
      <c r="K396" s="30" t="s">
        <v>117</v>
      </c>
      <c r="L396" s="30" t="s">
        <v>122</v>
      </c>
      <c r="M396" s="48"/>
      <c r="N396" s="30"/>
      <c r="O396" s="30"/>
      <c r="P396" s="30"/>
    </row>
    <row r="397" spans="1:16" ht="60" customHeight="1">
      <c r="A397" s="30" t="s">
        <v>928</v>
      </c>
      <c r="B397" s="47" t="s">
        <v>903</v>
      </c>
      <c r="C397" s="48" t="s">
        <v>3687</v>
      </c>
      <c r="D397" s="30"/>
      <c r="E397" s="30"/>
      <c r="F397" s="30"/>
      <c r="G397" s="30"/>
      <c r="H397" s="30" t="s">
        <v>141</v>
      </c>
      <c r="I397" s="30" t="s">
        <v>30</v>
      </c>
      <c r="J397" s="30" t="s">
        <v>144</v>
      </c>
      <c r="K397" s="30" t="s">
        <v>117</v>
      </c>
      <c r="L397" s="30" t="s">
        <v>122</v>
      </c>
      <c r="M397" s="48"/>
      <c r="N397" s="30"/>
      <c r="O397" s="30"/>
      <c r="P397" s="30"/>
    </row>
    <row r="398" spans="1:16" ht="30" customHeight="1">
      <c r="A398" s="30" t="s">
        <v>929</v>
      </c>
      <c r="B398" s="47" t="s">
        <v>903</v>
      </c>
      <c r="C398" s="49" t="s">
        <v>930</v>
      </c>
      <c r="D398" s="30"/>
      <c r="E398" s="30"/>
      <c r="F398" s="30"/>
      <c r="G398" s="30"/>
      <c r="H398" s="30" t="s">
        <v>141</v>
      </c>
      <c r="I398" s="30" t="s">
        <v>30</v>
      </c>
      <c r="J398" s="30" t="s">
        <v>144</v>
      </c>
      <c r="K398" s="30" t="s">
        <v>117</v>
      </c>
      <c r="L398" s="30" t="s">
        <v>122</v>
      </c>
      <c r="M398" s="48"/>
      <c r="N398" s="30"/>
      <c r="O398" s="30"/>
      <c r="P398" s="30"/>
    </row>
    <row r="399" spans="1:16" ht="60" customHeight="1">
      <c r="A399" s="30" t="s">
        <v>931</v>
      </c>
      <c r="B399" s="47" t="s">
        <v>903</v>
      </c>
      <c r="C399" s="48" t="s">
        <v>3688</v>
      </c>
      <c r="D399" s="30"/>
      <c r="E399" s="30"/>
      <c r="F399" s="30"/>
      <c r="G399" s="30"/>
      <c r="H399" s="30" t="s">
        <v>141</v>
      </c>
      <c r="I399" s="30" t="s">
        <v>30</v>
      </c>
      <c r="J399" s="30" t="s">
        <v>144</v>
      </c>
      <c r="K399" s="30" t="s">
        <v>117</v>
      </c>
      <c r="L399" s="30" t="s">
        <v>122</v>
      </c>
      <c r="M399" s="48"/>
      <c r="N399" s="30"/>
      <c r="O399" s="30"/>
      <c r="P399" s="30"/>
    </row>
    <row r="400" spans="1:16" ht="30" customHeight="1">
      <c r="A400" s="30" t="s">
        <v>932</v>
      </c>
      <c r="B400" s="47" t="s">
        <v>903</v>
      </c>
      <c r="C400" s="49" t="s">
        <v>933</v>
      </c>
      <c r="D400" s="30"/>
      <c r="E400" s="30"/>
      <c r="F400" s="30"/>
      <c r="G400" s="30"/>
      <c r="H400" s="30" t="s">
        <v>141</v>
      </c>
      <c r="I400" s="30" t="s">
        <v>30</v>
      </c>
      <c r="J400" s="30" t="s">
        <v>144</v>
      </c>
      <c r="K400" s="30" t="s">
        <v>117</v>
      </c>
      <c r="L400" s="30" t="s">
        <v>122</v>
      </c>
      <c r="M400" s="48"/>
      <c r="N400" s="30"/>
      <c r="O400" s="30"/>
      <c r="P400" s="30"/>
    </row>
    <row r="401" spans="1:16" ht="45" customHeight="1">
      <c r="A401" s="30" t="s">
        <v>934</v>
      </c>
      <c r="B401" s="47" t="s">
        <v>903</v>
      </c>
      <c r="C401" s="49" t="s">
        <v>935</v>
      </c>
      <c r="D401" s="30"/>
      <c r="E401" s="30"/>
      <c r="F401" s="30"/>
      <c r="G401" s="30"/>
      <c r="H401" s="30" t="s">
        <v>141</v>
      </c>
      <c r="I401" s="30" t="s">
        <v>30</v>
      </c>
      <c r="J401" s="30" t="s">
        <v>144</v>
      </c>
      <c r="K401" s="30" t="s">
        <v>117</v>
      </c>
      <c r="L401" s="30" t="s">
        <v>122</v>
      </c>
      <c r="M401" s="48"/>
      <c r="N401" s="30"/>
      <c r="O401" s="30"/>
      <c r="P401" s="30"/>
    </row>
    <row r="402" spans="1:16" ht="45" customHeight="1">
      <c r="A402" s="30" t="s">
        <v>936</v>
      </c>
      <c r="B402" s="47" t="s">
        <v>903</v>
      </c>
      <c r="C402" s="49" t="s">
        <v>937</v>
      </c>
      <c r="D402" s="30"/>
      <c r="E402" s="30"/>
      <c r="F402" s="30"/>
      <c r="G402" s="30"/>
      <c r="H402" s="30" t="s">
        <v>141</v>
      </c>
      <c r="I402" s="30" t="s">
        <v>30</v>
      </c>
      <c r="J402" s="30" t="s">
        <v>144</v>
      </c>
      <c r="K402" s="30" t="s">
        <v>117</v>
      </c>
      <c r="L402" s="30" t="s">
        <v>122</v>
      </c>
      <c r="M402" s="48"/>
      <c r="N402" s="30"/>
      <c r="O402" s="30"/>
      <c r="P402" s="30"/>
    </row>
    <row r="403" spans="1:16" ht="45" customHeight="1">
      <c r="A403" s="30" t="s">
        <v>938</v>
      </c>
      <c r="B403" s="47" t="s">
        <v>903</v>
      </c>
      <c r="C403" s="49" t="s">
        <v>939</v>
      </c>
      <c r="D403" s="30"/>
      <c r="E403" s="30"/>
      <c r="F403" s="30"/>
      <c r="G403" s="30"/>
      <c r="H403" s="30" t="s">
        <v>141</v>
      </c>
      <c r="I403" s="30" t="s">
        <v>30</v>
      </c>
      <c r="J403" s="30" t="s">
        <v>144</v>
      </c>
      <c r="K403" s="30" t="s">
        <v>117</v>
      </c>
      <c r="L403" s="30" t="s">
        <v>122</v>
      </c>
      <c r="M403" s="48"/>
      <c r="N403" s="30"/>
      <c r="O403" s="30"/>
      <c r="P403" s="30"/>
    </row>
    <row r="404" spans="1:16" ht="75" customHeight="1">
      <c r="A404" s="30" t="s">
        <v>940</v>
      </c>
      <c r="B404" s="47" t="s">
        <v>903</v>
      </c>
      <c r="C404" s="48" t="s">
        <v>3692</v>
      </c>
      <c r="D404" s="30"/>
      <c r="E404" s="30"/>
      <c r="F404" s="30"/>
      <c r="G404" s="30"/>
      <c r="H404" s="30" t="s">
        <v>141</v>
      </c>
      <c r="I404" s="30" t="s">
        <v>30</v>
      </c>
      <c r="J404" s="30" t="s">
        <v>144</v>
      </c>
      <c r="K404" s="30" t="s">
        <v>117</v>
      </c>
      <c r="L404" s="30" t="s">
        <v>122</v>
      </c>
      <c r="M404" s="48"/>
      <c r="N404" s="30"/>
      <c r="O404" s="30"/>
      <c r="P404" s="30"/>
    </row>
    <row r="405" spans="1:16" ht="75" customHeight="1">
      <c r="A405" s="30" t="s">
        <v>941</v>
      </c>
      <c r="B405" s="47" t="s">
        <v>903</v>
      </c>
      <c r="C405" s="48" t="s">
        <v>942</v>
      </c>
      <c r="D405" s="30"/>
      <c r="E405" s="30"/>
      <c r="F405" s="30"/>
      <c r="G405" s="30"/>
      <c r="H405" s="30" t="s">
        <v>141</v>
      </c>
      <c r="I405" s="30" t="s">
        <v>30</v>
      </c>
      <c r="J405" s="30" t="s">
        <v>144</v>
      </c>
      <c r="K405" s="30" t="s">
        <v>117</v>
      </c>
      <c r="L405" s="30" t="s">
        <v>122</v>
      </c>
      <c r="M405" s="48"/>
      <c r="N405" s="30"/>
      <c r="O405" s="30"/>
      <c r="P405" s="30"/>
    </row>
    <row r="406" spans="1:16" ht="45" customHeight="1">
      <c r="A406" s="30" t="s">
        <v>943</v>
      </c>
      <c r="B406" s="47" t="s">
        <v>903</v>
      </c>
      <c r="C406" s="48" t="s">
        <v>944</v>
      </c>
      <c r="D406" s="30"/>
      <c r="E406" s="30"/>
      <c r="F406" s="30"/>
      <c r="G406" s="30"/>
      <c r="H406" s="30" t="s">
        <v>141</v>
      </c>
      <c r="I406" s="30" t="s">
        <v>30</v>
      </c>
      <c r="J406" s="30" t="s">
        <v>144</v>
      </c>
      <c r="K406" s="30" t="s">
        <v>117</v>
      </c>
      <c r="L406" s="30" t="s">
        <v>122</v>
      </c>
      <c r="M406" s="48"/>
      <c r="N406" s="30"/>
      <c r="O406" s="30"/>
      <c r="P406" s="30"/>
    </row>
    <row r="407" spans="1:16" ht="45" customHeight="1">
      <c r="A407" s="30" t="s">
        <v>945</v>
      </c>
      <c r="B407" s="47" t="s">
        <v>903</v>
      </c>
      <c r="C407" s="48" t="s">
        <v>946</v>
      </c>
      <c r="D407" s="30"/>
      <c r="E407" s="30"/>
      <c r="F407" s="30"/>
      <c r="G407" s="30"/>
      <c r="H407" s="30" t="s">
        <v>141</v>
      </c>
      <c r="I407" s="30" t="s">
        <v>30</v>
      </c>
      <c r="J407" s="30" t="s">
        <v>144</v>
      </c>
      <c r="K407" s="30" t="s">
        <v>117</v>
      </c>
      <c r="L407" s="30" t="s">
        <v>122</v>
      </c>
      <c r="M407" s="48"/>
      <c r="N407" s="30"/>
      <c r="O407" s="30"/>
      <c r="P407" s="30"/>
    </row>
    <row r="408" spans="1:16" ht="45" customHeight="1">
      <c r="A408" s="30" t="s">
        <v>947</v>
      </c>
      <c r="B408" s="47" t="s">
        <v>903</v>
      </c>
      <c r="C408" s="48" t="s">
        <v>948</v>
      </c>
      <c r="D408" s="30"/>
      <c r="E408" s="30"/>
      <c r="F408" s="30"/>
      <c r="G408" s="30"/>
      <c r="H408" s="30" t="s">
        <v>141</v>
      </c>
      <c r="I408" s="30" t="s">
        <v>30</v>
      </c>
      <c r="J408" s="30" t="s">
        <v>144</v>
      </c>
      <c r="K408" s="30" t="s">
        <v>117</v>
      </c>
      <c r="L408" s="30" t="s">
        <v>122</v>
      </c>
      <c r="M408" s="48"/>
      <c r="N408" s="30"/>
      <c r="O408" s="30"/>
      <c r="P408" s="30"/>
    </row>
    <row r="409" spans="1:16" ht="45" customHeight="1">
      <c r="A409" s="30" t="s">
        <v>949</v>
      </c>
      <c r="B409" s="47" t="s">
        <v>903</v>
      </c>
      <c r="C409" s="48" t="s">
        <v>3693</v>
      </c>
      <c r="D409" s="30"/>
      <c r="E409" s="30"/>
      <c r="F409" s="30"/>
      <c r="G409" s="30" t="s">
        <v>4025</v>
      </c>
      <c r="H409" s="30" t="s">
        <v>141</v>
      </c>
      <c r="I409" s="30" t="s">
        <v>30</v>
      </c>
      <c r="J409" s="30" t="s">
        <v>145</v>
      </c>
      <c r="K409" s="30" t="s">
        <v>116</v>
      </c>
      <c r="L409" s="30" t="s">
        <v>146</v>
      </c>
      <c r="M409" s="48"/>
      <c r="N409" s="30"/>
      <c r="O409" s="30"/>
      <c r="P409" s="30"/>
    </row>
    <row r="410" spans="1:16" ht="45" customHeight="1">
      <c r="A410" s="30" t="s">
        <v>950</v>
      </c>
      <c r="B410" s="47" t="s">
        <v>903</v>
      </c>
      <c r="C410" s="48" t="s">
        <v>951</v>
      </c>
      <c r="D410" s="30"/>
      <c r="E410" s="30"/>
      <c r="F410" s="30"/>
      <c r="G410" s="30"/>
      <c r="H410" s="30" t="s">
        <v>141</v>
      </c>
      <c r="I410" s="30" t="s">
        <v>30</v>
      </c>
      <c r="J410" s="30" t="s">
        <v>144</v>
      </c>
      <c r="K410" s="30" t="s">
        <v>117</v>
      </c>
      <c r="L410" s="30" t="s">
        <v>122</v>
      </c>
      <c r="M410" s="48"/>
      <c r="N410" s="30"/>
      <c r="O410" s="30"/>
      <c r="P410" s="30"/>
    </row>
    <row r="411" spans="1:16" ht="45" customHeight="1">
      <c r="A411" s="30" t="s">
        <v>952</v>
      </c>
      <c r="B411" s="47" t="s">
        <v>903</v>
      </c>
      <c r="C411" s="48" t="s">
        <v>953</v>
      </c>
      <c r="D411" s="30"/>
      <c r="E411" s="30"/>
      <c r="F411" s="30"/>
      <c r="G411" s="30"/>
      <c r="H411" s="30" t="s">
        <v>141</v>
      </c>
      <c r="I411" s="30" t="s">
        <v>30</v>
      </c>
      <c r="J411" s="30" t="s">
        <v>144</v>
      </c>
      <c r="K411" s="30" t="s">
        <v>117</v>
      </c>
      <c r="L411" s="30" t="s">
        <v>122</v>
      </c>
      <c r="M411" s="48"/>
      <c r="N411" s="30"/>
      <c r="O411" s="30"/>
      <c r="P411" s="30"/>
    </row>
    <row r="412" spans="1:16" ht="30" customHeight="1">
      <c r="A412" s="30" t="s">
        <v>954</v>
      </c>
      <c r="B412" s="47" t="s">
        <v>903</v>
      </c>
      <c r="C412" s="49" t="s">
        <v>955</v>
      </c>
      <c r="D412" s="30"/>
      <c r="E412" s="30"/>
      <c r="F412" s="30"/>
      <c r="G412" s="30"/>
      <c r="H412" s="30" t="s">
        <v>141</v>
      </c>
      <c r="I412" s="30" t="s">
        <v>30</v>
      </c>
      <c r="J412" s="30" t="s">
        <v>144</v>
      </c>
      <c r="K412" s="30" t="s">
        <v>117</v>
      </c>
      <c r="L412" s="30" t="s">
        <v>122</v>
      </c>
      <c r="M412" s="48"/>
      <c r="N412" s="30"/>
      <c r="O412" s="30"/>
      <c r="P412" s="30"/>
    </row>
    <row r="413" spans="1:16" ht="30" customHeight="1">
      <c r="A413" s="30" t="s">
        <v>956</v>
      </c>
      <c r="B413" s="47" t="s">
        <v>903</v>
      </c>
      <c r="C413" s="48" t="s">
        <v>3695</v>
      </c>
      <c r="D413" s="30"/>
      <c r="E413" s="30"/>
      <c r="F413" s="30"/>
      <c r="G413" s="30"/>
      <c r="H413" s="30" t="s">
        <v>141</v>
      </c>
      <c r="I413" s="30" t="s">
        <v>30</v>
      </c>
      <c r="J413" s="30" t="s">
        <v>144</v>
      </c>
      <c r="K413" s="30" t="s">
        <v>117</v>
      </c>
      <c r="L413" s="30" t="s">
        <v>122</v>
      </c>
      <c r="M413" s="48"/>
      <c r="N413" s="30"/>
      <c r="O413" s="30"/>
      <c r="P413" s="30"/>
    </row>
    <row r="414" spans="1:16" ht="45" customHeight="1">
      <c r="A414" s="30" t="s">
        <v>957</v>
      </c>
      <c r="B414" s="47" t="s">
        <v>903</v>
      </c>
      <c r="C414" s="48" t="s">
        <v>958</v>
      </c>
      <c r="D414" s="30"/>
      <c r="E414" s="30"/>
      <c r="F414" s="30"/>
      <c r="G414" s="30"/>
      <c r="H414" s="30" t="s">
        <v>141</v>
      </c>
      <c r="I414" s="30" t="s">
        <v>30</v>
      </c>
      <c r="J414" s="30" t="s">
        <v>144</v>
      </c>
      <c r="K414" s="30" t="s">
        <v>117</v>
      </c>
      <c r="L414" s="30" t="s">
        <v>122</v>
      </c>
      <c r="M414" s="48"/>
      <c r="N414" s="30"/>
      <c r="O414" s="30"/>
      <c r="P414" s="30"/>
    </row>
    <row r="415" spans="1:16" ht="45" customHeight="1">
      <c r="A415" s="30" t="s">
        <v>959</v>
      </c>
      <c r="B415" s="47" t="s">
        <v>903</v>
      </c>
      <c r="C415" s="48" t="s">
        <v>3696</v>
      </c>
      <c r="D415" s="30"/>
      <c r="E415" s="30"/>
      <c r="F415" s="30"/>
      <c r="G415" s="30"/>
      <c r="H415" s="30" t="s">
        <v>141</v>
      </c>
      <c r="I415" s="30" t="s">
        <v>30</v>
      </c>
      <c r="J415" s="30" t="s">
        <v>144</v>
      </c>
      <c r="K415" s="30" t="s">
        <v>117</v>
      </c>
      <c r="L415" s="30" t="s">
        <v>122</v>
      </c>
      <c r="M415" s="48"/>
      <c r="N415" s="30"/>
      <c r="O415" s="30"/>
      <c r="P415" s="30"/>
    </row>
    <row r="416" spans="1:16" ht="30" customHeight="1">
      <c r="A416" s="30" t="s">
        <v>960</v>
      </c>
      <c r="B416" s="47" t="s">
        <v>903</v>
      </c>
      <c r="C416" s="49" t="s">
        <v>961</v>
      </c>
      <c r="D416" s="30"/>
      <c r="E416" s="30"/>
      <c r="F416" s="30"/>
      <c r="G416" s="30"/>
      <c r="H416" s="30" t="s">
        <v>141</v>
      </c>
      <c r="I416" s="30" t="s">
        <v>30</v>
      </c>
      <c r="J416" s="30" t="s">
        <v>144</v>
      </c>
      <c r="K416" s="30" t="s">
        <v>117</v>
      </c>
      <c r="L416" s="30" t="s">
        <v>122</v>
      </c>
      <c r="M416" s="48"/>
      <c r="N416" s="30"/>
      <c r="O416" s="30"/>
      <c r="P416" s="30"/>
    </row>
    <row r="417" spans="1:16" ht="45" customHeight="1">
      <c r="A417" s="30" t="s">
        <v>962</v>
      </c>
      <c r="B417" s="47" t="s">
        <v>903</v>
      </c>
      <c r="C417" s="49" t="s">
        <v>963</v>
      </c>
      <c r="D417" s="30"/>
      <c r="E417" s="30"/>
      <c r="F417" s="30"/>
      <c r="G417" s="30"/>
      <c r="H417" s="30" t="s">
        <v>141</v>
      </c>
      <c r="I417" s="30" t="s">
        <v>30</v>
      </c>
      <c r="J417" s="30" t="s">
        <v>144</v>
      </c>
      <c r="K417" s="30" t="s">
        <v>117</v>
      </c>
      <c r="L417" s="30" t="s">
        <v>122</v>
      </c>
      <c r="M417" s="48"/>
      <c r="N417" s="30"/>
      <c r="O417" s="30"/>
      <c r="P417" s="30"/>
    </row>
    <row r="418" spans="1:16" ht="60" customHeight="1">
      <c r="A418" s="30" t="s">
        <v>964</v>
      </c>
      <c r="B418" s="47" t="s">
        <v>903</v>
      </c>
      <c r="C418" s="48" t="s">
        <v>965</v>
      </c>
      <c r="D418" s="30"/>
      <c r="E418" s="30"/>
      <c r="F418" s="30"/>
      <c r="G418" s="30" t="s">
        <v>4025</v>
      </c>
      <c r="H418" s="30" t="s">
        <v>141</v>
      </c>
      <c r="I418" s="30" t="s">
        <v>22</v>
      </c>
      <c r="J418" s="30" t="s">
        <v>142</v>
      </c>
      <c r="K418" s="30" t="s">
        <v>116</v>
      </c>
      <c r="L418" s="30" t="s">
        <v>143</v>
      </c>
      <c r="M418" s="48"/>
      <c r="N418" s="30"/>
      <c r="O418" s="30"/>
      <c r="P418" s="30"/>
    </row>
    <row r="419" spans="1:16" ht="45" customHeight="1">
      <c r="A419" s="30" t="s">
        <v>966</v>
      </c>
      <c r="B419" s="47" t="s">
        <v>903</v>
      </c>
      <c r="C419" s="48" t="s">
        <v>3698</v>
      </c>
      <c r="D419" s="30"/>
      <c r="E419" s="30"/>
      <c r="F419" s="30"/>
      <c r="G419" s="30"/>
      <c r="H419" s="30" t="s">
        <v>141</v>
      </c>
      <c r="I419" s="30" t="s">
        <v>30</v>
      </c>
      <c r="J419" s="30" t="s">
        <v>144</v>
      </c>
      <c r="K419" s="30" t="s">
        <v>117</v>
      </c>
      <c r="L419" s="30" t="s">
        <v>122</v>
      </c>
      <c r="M419" s="48"/>
      <c r="N419" s="30"/>
      <c r="O419" s="30"/>
      <c r="P419" s="30"/>
    </row>
    <row r="420" spans="1:16" ht="75" customHeight="1">
      <c r="A420" s="30" t="s">
        <v>967</v>
      </c>
      <c r="B420" s="47" t="s">
        <v>903</v>
      </c>
      <c r="C420" s="48" t="s">
        <v>968</v>
      </c>
      <c r="D420" s="30"/>
      <c r="E420" s="30"/>
      <c r="F420" s="30"/>
      <c r="G420" s="30"/>
      <c r="H420" s="30" t="s">
        <v>141</v>
      </c>
      <c r="I420" s="30" t="s">
        <v>31</v>
      </c>
      <c r="J420" s="30" t="s">
        <v>142</v>
      </c>
      <c r="K420" s="30" t="s">
        <v>116</v>
      </c>
      <c r="L420" s="30" t="s">
        <v>122</v>
      </c>
      <c r="M420" s="48" t="s">
        <v>184</v>
      </c>
      <c r="N420" s="30"/>
      <c r="O420" s="30"/>
      <c r="P420" s="30"/>
    </row>
    <row r="421" spans="1:16" ht="30" customHeight="1">
      <c r="A421" s="30" t="s">
        <v>969</v>
      </c>
      <c r="B421" s="47" t="s">
        <v>903</v>
      </c>
      <c r="C421" s="49" t="s">
        <v>970</v>
      </c>
      <c r="D421" s="30"/>
      <c r="E421" s="30"/>
      <c r="F421" s="30"/>
      <c r="G421" s="30"/>
      <c r="H421" s="30" t="s">
        <v>141</v>
      </c>
      <c r="I421" s="30" t="s">
        <v>30</v>
      </c>
      <c r="J421" s="30" t="s">
        <v>144</v>
      </c>
      <c r="K421" s="30" t="s">
        <v>117</v>
      </c>
      <c r="L421" s="30" t="s">
        <v>122</v>
      </c>
      <c r="M421" s="48"/>
      <c r="N421" s="30"/>
      <c r="O421" s="30"/>
      <c r="P421" s="30"/>
    </row>
    <row r="422" spans="1:16" ht="60" customHeight="1">
      <c r="A422" s="30" t="s">
        <v>971</v>
      </c>
      <c r="B422" s="47" t="s">
        <v>903</v>
      </c>
      <c r="C422" s="49" t="s">
        <v>972</v>
      </c>
      <c r="D422" s="30"/>
      <c r="E422" s="30"/>
      <c r="F422" s="30"/>
      <c r="G422" s="30"/>
      <c r="H422" s="30" t="s">
        <v>141</v>
      </c>
      <c r="I422" s="30" t="s">
        <v>30</v>
      </c>
      <c r="J422" s="30" t="s">
        <v>144</v>
      </c>
      <c r="K422" s="30" t="s">
        <v>117</v>
      </c>
      <c r="L422" s="30" t="s">
        <v>122</v>
      </c>
      <c r="M422" s="48"/>
      <c r="N422" s="30"/>
      <c r="O422" s="30"/>
      <c r="P422" s="30"/>
    </row>
    <row r="423" spans="1:16" ht="60" customHeight="1">
      <c r="A423" s="30" t="s">
        <v>973</v>
      </c>
      <c r="B423" s="47" t="s">
        <v>903</v>
      </c>
      <c r="C423" s="48" t="s">
        <v>974</v>
      </c>
      <c r="D423" s="30"/>
      <c r="E423" s="30"/>
      <c r="F423" s="30"/>
      <c r="G423" s="30" t="s">
        <v>4025</v>
      </c>
      <c r="H423" s="30" t="s">
        <v>141</v>
      </c>
      <c r="I423" s="30" t="s">
        <v>22</v>
      </c>
      <c r="J423" s="30" t="s">
        <v>142</v>
      </c>
      <c r="K423" s="30" t="s">
        <v>116</v>
      </c>
      <c r="L423" s="30" t="s">
        <v>143</v>
      </c>
      <c r="M423" s="48"/>
      <c r="N423" s="30"/>
      <c r="O423" s="30"/>
      <c r="P423" s="30"/>
    </row>
    <row r="424" spans="1:16" ht="45" customHeight="1">
      <c r="A424" s="30" t="s">
        <v>975</v>
      </c>
      <c r="B424" s="47" t="s">
        <v>903</v>
      </c>
      <c r="C424" s="48" t="s">
        <v>3703</v>
      </c>
      <c r="D424" s="30"/>
      <c r="E424" s="30"/>
      <c r="F424" s="30"/>
      <c r="G424" s="30"/>
      <c r="H424" s="30" t="s">
        <v>141</v>
      </c>
      <c r="I424" s="30" t="s">
        <v>31</v>
      </c>
      <c r="J424" s="30" t="s">
        <v>142</v>
      </c>
      <c r="K424" s="30" t="s">
        <v>116</v>
      </c>
      <c r="L424" s="30" t="s">
        <v>122</v>
      </c>
      <c r="M424" s="48" t="s">
        <v>184</v>
      </c>
      <c r="N424" s="30"/>
      <c r="O424" s="30"/>
      <c r="P424" s="30"/>
    </row>
    <row r="425" spans="1:16" ht="75" customHeight="1">
      <c r="A425" s="30" t="s">
        <v>976</v>
      </c>
      <c r="B425" s="47" t="s">
        <v>903</v>
      </c>
      <c r="C425" s="48" t="s">
        <v>977</v>
      </c>
      <c r="D425" s="30"/>
      <c r="E425" s="30"/>
      <c r="F425" s="30"/>
      <c r="G425" s="30"/>
      <c r="H425" s="30" t="s">
        <v>141</v>
      </c>
      <c r="I425" s="30" t="s">
        <v>31</v>
      </c>
      <c r="J425" s="30" t="s">
        <v>142</v>
      </c>
      <c r="K425" s="30" t="s">
        <v>116</v>
      </c>
      <c r="L425" s="30" t="s">
        <v>122</v>
      </c>
      <c r="M425" s="48" t="s">
        <v>184</v>
      </c>
      <c r="N425" s="30"/>
      <c r="O425" s="30"/>
      <c r="P425" s="30"/>
    </row>
    <row r="426" spans="1:16" ht="60" customHeight="1">
      <c r="A426" s="30" t="s">
        <v>978</v>
      </c>
      <c r="B426" s="47" t="s">
        <v>903</v>
      </c>
      <c r="C426" s="48" t="s">
        <v>3704</v>
      </c>
      <c r="D426" s="30"/>
      <c r="E426" s="30"/>
      <c r="F426" s="30"/>
      <c r="G426" s="30"/>
      <c r="H426" s="30" t="s">
        <v>141</v>
      </c>
      <c r="I426" s="30" t="s">
        <v>30</v>
      </c>
      <c r="J426" s="30" t="s">
        <v>144</v>
      </c>
      <c r="K426" s="30" t="s">
        <v>117</v>
      </c>
      <c r="L426" s="30" t="s">
        <v>122</v>
      </c>
      <c r="M426" s="48"/>
      <c r="N426" s="30"/>
      <c r="O426" s="30"/>
      <c r="P426" s="30"/>
    </row>
    <row r="427" spans="1:16" ht="30" customHeight="1">
      <c r="A427" s="30" t="s">
        <v>979</v>
      </c>
      <c r="B427" s="47" t="s">
        <v>903</v>
      </c>
      <c r="C427" s="48" t="s">
        <v>3705</v>
      </c>
      <c r="D427" s="30"/>
      <c r="E427" s="30"/>
      <c r="F427" s="30"/>
      <c r="G427" s="30"/>
      <c r="H427" s="30" t="s">
        <v>141</v>
      </c>
      <c r="I427" s="30" t="s">
        <v>30</v>
      </c>
      <c r="J427" s="30" t="s">
        <v>144</v>
      </c>
      <c r="K427" s="30" t="s">
        <v>117</v>
      </c>
      <c r="L427" s="30" t="s">
        <v>122</v>
      </c>
      <c r="M427" s="48"/>
      <c r="N427" s="30"/>
      <c r="O427" s="30"/>
      <c r="P427" s="30"/>
    </row>
    <row r="428" spans="1:16" ht="60" customHeight="1">
      <c r="A428" s="30" t="s">
        <v>980</v>
      </c>
      <c r="B428" s="47" t="s">
        <v>903</v>
      </c>
      <c r="C428" s="48" t="s">
        <v>3709</v>
      </c>
      <c r="D428" s="30"/>
      <c r="E428" s="30"/>
      <c r="F428" s="30"/>
      <c r="G428" s="30"/>
      <c r="H428" s="30" t="s">
        <v>141</v>
      </c>
      <c r="I428" s="30" t="s">
        <v>30</v>
      </c>
      <c r="J428" s="30" t="s">
        <v>144</v>
      </c>
      <c r="K428" s="30" t="s">
        <v>117</v>
      </c>
      <c r="L428" s="30" t="s">
        <v>122</v>
      </c>
      <c r="M428" s="48"/>
      <c r="N428" s="30"/>
      <c r="O428" s="30"/>
      <c r="P428" s="30"/>
    </row>
    <row r="429" spans="1:16" ht="45" customHeight="1">
      <c r="A429" s="30" t="s">
        <v>981</v>
      </c>
      <c r="B429" s="47" t="s">
        <v>903</v>
      </c>
      <c r="C429" s="48" t="s">
        <v>3710</v>
      </c>
      <c r="D429" s="30"/>
      <c r="E429" s="30"/>
      <c r="F429" s="30"/>
      <c r="G429" s="30"/>
      <c r="H429" s="30" t="s">
        <v>141</v>
      </c>
      <c r="I429" s="30" t="s">
        <v>30</v>
      </c>
      <c r="J429" s="30" t="s">
        <v>144</v>
      </c>
      <c r="K429" s="30" t="s">
        <v>117</v>
      </c>
      <c r="L429" s="30" t="s">
        <v>122</v>
      </c>
      <c r="M429" s="48"/>
      <c r="N429" s="30"/>
      <c r="O429" s="30"/>
      <c r="P429" s="30"/>
    </row>
    <row r="430" spans="1:16" ht="60" customHeight="1">
      <c r="A430" s="30" t="s">
        <v>982</v>
      </c>
      <c r="B430" s="47" t="s">
        <v>903</v>
      </c>
      <c r="C430" s="48" t="s">
        <v>3714</v>
      </c>
      <c r="D430" s="30"/>
      <c r="E430" s="30"/>
      <c r="F430" s="30"/>
      <c r="G430" s="30"/>
      <c r="H430" s="30" t="s">
        <v>141</v>
      </c>
      <c r="I430" s="30" t="s">
        <v>30</v>
      </c>
      <c r="J430" s="30" t="s">
        <v>144</v>
      </c>
      <c r="K430" s="30" t="s">
        <v>117</v>
      </c>
      <c r="L430" s="30" t="s">
        <v>122</v>
      </c>
      <c r="M430" s="48"/>
      <c r="N430" s="30"/>
      <c r="O430" s="30"/>
      <c r="P430" s="30"/>
    </row>
    <row r="431" spans="1:16" ht="45" customHeight="1">
      <c r="A431" s="30" t="s">
        <v>983</v>
      </c>
      <c r="B431" s="47" t="s">
        <v>903</v>
      </c>
      <c r="C431" s="48" t="s">
        <v>984</v>
      </c>
      <c r="D431" s="30"/>
      <c r="E431" s="30"/>
      <c r="F431" s="30"/>
      <c r="G431" s="30"/>
      <c r="H431" s="30" t="s">
        <v>141</v>
      </c>
      <c r="I431" s="30" t="s">
        <v>30</v>
      </c>
      <c r="J431" s="30" t="s">
        <v>144</v>
      </c>
      <c r="K431" s="30" t="s">
        <v>117</v>
      </c>
      <c r="L431" s="30" t="s">
        <v>122</v>
      </c>
      <c r="M431" s="48"/>
      <c r="N431" s="30"/>
      <c r="O431" s="30"/>
      <c r="P431" s="30"/>
    </row>
    <row r="432" spans="1:16" ht="60" customHeight="1">
      <c r="A432" s="30" t="s">
        <v>985</v>
      </c>
      <c r="B432" s="47" t="s">
        <v>903</v>
      </c>
      <c r="C432" s="48" t="s">
        <v>986</v>
      </c>
      <c r="D432" s="30"/>
      <c r="E432" s="30"/>
      <c r="F432" s="30"/>
      <c r="G432" s="30"/>
      <c r="H432" s="30" t="s">
        <v>141</v>
      </c>
      <c r="I432" s="30" t="s">
        <v>30</v>
      </c>
      <c r="J432" s="30" t="s">
        <v>144</v>
      </c>
      <c r="K432" s="30" t="s">
        <v>117</v>
      </c>
      <c r="L432" s="30" t="s">
        <v>122</v>
      </c>
      <c r="M432" s="48"/>
      <c r="N432" s="30"/>
      <c r="O432" s="30"/>
      <c r="P432" s="30"/>
    </row>
    <row r="433" spans="1:16" ht="45" customHeight="1">
      <c r="A433" s="30" t="s">
        <v>987</v>
      </c>
      <c r="B433" s="47" t="s">
        <v>903</v>
      </c>
      <c r="C433" s="48" t="s">
        <v>988</v>
      </c>
      <c r="D433" s="30"/>
      <c r="E433" s="30"/>
      <c r="F433" s="30"/>
      <c r="G433" s="30" t="s">
        <v>4025</v>
      </c>
      <c r="H433" s="30" t="s">
        <v>141</v>
      </c>
      <c r="I433" s="30" t="s">
        <v>30</v>
      </c>
      <c r="J433" s="30" t="s">
        <v>142</v>
      </c>
      <c r="K433" s="30" t="s">
        <v>116</v>
      </c>
      <c r="L433" s="30" t="s">
        <v>146</v>
      </c>
      <c r="M433" s="48"/>
      <c r="N433" s="30"/>
      <c r="O433" s="30"/>
      <c r="P433" s="30"/>
    </row>
    <row r="434" spans="1:16" ht="45" customHeight="1">
      <c r="A434" s="30" t="s">
        <v>989</v>
      </c>
      <c r="B434" s="47" t="s">
        <v>903</v>
      </c>
      <c r="C434" s="48" t="s">
        <v>990</v>
      </c>
      <c r="D434" s="30"/>
      <c r="E434" s="30"/>
      <c r="F434" s="30"/>
      <c r="G434" s="30"/>
      <c r="H434" s="30" t="s">
        <v>141</v>
      </c>
      <c r="I434" s="30" t="s">
        <v>31</v>
      </c>
      <c r="J434" s="30" t="s">
        <v>142</v>
      </c>
      <c r="K434" s="30" t="s">
        <v>116</v>
      </c>
      <c r="L434" s="30" t="s">
        <v>122</v>
      </c>
      <c r="M434" s="48" t="s">
        <v>184</v>
      </c>
      <c r="N434" s="30"/>
      <c r="O434" s="30"/>
      <c r="P434" s="30"/>
    </row>
    <row r="435" spans="1:16" s="31" customFormat="1" ht="45" customHeight="1">
      <c r="A435" s="30" t="s">
        <v>4184</v>
      </c>
      <c r="B435" s="47" t="s">
        <v>903</v>
      </c>
      <c r="C435" s="48" t="s">
        <v>4185</v>
      </c>
      <c r="D435" s="30"/>
      <c r="E435" s="30"/>
      <c r="F435" s="30"/>
      <c r="G435" s="30"/>
      <c r="H435" s="30" t="s">
        <v>141</v>
      </c>
      <c r="I435" s="30" t="s">
        <v>30</v>
      </c>
      <c r="J435" s="30" t="s">
        <v>144</v>
      </c>
      <c r="K435" s="30" t="s">
        <v>117</v>
      </c>
      <c r="L435" s="30" t="s">
        <v>122</v>
      </c>
      <c r="M435" s="48"/>
      <c r="N435" s="66"/>
      <c r="O435" s="30"/>
      <c r="P435" s="30"/>
    </row>
    <row r="436" spans="1:16" ht="30" customHeight="1">
      <c r="A436" s="30" t="s">
        <v>991</v>
      </c>
      <c r="B436" s="47" t="s">
        <v>903</v>
      </c>
      <c r="C436" s="48" t="s">
        <v>992</v>
      </c>
      <c r="D436" s="30"/>
      <c r="E436" s="30"/>
      <c r="F436" s="30"/>
      <c r="G436" s="30" t="s">
        <v>4025</v>
      </c>
      <c r="H436" s="30" t="s">
        <v>141</v>
      </c>
      <c r="I436" s="30" t="s">
        <v>30</v>
      </c>
      <c r="J436" s="30" t="s">
        <v>142</v>
      </c>
      <c r="K436" s="30" t="s">
        <v>116</v>
      </c>
      <c r="L436" s="30" t="s">
        <v>146</v>
      </c>
      <c r="M436" s="48"/>
      <c r="N436" s="30"/>
      <c r="O436" s="30"/>
      <c r="P436" s="30"/>
    </row>
    <row r="437" spans="1:16" ht="45" customHeight="1">
      <c r="A437" s="30" t="s">
        <v>993</v>
      </c>
      <c r="B437" s="47" t="s">
        <v>903</v>
      </c>
      <c r="C437" s="48" t="s">
        <v>994</v>
      </c>
      <c r="D437" s="30"/>
      <c r="E437" s="30"/>
      <c r="F437" s="30"/>
      <c r="G437" s="30" t="s">
        <v>4025</v>
      </c>
      <c r="H437" s="30" t="s">
        <v>141</v>
      </c>
      <c r="I437" s="30" t="s">
        <v>30</v>
      </c>
      <c r="J437" s="30" t="s">
        <v>142</v>
      </c>
      <c r="K437" s="30" t="s">
        <v>995</v>
      </c>
      <c r="L437" s="30" t="s">
        <v>146</v>
      </c>
      <c r="M437" s="48"/>
      <c r="N437" s="30"/>
      <c r="O437" s="30"/>
      <c r="P437" s="30"/>
    </row>
    <row r="438" spans="1:16" ht="45" customHeight="1">
      <c r="A438" s="30" t="s">
        <v>996</v>
      </c>
      <c r="B438" s="47" t="s">
        <v>997</v>
      </c>
      <c r="C438" s="48" t="s">
        <v>998</v>
      </c>
      <c r="D438" s="30"/>
      <c r="E438" s="30"/>
      <c r="F438" s="30"/>
      <c r="G438" s="30"/>
      <c r="H438" s="30" t="s">
        <v>141</v>
      </c>
      <c r="I438" s="30" t="s">
        <v>31</v>
      </c>
      <c r="J438" s="30" t="s">
        <v>145</v>
      </c>
      <c r="K438" s="30" t="s">
        <v>116</v>
      </c>
      <c r="L438" s="30" t="s">
        <v>122</v>
      </c>
      <c r="M438" s="48" t="s">
        <v>184</v>
      </c>
      <c r="N438" s="30"/>
      <c r="O438" s="30"/>
      <c r="P438" s="30"/>
    </row>
    <row r="439" spans="1:16" ht="60" customHeight="1">
      <c r="A439" s="30" t="s">
        <v>999</v>
      </c>
      <c r="B439" s="47" t="s">
        <v>903</v>
      </c>
      <c r="C439" s="48" t="s">
        <v>1000</v>
      </c>
      <c r="D439" s="30"/>
      <c r="E439" s="30"/>
      <c r="F439" s="30"/>
      <c r="G439" s="30"/>
      <c r="H439" s="30" t="s">
        <v>141</v>
      </c>
      <c r="I439" s="30" t="s">
        <v>31</v>
      </c>
      <c r="J439" s="30" t="s">
        <v>145</v>
      </c>
      <c r="K439" s="30" t="s">
        <v>116</v>
      </c>
      <c r="L439" s="30" t="s">
        <v>122</v>
      </c>
      <c r="M439" s="48" t="s">
        <v>184</v>
      </c>
      <c r="N439" s="30"/>
      <c r="O439" s="30"/>
      <c r="P439" s="30"/>
    </row>
    <row r="440" spans="1:16" ht="75" customHeight="1">
      <c r="A440" s="30" t="s">
        <v>1001</v>
      </c>
      <c r="B440" s="47" t="s">
        <v>903</v>
      </c>
      <c r="C440" s="48" t="s">
        <v>3715</v>
      </c>
      <c r="D440" s="30"/>
      <c r="E440" s="30"/>
      <c r="F440" s="30"/>
      <c r="G440" s="30"/>
      <c r="H440" s="30" t="s">
        <v>141</v>
      </c>
      <c r="I440" s="30" t="s">
        <v>31</v>
      </c>
      <c r="J440" s="30" t="s">
        <v>142</v>
      </c>
      <c r="K440" s="30" t="s">
        <v>116</v>
      </c>
      <c r="L440" s="30" t="s">
        <v>122</v>
      </c>
      <c r="M440" s="48" t="s">
        <v>184</v>
      </c>
      <c r="N440" s="30"/>
      <c r="O440" s="30"/>
      <c r="P440" s="30"/>
    </row>
    <row r="441" spans="1:16" ht="60" customHeight="1">
      <c r="A441" s="30" t="s">
        <v>1002</v>
      </c>
      <c r="B441" s="47" t="s">
        <v>903</v>
      </c>
      <c r="C441" s="48" t="s">
        <v>3716</v>
      </c>
      <c r="D441" s="30"/>
      <c r="E441" s="30"/>
      <c r="F441" s="30"/>
      <c r="G441" s="30" t="s">
        <v>4025</v>
      </c>
      <c r="H441" s="30" t="s">
        <v>141</v>
      </c>
      <c r="I441" s="30" t="s">
        <v>30</v>
      </c>
      <c r="J441" s="30" t="s">
        <v>145</v>
      </c>
      <c r="K441" s="30" t="s">
        <v>116</v>
      </c>
      <c r="L441" s="30" t="s">
        <v>146</v>
      </c>
      <c r="M441" s="48"/>
      <c r="N441" s="30"/>
      <c r="O441" s="30"/>
      <c r="P441" s="30"/>
    </row>
    <row r="442" spans="1:16" ht="75" customHeight="1">
      <c r="A442" s="30" t="s">
        <v>1003</v>
      </c>
      <c r="B442" s="47" t="s">
        <v>903</v>
      </c>
      <c r="C442" s="48" t="s">
        <v>3717</v>
      </c>
      <c r="D442" s="30"/>
      <c r="E442" s="30"/>
      <c r="F442" s="30" t="s">
        <v>1004</v>
      </c>
      <c r="G442" s="30" t="s">
        <v>4025</v>
      </c>
      <c r="H442" s="30" t="s">
        <v>149</v>
      </c>
      <c r="I442" s="30" t="s">
        <v>30</v>
      </c>
      <c r="J442" s="30" t="s">
        <v>145</v>
      </c>
      <c r="K442" s="30" t="s">
        <v>116</v>
      </c>
      <c r="L442" s="30" t="s">
        <v>1005</v>
      </c>
      <c r="M442" s="48"/>
      <c r="N442" s="30"/>
      <c r="O442" s="30"/>
      <c r="P442" s="30"/>
    </row>
    <row r="443" spans="1:16" ht="409.5" customHeight="1">
      <c r="A443" s="30" t="s">
        <v>1006</v>
      </c>
      <c r="B443" s="47" t="s">
        <v>1007</v>
      </c>
      <c r="C443" s="48" t="s">
        <v>1008</v>
      </c>
      <c r="D443" s="30"/>
      <c r="E443" s="30"/>
      <c r="F443" s="30"/>
      <c r="G443" s="30" t="s">
        <v>4025</v>
      </c>
      <c r="H443" s="30" t="s">
        <v>141</v>
      </c>
      <c r="I443" s="30" t="s">
        <v>30</v>
      </c>
      <c r="J443" s="30" t="s">
        <v>142</v>
      </c>
      <c r="K443" s="30" t="s">
        <v>116</v>
      </c>
      <c r="L443" s="30" t="s">
        <v>146</v>
      </c>
      <c r="M443" s="48"/>
      <c r="N443" s="30"/>
      <c r="O443" s="30"/>
      <c r="P443" s="30"/>
    </row>
    <row r="444" spans="1:16" ht="75" customHeight="1">
      <c r="A444" s="30" t="s">
        <v>1009</v>
      </c>
      <c r="B444" s="47" t="s">
        <v>1007</v>
      </c>
      <c r="C444" s="49" t="s">
        <v>1010</v>
      </c>
      <c r="D444" s="30"/>
      <c r="E444" s="30"/>
      <c r="F444" s="30"/>
      <c r="G444" s="30"/>
      <c r="H444" s="30" t="s">
        <v>141</v>
      </c>
      <c r="I444" s="30" t="s">
        <v>22</v>
      </c>
      <c r="J444" s="30" t="s">
        <v>144</v>
      </c>
      <c r="K444" s="30" t="s">
        <v>117</v>
      </c>
      <c r="L444" s="30" t="s">
        <v>122</v>
      </c>
      <c r="M444" s="48"/>
      <c r="N444" s="30"/>
      <c r="O444" s="30"/>
      <c r="P444" s="30"/>
    </row>
    <row r="445" spans="1:16" ht="75" customHeight="1">
      <c r="A445" s="30" t="s">
        <v>1011</v>
      </c>
      <c r="B445" s="47" t="s">
        <v>1007</v>
      </c>
      <c r="C445" s="49" t="s">
        <v>1012</v>
      </c>
      <c r="D445" s="30"/>
      <c r="E445" s="30"/>
      <c r="F445" s="30"/>
      <c r="G445" s="30"/>
      <c r="H445" s="30" t="s">
        <v>141</v>
      </c>
      <c r="I445" s="30" t="s">
        <v>22</v>
      </c>
      <c r="J445" s="30" t="s">
        <v>144</v>
      </c>
      <c r="K445" s="30" t="s">
        <v>117</v>
      </c>
      <c r="L445" s="30" t="s">
        <v>122</v>
      </c>
      <c r="M445" s="48"/>
      <c r="N445" s="30"/>
      <c r="O445" s="30"/>
      <c r="P445" s="30"/>
    </row>
    <row r="446" spans="1:16" ht="90" customHeight="1">
      <c r="A446" s="30" t="s">
        <v>1013</v>
      </c>
      <c r="B446" s="47" t="s">
        <v>1007</v>
      </c>
      <c r="C446" s="49" t="s">
        <v>1014</v>
      </c>
      <c r="D446" s="30"/>
      <c r="E446" s="30"/>
      <c r="F446" s="30"/>
      <c r="G446" s="30"/>
      <c r="H446" s="30" t="s">
        <v>141</v>
      </c>
      <c r="I446" s="30" t="s">
        <v>31</v>
      </c>
      <c r="J446" s="30" t="s">
        <v>142</v>
      </c>
      <c r="K446" s="30" t="s">
        <v>116</v>
      </c>
      <c r="L446" s="30" t="s">
        <v>122</v>
      </c>
      <c r="M446" s="48" t="s">
        <v>314</v>
      </c>
      <c r="N446" s="30"/>
      <c r="O446" s="30"/>
      <c r="P446" s="30"/>
    </row>
    <row r="447" spans="1:16" ht="45" customHeight="1">
      <c r="A447" s="30" t="s">
        <v>1015</v>
      </c>
      <c r="B447" s="47" t="s">
        <v>1007</v>
      </c>
      <c r="C447" s="49" t="s">
        <v>1016</v>
      </c>
      <c r="D447" s="30"/>
      <c r="E447" s="30"/>
      <c r="F447" s="30"/>
      <c r="G447" s="30"/>
      <c r="H447" s="30" t="s">
        <v>141</v>
      </c>
      <c r="I447" s="30" t="s">
        <v>30</v>
      </c>
      <c r="J447" s="30" t="s">
        <v>144</v>
      </c>
      <c r="K447" s="30" t="s">
        <v>117</v>
      </c>
      <c r="L447" s="30" t="s">
        <v>122</v>
      </c>
      <c r="M447" s="48"/>
      <c r="N447" s="30"/>
      <c r="O447" s="30"/>
      <c r="P447" s="30"/>
    </row>
    <row r="448" spans="1:16" ht="60" customHeight="1">
      <c r="A448" s="30" t="s">
        <v>1017</v>
      </c>
      <c r="B448" s="47" t="s">
        <v>1007</v>
      </c>
      <c r="C448" s="49" t="s">
        <v>1018</v>
      </c>
      <c r="D448" s="30"/>
      <c r="E448" s="30"/>
      <c r="F448" s="30"/>
      <c r="G448" s="30"/>
      <c r="H448" s="30" t="s">
        <v>141</v>
      </c>
      <c r="I448" s="30" t="s">
        <v>22</v>
      </c>
      <c r="J448" s="30" t="s">
        <v>144</v>
      </c>
      <c r="K448" s="30" t="s">
        <v>117</v>
      </c>
      <c r="L448" s="30" t="s">
        <v>122</v>
      </c>
      <c r="M448" s="48"/>
      <c r="N448" s="30"/>
      <c r="O448" s="30"/>
      <c r="P448" s="30"/>
    </row>
    <row r="449" spans="1:16" ht="60" customHeight="1">
      <c r="A449" s="30" t="s">
        <v>1019</v>
      </c>
      <c r="B449" s="47" t="s">
        <v>1007</v>
      </c>
      <c r="C449" s="48" t="s">
        <v>3720</v>
      </c>
      <c r="D449" s="30"/>
      <c r="E449" s="30"/>
      <c r="F449" s="30"/>
      <c r="G449" s="30"/>
      <c r="H449" s="30" t="s">
        <v>141</v>
      </c>
      <c r="I449" s="30" t="s">
        <v>22</v>
      </c>
      <c r="J449" s="30" t="s">
        <v>144</v>
      </c>
      <c r="K449" s="30" t="s">
        <v>117</v>
      </c>
      <c r="L449" s="30" t="s">
        <v>122</v>
      </c>
      <c r="M449" s="48"/>
      <c r="N449" s="30"/>
      <c r="O449" s="30"/>
      <c r="P449" s="30"/>
    </row>
    <row r="450" spans="1:16" ht="90" customHeight="1">
      <c r="A450" s="30" t="s">
        <v>1020</v>
      </c>
      <c r="B450" s="47" t="s">
        <v>1007</v>
      </c>
      <c r="C450" s="49" t="s">
        <v>1021</v>
      </c>
      <c r="D450" s="30"/>
      <c r="E450" s="30"/>
      <c r="F450" s="30"/>
      <c r="G450" s="30" t="s">
        <v>4025</v>
      </c>
      <c r="H450" s="30" t="s">
        <v>141</v>
      </c>
      <c r="I450" s="30" t="s">
        <v>22</v>
      </c>
      <c r="J450" s="30" t="s">
        <v>142</v>
      </c>
      <c r="K450" s="30" t="s">
        <v>116</v>
      </c>
      <c r="L450" s="30" t="s">
        <v>143</v>
      </c>
      <c r="M450" s="48"/>
      <c r="N450" s="54"/>
      <c r="O450" s="30"/>
      <c r="P450" s="30"/>
    </row>
    <row r="451" spans="1:16" ht="75" customHeight="1">
      <c r="A451" s="30" t="s">
        <v>1022</v>
      </c>
      <c r="B451" s="47" t="s">
        <v>1007</v>
      </c>
      <c r="C451" s="49" t="s">
        <v>1023</v>
      </c>
      <c r="D451" s="30"/>
      <c r="E451" s="30"/>
      <c r="F451" s="30"/>
      <c r="G451" s="30" t="s">
        <v>4025</v>
      </c>
      <c r="H451" s="30" t="s">
        <v>141</v>
      </c>
      <c r="I451" s="30" t="s">
        <v>22</v>
      </c>
      <c r="J451" s="30" t="s">
        <v>142</v>
      </c>
      <c r="K451" s="30" t="s">
        <v>116</v>
      </c>
      <c r="L451" s="30" t="s">
        <v>143</v>
      </c>
      <c r="M451" s="48" t="s">
        <v>4122</v>
      </c>
      <c r="N451" s="54"/>
      <c r="O451" s="30"/>
      <c r="P451" s="30"/>
    </row>
    <row r="452" spans="1:16" ht="30" customHeight="1">
      <c r="A452" s="30" t="s">
        <v>1024</v>
      </c>
      <c r="B452" s="47" t="s">
        <v>1007</v>
      </c>
      <c r="C452" s="49" t="s">
        <v>1025</v>
      </c>
      <c r="D452" s="30"/>
      <c r="E452" s="30"/>
      <c r="F452" s="30"/>
      <c r="G452" s="30"/>
      <c r="H452" s="30" t="s">
        <v>141</v>
      </c>
      <c r="I452" s="30" t="s">
        <v>30</v>
      </c>
      <c r="J452" s="30" t="s">
        <v>144</v>
      </c>
      <c r="K452" s="30" t="s">
        <v>117</v>
      </c>
      <c r="L452" s="30" t="s">
        <v>122</v>
      </c>
      <c r="M452" s="48"/>
      <c r="N452" s="30"/>
      <c r="O452" s="30"/>
      <c r="P452" s="30"/>
    </row>
    <row r="453" spans="1:16" ht="45" customHeight="1">
      <c r="A453" s="30" t="s">
        <v>1026</v>
      </c>
      <c r="B453" s="47" t="s">
        <v>1007</v>
      </c>
      <c r="C453" s="49" t="s">
        <v>1027</v>
      </c>
      <c r="D453" s="30"/>
      <c r="E453" s="30"/>
      <c r="F453" s="30"/>
      <c r="G453" s="30"/>
      <c r="H453" s="30" t="s">
        <v>141</v>
      </c>
      <c r="I453" s="30" t="s">
        <v>22</v>
      </c>
      <c r="J453" s="30" t="s">
        <v>144</v>
      </c>
      <c r="K453" s="30" t="s">
        <v>117</v>
      </c>
      <c r="L453" s="30" t="s">
        <v>122</v>
      </c>
      <c r="M453" s="48"/>
      <c r="N453" s="30"/>
      <c r="O453" s="30"/>
      <c r="P453" s="30"/>
    </row>
    <row r="454" spans="1:16" ht="30" customHeight="1">
      <c r="A454" s="30" t="s">
        <v>1028</v>
      </c>
      <c r="B454" s="47" t="s">
        <v>1007</v>
      </c>
      <c r="C454" s="49" t="s">
        <v>1029</v>
      </c>
      <c r="D454" s="30"/>
      <c r="E454" s="30"/>
      <c r="F454" s="30"/>
      <c r="G454" s="30"/>
      <c r="H454" s="30" t="s">
        <v>141</v>
      </c>
      <c r="I454" s="30" t="s">
        <v>22</v>
      </c>
      <c r="J454" s="30" t="s">
        <v>144</v>
      </c>
      <c r="K454" s="30" t="s">
        <v>117</v>
      </c>
      <c r="L454" s="30" t="s">
        <v>122</v>
      </c>
      <c r="M454" s="48"/>
      <c r="N454" s="30"/>
      <c r="O454" s="30"/>
      <c r="P454" s="30"/>
    </row>
    <row r="455" spans="1:16" ht="30" customHeight="1">
      <c r="A455" s="30" t="s">
        <v>1030</v>
      </c>
      <c r="B455" s="47" t="s">
        <v>1007</v>
      </c>
      <c r="C455" s="49" t="s">
        <v>1031</v>
      </c>
      <c r="D455" s="30"/>
      <c r="E455" s="30"/>
      <c r="F455" s="30"/>
      <c r="G455" s="30" t="s">
        <v>4025</v>
      </c>
      <c r="H455" s="30" t="s">
        <v>141</v>
      </c>
      <c r="I455" s="30" t="s">
        <v>30</v>
      </c>
      <c r="J455" s="30" t="s">
        <v>142</v>
      </c>
      <c r="K455" s="30" t="s">
        <v>116</v>
      </c>
      <c r="L455" s="30" t="s">
        <v>146</v>
      </c>
      <c r="M455" s="48"/>
      <c r="N455" s="30"/>
      <c r="O455" s="30"/>
      <c r="P455" s="30"/>
    </row>
    <row r="456" spans="1:16" ht="30" customHeight="1">
      <c r="A456" s="30" t="s">
        <v>1032</v>
      </c>
      <c r="B456" s="47" t="s">
        <v>1007</v>
      </c>
      <c r="C456" s="49" t="s">
        <v>1033</v>
      </c>
      <c r="D456" s="30"/>
      <c r="E456" s="30"/>
      <c r="F456" s="30"/>
      <c r="G456" s="30"/>
      <c r="H456" s="30" t="s">
        <v>141</v>
      </c>
      <c r="I456" s="30" t="s">
        <v>31</v>
      </c>
      <c r="J456" s="30" t="s">
        <v>142</v>
      </c>
      <c r="K456" s="30" t="s">
        <v>116</v>
      </c>
      <c r="L456" s="30" t="s">
        <v>122</v>
      </c>
      <c r="M456" s="48" t="s">
        <v>314</v>
      </c>
      <c r="N456" s="30"/>
      <c r="O456" s="30"/>
      <c r="P456" s="30"/>
    </row>
    <row r="457" spans="1:16" ht="135" customHeight="1">
      <c r="A457" s="30" t="s">
        <v>1034</v>
      </c>
      <c r="B457" s="47" t="s">
        <v>1007</v>
      </c>
      <c r="C457" s="49" t="s">
        <v>1035</v>
      </c>
      <c r="D457" s="30"/>
      <c r="E457" s="30"/>
      <c r="F457" s="30"/>
      <c r="G457" s="30"/>
      <c r="H457" s="30" t="s">
        <v>141</v>
      </c>
      <c r="I457" s="30" t="s">
        <v>22</v>
      </c>
      <c r="J457" s="30" t="s">
        <v>144</v>
      </c>
      <c r="K457" s="30" t="s">
        <v>117</v>
      </c>
      <c r="L457" s="30" t="s">
        <v>122</v>
      </c>
      <c r="M457" s="48"/>
      <c r="N457" s="30"/>
      <c r="O457" s="30"/>
      <c r="P457" s="30"/>
    </row>
    <row r="458" spans="1:16" ht="45" customHeight="1">
      <c r="A458" s="30" t="s">
        <v>1036</v>
      </c>
      <c r="B458" s="47" t="s">
        <v>1007</v>
      </c>
      <c r="C458" s="49" t="s">
        <v>1037</v>
      </c>
      <c r="D458" s="30"/>
      <c r="E458" s="30"/>
      <c r="F458" s="30"/>
      <c r="G458" s="30"/>
      <c r="H458" s="30" t="s">
        <v>141</v>
      </c>
      <c r="I458" s="30" t="s">
        <v>22</v>
      </c>
      <c r="J458" s="30" t="s">
        <v>145</v>
      </c>
      <c r="K458" s="30" t="s">
        <v>116</v>
      </c>
      <c r="L458" s="30" t="s">
        <v>121</v>
      </c>
      <c r="M458" s="48" t="s">
        <v>1038</v>
      </c>
      <c r="N458" s="30"/>
      <c r="O458" s="30"/>
      <c r="P458" s="30"/>
    </row>
    <row r="459" spans="1:16" ht="30" customHeight="1">
      <c r="A459" s="30" t="s">
        <v>1039</v>
      </c>
      <c r="B459" s="47" t="s">
        <v>1007</v>
      </c>
      <c r="C459" s="48" t="s">
        <v>1040</v>
      </c>
      <c r="D459" s="30"/>
      <c r="E459" s="30"/>
      <c r="F459" s="30" t="s">
        <v>1041</v>
      </c>
      <c r="G459" s="30" t="s">
        <v>4025</v>
      </c>
      <c r="H459" s="30" t="s">
        <v>141</v>
      </c>
      <c r="I459" s="30" t="s">
        <v>22</v>
      </c>
      <c r="J459" s="30" t="s">
        <v>145</v>
      </c>
      <c r="K459" s="30" t="s">
        <v>116</v>
      </c>
      <c r="L459" s="30" t="s">
        <v>146</v>
      </c>
      <c r="M459" s="48"/>
      <c r="N459" s="30"/>
      <c r="O459" s="30"/>
      <c r="P459" s="30"/>
    </row>
    <row r="460" spans="1:16" ht="45" customHeight="1">
      <c r="A460" s="30" t="s">
        <v>1042</v>
      </c>
      <c r="B460" s="47" t="s">
        <v>1007</v>
      </c>
      <c r="C460" s="48" t="s">
        <v>1043</v>
      </c>
      <c r="D460" s="30"/>
      <c r="E460" s="30"/>
      <c r="F460" s="30" t="s">
        <v>1044</v>
      </c>
      <c r="G460" s="30" t="s">
        <v>4025</v>
      </c>
      <c r="H460" s="30" t="s">
        <v>149</v>
      </c>
      <c r="I460" s="30" t="s">
        <v>22</v>
      </c>
      <c r="J460" s="30" t="s">
        <v>145</v>
      </c>
      <c r="K460" s="30" t="s">
        <v>116</v>
      </c>
      <c r="L460" s="30" t="s">
        <v>146</v>
      </c>
      <c r="M460" s="48"/>
      <c r="N460" s="30"/>
      <c r="O460" s="30"/>
      <c r="P460" s="30"/>
    </row>
    <row r="461" spans="1:16" ht="30" customHeight="1">
      <c r="A461" s="30" t="s">
        <v>1045</v>
      </c>
      <c r="B461" s="47" t="s">
        <v>1007</v>
      </c>
      <c r="C461" s="49" t="s">
        <v>1046</v>
      </c>
      <c r="D461" s="30"/>
      <c r="E461" s="30"/>
      <c r="F461" s="30"/>
      <c r="G461" s="30" t="s">
        <v>4025</v>
      </c>
      <c r="H461" s="30" t="s">
        <v>141</v>
      </c>
      <c r="I461" s="30" t="s">
        <v>30</v>
      </c>
      <c r="J461" s="30" t="s">
        <v>145</v>
      </c>
      <c r="K461" s="30" t="s">
        <v>116</v>
      </c>
      <c r="L461" s="30" t="s">
        <v>146</v>
      </c>
      <c r="M461" s="48"/>
      <c r="N461" s="30"/>
      <c r="O461" s="30"/>
      <c r="P461" s="30"/>
    </row>
    <row r="462" spans="1:16" ht="45" customHeight="1">
      <c r="A462" s="30" t="s">
        <v>1047</v>
      </c>
      <c r="B462" s="47" t="s">
        <v>1007</v>
      </c>
      <c r="C462" s="48" t="s">
        <v>1048</v>
      </c>
      <c r="D462" s="30"/>
      <c r="E462" s="30"/>
      <c r="F462" s="30" t="s">
        <v>1049</v>
      </c>
      <c r="G462" s="30" t="s">
        <v>4025</v>
      </c>
      <c r="H462" s="30" t="s">
        <v>149</v>
      </c>
      <c r="I462" s="30" t="s">
        <v>30</v>
      </c>
      <c r="J462" s="30" t="s">
        <v>145</v>
      </c>
      <c r="K462" s="30" t="s">
        <v>116</v>
      </c>
      <c r="L462" s="30" t="s">
        <v>146</v>
      </c>
      <c r="M462" s="48"/>
      <c r="N462" s="30"/>
      <c r="O462" s="30"/>
      <c r="P462" s="30"/>
    </row>
    <row r="463" spans="1:16" ht="30" customHeight="1">
      <c r="A463" s="30" t="s">
        <v>1050</v>
      </c>
      <c r="B463" s="47" t="s">
        <v>1007</v>
      </c>
      <c r="C463" s="48" t="s">
        <v>1051</v>
      </c>
      <c r="D463" s="30"/>
      <c r="E463" s="30"/>
      <c r="F463" s="30"/>
      <c r="G463" s="30"/>
      <c r="H463" s="30" t="s">
        <v>141</v>
      </c>
      <c r="I463" s="30" t="s">
        <v>31</v>
      </c>
      <c r="J463" s="30" t="s">
        <v>142</v>
      </c>
      <c r="K463" s="30" t="s">
        <v>116</v>
      </c>
      <c r="L463" s="30" t="s">
        <v>122</v>
      </c>
      <c r="M463" s="48" t="s">
        <v>314</v>
      </c>
      <c r="N463" s="30"/>
      <c r="O463" s="30"/>
      <c r="P463" s="30"/>
    </row>
    <row r="464" spans="1:16" ht="45" customHeight="1">
      <c r="A464" s="30" t="s">
        <v>1052</v>
      </c>
      <c r="B464" s="47" t="s">
        <v>1007</v>
      </c>
      <c r="C464" s="49" t="s">
        <v>1053</v>
      </c>
      <c r="D464" s="30"/>
      <c r="E464" s="30"/>
      <c r="F464" s="30"/>
      <c r="G464" s="30"/>
      <c r="H464" s="30" t="s">
        <v>141</v>
      </c>
      <c r="I464" s="30" t="s">
        <v>30</v>
      </c>
      <c r="J464" s="30" t="s">
        <v>144</v>
      </c>
      <c r="K464" s="30" t="s">
        <v>117</v>
      </c>
      <c r="L464" s="30" t="s">
        <v>122</v>
      </c>
      <c r="M464" s="48"/>
      <c r="N464" s="30"/>
      <c r="O464" s="30"/>
      <c r="P464" s="30"/>
    </row>
    <row r="465" spans="1:16" ht="60" customHeight="1">
      <c r="A465" s="30" t="s">
        <v>1054</v>
      </c>
      <c r="B465" s="47" t="s">
        <v>1007</v>
      </c>
      <c r="C465" s="49" t="s">
        <v>1055</v>
      </c>
      <c r="D465" s="30"/>
      <c r="E465" s="30"/>
      <c r="F465" s="30"/>
      <c r="G465" s="30" t="s">
        <v>4025</v>
      </c>
      <c r="H465" s="30" t="s">
        <v>141</v>
      </c>
      <c r="I465" s="30" t="s">
        <v>22</v>
      </c>
      <c r="J465" s="30" t="s">
        <v>142</v>
      </c>
      <c r="K465" s="30" t="s">
        <v>116</v>
      </c>
      <c r="L465" s="30" t="s">
        <v>146</v>
      </c>
      <c r="M465" s="48"/>
      <c r="N465" s="30"/>
      <c r="O465" s="30"/>
      <c r="P465" s="30"/>
    </row>
    <row r="466" spans="1:16" ht="45" customHeight="1">
      <c r="A466" s="30" t="s">
        <v>1056</v>
      </c>
      <c r="B466" s="47" t="s">
        <v>1007</v>
      </c>
      <c r="C466" s="49" t="s">
        <v>1057</v>
      </c>
      <c r="D466" s="30"/>
      <c r="E466" s="30"/>
      <c r="F466" s="30"/>
      <c r="G466" s="30"/>
      <c r="H466" s="30" t="s">
        <v>141</v>
      </c>
      <c r="I466" s="30" t="s">
        <v>30</v>
      </c>
      <c r="J466" s="30" t="s">
        <v>144</v>
      </c>
      <c r="K466" s="30" t="s">
        <v>117</v>
      </c>
      <c r="L466" s="30" t="s">
        <v>3664</v>
      </c>
      <c r="M466" s="51" t="s">
        <v>4202</v>
      </c>
      <c r="N466" s="30"/>
      <c r="O466" s="30"/>
      <c r="P466" s="30"/>
    </row>
    <row r="467" spans="1:16" ht="45" customHeight="1">
      <c r="A467" s="30" t="s">
        <v>1058</v>
      </c>
      <c r="B467" s="47" t="s">
        <v>1007</v>
      </c>
      <c r="C467" s="49" t="s">
        <v>1059</v>
      </c>
      <c r="D467" s="30"/>
      <c r="E467" s="30"/>
      <c r="F467" s="30"/>
      <c r="G467" s="30"/>
      <c r="H467" s="30" t="s">
        <v>141</v>
      </c>
      <c r="I467" s="30" t="s">
        <v>22</v>
      </c>
      <c r="J467" s="30" t="s">
        <v>144</v>
      </c>
      <c r="K467" s="30" t="s">
        <v>117</v>
      </c>
      <c r="L467" s="30" t="s">
        <v>122</v>
      </c>
      <c r="M467" s="48"/>
      <c r="N467" s="30"/>
      <c r="O467" s="30"/>
      <c r="P467" s="30"/>
    </row>
    <row r="468" spans="1:16" ht="30" customHeight="1">
      <c r="A468" s="30" t="s">
        <v>1060</v>
      </c>
      <c r="B468" s="47" t="s">
        <v>1007</v>
      </c>
      <c r="C468" s="49" t="s">
        <v>1061</v>
      </c>
      <c r="D468" s="30"/>
      <c r="E468" s="30"/>
      <c r="F468" s="30"/>
      <c r="G468" s="30" t="s">
        <v>4025</v>
      </c>
      <c r="H468" s="30" t="s">
        <v>141</v>
      </c>
      <c r="I468" s="30" t="s">
        <v>22</v>
      </c>
      <c r="J468" s="30" t="s">
        <v>142</v>
      </c>
      <c r="K468" s="30" t="s">
        <v>116</v>
      </c>
      <c r="L468" s="30" t="s">
        <v>146</v>
      </c>
      <c r="M468" s="48"/>
      <c r="N468" s="30"/>
      <c r="O468" s="30"/>
      <c r="P468" s="30"/>
    </row>
    <row r="469" spans="1:16" ht="45" customHeight="1">
      <c r="A469" s="30" t="s">
        <v>1062</v>
      </c>
      <c r="B469" s="47" t="s">
        <v>1007</v>
      </c>
      <c r="C469" s="49" t="s">
        <v>1063</v>
      </c>
      <c r="D469" s="30"/>
      <c r="E469" s="30"/>
      <c r="F469" s="30"/>
      <c r="G469" s="30" t="s">
        <v>4025</v>
      </c>
      <c r="H469" s="30" t="s">
        <v>141</v>
      </c>
      <c r="I469" s="30" t="s">
        <v>30</v>
      </c>
      <c r="J469" s="30" t="s">
        <v>142</v>
      </c>
      <c r="K469" s="30" t="s">
        <v>116</v>
      </c>
      <c r="L469" s="30" t="s">
        <v>146</v>
      </c>
      <c r="M469" s="48"/>
      <c r="N469" s="30"/>
      <c r="O469" s="30"/>
      <c r="P469" s="30"/>
    </row>
    <row r="470" spans="1:16" ht="45" customHeight="1">
      <c r="A470" s="30" t="s">
        <v>1064</v>
      </c>
      <c r="B470" s="47" t="s">
        <v>1007</v>
      </c>
      <c r="C470" s="49" t="s">
        <v>1065</v>
      </c>
      <c r="D470" s="30"/>
      <c r="E470" s="30"/>
      <c r="F470" s="30"/>
      <c r="G470" s="30" t="s">
        <v>4025</v>
      </c>
      <c r="H470" s="30" t="s">
        <v>141</v>
      </c>
      <c r="I470" s="30" t="s">
        <v>30</v>
      </c>
      <c r="J470" s="30" t="s">
        <v>142</v>
      </c>
      <c r="K470" s="30" t="s">
        <v>116</v>
      </c>
      <c r="L470" s="30" t="s">
        <v>146</v>
      </c>
      <c r="M470" s="48"/>
      <c r="N470" s="30"/>
      <c r="O470" s="30"/>
      <c r="P470" s="30"/>
    </row>
    <row r="471" spans="1:16" ht="30" customHeight="1">
      <c r="A471" s="30" t="s">
        <v>1066</v>
      </c>
      <c r="B471" s="47" t="s">
        <v>1007</v>
      </c>
      <c r="C471" s="48" t="s">
        <v>3723</v>
      </c>
      <c r="D471" s="30"/>
      <c r="E471" s="30"/>
      <c r="F471" s="30"/>
      <c r="G471" s="30" t="s">
        <v>4025</v>
      </c>
      <c r="H471" s="30" t="s">
        <v>141</v>
      </c>
      <c r="I471" s="30" t="s">
        <v>30</v>
      </c>
      <c r="J471" s="30" t="s">
        <v>142</v>
      </c>
      <c r="K471" s="30" t="s">
        <v>116</v>
      </c>
      <c r="L471" s="30" t="s">
        <v>146</v>
      </c>
      <c r="M471" s="48"/>
      <c r="N471" s="30"/>
      <c r="O471" s="30"/>
      <c r="P471" s="30"/>
    </row>
    <row r="472" spans="1:16" ht="45" customHeight="1">
      <c r="A472" s="30" t="s">
        <v>1067</v>
      </c>
      <c r="B472" s="47" t="s">
        <v>1068</v>
      </c>
      <c r="C472" s="48" t="s">
        <v>1069</v>
      </c>
      <c r="D472" s="30"/>
      <c r="E472" s="30"/>
      <c r="F472" s="30"/>
      <c r="G472" s="30"/>
      <c r="H472" s="30" t="s">
        <v>141</v>
      </c>
      <c r="I472" s="30" t="s">
        <v>30</v>
      </c>
      <c r="J472" s="30" t="s">
        <v>144</v>
      </c>
      <c r="K472" s="30" t="s">
        <v>117</v>
      </c>
      <c r="L472" s="30" t="s">
        <v>122</v>
      </c>
      <c r="M472" s="48"/>
      <c r="N472" s="30"/>
      <c r="O472" s="30"/>
      <c r="P472" s="30"/>
    </row>
    <row r="473" spans="1:16" ht="45" customHeight="1">
      <c r="A473" s="30" t="s">
        <v>1070</v>
      </c>
      <c r="B473" s="47" t="s">
        <v>1068</v>
      </c>
      <c r="C473" s="48" t="s">
        <v>1071</v>
      </c>
      <c r="D473" s="30"/>
      <c r="E473" s="30"/>
      <c r="F473" s="30"/>
      <c r="G473" s="30"/>
      <c r="H473" s="30" t="s">
        <v>141</v>
      </c>
      <c r="I473" s="30" t="s">
        <v>30</v>
      </c>
      <c r="J473" s="30" t="s">
        <v>144</v>
      </c>
      <c r="K473" s="30" t="s">
        <v>117</v>
      </c>
      <c r="L473" s="30" t="s">
        <v>122</v>
      </c>
      <c r="M473" s="48"/>
      <c r="N473" s="30"/>
      <c r="O473" s="30"/>
      <c r="P473" s="30"/>
    </row>
    <row r="474" spans="1:16" ht="60" customHeight="1">
      <c r="A474" s="30" t="s">
        <v>1072</v>
      </c>
      <c r="B474" s="47" t="s">
        <v>1073</v>
      </c>
      <c r="C474" s="48" t="s">
        <v>1074</v>
      </c>
      <c r="D474" s="30"/>
      <c r="E474" s="30"/>
      <c r="F474" s="30"/>
      <c r="G474" s="30"/>
      <c r="H474" s="30" t="s">
        <v>141</v>
      </c>
      <c r="I474" s="30" t="s">
        <v>31</v>
      </c>
      <c r="J474" s="30" t="s">
        <v>142</v>
      </c>
      <c r="K474" s="30" t="s">
        <v>116</v>
      </c>
      <c r="L474" s="30" t="s">
        <v>122</v>
      </c>
      <c r="M474" s="48" t="s">
        <v>184</v>
      </c>
      <c r="N474" s="30"/>
      <c r="O474" s="30"/>
      <c r="P474" s="30"/>
    </row>
    <row r="475" spans="1:16" ht="45" customHeight="1">
      <c r="A475" s="30" t="s">
        <v>1075</v>
      </c>
      <c r="B475" s="47" t="s">
        <v>1073</v>
      </c>
      <c r="C475" s="48" t="s">
        <v>1076</v>
      </c>
      <c r="D475" s="30"/>
      <c r="E475" s="30"/>
      <c r="F475" s="30"/>
      <c r="G475" s="30"/>
      <c r="H475" s="30" t="s">
        <v>141</v>
      </c>
      <c r="I475" s="30" t="s">
        <v>31</v>
      </c>
      <c r="J475" s="30" t="s">
        <v>142</v>
      </c>
      <c r="K475" s="30" t="s">
        <v>116</v>
      </c>
      <c r="L475" s="30" t="s">
        <v>122</v>
      </c>
      <c r="M475" s="48" t="s">
        <v>184</v>
      </c>
      <c r="N475" s="30"/>
      <c r="O475" s="30"/>
      <c r="P475" s="30"/>
    </row>
    <row r="476" spans="1:16" ht="75" customHeight="1">
      <c r="A476" s="30" t="s">
        <v>1077</v>
      </c>
      <c r="B476" s="47" t="s">
        <v>1073</v>
      </c>
      <c r="C476" s="48" t="s">
        <v>1078</v>
      </c>
      <c r="D476" s="30"/>
      <c r="E476" s="30"/>
      <c r="F476" s="30"/>
      <c r="G476" s="30"/>
      <c r="H476" s="30" t="s">
        <v>141</v>
      </c>
      <c r="I476" s="30" t="s">
        <v>31</v>
      </c>
      <c r="J476" s="30" t="s">
        <v>142</v>
      </c>
      <c r="K476" s="30" t="s">
        <v>116</v>
      </c>
      <c r="L476" s="30" t="s">
        <v>122</v>
      </c>
      <c r="M476" s="48" t="s">
        <v>184</v>
      </c>
      <c r="N476" s="30"/>
      <c r="O476" s="30"/>
      <c r="P476" s="30"/>
    </row>
    <row r="477" spans="1:16" ht="30" customHeight="1">
      <c r="A477" s="30" t="s">
        <v>1079</v>
      </c>
      <c r="B477" s="47" t="s">
        <v>1073</v>
      </c>
      <c r="C477" s="48" t="s">
        <v>1080</v>
      </c>
      <c r="D477" s="30"/>
      <c r="E477" s="30"/>
      <c r="F477" s="30"/>
      <c r="G477" s="30"/>
      <c r="H477" s="30" t="s">
        <v>141</v>
      </c>
      <c r="I477" s="30" t="s">
        <v>31</v>
      </c>
      <c r="J477" s="30" t="s">
        <v>142</v>
      </c>
      <c r="K477" s="30" t="s">
        <v>116</v>
      </c>
      <c r="L477" s="30" t="s">
        <v>122</v>
      </c>
      <c r="M477" s="48" t="s">
        <v>184</v>
      </c>
      <c r="N477" s="30"/>
      <c r="O477" s="30"/>
      <c r="P477" s="30"/>
    </row>
    <row r="478" spans="1:16" ht="60" customHeight="1">
      <c r="A478" s="30" t="s">
        <v>1081</v>
      </c>
      <c r="B478" s="47" t="s">
        <v>1073</v>
      </c>
      <c r="C478" s="48" t="s">
        <v>1082</v>
      </c>
      <c r="D478" s="30"/>
      <c r="E478" s="30"/>
      <c r="F478" s="30"/>
      <c r="G478" s="30"/>
      <c r="H478" s="30" t="s">
        <v>141</v>
      </c>
      <c r="I478" s="30" t="s">
        <v>31</v>
      </c>
      <c r="J478" s="30" t="s">
        <v>142</v>
      </c>
      <c r="K478" s="30" t="s">
        <v>116</v>
      </c>
      <c r="L478" s="30" t="s">
        <v>122</v>
      </c>
      <c r="M478" s="48" t="s">
        <v>184</v>
      </c>
      <c r="N478" s="30"/>
      <c r="O478" s="30"/>
      <c r="P478" s="30"/>
    </row>
    <row r="479" spans="1:16" ht="30" customHeight="1">
      <c r="A479" s="30" t="s">
        <v>1083</v>
      </c>
      <c r="B479" s="47" t="s">
        <v>1073</v>
      </c>
      <c r="C479" s="48" t="s">
        <v>1084</v>
      </c>
      <c r="D479" s="30"/>
      <c r="E479" s="30"/>
      <c r="F479" s="30"/>
      <c r="G479" s="30"/>
      <c r="H479" s="30" t="s">
        <v>141</v>
      </c>
      <c r="I479" s="30" t="s">
        <v>31</v>
      </c>
      <c r="J479" s="30" t="s">
        <v>144</v>
      </c>
      <c r="K479" s="30" t="s">
        <v>117</v>
      </c>
      <c r="L479" s="30" t="s">
        <v>122</v>
      </c>
      <c r="M479" s="48"/>
      <c r="N479" s="30"/>
      <c r="O479" s="30"/>
      <c r="P479" s="30"/>
    </row>
    <row r="480" spans="1:16" ht="75" customHeight="1">
      <c r="A480" s="30" t="s">
        <v>1085</v>
      </c>
      <c r="B480" s="47" t="s">
        <v>1073</v>
      </c>
      <c r="C480" s="48" t="s">
        <v>3726</v>
      </c>
      <c r="D480" s="30"/>
      <c r="E480" s="30"/>
      <c r="F480" s="30"/>
      <c r="G480" s="30"/>
      <c r="H480" s="30" t="s">
        <v>141</v>
      </c>
      <c r="I480" s="30" t="s">
        <v>31</v>
      </c>
      <c r="J480" s="30" t="s">
        <v>142</v>
      </c>
      <c r="K480" s="30" t="s">
        <v>116</v>
      </c>
      <c r="L480" s="30" t="s">
        <v>122</v>
      </c>
      <c r="M480" s="48" t="s">
        <v>184</v>
      </c>
      <c r="N480" s="30"/>
      <c r="O480" s="30"/>
      <c r="P480" s="30"/>
    </row>
    <row r="481" spans="1:16" ht="45" customHeight="1">
      <c r="A481" s="30" t="s">
        <v>1086</v>
      </c>
      <c r="B481" s="47" t="s">
        <v>1073</v>
      </c>
      <c r="C481" s="48" t="s">
        <v>3727</v>
      </c>
      <c r="D481" s="30"/>
      <c r="E481" s="30"/>
      <c r="F481" s="30"/>
      <c r="G481" s="30"/>
      <c r="H481" s="30" t="s">
        <v>141</v>
      </c>
      <c r="I481" s="30" t="s">
        <v>30</v>
      </c>
      <c r="J481" s="30" t="s">
        <v>142</v>
      </c>
      <c r="K481" s="30" t="s">
        <v>116</v>
      </c>
      <c r="L481" s="30" t="s">
        <v>121</v>
      </c>
      <c r="M481" s="48" t="s">
        <v>1087</v>
      </c>
      <c r="N481" s="30"/>
      <c r="O481" s="30"/>
      <c r="P481" s="30"/>
    </row>
    <row r="482" spans="1:16" ht="60" customHeight="1">
      <c r="A482" s="30" t="s">
        <v>1088</v>
      </c>
      <c r="B482" s="47" t="s">
        <v>1089</v>
      </c>
      <c r="C482" s="48" t="s">
        <v>1090</v>
      </c>
      <c r="D482" s="30"/>
      <c r="E482" s="30"/>
      <c r="F482" s="30"/>
      <c r="G482" s="30"/>
      <c r="H482" s="30" t="s">
        <v>141</v>
      </c>
      <c r="I482" s="30" t="s">
        <v>31</v>
      </c>
      <c r="J482" s="30" t="s">
        <v>142</v>
      </c>
      <c r="K482" s="30" t="s">
        <v>116</v>
      </c>
      <c r="L482" s="30" t="s">
        <v>122</v>
      </c>
      <c r="M482" s="48" t="s">
        <v>184</v>
      </c>
      <c r="N482" s="30"/>
      <c r="O482" s="30"/>
      <c r="P482" s="30"/>
    </row>
    <row r="483" spans="1:16" ht="45" customHeight="1">
      <c r="A483" s="30" t="s">
        <v>1091</v>
      </c>
      <c r="B483" s="47" t="s">
        <v>1089</v>
      </c>
      <c r="C483" s="48" t="s">
        <v>1092</v>
      </c>
      <c r="D483" s="30"/>
      <c r="E483" s="30"/>
      <c r="F483" s="30"/>
      <c r="G483" s="30"/>
      <c r="H483" s="30" t="s">
        <v>141</v>
      </c>
      <c r="I483" s="30" t="s">
        <v>31</v>
      </c>
      <c r="J483" s="30" t="s">
        <v>142</v>
      </c>
      <c r="K483" s="30" t="s">
        <v>116</v>
      </c>
      <c r="L483" s="30" t="s">
        <v>122</v>
      </c>
      <c r="M483" s="48" t="s">
        <v>184</v>
      </c>
      <c r="N483" s="30"/>
      <c r="O483" s="30"/>
      <c r="P483" s="30"/>
    </row>
    <row r="484" spans="1:16" ht="45" customHeight="1">
      <c r="A484" s="30" t="s">
        <v>1093</v>
      </c>
      <c r="B484" s="47" t="s">
        <v>1073</v>
      </c>
      <c r="C484" s="48" t="s">
        <v>1094</v>
      </c>
      <c r="D484" s="30"/>
      <c r="E484" s="30"/>
      <c r="F484" s="30"/>
      <c r="G484" s="30"/>
      <c r="H484" s="30" t="s">
        <v>141</v>
      </c>
      <c r="I484" s="30" t="s">
        <v>31</v>
      </c>
      <c r="J484" s="30" t="s">
        <v>142</v>
      </c>
      <c r="K484" s="30" t="s">
        <v>116</v>
      </c>
      <c r="L484" s="30" t="s">
        <v>122</v>
      </c>
      <c r="M484" s="48" t="s">
        <v>184</v>
      </c>
      <c r="N484" s="30"/>
      <c r="O484" s="30"/>
      <c r="P484" s="30"/>
    </row>
    <row r="485" spans="1:16" ht="45" customHeight="1">
      <c r="A485" s="30" t="s">
        <v>1095</v>
      </c>
      <c r="B485" s="47" t="s">
        <v>1073</v>
      </c>
      <c r="C485" s="48" t="s">
        <v>1096</v>
      </c>
      <c r="D485" s="30"/>
      <c r="E485" s="30"/>
      <c r="F485" s="30"/>
      <c r="G485" s="30"/>
      <c r="H485" s="30" t="s">
        <v>141</v>
      </c>
      <c r="I485" s="30" t="s">
        <v>31</v>
      </c>
      <c r="J485" s="30" t="s">
        <v>144</v>
      </c>
      <c r="K485" s="30" t="s">
        <v>117</v>
      </c>
      <c r="L485" s="30" t="s">
        <v>122</v>
      </c>
      <c r="M485" s="48"/>
      <c r="N485" s="30"/>
      <c r="O485" s="30"/>
      <c r="P485" s="30"/>
    </row>
    <row r="486" spans="1:16" ht="60" customHeight="1">
      <c r="A486" s="30" t="s">
        <v>1097</v>
      </c>
      <c r="B486" s="47" t="s">
        <v>1073</v>
      </c>
      <c r="C486" s="48" t="s">
        <v>1098</v>
      </c>
      <c r="D486" s="30"/>
      <c r="E486" s="30"/>
      <c r="F486" s="30"/>
      <c r="G486" s="30"/>
      <c r="H486" s="30" t="s">
        <v>141</v>
      </c>
      <c r="I486" s="30" t="s">
        <v>31</v>
      </c>
      <c r="J486" s="30" t="s">
        <v>142</v>
      </c>
      <c r="K486" s="30" t="s">
        <v>116</v>
      </c>
      <c r="L486" s="30" t="s">
        <v>122</v>
      </c>
      <c r="M486" s="48" t="s">
        <v>184</v>
      </c>
      <c r="N486" s="30"/>
      <c r="O486" s="30"/>
      <c r="P486" s="30"/>
    </row>
    <row r="487" spans="1:16" ht="60" customHeight="1">
      <c r="A487" s="30" t="s">
        <v>1099</v>
      </c>
      <c r="B487" s="47" t="s">
        <v>1073</v>
      </c>
      <c r="C487" s="48" t="s">
        <v>1100</v>
      </c>
      <c r="D487" s="30"/>
      <c r="E487" s="30"/>
      <c r="F487" s="30"/>
      <c r="G487" s="30"/>
      <c r="H487" s="30" t="s">
        <v>141</v>
      </c>
      <c r="I487" s="30" t="s">
        <v>31</v>
      </c>
      <c r="J487" s="30" t="s">
        <v>142</v>
      </c>
      <c r="K487" s="30" t="s">
        <v>116</v>
      </c>
      <c r="L487" s="30" t="s">
        <v>122</v>
      </c>
      <c r="M487" s="48" t="s">
        <v>184</v>
      </c>
      <c r="N487" s="30"/>
      <c r="O487" s="30"/>
      <c r="P487" s="30"/>
    </row>
    <row r="488" spans="1:16" ht="60" customHeight="1">
      <c r="A488" s="30" t="s">
        <v>1101</v>
      </c>
      <c r="B488" s="47" t="s">
        <v>1073</v>
      </c>
      <c r="C488" s="48" t="s">
        <v>3732</v>
      </c>
      <c r="D488" s="30"/>
      <c r="E488" s="30"/>
      <c r="F488" s="30"/>
      <c r="G488" s="30"/>
      <c r="H488" s="30" t="s">
        <v>141</v>
      </c>
      <c r="I488" s="30" t="s">
        <v>31</v>
      </c>
      <c r="J488" s="30" t="s">
        <v>142</v>
      </c>
      <c r="K488" s="30" t="s">
        <v>116</v>
      </c>
      <c r="L488" s="30" t="s">
        <v>122</v>
      </c>
      <c r="M488" s="48" t="s">
        <v>184</v>
      </c>
      <c r="N488" s="30"/>
      <c r="O488" s="30"/>
      <c r="P488" s="30"/>
    </row>
    <row r="489" spans="1:16" ht="45" customHeight="1">
      <c r="A489" s="30" t="s">
        <v>1102</v>
      </c>
      <c r="B489" s="47" t="s">
        <v>1073</v>
      </c>
      <c r="C489" s="48" t="s">
        <v>1103</v>
      </c>
      <c r="D489" s="30"/>
      <c r="E489" s="30"/>
      <c r="F489" s="30"/>
      <c r="G489" s="30"/>
      <c r="H489" s="30" t="s">
        <v>141</v>
      </c>
      <c r="I489" s="30" t="s">
        <v>31</v>
      </c>
      <c r="J489" s="30" t="s">
        <v>144</v>
      </c>
      <c r="K489" s="30" t="s">
        <v>117</v>
      </c>
      <c r="L489" s="30" t="s">
        <v>122</v>
      </c>
      <c r="M489" s="48"/>
      <c r="N489" s="30"/>
      <c r="O489" s="30"/>
      <c r="P489" s="30"/>
    </row>
    <row r="490" spans="1:16" ht="60" customHeight="1">
      <c r="A490" s="30" t="s">
        <v>1104</v>
      </c>
      <c r="B490" s="47" t="s">
        <v>1073</v>
      </c>
      <c r="C490" s="48" t="s">
        <v>1105</v>
      </c>
      <c r="D490" s="30"/>
      <c r="E490" s="30"/>
      <c r="F490" s="30"/>
      <c r="G490" s="30"/>
      <c r="H490" s="30" t="s">
        <v>141</v>
      </c>
      <c r="I490" s="30" t="s">
        <v>31</v>
      </c>
      <c r="J490" s="30" t="s">
        <v>142</v>
      </c>
      <c r="K490" s="30" t="s">
        <v>116</v>
      </c>
      <c r="L490" s="30" t="s">
        <v>122</v>
      </c>
      <c r="M490" s="48" t="s">
        <v>184</v>
      </c>
      <c r="N490" s="30"/>
      <c r="O490" s="30"/>
      <c r="P490" s="30"/>
    </row>
    <row r="491" spans="1:16" ht="60" customHeight="1">
      <c r="A491" s="30" t="s">
        <v>1106</v>
      </c>
      <c r="B491" s="47" t="s">
        <v>1073</v>
      </c>
      <c r="C491" s="48" t="s">
        <v>1107</v>
      </c>
      <c r="D491" s="30"/>
      <c r="E491" s="30"/>
      <c r="F491" s="30"/>
      <c r="G491" s="30"/>
      <c r="H491" s="30" t="s">
        <v>141</v>
      </c>
      <c r="I491" s="30" t="s">
        <v>31</v>
      </c>
      <c r="J491" s="30" t="s">
        <v>142</v>
      </c>
      <c r="K491" s="30" t="s">
        <v>116</v>
      </c>
      <c r="L491" s="30" t="s">
        <v>122</v>
      </c>
      <c r="M491" s="48" t="s">
        <v>184</v>
      </c>
      <c r="N491" s="30"/>
      <c r="O491" s="30"/>
      <c r="P491" s="30"/>
    </row>
    <row r="492" spans="1:16" ht="60" customHeight="1">
      <c r="A492" s="30" t="s">
        <v>1108</v>
      </c>
      <c r="B492" s="47" t="s">
        <v>1073</v>
      </c>
      <c r="C492" s="48" t="s">
        <v>3733</v>
      </c>
      <c r="D492" s="30"/>
      <c r="E492" s="30"/>
      <c r="F492" s="30"/>
      <c r="G492" s="30"/>
      <c r="H492" s="30" t="s">
        <v>141</v>
      </c>
      <c r="I492" s="30" t="s">
        <v>31</v>
      </c>
      <c r="J492" s="30" t="s">
        <v>142</v>
      </c>
      <c r="K492" s="30" t="s">
        <v>116</v>
      </c>
      <c r="L492" s="30" t="s">
        <v>122</v>
      </c>
      <c r="M492" s="48" t="s">
        <v>184</v>
      </c>
      <c r="N492" s="30"/>
      <c r="O492" s="30"/>
      <c r="P492" s="30"/>
    </row>
    <row r="493" spans="1:16" ht="390" customHeight="1">
      <c r="A493" s="30" t="s">
        <v>1109</v>
      </c>
      <c r="B493" s="47" t="s">
        <v>1110</v>
      </c>
      <c r="C493" s="48" t="s">
        <v>1111</v>
      </c>
      <c r="D493" s="30"/>
      <c r="E493" s="30"/>
      <c r="F493" s="30"/>
      <c r="G493" s="30" t="s">
        <v>4025</v>
      </c>
      <c r="H493" s="30" t="s">
        <v>141</v>
      </c>
      <c r="I493" s="30" t="s">
        <v>30</v>
      </c>
      <c r="J493" s="30" t="s">
        <v>142</v>
      </c>
      <c r="K493" s="30" t="s">
        <v>116</v>
      </c>
      <c r="L493" s="30" t="s">
        <v>146</v>
      </c>
      <c r="M493" s="48"/>
      <c r="N493" s="30"/>
      <c r="O493" s="30"/>
      <c r="P493" s="30"/>
    </row>
    <row r="494" spans="1:16" ht="75" customHeight="1">
      <c r="A494" s="30" t="s">
        <v>1112</v>
      </c>
      <c r="B494" s="47" t="s">
        <v>1110</v>
      </c>
      <c r="C494" s="48" t="s">
        <v>1113</v>
      </c>
      <c r="D494" s="30"/>
      <c r="E494" s="30"/>
      <c r="F494" s="30"/>
      <c r="G494" s="30"/>
      <c r="H494" s="30" t="s">
        <v>141</v>
      </c>
      <c r="I494" s="30" t="s">
        <v>30</v>
      </c>
      <c r="J494" s="30" t="s">
        <v>144</v>
      </c>
      <c r="K494" s="30" t="s">
        <v>117</v>
      </c>
      <c r="L494" s="30" t="s">
        <v>122</v>
      </c>
      <c r="M494" s="48"/>
      <c r="N494" s="30"/>
      <c r="O494" s="30"/>
      <c r="P494" s="30"/>
    </row>
    <row r="495" spans="1:16" ht="30" customHeight="1">
      <c r="A495" s="30" t="s">
        <v>1114</v>
      </c>
      <c r="B495" s="47" t="s">
        <v>1110</v>
      </c>
      <c r="C495" s="48" t="s">
        <v>1115</v>
      </c>
      <c r="D495" s="30"/>
      <c r="E495" s="30"/>
      <c r="F495" s="30"/>
      <c r="G495" s="30" t="s">
        <v>4025</v>
      </c>
      <c r="H495" s="30" t="s">
        <v>141</v>
      </c>
      <c r="I495" s="30" t="s">
        <v>30</v>
      </c>
      <c r="J495" s="30" t="s">
        <v>142</v>
      </c>
      <c r="K495" s="30" t="s">
        <v>116</v>
      </c>
      <c r="L495" s="30" t="s">
        <v>146</v>
      </c>
      <c r="M495" s="48"/>
      <c r="N495" s="30"/>
      <c r="O495" s="30"/>
      <c r="P495" s="30"/>
    </row>
    <row r="496" spans="1:16" ht="30" customHeight="1">
      <c r="A496" s="30" t="s">
        <v>1116</v>
      </c>
      <c r="B496" s="47" t="s">
        <v>1110</v>
      </c>
      <c r="C496" s="48" t="s">
        <v>1117</v>
      </c>
      <c r="D496" s="30"/>
      <c r="E496" s="30"/>
      <c r="F496" s="30"/>
      <c r="G496" s="30"/>
      <c r="H496" s="30" t="s">
        <v>141</v>
      </c>
      <c r="I496" s="30" t="s">
        <v>30</v>
      </c>
      <c r="J496" s="30" t="s">
        <v>144</v>
      </c>
      <c r="K496" s="30" t="s">
        <v>117</v>
      </c>
      <c r="L496" s="30" t="s">
        <v>122</v>
      </c>
      <c r="M496" s="48"/>
      <c r="N496" s="30"/>
      <c r="O496" s="30"/>
      <c r="P496" s="30"/>
    </row>
    <row r="497" spans="1:16" ht="45" customHeight="1">
      <c r="A497" s="30" t="s">
        <v>1118</v>
      </c>
      <c r="B497" s="47" t="s">
        <v>1110</v>
      </c>
      <c r="C497" s="48" t="s">
        <v>1119</v>
      </c>
      <c r="D497" s="30"/>
      <c r="E497" s="30"/>
      <c r="F497" s="30"/>
      <c r="G497" s="30" t="s">
        <v>4025</v>
      </c>
      <c r="H497" s="30" t="s">
        <v>141</v>
      </c>
      <c r="I497" s="30" t="s">
        <v>30</v>
      </c>
      <c r="J497" s="30" t="s">
        <v>142</v>
      </c>
      <c r="K497" s="30" t="s">
        <v>116</v>
      </c>
      <c r="L497" s="30" t="s">
        <v>143</v>
      </c>
      <c r="M497" s="48"/>
      <c r="N497" s="30"/>
      <c r="O497" s="30"/>
      <c r="P497" s="30"/>
    </row>
    <row r="498" spans="1:16" ht="60" customHeight="1">
      <c r="A498" s="30" t="s">
        <v>1120</v>
      </c>
      <c r="B498" s="47" t="s">
        <v>1110</v>
      </c>
      <c r="C498" s="48" t="s">
        <v>1121</v>
      </c>
      <c r="D498" s="30"/>
      <c r="E498" s="30"/>
      <c r="F498" s="30"/>
      <c r="G498" s="30"/>
      <c r="H498" s="30" t="s">
        <v>141</v>
      </c>
      <c r="I498" s="30" t="s">
        <v>30</v>
      </c>
      <c r="J498" s="30" t="s">
        <v>144</v>
      </c>
      <c r="K498" s="30" t="s">
        <v>117</v>
      </c>
      <c r="L498" s="30" t="s">
        <v>4105</v>
      </c>
      <c r="M498" s="48"/>
      <c r="N498" s="30"/>
      <c r="O498" s="30"/>
      <c r="P498" s="30"/>
    </row>
    <row r="499" spans="1:16" ht="60" customHeight="1">
      <c r="A499" s="30" t="s">
        <v>1122</v>
      </c>
      <c r="B499" s="47" t="s">
        <v>1110</v>
      </c>
      <c r="C499" s="48" t="s">
        <v>1123</v>
      </c>
      <c r="D499" s="30"/>
      <c r="E499" s="30"/>
      <c r="F499" s="30"/>
      <c r="G499" s="30" t="s">
        <v>4025</v>
      </c>
      <c r="H499" s="30" t="s">
        <v>141</v>
      </c>
      <c r="I499" s="30" t="s">
        <v>30</v>
      </c>
      <c r="J499" s="30" t="s">
        <v>142</v>
      </c>
      <c r="K499" s="30" t="s">
        <v>116</v>
      </c>
      <c r="L499" s="30" t="s">
        <v>146</v>
      </c>
      <c r="M499" s="48"/>
      <c r="N499" s="30"/>
      <c r="O499" s="30"/>
      <c r="P499" s="30"/>
    </row>
    <row r="500" spans="1:16" ht="75" customHeight="1">
      <c r="A500" s="30" t="s">
        <v>1124</v>
      </c>
      <c r="B500" s="47" t="s">
        <v>1110</v>
      </c>
      <c r="C500" s="48" t="s">
        <v>1125</v>
      </c>
      <c r="D500" s="30"/>
      <c r="E500" s="30"/>
      <c r="F500" s="30"/>
      <c r="G500" s="30"/>
      <c r="H500" s="30" t="s">
        <v>141</v>
      </c>
      <c r="I500" s="30" t="s">
        <v>30</v>
      </c>
      <c r="J500" s="30" t="s">
        <v>144</v>
      </c>
      <c r="K500" s="30" t="s">
        <v>117</v>
      </c>
      <c r="L500" s="30" t="s">
        <v>122</v>
      </c>
      <c r="M500" s="48"/>
      <c r="N500" s="30"/>
      <c r="O500" s="30"/>
      <c r="P500" s="30"/>
    </row>
    <row r="501" spans="1:16" ht="60" customHeight="1">
      <c r="A501" s="30" t="s">
        <v>1126</v>
      </c>
      <c r="B501" s="50" t="s">
        <v>1110</v>
      </c>
      <c r="C501" s="51" t="s">
        <v>1127</v>
      </c>
      <c r="D501" s="30"/>
      <c r="E501" s="30"/>
      <c r="F501" s="30"/>
      <c r="G501" s="30" t="s">
        <v>4025</v>
      </c>
      <c r="H501" s="30" t="s">
        <v>141</v>
      </c>
      <c r="I501" s="30" t="s">
        <v>30</v>
      </c>
      <c r="J501" s="30" t="s">
        <v>142</v>
      </c>
      <c r="K501" s="30" t="s">
        <v>116</v>
      </c>
      <c r="L501" s="30" t="s">
        <v>146</v>
      </c>
      <c r="M501" s="48"/>
      <c r="N501" s="30"/>
      <c r="O501" s="30"/>
      <c r="P501" s="30"/>
    </row>
    <row r="502" spans="1:16" ht="60" customHeight="1">
      <c r="A502" s="30" t="s">
        <v>1128</v>
      </c>
      <c r="B502" s="47" t="s">
        <v>1110</v>
      </c>
      <c r="C502" s="48" t="s">
        <v>1129</v>
      </c>
      <c r="D502" s="30"/>
      <c r="E502" s="30"/>
      <c r="F502" s="30"/>
      <c r="G502" s="30" t="s">
        <v>4025</v>
      </c>
      <c r="H502" s="30" t="s">
        <v>141</v>
      </c>
      <c r="I502" s="30" t="s">
        <v>30</v>
      </c>
      <c r="J502" s="30" t="s">
        <v>142</v>
      </c>
      <c r="K502" s="30" t="s">
        <v>116</v>
      </c>
      <c r="L502" s="30" t="s">
        <v>146</v>
      </c>
      <c r="M502" s="48"/>
      <c r="N502" s="30"/>
      <c r="O502" s="30"/>
      <c r="P502" s="30"/>
    </row>
    <row r="503" spans="1:16" ht="45" customHeight="1">
      <c r="A503" s="30" t="s">
        <v>1130</v>
      </c>
      <c r="B503" s="47" t="s">
        <v>1110</v>
      </c>
      <c r="C503" s="48" t="s">
        <v>1131</v>
      </c>
      <c r="D503" s="30"/>
      <c r="E503" s="30"/>
      <c r="F503" s="30"/>
      <c r="G503" s="30" t="s">
        <v>4025</v>
      </c>
      <c r="H503" s="30" t="s">
        <v>141</v>
      </c>
      <c r="I503" s="30" t="s">
        <v>30</v>
      </c>
      <c r="J503" s="30" t="s">
        <v>142</v>
      </c>
      <c r="K503" s="30" t="s">
        <v>116</v>
      </c>
      <c r="L503" s="30" t="s">
        <v>146</v>
      </c>
      <c r="M503" s="48"/>
      <c r="N503" s="30"/>
      <c r="O503" s="30"/>
      <c r="P503" s="30"/>
    </row>
    <row r="504" spans="1:16" ht="60" customHeight="1">
      <c r="A504" s="30" t="s">
        <v>1132</v>
      </c>
      <c r="B504" s="47" t="s">
        <v>1110</v>
      </c>
      <c r="C504" s="48" t="s">
        <v>1133</v>
      </c>
      <c r="D504" s="30"/>
      <c r="E504" s="30"/>
      <c r="F504" s="30"/>
      <c r="G504" s="30" t="s">
        <v>4025</v>
      </c>
      <c r="H504" s="30" t="s">
        <v>141</v>
      </c>
      <c r="I504" s="30" t="s">
        <v>30</v>
      </c>
      <c r="J504" s="30" t="s">
        <v>142</v>
      </c>
      <c r="K504" s="30" t="s">
        <v>116</v>
      </c>
      <c r="L504" s="30" t="s">
        <v>146</v>
      </c>
      <c r="M504" s="48"/>
      <c r="N504" s="30"/>
      <c r="O504" s="30"/>
      <c r="P504" s="30"/>
    </row>
    <row r="505" spans="1:16" ht="45" customHeight="1">
      <c r="A505" s="30" t="s">
        <v>1134</v>
      </c>
      <c r="B505" s="47" t="s">
        <v>1110</v>
      </c>
      <c r="C505" s="48" t="s">
        <v>1135</v>
      </c>
      <c r="D505" s="30"/>
      <c r="E505" s="30"/>
      <c r="F505" s="30"/>
      <c r="G505" s="30"/>
      <c r="H505" s="30" t="s">
        <v>141</v>
      </c>
      <c r="I505" s="30" t="s">
        <v>30</v>
      </c>
      <c r="J505" s="30" t="s">
        <v>144</v>
      </c>
      <c r="K505" s="30" t="s">
        <v>117</v>
      </c>
      <c r="L505" s="30" t="s">
        <v>122</v>
      </c>
      <c r="M505" s="48"/>
      <c r="N505" s="30"/>
      <c r="O505" s="30"/>
      <c r="P505" s="30"/>
    </row>
    <row r="506" spans="1:16" ht="60" customHeight="1">
      <c r="A506" s="30" t="s">
        <v>1136</v>
      </c>
      <c r="B506" s="47" t="s">
        <v>1110</v>
      </c>
      <c r="C506" s="48" t="s">
        <v>1137</v>
      </c>
      <c r="D506" s="30"/>
      <c r="E506" s="30"/>
      <c r="F506" s="30"/>
      <c r="G506" s="30" t="s">
        <v>4025</v>
      </c>
      <c r="H506" s="30" t="s">
        <v>141</v>
      </c>
      <c r="I506" s="30" t="s">
        <v>30</v>
      </c>
      <c r="J506" s="30" t="s">
        <v>142</v>
      </c>
      <c r="K506" s="30" t="s">
        <v>116</v>
      </c>
      <c r="L506" s="30" t="s">
        <v>146</v>
      </c>
      <c r="M506" s="48"/>
      <c r="N506" s="30"/>
      <c r="O506" s="30"/>
      <c r="P506" s="30"/>
    </row>
    <row r="507" spans="1:16" ht="60" customHeight="1">
      <c r="A507" s="30" t="s">
        <v>1138</v>
      </c>
      <c r="B507" s="50" t="s">
        <v>1110</v>
      </c>
      <c r="C507" s="51" t="s">
        <v>1139</v>
      </c>
      <c r="D507" s="30"/>
      <c r="E507" s="30"/>
      <c r="F507" s="30"/>
      <c r="G507" s="30" t="s">
        <v>4025</v>
      </c>
      <c r="H507" s="30" t="s">
        <v>141</v>
      </c>
      <c r="I507" s="30" t="s">
        <v>30</v>
      </c>
      <c r="J507" s="30" t="s">
        <v>142</v>
      </c>
      <c r="K507" s="30" t="s">
        <v>116</v>
      </c>
      <c r="L507" s="30" t="s">
        <v>146</v>
      </c>
      <c r="M507" s="48"/>
      <c r="N507" s="30"/>
      <c r="O507" s="30"/>
      <c r="P507" s="30"/>
    </row>
    <row r="508" spans="1:16" ht="60" customHeight="1">
      <c r="A508" s="30" t="s">
        <v>1140</v>
      </c>
      <c r="B508" s="50" t="s">
        <v>1110</v>
      </c>
      <c r="C508" s="51" t="s">
        <v>3739</v>
      </c>
      <c r="D508" s="30"/>
      <c r="E508" s="30"/>
      <c r="F508" s="30"/>
      <c r="G508" s="30" t="s">
        <v>4025</v>
      </c>
      <c r="H508" s="30" t="s">
        <v>141</v>
      </c>
      <c r="I508" s="30" t="s">
        <v>30</v>
      </c>
      <c r="J508" s="30" t="s">
        <v>142</v>
      </c>
      <c r="K508" s="30" t="s">
        <v>116</v>
      </c>
      <c r="L508" s="30" t="s">
        <v>146</v>
      </c>
      <c r="M508" s="48"/>
      <c r="N508" s="30"/>
      <c r="O508" s="30"/>
      <c r="P508" s="30"/>
    </row>
    <row r="509" spans="1:16" ht="45" customHeight="1">
      <c r="A509" s="30" t="s">
        <v>1141</v>
      </c>
      <c r="B509" s="47" t="s">
        <v>1110</v>
      </c>
      <c r="C509" s="48" t="s">
        <v>1142</v>
      </c>
      <c r="D509" s="30"/>
      <c r="E509" s="30"/>
      <c r="F509" s="30"/>
      <c r="G509" s="30"/>
      <c r="H509" s="30" t="s">
        <v>141</v>
      </c>
      <c r="I509" s="30" t="s">
        <v>30</v>
      </c>
      <c r="J509" s="30" t="s">
        <v>144</v>
      </c>
      <c r="K509" s="30" t="s">
        <v>117</v>
      </c>
      <c r="L509" s="30" t="s">
        <v>122</v>
      </c>
      <c r="M509" s="48"/>
      <c r="N509" s="30"/>
      <c r="O509" s="30"/>
      <c r="P509" s="30"/>
    </row>
    <row r="510" spans="1:16" ht="60" customHeight="1">
      <c r="A510" s="30" t="s">
        <v>1143</v>
      </c>
      <c r="B510" s="47" t="s">
        <v>1110</v>
      </c>
      <c r="C510" s="48" t="s">
        <v>1144</v>
      </c>
      <c r="D510" s="30"/>
      <c r="E510" s="30"/>
      <c r="F510" s="30"/>
      <c r="G510" s="30" t="s">
        <v>4025</v>
      </c>
      <c r="H510" s="30" t="s">
        <v>141</v>
      </c>
      <c r="I510" s="30" t="s">
        <v>30</v>
      </c>
      <c r="J510" s="30" t="s">
        <v>142</v>
      </c>
      <c r="K510" s="30" t="s">
        <v>116</v>
      </c>
      <c r="L510" s="30" t="s">
        <v>146</v>
      </c>
      <c r="M510" s="48"/>
      <c r="N510" s="30"/>
      <c r="O510" s="30"/>
      <c r="P510" s="30"/>
    </row>
    <row r="511" spans="1:16" ht="60" customHeight="1">
      <c r="A511" s="30" t="s">
        <v>1145</v>
      </c>
      <c r="B511" s="50" t="s">
        <v>1110</v>
      </c>
      <c r="C511" s="51" t="s">
        <v>1146</v>
      </c>
      <c r="D511" s="30"/>
      <c r="E511" s="30"/>
      <c r="F511" s="30"/>
      <c r="G511" s="30" t="s">
        <v>4025</v>
      </c>
      <c r="H511" s="30" t="s">
        <v>141</v>
      </c>
      <c r="I511" s="30" t="s">
        <v>30</v>
      </c>
      <c r="J511" s="30" t="s">
        <v>142</v>
      </c>
      <c r="K511" s="30" t="s">
        <v>116</v>
      </c>
      <c r="L511" s="30" t="s">
        <v>146</v>
      </c>
      <c r="M511" s="48"/>
      <c r="N511" s="30"/>
      <c r="O511" s="30"/>
      <c r="P511" s="30"/>
    </row>
    <row r="512" spans="1:16" ht="60" customHeight="1">
      <c r="A512" s="30" t="s">
        <v>1147</v>
      </c>
      <c r="B512" s="50" t="s">
        <v>1110</v>
      </c>
      <c r="C512" s="51" t="s">
        <v>3740</v>
      </c>
      <c r="D512" s="30"/>
      <c r="E512" s="30"/>
      <c r="F512" s="30"/>
      <c r="G512" s="30" t="s">
        <v>4025</v>
      </c>
      <c r="H512" s="30" t="s">
        <v>141</v>
      </c>
      <c r="I512" s="30" t="s">
        <v>30</v>
      </c>
      <c r="J512" s="30" t="s">
        <v>142</v>
      </c>
      <c r="K512" s="30" t="s">
        <v>116</v>
      </c>
      <c r="L512" s="30" t="s">
        <v>146</v>
      </c>
      <c r="M512" s="48"/>
      <c r="N512" s="30"/>
      <c r="O512" s="30"/>
      <c r="P512" s="30"/>
    </row>
    <row r="513" spans="1:16" ht="45" customHeight="1">
      <c r="A513" s="30" t="s">
        <v>1148</v>
      </c>
      <c r="B513" s="47" t="s">
        <v>1110</v>
      </c>
      <c r="C513" s="48" t="s">
        <v>1149</v>
      </c>
      <c r="D513" s="30"/>
      <c r="E513" s="30"/>
      <c r="F513" s="30"/>
      <c r="G513" s="30"/>
      <c r="H513" s="30" t="s">
        <v>141</v>
      </c>
      <c r="I513" s="30" t="s">
        <v>30</v>
      </c>
      <c r="J513" s="30" t="s">
        <v>144</v>
      </c>
      <c r="K513" s="30" t="s">
        <v>117</v>
      </c>
      <c r="L513" s="30" t="s">
        <v>3664</v>
      </c>
      <c r="M513" s="51" t="s">
        <v>4201</v>
      </c>
      <c r="N513" s="30"/>
      <c r="O513" s="30"/>
      <c r="P513" s="30"/>
    </row>
    <row r="514" spans="1:16" ht="60" customHeight="1">
      <c r="A514" s="30" t="s">
        <v>1150</v>
      </c>
      <c r="B514" s="47" t="s">
        <v>1110</v>
      </c>
      <c r="C514" s="48" t="s">
        <v>1151</v>
      </c>
      <c r="D514" s="30"/>
      <c r="E514" s="30"/>
      <c r="F514" s="30"/>
      <c r="G514" s="30"/>
      <c r="H514" s="30" t="s">
        <v>141</v>
      </c>
      <c r="I514" s="30" t="s">
        <v>30</v>
      </c>
      <c r="J514" s="30" t="s">
        <v>144</v>
      </c>
      <c r="K514" s="30" t="s">
        <v>117</v>
      </c>
      <c r="L514" s="30" t="s">
        <v>3664</v>
      </c>
      <c r="M514" s="51" t="s">
        <v>4201</v>
      </c>
      <c r="N514" s="30"/>
      <c r="O514" s="30"/>
      <c r="P514" s="30"/>
    </row>
    <row r="515" spans="1:16" ht="60" customHeight="1">
      <c r="A515" s="30" t="s">
        <v>1152</v>
      </c>
      <c r="B515" s="47" t="s">
        <v>1110</v>
      </c>
      <c r="C515" s="48" t="s">
        <v>1153</v>
      </c>
      <c r="D515" s="30"/>
      <c r="E515" s="30"/>
      <c r="F515" s="30"/>
      <c r="G515" s="30"/>
      <c r="H515" s="30" t="s">
        <v>141</v>
      </c>
      <c r="I515" s="30" t="s">
        <v>30</v>
      </c>
      <c r="J515" s="30" t="s">
        <v>144</v>
      </c>
      <c r="K515" s="30" t="s">
        <v>117</v>
      </c>
      <c r="L515" s="30" t="s">
        <v>3664</v>
      </c>
      <c r="M515" s="51" t="s">
        <v>4203</v>
      </c>
      <c r="N515" s="30"/>
      <c r="O515" s="30"/>
      <c r="P515" s="30"/>
    </row>
    <row r="516" spans="1:16" ht="60" customHeight="1">
      <c r="A516" s="30" t="s">
        <v>1154</v>
      </c>
      <c r="B516" s="47" t="s">
        <v>1110</v>
      </c>
      <c r="C516" s="48" t="s">
        <v>1155</v>
      </c>
      <c r="D516" s="30"/>
      <c r="E516" s="30"/>
      <c r="F516" s="30"/>
      <c r="G516" s="30"/>
      <c r="H516" s="30" t="s">
        <v>141</v>
      </c>
      <c r="I516" s="30" t="s">
        <v>30</v>
      </c>
      <c r="J516" s="30" t="s">
        <v>144</v>
      </c>
      <c r="K516" s="30" t="s">
        <v>117</v>
      </c>
      <c r="L516" s="30" t="s">
        <v>3664</v>
      </c>
      <c r="M516" s="51" t="s">
        <v>4201</v>
      </c>
      <c r="N516" s="30"/>
      <c r="O516" s="30"/>
      <c r="P516" s="30"/>
    </row>
    <row r="517" spans="1:16" ht="45" customHeight="1">
      <c r="A517" s="30" t="s">
        <v>1156</v>
      </c>
      <c r="B517" s="47" t="s">
        <v>1157</v>
      </c>
      <c r="C517" s="48" t="s">
        <v>1158</v>
      </c>
      <c r="D517" s="30"/>
      <c r="E517" s="30"/>
      <c r="F517" s="30"/>
      <c r="G517" s="30"/>
      <c r="H517" s="30" t="s">
        <v>141</v>
      </c>
      <c r="I517" s="30" t="s">
        <v>31</v>
      </c>
      <c r="J517" s="30" t="s">
        <v>142</v>
      </c>
      <c r="K517" s="30" t="s">
        <v>116</v>
      </c>
      <c r="L517" s="30" t="s">
        <v>122</v>
      </c>
      <c r="M517" s="48" t="s">
        <v>184</v>
      </c>
      <c r="N517" s="30"/>
      <c r="O517" s="30"/>
      <c r="P517" s="30"/>
    </row>
    <row r="518" spans="1:16" ht="75" customHeight="1">
      <c r="A518" s="30" t="s">
        <v>1159</v>
      </c>
      <c r="B518" s="47" t="s">
        <v>1157</v>
      </c>
      <c r="C518" s="48" t="s">
        <v>1160</v>
      </c>
      <c r="D518" s="30"/>
      <c r="E518" s="30"/>
      <c r="F518" s="30"/>
      <c r="G518" s="30"/>
      <c r="H518" s="30" t="s">
        <v>141</v>
      </c>
      <c r="I518" s="30" t="s">
        <v>31</v>
      </c>
      <c r="J518" s="30" t="s">
        <v>142</v>
      </c>
      <c r="K518" s="30" t="s">
        <v>116</v>
      </c>
      <c r="L518" s="30" t="s">
        <v>122</v>
      </c>
      <c r="M518" s="48" t="s">
        <v>184</v>
      </c>
      <c r="N518" s="30"/>
      <c r="O518" s="30"/>
      <c r="P518" s="30"/>
    </row>
    <row r="519" spans="1:16" ht="45" customHeight="1">
      <c r="A519" s="30" t="s">
        <v>1161</v>
      </c>
      <c r="B519" s="47" t="s">
        <v>1157</v>
      </c>
      <c r="C519" s="48" t="s">
        <v>1162</v>
      </c>
      <c r="D519" s="30"/>
      <c r="E519" s="30"/>
      <c r="F519" s="30"/>
      <c r="G519" s="30"/>
      <c r="H519" s="30" t="s">
        <v>141</v>
      </c>
      <c r="I519" s="30" t="s">
        <v>31</v>
      </c>
      <c r="J519" s="30" t="s">
        <v>142</v>
      </c>
      <c r="K519" s="30" t="s">
        <v>116</v>
      </c>
      <c r="L519" s="30" t="s">
        <v>122</v>
      </c>
      <c r="M519" s="48" t="s">
        <v>184</v>
      </c>
      <c r="N519" s="30"/>
      <c r="O519" s="30"/>
      <c r="P519" s="30"/>
    </row>
    <row r="520" spans="1:16" ht="45" customHeight="1">
      <c r="A520" s="30" t="s">
        <v>1163</v>
      </c>
      <c r="B520" s="47" t="s">
        <v>1157</v>
      </c>
      <c r="C520" s="48" t="s">
        <v>1164</v>
      </c>
      <c r="D520" s="30"/>
      <c r="E520" s="30"/>
      <c r="F520" s="30"/>
      <c r="G520" s="30"/>
      <c r="H520" s="30" t="s">
        <v>141</v>
      </c>
      <c r="I520" s="30" t="s">
        <v>31</v>
      </c>
      <c r="J520" s="30" t="s">
        <v>144</v>
      </c>
      <c r="K520" s="30" t="s">
        <v>117</v>
      </c>
      <c r="L520" s="30" t="s">
        <v>122</v>
      </c>
      <c r="M520" s="48"/>
      <c r="N520" s="30"/>
      <c r="O520" s="30"/>
      <c r="P520" s="30"/>
    </row>
    <row r="521" spans="1:16" ht="30" customHeight="1">
      <c r="A521" s="30" t="s">
        <v>1165</v>
      </c>
      <c r="B521" s="47" t="s">
        <v>1157</v>
      </c>
      <c r="C521" s="48" t="s">
        <v>1166</v>
      </c>
      <c r="D521" s="30"/>
      <c r="E521" s="30"/>
      <c r="F521" s="30"/>
      <c r="G521" s="30"/>
      <c r="H521" s="30" t="s">
        <v>141</v>
      </c>
      <c r="I521" s="30" t="s">
        <v>31</v>
      </c>
      <c r="J521" s="30" t="s">
        <v>144</v>
      </c>
      <c r="K521" s="30" t="s">
        <v>117</v>
      </c>
      <c r="L521" s="30" t="s">
        <v>122</v>
      </c>
      <c r="M521" s="48"/>
      <c r="N521" s="30"/>
      <c r="O521" s="30"/>
      <c r="P521" s="30"/>
    </row>
    <row r="522" spans="1:16" ht="90" customHeight="1">
      <c r="A522" s="30" t="s">
        <v>1167</v>
      </c>
      <c r="B522" s="47" t="s">
        <v>1157</v>
      </c>
      <c r="C522" s="48" t="s">
        <v>1168</v>
      </c>
      <c r="D522" s="30"/>
      <c r="E522" s="30"/>
      <c r="F522" s="30"/>
      <c r="G522" s="30"/>
      <c r="H522" s="30" t="s">
        <v>141</v>
      </c>
      <c r="I522" s="30" t="s">
        <v>31</v>
      </c>
      <c r="J522" s="30" t="s">
        <v>142</v>
      </c>
      <c r="K522" s="30" t="s">
        <v>116</v>
      </c>
      <c r="L522" s="30" t="s">
        <v>122</v>
      </c>
      <c r="M522" s="48" t="s">
        <v>184</v>
      </c>
      <c r="N522" s="30"/>
      <c r="O522" s="30"/>
      <c r="P522" s="30"/>
    </row>
    <row r="523" spans="1:16" ht="90" customHeight="1">
      <c r="A523" s="30" t="s">
        <v>1169</v>
      </c>
      <c r="B523" s="47" t="s">
        <v>1157</v>
      </c>
      <c r="C523" s="48" t="s">
        <v>1170</v>
      </c>
      <c r="D523" s="30"/>
      <c r="E523" s="30"/>
      <c r="F523" s="30"/>
      <c r="G523" s="30"/>
      <c r="H523" s="30" t="s">
        <v>141</v>
      </c>
      <c r="I523" s="30" t="s">
        <v>31</v>
      </c>
      <c r="J523" s="30" t="s">
        <v>144</v>
      </c>
      <c r="K523" s="30" t="s">
        <v>117</v>
      </c>
      <c r="L523" s="30" t="s">
        <v>122</v>
      </c>
      <c r="M523" s="48"/>
      <c r="N523" s="30"/>
      <c r="O523" s="30"/>
      <c r="P523" s="30"/>
    </row>
    <row r="524" spans="1:16" ht="30" customHeight="1">
      <c r="A524" s="30" t="s">
        <v>1171</v>
      </c>
      <c r="B524" s="47" t="s">
        <v>1157</v>
      </c>
      <c r="C524" s="48" t="s">
        <v>1172</v>
      </c>
      <c r="D524" s="30"/>
      <c r="E524" s="30"/>
      <c r="F524" s="30"/>
      <c r="G524" s="30"/>
      <c r="H524" s="30" t="s">
        <v>141</v>
      </c>
      <c r="I524" s="30" t="s">
        <v>31</v>
      </c>
      <c r="J524" s="30" t="s">
        <v>142</v>
      </c>
      <c r="K524" s="30" t="s">
        <v>116</v>
      </c>
      <c r="L524" s="30" t="s">
        <v>122</v>
      </c>
      <c r="M524" s="48" t="s">
        <v>184</v>
      </c>
      <c r="N524" s="30"/>
      <c r="O524" s="30"/>
      <c r="P524" s="30"/>
    </row>
    <row r="525" spans="1:16" ht="30" customHeight="1">
      <c r="A525" s="30" t="s">
        <v>1173</v>
      </c>
      <c r="B525" s="47" t="s">
        <v>1157</v>
      </c>
      <c r="C525" s="48" t="s">
        <v>1174</v>
      </c>
      <c r="D525" s="30"/>
      <c r="E525" s="30"/>
      <c r="F525" s="30"/>
      <c r="G525" s="30"/>
      <c r="H525" s="30" t="s">
        <v>141</v>
      </c>
      <c r="I525" s="30" t="s">
        <v>30</v>
      </c>
      <c r="J525" s="30" t="s">
        <v>142</v>
      </c>
      <c r="K525" s="30" t="s">
        <v>116</v>
      </c>
      <c r="L525" s="30" t="s">
        <v>121</v>
      </c>
      <c r="M525" s="48" t="s">
        <v>706</v>
      </c>
      <c r="N525" s="30"/>
      <c r="O525" s="30"/>
      <c r="P525" s="30"/>
    </row>
    <row r="526" spans="1:16" ht="30" customHeight="1">
      <c r="A526" s="30" t="s">
        <v>1175</v>
      </c>
      <c r="B526" s="47" t="s">
        <v>1157</v>
      </c>
      <c r="C526" s="48" t="s">
        <v>1176</v>
      </c>
      <c r="D526" s="30"/>
      <c r="E526" s="30"/>
      <c r="F526" s="30" t="s">
        <v>1177</v>
      </c>
      <c r="G526" s="30" t="s">
        <v>138</v>
      </c>
      <c r="H526" s="30" t="s">
        <v>141</v>
      </c>
      <c r="I526" s="30" t="s">
        <v>30</v>
      </c>
      <c r="J526" s="30" t="s">
        <v>142</v>
      </c>
      <c r="K526" s="30" t="s">
        <v>116</v>
      </c>
      <c r="L526" s="30" t="s">
        <v>143</v>
      </c>
      <c r="M526" s="48"/>
      <c r="N526" s="30"/>
      <c r="O526" s="30"/>
      <c r="P526" s="30"/>
    </row>
    <row r="527" spans="1:16" s="31" customFormat="1" ht="75" customHeight="1">
      <c r="A527" s="30" t="s">
        <v>4102</v>
      </c>
      <c r="B527" s="47" t="s">
        <v>1157</v>
      </c>
      <c r="C527" s="48" t="s">
        <v>1178</v>
      </c>
      <c r="D527" s="30"/>
      <c r="E527" s="30"/>
      <c r="F527" s="30"/>
      <c r="G527" s="30" t="s">
        <v>4025</v>
      </c>
      <c r="H527" s="30" t="s">
        <v>141</v>
      </c>
      <c r="I527" s="30" t="s">
        <v>30</v>
      </c>
      <c r="J527" s="30" t="s">
        <v>145</v>
      </c>
      <c r="K527" s="30" t="s">
        <v>116</v>
      </c>
      <c r="L527" s="30" t="s">
        <v>143</v>
      </c>
      <c r="M527" s="48" t="s">
        <v>4218</v>
      </c>
      <c r="N527" s="30"/>
      <c r="O527" s="30"/>
      <c r="P527" s="30"/>
    </row>
    <row r="528" spans="1:16" s="31" customFormat="1" ht="75" customHeight="1">
      <c r="A528" s="30" t="s">
        <v>1179</v>
      </c>
      <c r="B528" s="47" t="s">
        <v>1157</v>
      </c>
      <c r="C528" s="48" t="s">
        <v>4101</v>
      </c>
      <c r="D528" s="30"/>
      <c r="E528" s="30"/>
      <c r="F528" s="30" t="s">
        <v>1180</v>
      </c>
      <c r="G528" s="30" t="s">
        <v>4025</v>
      </c>
      <c r="H528" s="30" t="s">
        <v>149</v>
      </c>
      <c r="I528" s="30" t="s">
        <v>30</v>
      </c>
      <c r="J528" s="30" t="s">
        <v>145</v>
      </c>
      <c r="K528" s="30" t="s">
        <v>116</v>
      </c>
      <c r="L528" s="30" t="s">
        <v>143</v>
      </c>
      <c r="M528" s="48"/>
      <c r="N528" s="30"/>
      <c r="O528" s="30"/>
      <c r="P528" s="30"/>
    </row>
    <row r="529" spans="1:16" ht="60" customHeight="1">
      <c r="A529" s="30" t="s">
        <v>1181</v>
      </c>
      <c r="B529" s="47" t="s">
        <v>1157</v>
      </c>
      <c r="C529" s="48" t="s">
        <v>1182</v>
      </c>
      <c r="D529" s="30"/>
      <c r="E529" s="30"/>
      <c r="F529" s="30"/>
      <c r="G529" s="30"/>
      <c r="H529" s="30" t="s">
        <v>141</v>
      </c>
      <c r="I529" s="30" t="s">
        <v>31</v>
      </c>
      <c r="J529" s="30" t="s">
        <v>145</v>
      </c>
      <c r="K529" s="30" t="s">
        <v>116</v>
      </c>
      <c r="L529" s="30" t="s">
        <v>122</v>
      </c>
      <c r="M529" s="48" t="s">
        <v>184</v>
      </c>
      <c r="N529" s="30"/>
      <c r="O529" s="30"/>
      <c r="P529" s="30"/>
    </row>
    <row r="530" spans="1:16" ht="60" customHeight="1">
      <c r="A530" s="30" t="s">
        <v>1183</v>
      </c>
      <c r="B530" s="47" t="s">
        <v>1157</v>
      </c>
      <c r="C530" s="48" t="s">
        <v>1184</v>
      </c>
      <c r="D530" s="30"/>
      <c r="E530" s="30"/>
      <c r="F530" s="30"/>
      <c r="G530" s="30"/>
      <c r="H530" s="30" t="s">
        <v>141</v>
      </c>
      <c r="I530" s="30" t="s">
        <v>31</v>
      </c>
      <c r="J530" s="30" t="s">
        <v>142</v>
      </c>
      <c r="K530" s="30" t="s">
        <v>116</v>
      </c>
      <c r="L530" s="30" t="s">
        <v>122</v>
      </c>
      <c r="M530" s="48" t="s">
        <v>184</v>
      </c>
      <c r="N530" s="30"/>
      <c r="O530" s="30"/>
      <c r="P530" s="30"/>
    </row>
    <row r="531" spans="1:16" ht="60" customHeight="1">
      <c r="A531" s="30" t="s">
        <v>1185</v>
      </c>
      <c r="B531" s="47" t="s">
        <v>1157</v>
      </c>
      <c r="C531" s="48" t="s">
        <v>1186</v>
      </c>
      <c r="D531" s="30"/>
      <c r="E531" s="30"/>
      <c r="F531" s="30"/>
      <c r="G531" s="30"/>
      <c r="H531" s="30" t="s">
        <v>141</v>
      </c>
      <c r="I531" s="30" t="s">
        <v>31</v>
      </c>
      <c r="J531" s="30" t="s">
        <v>142</v>
      </c>
      <c r="K531" s="30" t="s">
        <v>116</v>
      </c>
      <c r="L531" s="30" t="s">
        <v>122</v>
      </c>
      <c r="M531" s="48" t="s">
        <v>184</v>
      </c>
      <c r="N531" s="30"/>
      <c r="O531" s="30"/>
      <c r="P531" s="30"/>
    </row>
    <row r="532" spans="1:16" ht="45" customHeight="1">
      <c r="A532" s="30" t="s">
        <v>1187</v>
      </c>
      <c r="B532" s="47" t="s">
        <v>1188</v>
      </c>
      <c r="C532" s="48" t="s">
        <v>4062</v>
      </c>
      <c r="D532" s="30"/>
      <c r="E532" s="30"/>
      <c r="F532" s="30"/>
      <c r="G532" s="30" t="s">
        <v>4025</v>
      </c>
      <c r="H532" s="30" t="s">
        <v>141</v>
      </c>
      <c r="I532" s="30" t="s">
        <v>30</v>
      </c>
      <c r="J532" s="30" t="s">
        <v>142</v>
      </c>
      <c r="K532" s="30" t="s">
        <v>116</v>
      </c>
      <c r="L532" s="30" t="s">
        <v>146</v>
      </c>
      <c r="M532" s="48"/>
      <c r="N532" s="30"/>
      <c r="O532" s="30"/>
      <c r="P532" s="30"/>
    </row>
    <row r="533" spans="1:16" ht="75" customHeight="1">
      <c r="A533" s="30" t="s">
        <v>1189</v>
      </c>
      <c r="B533" s="47" t="s">
        <v>1188</v>
      </c>
      <c r="C533" s="48" t="s">
        <v>1190</v>
      </c>
      <c r="D533" s="30"/>
      <c r="E533" s="30"/>
      <c r="F533" s="30"/>
      <c r="G533" s="30"/>
      <c r="H533" s="30" t="s">
        <v>141</v>
      </c>
      <c r="I533" s="30" t="s">
        <v>30</v>
      </c>
      <c r="J533" s="30" t="s">
        <v>4103</v>
      </c>
      <c r="K533" s="30" t="s">
        <v>117</v>
      </c>
      <c r="L533" s="30" t="s">
        <v>122</v>
      </c>
      <c r="M533" s="48" t="s">
        <v>674</v>
      </c>
      <c r="N533" s="30"/>
      <c r="O533" s="30"/>
      <c r="P533" s="30"/>
    </row>
    <row r="534" spans="1:16" ht="30" customHeight="1">
      <c r="A534" s="30" t="s">
        <v>1191</v>
      </c>
      <c r="B534" s="47" t="s">
        <v>1188</v>
      </c>
      <c r="C534" s="48" t="s">
        <v>1192</v>
      </c>
      <c r="D534" s="30"/>
      <c r="E534" s="30"/>
      <c r="F534" s="30"/>
      <c r="G534" s="30" t="s">
        <v>4025</v>
      </c>
      <c r="H534" s="30" t="s">
        <v>141</v>
      </c>
      <c r="I534" s="30" t="s">
        <v>30</v>
      </c>
      <c r="J534" s="30" t="s">
        <v>142</v>
      </c>
      <c r="K534" s="30" t="s">
        <v>116</v>
      </c>
      <c r="L534" s="30" t="s">
        <v>146</v>
      </c>
      <c r="M534" s="48"/>
      <c r="N534" s="30"/>
      <c r="O534" s="30"/>
      <c r="P534" s="30"/>
    </row>
    <row r="535" spans="1:16" ht="60" customHeight="1">
      <c r="A535" s="30" t="s">
        <v>1193</v>
      </c>
      <c r="B535" s="47" t="s">
        <v>1188</v>
      </c>
      <c r="C535" s="48" t="s">
        <v>1194</v>
      </c>
      <c r="D535" s="30"/>
      <c r="E535" s="30"/>
      <c r="F535" s="30"/>
      <c r="G535" s="30"/>
      <c r="H535" s="30" t="s">
        <v>141</v>
      </c>
      <c r="I535" s="30" t="s">
        <v>30</v>
      </c>
      <c r="J535" s="30" t="s">
        <v>144</v>
      </c>
      <c r="K535" s="30" t="s">
        <v>117</v>
      </c>
      <c r="L535" s="30" t="s">
        <v>122</v>
      </c>
      <c r="M535" s="48"/>
      <c r="N535" s="30"/>
      <c r="O535" s="30"/>
      <c r="P535" s="30"/>
    </row>
    <row r="536" spans="1:16" ht="30" customHeight="1">
      <c r="A536" s="30" t="s">
        <v>1195</v>
      </c>
      <c r="B536" s="47" t="s">
        <v>1188</v>
      </c>
      <c r="C536" s="48" t="s">
        <v>1196</v>
      </c>
      <c r="D536" s="30"/>
      <c r="E536" s="30"/>
      <c r="F536" s="30"/>
      <c r="G536" s="30"/>
      <c r="H536" s="30" t="s">
        <v>141</v>
      </c>
      <c r="I536" s="30" t="s">
        <v>30</v>
      </c>
      <c r="J536" s="30" t="s">
        <v>144</v>
      </c>
      <c r="K536" s="30" t="s">
        <v>117</v>
      </c>
      <c r="L536" s="30" t="s">
        <v>122</v>
      </c>
      <c r="M536" s="48"/>
      <c r="N536" s="30"/>
      <c r="O536" s="30"/>
      <c r="P536" s="30"/>
    </row>
    <row r="537" spans="1:16" ht="45" customHeight="1">
      <c r="A537" s="30" t="s">
        <v>1197</v>
      </c>
      <c r="B537" s="47" t="s">
        <v>1188</v>
      </c>
      <c r="C537" s="48" t="s">
        <v>1198</v>
      </c>
      <c r="D537" s="30"/>
      <c r="E537" s="30"/>
      <c r="F537" s="30"/>
      <c r="G537" s="30"/>
      <c r="H537" s="30" t="s">
        <v>141</v>
      </c>
      <c r="I537" s="30" t="s">
        <v>30</v>
      </c>
      <c r="J537" s="30" t="s">
        <v>144</v>
      </c>
      <c r="K537" s="30" t="s">
        <v>117</v>
      </c>
      <c r="L537" s="30" t="s">
        <v>122</v>
      </c>
      <c r="M537" s="48"/>
      <c r="N537" s="30"/>
      <c r="O537" s="30"/>
      <c r="P537" s="30"/>
    </row>
    <row r="538" spans="1:16" ht="105" customHeight="1">
      <c r="A538" s="30" t="s">
        <v>1199</v>
      </c>
      <c r="B538" s="47" t="s">
        <v>1200</v>
      </c>
      <c r="C538" s="48" t="s">
        <v>1201</v>
      </c>
      <c r="D538" s="30"/>
      <c r="E538" s="30"/>
      <c r="F538" s="30"/>
      <c r="G538" s="30"/>
      <c r="H538" s="30" t="s">
        <v>141</v>
      </c>
      <c r="I538" s="30" t="s">
        <v>30</v>
      </c>
      <c r="J538" s="30" t="s">
        <v>142</v>
      </c>
      <c r="K538" s="30" t="s">
        <v>116</v>
      </c>
      <c r="L538" s="30" t="s">
        <v>121</v>
      </c>
      <c r="M538" s="48" t="s">
        <v>1202</v>
      </c>
      <c r="N538" s="30"/>
      <c r="O538" s="30"/>
      <c r="P538" s="30"/>
    </row>
    <row r="539" spans="1:16" ht="105" customHeight="1">
      <c r="A539" s="30" t="s">
        <v>1203</v>
      </c>
      <c r="B539" s="47" t="s">
        <v>1200</v>
      </c>
      <c r="C539" s="48" t="s">
        <v>1204</v>
      </c>
      <c r="D539" s="30"/>
      <c r="E539" s="30"/>
      <c r="F539" s="30" t="s">
        <v>1205</v>
      </c>
      <c r="G539" s="30" t="s">
        <v>4025</v>
      </c>
      <c r="H539" s="30" t="s">
        <v>141</v>
      </c>
      <c r="I539" s="30" t="s">
        <v>30</v>
      </c>
      <c r="J539" s="30" t="s">
        <v>142</v>
      </c>
      <c r="K539" s="30" t="s">
        <v>116</v>
      </c>
      <c r="L539" s="30" t="s">
        <v>146</v>
      </c>
      <c r="M539" s="48"/>
      <c r="N539" s="30"/>
      <c r="O539" s="30"/>
      <c r="P539" s="30"/>
    </row>
    <row r="540" spans="1:16" ht="30" customHeight="1">
      <c r="A540" s="30" t="s">
        <v>1206</v>
      </c>
      <c r="B540" s="47" t="s">
        <v>1188</v>
      </c>
      <c r="C540" s="48" t="s">
        <v>1207</v>
      </c>
      <c r="D540" s="30"/>
      <c r="E540" s="30"/>
      <c r="F540" s="30"/>
      <c r="G540" s="30"/>
      <c r="H540" s="30" t="s">
        <v>141</v>
      </c>
      <c r="I540" s="30" t="s">
        <v>30</v>
      </c>
      <c r="J540" s="30" t="s">
        <v>144</v>
      </c>
      <c r="K540" s="30" t="s">
        <v>117</v>
      </c>
      <c r="L540" s="30" t="s">
        <v>122</v>
      </c>
      <c r="M540" s="48"/>
      <c r="N540" s="30"/>
      <c r="O540" s="30"/>
      <c r="P540" s="30"/>
    </row>
    <row r="541" spans="1:16" ht="30" customHeight="1">
      <c r="A541" s="30" t="s">
        <v>1208</v>
      </c>
      <c r="B541" s="47" t="s">
        <v>1188</v>
      </c>
      <c r="C541" s="48" t="s">
        <v>1209</v>
      </c>
      <c r="D541" s="30"/>
      <c r="E541" s="30"/>
      <c r="F541" s="30"/>
      <c r="G541" s="30" t="s">
        <v>4025</v>
      </c>
      <c r="H541" s="30" t="s">
        <v>141</v>
      </c>
      <c r="I541" s="30" t="s">
        <v>30</v>
      </c>
      <c r="J541" s="30" t="s">
        <v>145</v>
      </c>
      <c r="K541" s="30" t="s">
        <v>116</v>
      </c>
      <c r="L541" s="30" t="s">
        <v>146</v>
      </c>
      <c r="M541" s="48"/>
      <c r="N541" s="30"/>
      <c r="O541" s="30"/>
      <c r="P541" s="30"/>
    </row>
    <row r="542" spans="1:16" ht="30" customHeight="1">
      <c r="A542" s="30" t="s">
        <v>1210</v>
      </c>
      <c r="B542" s="47" t="s">
        <v>1188</v>
      </c>
      <c r="C542" s="48" t="s">
        <v>1211</v>
      </c>
      <c r="D542" s="30"/>
      <c r="E542" s="30"/>
      <c r="F542" s="30" t="s">
        <v>1212</v>
      </c>
      <c r="G542" s="30" t="s">
        <v>4025</v>
      </c>
      <c r="H542" s="30" t="s">
        <v>149</v>
      </c>
      <c r="I542" s="30" t="s">
        <v>30</v>
      </c>
      <c r="J542" s="30" t="s">
        <v>145</v>
      </c>
      <c r="K542" s="30" t="s">
        <v>116</v>
      </c>
      <c r="L542" s="30" t="s">
        <v>146</v>
      </c>
      <c r="M542" s="48"/>
      <c r="N542" s="30"/>
      <c r="O542" s="30"/>
      <c r="P542" s="30"/>
    </row>
    <row r="543" spans="1:16" ht="30" customHeight="1">
      <c r="A543" s="30" t="s">
        <v>1213</v>
      </c>
      <c r="B543" s="47" t="s">
        <v>1188</v>
      </c>
      <c r="C543" s="48" t="s">
        <v>1214</v>
      </c>
      <c r="D543" s="30"/>
      <c r="E543" s="30"/>
      <c r="F543" s="30"/>
      <c r="G543" s="30"/>
      <c r="H543" s="30" t="s">
        <v>141</v>
      </c>
      <c r="I543" s="30" t="s">
        <v>31</v>
      </c>
      <c r="J543" s="30" t="s">
        <v>142</v>
      </c>
      <c r="K543" s="30" t="s">
        <v>116</v>
      </c>
      <c r="L543" s="30" t="s">
        <v>122</v>
      </c>
      <c r="M543" s="48" t="s">
        <v>314</v>
      </c>
      <c r="N543" s="30"/>
      <c r="O543" s="30"/>
      <c r="P543" s="30"/>
    </row>
    <row r="544" spans="1:16" ht="90" customHeight="1">
      <c r="A544" s="30" t="s">
        <v>1215</v>
      </c>
      <c r="B544" s="47" t="s">
        <v>1188</v>
      </c>
      <c r="C544" s="48" t="s">
        <v>1216</v>
      </c>
      <c r="D544" s="30"/>
      <c r="E544" s="30"/>
      <c r="F544" s="30"/>
      <c r="G544" s="30"/>
      <c r="H544" s="30" t="s">
        <v>141</v>
      </c>
      <c r="I544" s="30" t="s">
        <v>30</v>
      </c>
      <c r="J544" s="30" t="s">
        <v>144</v>
      </c>
      <c r="K544" s="30" t="s">
        <v>117</v>
      </c>
      <c r="L544" s="30" t="s">
        <v>122</v>
      </c>
      <c r="M544" s="48"/>
      <c r="N544" s="30"/>
      <c r="O544" s="30"/>
      <c r="P544" s="30"/>
    </row>
    <row r="545" spans="1:16" ht="60" customHeight="1">
      <c r="A545" s="30" t="s">
        <v>1217</v>
      </c>
      <c r="B545" s="47" t="s">
        <v>1188</v>
      </c>
      <c r="C545" s="48" t="s">
        <v>1218</v>
      </c>
      <c r="D545" s="30"/>
      <c r="E545" s="30"/>
      <c r="F545" s="30"/>
      <c r="G545" s="30"/>
      <c r="H545" s="30" t="s">
        <v>141</v>
      </c>
      <c r="I545" s="30" t="s">
        <v>30</v>
      </c>
      <c r="J545" s="30" t="s">
        <v>144</v>
      </c>
      <c r="K545" s="30" t="s">
        <v>117</v>
      </c>
      <c r="L545" s="30" t="s">
        <v>122</v>
      </c>
      <c r="M545" s="48"/>
      <c r="N545" s="30"/>
      <c r="O545" s="30"/>
      <c r="P545" s="30"/>
    </row>
    <row r="546" spans="1:16" ht="75" customHeight="1">
      <c r="A546" s="30" t="s">
        <v>1219</v>
      </c>
      <c r="B546" s="47" t="s">
        <v>1188</v>
      </c>
      <c r="C546" s="48" t="s">
        <v>1220</v>
      </c>
      <c r="D546" s="30"/>
      <c r="E546" s="30"/>
      <c r="F546" s="30"/>
      <c r="G546" s="30"/>
      <c r="H546" s="30" t="s">
        <v>141</v>
      </c>
      <c r="I546" s="30" t="s">
        <v>30</v>
      </c>
      <c r="J546" s="30" t="s">
        <v>144</v>
      </c>
      <c r="K546" s="30" t="s">
        <v>117</v>
      </c>
      <c r="L546" s="30" t="s">
        <v>122</v>
      </c>
      <c r="M546" s="48"/>
      <c r="N546" s="30"/>
      <c r="O546" s="30"/>
      <c r="P546" s="30"/>
    </row>
    <row r="547" spans="1:16" ht="75" customHeight="1">
      <c r="A547" s="30" t="s">
        <v>1221</v>
      </c>
      <c r="B547" s="47" t="s">
        <v>1188</v>
      </c>
      <c r="C547" s="48" t="s">
        <v>1222</v>
      </c>
      <c r="D547" s="30"/>
      <c r="E547" s="30"/>
      <c r="F547" s="30"/>
      <c r="G547" s="30"/>
      <c r="H547" s="30" t="s">
        <v>141</v>
      </c>
      <c r="I547" s="30" t="s">
        <v>31</v>
      </c>
      <c r="J547" s="30" t="s">
        <v>144</v>
      </c>
      <c r="K547" s="30" t="s">
        <v>117</v>
      </c>
      <c r="L547" s="30" t="s">
        <v>122</v>
      </c>
      <c r="M547" s="48"/>
      <c r="N547" s="30"/>
      <c r="O547" s="30"/>
      <c r="P547" s="30"/>
    </row>
    <row r="548" spans="1:16" ht="60" customHeight="1">
      <c r="A548" s="30" t="s">
        <v>1223</v>
      </c>
      <c r="B548" s="47" t="s">
        <v>1188</v>
      </c>
      <c r="C548" s="48" t="s">
        <v>1224</v>
      </c>
      <c r="D548" s="30"/>
      <c r="E548" s="30"/>
      <c r="F548" s="30"/>
      <c r="G548" s="30"/>
      <c r="H548" s="30" t="s">
        <v>141</v>
      </c>
      <c r="I548" s="30" t="s">
        <v>30</v>
      </c>
      <c r="J548" s="30" t="s">
        <v>142</v>
      </c>
      <c r="K548" s="30" t="s">
        <v>116</v>
      </c>
      <c r="L548" s="30" t="s">
        <v>121</v>
      </c>
      <c r="M548" s="48" t="s">
        <v>706</v>
      </c>
      <c r="N548" s="30"/>
      <c r="O548" s="30"/>
      <c r="P548" s="30"/>
    </row>
    <row r="549" spans="1:16" ht="75" customHeight="1">
      <c r="A549" s="30" t="s">
        <v>1225</v>
      </c>
      <c r="B549" s="47" t="s">
        <v>1188</v>
      </c>
      <c r="C549" s="48" t="s">
        <v>1226</v>
      </c>
      <c r="D549" s="30"/>
      <c r="E549" s="30"/>
      <c r="F549" s="30"/>
      <c r="G549" s="30"/>
      <c r="H549" s="30" t="s">
        <v>141</v>
      </c>
      <c r="I549" s="30" t="s">
        <v>30</v>
      </c>
      <c r="J549" s="30" t="s">
        <v>144</v>
      </c>
      <c r="K549" s="30" t="s">
        <v>117</v>
      </c>
      <c r="L549" s="30" t="s">
        <v>122</v>
      </c>
      <c r="M549" s="48"/>
      <c r="N549" s="30"/>
      <c r="O549" s="30"/>
      <c r="P549" s="30"/>
    </row>
    <row r="550" spans="1:16" ht="60" customHeight="1">
      <c r="A550" s="30" t="s">
        <v>1227</v>
      </c>
      <c r="B550" s="47" t="s">
        <v>1188</v>
      </c>
      <c r="C550" s="48" t="s">
        <v>1228</v>
      </c>
      <c r="D550" s="30"/>
      <c r="E550" s="30"/>
      <c r="F550" s="30"/>
      <c r="G550" s="30"/>
      <c r="H550" s="30" t="s">
        <v>141</v>
      </c>
      <c r="I550" s="30" t="s">
        <v>30</v>
      </c>
      <c r="J550" s="30" t="s">
        <v>144</v>
      </c>
      <c r="K550" s="30" t="s">
        <v>117</v>
      </c>
      <c r="L550" s="30" t="s">
        <v>122</v>
      </c>
      <c r="M550" s="48"/>
      <c r="N550" s="30"/>
      <c r="O550" s="30"/>
      <c r="P550" s="30"/>
    </row>
    <row r="551" spans="1:16" ht="75" customHeight="1">
      <c r="A551" s="30" t="s">
        <v>1229</v>
      </c>
      <c r="B551" s="47" t="s">
        <v>1188</v>
      </c>
      <c r="C551" s="48" t="s">
        <v>1230</v>
      </c>
      <c r="D551" s="30"/>
      <c r="E551" s="30"/>
      <c r="F551" s="30"/>
      <c r="G551" s="30"/>
      <c r="H551" s="30" t="s">
        <v>141</v>
      </c>
      <c r="I551" s="30" t="s">
        <v>30</v>
      </c>
      <c r="J551" s="30" t="s">
        <v>144</v>
      </c>
      <c r="K551" s="30" t="s">
        <v>117</v>
      </c>
      <c r="L551" s="30" t="s">
        <v>122</v>
      </c>
      <c r="M551" s="48"/>
      <c r="N551" s="30"/>
      <c r="O551" s="30"/>
      <c r="P551" s="30"/>
    </row>
    <row r="552" spans="1:16" ht="60" customHeight="1">
      <c r="A552" s="30" t="s">
        <v>1231</v>
      </c>
      <c r="B552" s="47" t="s">
        <v>1188</v>
      </c>
      <c r="C552" s="48" t="s">
        <v>1232</v>
      </c>
      <c r="D552" s="30"/>
      <c r="E552" s="30"/>
      <c r="F552" s="30"/>
      <c r="G552" s="30"/>
      <c r="H552" s="30" t="s">
        <v>141</v>
      </c>
      <c r="I552" s="30" t="s">
        <v>30</v>
      </c>
      <c r="J552" s="30" t="s">
        <v>144</v>
      </c>
      <c r="K552" s="30" t="s">
        <v>117</v>
      </c>
      <c r="L552" s="30" t="s">
        <v>122</v>
      </c>
      <c r="M552" s="48"/>
      <c r="N552" s="30"/>
      <c r="O552" s="30"/>
      <c r="P552" s="30"/>
    </row>
    <row r="553" spans="1:16" ht="75" customHeight="1">
      <c r="A553" s="30" t="s">
        <v>1233</v>
      </c>
      <c r="B553" s="47" t="s">
        <v>1188</v>
      </c>
      <c r="C553" s="48" t="s">
        <v>1234</v>
      </c>
      <c r="D553" s="30"/>
      <c r="E553" s="30"/>
      <c r="F553" s="30"/>
      <c r="G553" s="30"/>
      <c r="H553" s="30" t="s">
        <v>141</v>
      </c>
      <c r="I553" s="30" t="s">
        <v>30</v>
      </c>
      <c r="J553" s="30" t="s">
        <v>144</v>
      </c>
      <c r="K553" s="30" t="s">
        <v>117</v>
      </c>
      <c r="L553" s="30" t="s">
        <v>122</v>
      </c>
      <c r="M553" s="48"/>
      <c r="N553" s="30"/>
      <c r="O553" s="30"/>
      <c r="P553" s="30"/>
    </row>
    <row r="554" spans="1:16" ht="75" customHeight="1">
      <c r="A554" s="30" t="s">
        <v>1235</v>
      </c>
      <c r="B554" s="47" t="s">
        <v>1188</v>
      </c>
      <c r="C554" s="48" t="s">
        <v>1236</v>
      </c>
      <c r="D554" s="30"/>
      <c r="E554" s="30"/>
      <c r="F554" s="30"/>
      <c r="G554" s="30"/>
      <c r="H554" s="30" t="s">
        <v>141</v>
      </c>
      <c r="I554" s="30" t="s">
        <v>30</v>
      </c>
      <c r="J554" s="30" t="s">
        <v>144</v>
      </c>
      <c r="K554" s="30" t="s">
        <v>117</v>
      </c>
      <c r="L554" s="30" t="s">
        <v>122</v>
      </c>
      <c r="M554" s="48"/>
      <c r="N554" s="30"/>
      <c r="O554" s="30"/>
      <c r="P554" s="30"/>
    </row>
    <row r="555" spans="1:16" ht="60" customHeight="1">
      <c r="A555" s="30" t="s">
        <v>1237</v>
      </c>
      <c r="B555" s="47" t="s">
        <v>1188</v>
      </c>
      <c r="C555" s="48" t="s">
        <v>3745</v>
      </c>
      <c r="D555" s="30"/>
      <c r="E555" s="30"/>
      <c r="F555" s="30"/>
      <c r="G555" s="30"/>
      <c r="H555" s="30" t="s">
        <v>141</v>
      </c>
      <c r="I555" s="30" t="s">
        <v>31</v>
      </c>
      <c r="J555" s="30" t="s">
        <v>144</v>
      </c>
      <c r="K555" s="30" t="s">
        <v>116</v>
      </c>
      <c r="L555" s="30" t="s">
        <v>122</v>
      </c>
      <c r="M555" s="48" t="s">
        <v>314</v>
      </c>
      <c r="N555" s="30"/>
      <c r="O555" s="30"/>
      <c r="P555" s="30"/>
    </row>
    <row r="556" spans="1:16" ht="45" customHeight="1">
      <c r="A556" s="30" t="s">
        <v>1238</v>
      </c>
      <c r="B556" s="47" t="s">
        <v>1188</v>
      </c>
      <c r="C556" s="48" t="s">
        <v>1239</v>
      </c>
      <c r="D556" s="30"/>
      <c r="E556" s="30"/>
      <c r="F556" s="30"/>
      <c r="G556" s="30"/>
      <c r="H556" s="30" t="s">
        <v>141</v>
      </c>
      <c r="I556" s="30" t="s">
        <v>31</v>
      </c>
      <c r="J556" s="30" t="s">
        <v>142</v>
      </c>
      <c r="K556" s="30" t="s">
        <v>116</v>
      </c>
      <c r="L556" s="30" t="s">
        <v>122</v>
      </c>
      <c r="M556" s="48" t="s">
        <v>314</v>
      </c>
      <c r="N556" s="30"/>
      <c r="O556" s="30"/>
      <c r="P556" s="30"/>
    </row>
    <row r="557" spans="1:16" ht="60" customHeight="1">
      <c r="A557" s="30" t="s">
        <v>1240</v>
      </c>
      <c r="B557" s="47" t="s">
        <v>1188</v>
      </c>
      <c r="C557" s="48" t="s">
        <v>1241</v>
      </c>
      <c r="D557" s="30"/>
      <c r="E557" s="30"/>
      <c r="F557" s="30"/>
      <c r="G557" s="30"/>
      <c r="H557" s="30" t="s">
        <v>141</v>
      </c>
      <c r="I557" s="30" t="s">
        <v>30</v>
      </c>
      <c r="J557" s="30" t="s">
        <v>144</v>
      </c>
      <c r="K557" s="30" t="s">
        <v>117</v>
      </c>
      <c r="L557" s="30" t="s">
        <v>122</v>
      </c>
      <c r="M557" s="48"/>
      <c r="N557" s="30"/>
      <c r="O557" s="30"/>
      <c r="P557" s="30"/>
    </row>
    <row r="558" spans="1:16" ht="60" customHeight="1">
      <c r="A558" s="30" t="s">
        <v>1242</v>
      </c>
      <c r="B558" s="47" t="s">
        <v>1188</v>
      </c>
      <c r="C558" s="48" t="s">
        <v>1243</v>
      </c>
      <c r="D558" s="30"/>
      <c r="E558" s="30"/>
      <c r="F558" s="30"/>
      <c r="G558" s="30" t="s">
        <v>4025</v>
      </c>
      <c r="H558" s="30" t="s">
        <v>141</v>
      </c>
      <c r="I558" s="30" t="s">
        <v>30</v>
      </c>
      <c r="J558" s="30" t="s">
        <v>142</v>
      </c>
      <c r="K558" s="30" t="s">
        <v>116</v>
      </c>
      <c r="L558" s="30" t="s">
        <v>146</v>
      </c>
      <c r="M558" s="48"/>
      <c r="N558" s="30"/>
      <c r="O558" s="30"/>
      <c r="P558" s="30"/>
    </row>
    <row r="559" spans="1:16" ht="45" customHeight="1">
      <c r="A559" s="30" t="s">
        <v>1244</v>
      </c>
      <c r="B559" s="47" t="s">
        <v>1188</v>
      </c>
      <c r="C559" s="48" t="s">
        <v>1245</v>
      </c>
      <c r="D559" s="30"/>
      <c r="E559" s="30"/>
      <c r="F559" s="30"/>
      <c r="G559" s="30" t="s">
        <v>4025</v>
      </c>
      <c r="H559" s="30" t="s">
        <v>141</v>
      </c>
      <c r="I559" s="30" t="s">
        <v>30</v>
      </c>
      <c r="J559" s="30" t="s">
        <v>142</v>
      </c>
      <c r="K559" s="30" t="s">
        <v>116</v>
      </c>
      <c r="L559" s="30" t="s">
        <v>146</v>
      </c>
      <c r="M559" s="48"/>
      <c r="N559" s="30"/>
      <c r="O559" s="30"/>
      <c r="P559" s="30"/>
    </row>
    <row r="560" spans="1:16" ht="75" customHeight="1">
      <c r="A560" s="30" t="s">
        <v>1246</v>
      </c>
      <c r="B560" s="47" t="s">
        <v>1188</v>
      </c>
      <c r="C560" s="48" t="s">
        <v>1247</v>
      </c>
      <c r="D560" s="30"/>
      <c r="E560" s="30"/>
      <c r="F560" s="30"/>
      <c r="G560" s="30" t="s">
        <v>4025</v>
      </c>
      <c r="H560" s="30" t="s">
        <v>141</v>
      </c>
      <c r="I560" s="30" t="s">
        <v>30</v>
      </c>
      <c r="J560" s="30" t="s">
        <v>142</v>
      </c>
      <c r="K560" s="30" t="s">
        <v>116</v>
      </c>
      <c r="L560" s="30" t="s">
        <v>146</v>
      </c>
      <c r="M560" s="48"/>
      <c r="N560" s="30"/>
      <c r="O560" s="30"/>
      <c r="P560" s="30"/>
    </row>
    <row r="561" spans="1:16" ht="60" customHeight="1">
      <c r="A561" s="30" t="s">
        <v>1248</v>
      </c>
      <c r="B561" s="47" t="s">
        <v>1188</v>
      </c>
      <c r="C561" s="48" t="s">
        <v>3746</v>
      </c>
      <c r="D561" s="30"/>
      <c r="E561" s="30"/>
      <c r="F561" s="30"/>
      <c r="G561" s="30"/>
      <c r="H561" s="30" t="s">
        <v>141</v>
      </c>
      <c r="I561" s="30" t="s">
        <v>30</v>
      </c>
      <c r="J561" s="30" t="s">
        <v>144</v>
      </c>
      <c r="K561" s="30" t="s">
        <v>117</v>
      </c>
      <c r="L561" s="30" t="s">
        <v>122</v>
      </c>
      <c r="M561" s="48"/>
      <c r="N561" s="30"/>
      <c r="O561" s="30"/>
      <c r="P561" s="30"/>
    </row>
    <row r="562" spans="1:16" ht="60" customHeight="1">
      <c r="A562" s="30" t="s">
        <v>1249</v>
      </c>
      <c r="B562" s="47" t="s">
        <v>1188</v>
      </c>
      <c r="C562" s="48" t="s">
        <v>1250</v>
      </c>
      <c r="D562" s="30"/>
      <c r="E562" s="30"/>
      <c r="F562" s="30"/>
      <c r="G562" s="30" t="s">
        <v>4025</v>
      </c>
      <c r="H562" s="30" t="s">
        <v>141</v>
      </c>
      <c r="I562" s="30" t="s">
        <v>30</v>
      </c>
      <c r="J562" s="30" t="s">
        <v>142</v>
      </c>
      <c r="K562" s="30" t="s">
        <v>116</v>
      </c>
      <c r="L562" s="30" t="s">
        <v>146</v>
      </c>
      <c r="M562" s="48"/>
      <c r="N562" s="30"/>
      <c r="O562" s="30"/>
      <c r="P562" s="30"/>
    </row>
    <row r="563" spans="1:16" ht="60" customHeight="1">
      <c r="A563" s="30" t="s">
        <v>1251</v>
      </c>
      <c r="B563" s="47" t="s">
        <v>1188</v>
      </c>
      <c r="C563" s="48" t="s">
        <v>1252</v>
      </c>
      <c r="D563" s="30"/>
      <c r="E563" s="30"/>
      <c r="F563" s="30"/>
      <c r="G563" s="30" t="s">
        <v>4025</v>
      </c>
      <c r="H563" s="30" t="s">
        <v>141</v>
      </c>
      <c r="I563" s="30" t="s">
        <v>30</v>
      </c>
      <c r="J563" s="30" t="s">
        <v>142</v>
      </c>
      <c r="K563" s="30" t="s">
        <v>116</v>
      </c>
      <c r="L563" s="30" t="s">
        <v>146</v>
      </c>
      <c r="M563" s="48"/>
      <c r="N563" s="30"/>
      <c r="O563" s="30"/>
      <c r="P563" s="30"/>
    </row>
    <row r="564" spans="1:16" ht="75" customHeight="1">
      <c r="A564" s="30" t="s">
        <v>1253</v>
      </c>
      <c r="B564" s="47" t="s">
        <v>1254</v>
      </c>
      <c r="C564" s="49" t="s">
        <v>1255</v>
      </c>
      <c r="D564" s="30"/>
      <c r="E564" s="30"/>
      <c r="F564" s="30"/>
      <c r="G564" s="30"/>
      <c r="H564" s="30" t="s">
        <v>141</v>
      </c>
      <c r="I564" s="30" t="s">
        <v>31</v>
      </c>
      <c r="J564" s="30" t="s">
        <v>144</v>
      </c>
      <c r="K564" s="30" t="s">
        <v>117</v>
      </c>
      <c r="L564" s="30" t="s">
        <v>122</v>
      </c>
      <c r="M564" s="48"/>
      <c r="N564" s="30"/>
      <c r="O564" s="30"/>
      <c r="P564" s="30"/>
    </row>
    <row r="565" spans="1:16" ht="90" customHeight="1">
      <c r="A565" s="30" t="s">
        <v>1256</v>
      </c>
      <c r="B565" s="47" t="s">
        <v>1254</v>
      </c>
      <c r="C565" s="49" t="s">
        <v>1257</v>
      </c>
      <c r="D565" s="30"/>
      <c r="E565" s="30"/>
      <c r="F565" s="30"/>
      <c r="G565" s="30"/>
      <c r="H565" s="30" t="s">
        <v>141</v>
      </c>
      <c r="I565" s="30" t="s">
        <v>22</v>
      </c>
      <c r="J565" s="30" t="s">
        <v>144</v>
      </c>
      <c r="K565" s="30" t="s">
        <v>117</v>
      </c>
      <c r="L565" s="30" t="s">
        <v>122</v>
      </c>
      <c r="M565" s="48"/>
      <c r="N565" s="30"/>
      <c r="O565" s="30"/>
      <c r="P565" s="30"/>
    </row>
    <row r="566" spans="1:16" ht="60" customHeight="1">
      <c r="A566" s="30" t="s">
        <v>1258</v>
      </c>
      <c r="B566" s="47" t="s">
        <v>1254</v>
      </c>
      <c r="C566" s="48" t="s">
        <v>1259</v>
      </c>
      <c r="D566" s="30"/>
      <c r="E566" s="30"/>
      <c r="F566" s="30"/>
      <c r="G566" s="30"/>
      <c r="H566" s="30" t="s">
        <v>141</v>
      </c>
      <c r="I566" s="30" t="s">
        <v>22</v>
      </c>
      <c r="J566" s="30" t="s">
        <v>144</v>
      </c>
      <c r="K566" s="30" t="s">
        <v>117</v>
      </c>
      <c r="L566" s="30" t="s">
        <v>122</v>
      </c>
      <c r="M566" s="48"/>
      <c r="N566" s="30"/>
      <c r="O566" s="30"/>
      <c r="P566" s="30"/>
    </row>
    <row r="567" spans="1:16" ht="45" customHeight="1">
      <c r="A567" s="30" t="s">
        <v>1260</v>
      </c>
      <c r="B567" s="47" t="s">
        <v>1254</v>
      </c>
      <c r="C567" s="49" t="s">
        <v>1261</v>
      </c>
      <c r="D567" s="30"/>
      <c r="E567" s="30"/>
      <c r="F567" s="30"/>
      <c r="G567" s="30"/>
      <c r="H567" s="30" t="s">
        <v>141</v>
      </c>
      <c r="I567" s="30" t="s">
        <v>22</v>
      </c>
      <c r="J567" s="30" t="s">
        <v>144</v>
      </c>
      <c r="K567" s="30" t="s">
        <v>117</v>
      </c>
      <c r="L567" s="30" t="s">
        <v>122</v>
      </c>
      <c r="M567" s="48"/>
      <c r="N567" s="30"/>
      <c r="O567" s="30"/>
      <c r="P567" s="30"/>
    </row>
    <row r="568" spans="1:16" ht="45" customHeight="1">
      <c r="A568" s="30" t="s">
        <v>1262</v>
      </c>
      <c r="B568" s="47" t="s">
        <v>1263</v>
      </c>
      <c r="C568" s="49" t="s">
        <v>1264</v>
      </c>
      <c r="D568" s="30"/>
      <c r="E568" s="30"/>
      <c r="F568" s="30"/>
      <c r="G568" s="30"/>
      <c r="H568" s="30" t="s">
        <v>141</v>
      </c>
      <c r="I568" s="30" t="s">
        <v>31</v>
      </c>
      <c r="J568" s="30" t="s">
        <v>144</v>
      </c>
      <c r="K568" s="30" t="s">
        <v>117</v>
      </c>
      <c r="L568" s="30" t="s">
        <v>122</v>
      </c>
      <c r="M568" s="48"/>
      <c r="N568" s="30"/>
      <c r="O568" s="30"/>
      <c r="P568" s="30"/>
    </row>
    <row r="569" spans="1:16" ht="45" customHeight="1">
      <c r="A569" s="30" t="s">
        <v>1265</v>
      </c>
      <c r="B569" s="47" t="s">
        <v>1263</v>
      </c>
      <c r="C569" s="49" t="s">
        <v>1266</v>
      </c>
      <c r="D569" s="30"/>
      <c r="E569" s="30"/>
      <c r="F569" s="30"/>
      <c r="G569" s="30"/>
      <c r="H569" s="30" t="s">
        <v>141</v>
      </c>
      <c r="I569" s="30" t="s">
        <v>31</v>
      </c>
      <c r="J569" s="30" t="s">
        <v>144</v>
      </c>
      <c r="K569" s="30" t="s">
        <v>117</v>
      </c>
      <c r="L569" s="30" t="s">
        <v>122</v>
      </c>
      <c r="M569" s="48"/>
      <c r="N569" s="30"/>
      <c r="O569" s="30"/>
      <c r="P569" s="30"/>
    </row>
    <row r="570" spans="1:16" ht="60" customHeight="1">
      <c r="A570" s="30" t="s">
        <v>1267</v>
      </c>
      <c r="B570" s="47" t="s">
        <v>1263</v>
      </c>
      <c r="C570" s="49" t="s">
        <v>1268</v>
      </c>
      <c r="D570" s="30"/>
      <c r="E570" s="30"/>
      <c r="F570" s="30"/>
      <c r="G570" s="30"/>
      <c r="H570" s="30" t="s">
        <v>141</v>
      </c>
      <c r="I570" s="30" t="s">
        <v>30</v>
      </c>
      <c r="J570" s="30" t="s">
        <v>144</v>
      </c>
      <c r="K570" s="30" t="s">
        <v>117</v>
      </c>
      <c r="L570" s="30" t="s">
        <v>122</v>
      </c>
      <c r="M570" s="48"/>
      <c r="N570" s="30"/>
      <c r="O570" s="30"/>
      <c r="P570" s="30"/>
    </row>
    <row r="571" spans="1:16" ht="45" customHeight="1">
      <c r="A571" s="30" t="s">
        <v>1269</v>
      </c>
      <c r="B571" s="47" t="s">
        <v>1263</v>
      </c>
      <c r="C571" s="49" t="s">
        <v>1270</v>
      </c>
      <c r="D571" s="30"/>
      <c r="E571" s="30"/>
      <c r="F571" s="30"/>
      <c r="G571" s="30"/>
      <c r="H571" s="30" t="s">
        <v>141</v>
      </c>
      <c r="I571" s="30" t="s">
        <v>31</v>
      </c>
      <c r="J571" s="30" t="s">
        <v>144</v>
      </c>
      <c r="K571" s="30" t="s">
        <v>117</v>
      </c>
      <c r="L571" s="30" t="s">
        <v>122</v>
      </c>
      <c r="M571" s="48"/>
      <c r="N571" s="30"/>
      <c r="O571" s="30"/>
      <c r="P571" s="30"/>
    </row>
    <row r="572" spans="1:16" ht="60" customHeight="1">
      <c r="A572" s="30" t="s">
        <v>1271</v>
      </c>
      <c r="B572" s="47" t="s">
        <v>1263</v>
      </c>
      <c r="C572" s="49" t="s">
        <v>1272</v>
      </c>
      <c r="D572" s="30"/>
      <c r="E572" s="30"/>
      <c r="F572" s="30"/>
      <c r="G572" s="30"/>
      <c r="H572" s="30" t="s">
        <v>141</v>
      </c>
      <c r="I572" s="30" t="s">
        <v>31</v>
      </c>
      <c r="J572" s="30" t="s">
        <v>144</v>
      </c>
      <c r="K572" s="30" t="s">
        <v>117</v>
      </c>
      <c r="L572" s="30" t="s">
        <v>122</v>
      </c>
      <c r="M572" s="48"/>
      <c r="N572" s="30"/>
      <c r="O572" s="30"/>
      <c r="P572" s="30"/>
    </row>
    <row r="573" spans="1:16" ht="30" customHeight="1">
      <c r="A573" s="30" t="s">
        <v>1273</v>
      </c>
      <c r="B573" s="47" t="s">
        <v>1263</v>
      </c>
      <c r="C573" s="48" t="s">
        <v>3754</v>
      </c>
      <c r="D573" s="30"/>
      <c r="E573" s="30"/>
      <c r="F573" s="30"/>
      <c r="G573" s="30"/>
      <c r="H573" s="30" t="s">
        <v>141</v>
      </c>
      <c r="I573" s="30" t="s">
        <v>31</v>
      </c>
      <c r="J573" s="30" t="s">
        <v>144</v>
      </c>
      <c r="K573" s="30" t="s">
        <v>117</v>
      </c>
      <c r="L573" s="30" t="s">
        <v>122</v>
      </c>
      <c r="M573" s="48"/>
      <c r="N573" s="30"/>
      <c r="O573" s="30"/>
      <c r="P573" s="30"/>
    </row>
    <row r="574" spans="1:16" ht="60" customHeight="1">
      <c r="A574" s="30" t="s">
        <v>1274</v>
      </c>
      <c r="B574" s="47" t="s">
        <v>1263</v>
      </c>
      <c r="C574" s="49" t="s">
        <v>1275</v>
      </c>
      <c r="D574" s="30"/>
      <c r="E574" s="30"/>
      <c r="F574" s="30"/>
      <c r="G574" s="30"/>
      <c r="H574" s="30" t="s">
        <v>141</v>
      </c>
      <c r="I574" s="30" t="s">
        <v>31</v>
      </c>
      <c r="J574" s="30" t="s">
        <v>144</v>
      </c>
      <c r="K574" s="30" t="s">
        <v>117</v>
      </c>
      <c r="L574" s="30" t="s">
        <v>122</v>
      </c>
      <c r="M574" s="48"/>
      <c r="N574" s="30"/>
      <c r="O574" s="30"/>
      <c r="P574" s="30"/>
    </row>
    <row r="575" spans="1:16" ht="90" customHeight="1">
      <c r="A575" s="30" t="s">
        <v>1276</v>
      </c>
      <c r="B575" s="47" t="s">
        <v>1263</v>
      </c>
      <c r="C575" s="49" t="s">
        <v>1277</v>
      </c>
      <c r="D575" s="30"/>
      <c r="E575" s="30"/>
      <c r="F575" s="30"/>
      <c r="G575" s="30"/>
      <c r="H575" s="30" t="s">
        <v>141</v>
      </c>
      <c r="I575" s="30" t="s">
        <v>30</v>
      </c>
      <c r="J575" s="30" t="s">
        <v>144</v>
      </c>
      <c r="K575" s="30" t="s">
        <v>117</v>
      </c>
      <c r="L575" s="30" t="s">
        <v>122</v>
      </c>
      <c r="M575" s="48"/>
      <c r="N575" s="30"/>
      <c r="O575" s="30"/>
      <c r="P575" s="30"/>
    </row>
    <row r="576" spans="1:16" ht="30" customHeight="1">
      <c r="A576" s="30" t="s">
        <v>1278</v>
      </c>
      <c r="B576" s="47" t="s">
        <v>1263</v>
      </c>
      <c r="C576" s="49" t="s">
        <v>1279</v>
      </c>
      <c r="D576" s="30"/>
      <c r="E576" s="30"/>
      <c r="F576" s="30"/>
      <c r="G576" s="30"/>
      <c r="H576" s="30" t="s">
        <v>141</v>
      </c>
      <c r="I576" s="30" t="s">
        <v>31</v>
      </c>
      <c r="J576" s="30" t="s">
        <v>145</v>
      </c>
      <c r="K576" s="30" t="s">
        <v>116</v>
      </c>
      <c r="L576" s="30" t="s">
        <v>122</v>
      </c>
      <c r="M576" s="48" t="s">
        <v>314</v>
      </c>
      <c r="N576" s="30"/>
      <c r="O576" s="30"/>
      <c r="P576" s="30"/>
    </row>
    <row r="577" spans="1:16" ht="30" customHeight="1">
      <c r="A577" s="30" t="s">
        <v>1280</v>
      </c>
      <c r="B577" s="47" t="s">
        <v>1263</v>
      </c>
      <c r="C577" s="48" t="s">
        <v>1281</v>
      </c>
      <c r="D577" s="30"/>
      <c r="E577" s="30"/>
      <c r="F577" s="30"/>
      <c r="G577" s="30"/>
      <c r="H577" s="30" t="s">
        <v>141</v>
      </c>
      <c r="I577" s="30" t="s">
        <v>30</v>
      </c>
      <c r="J577" s="30" t="s">
        <v>142</v>
      </c>
      <c r="K577" s="30" t="s">
        <v>116</v>
      </c>
      <c r="L577" s="30" t="s">
        <v>121</v>
      </c>
      <c r="M577" s="48" t="s">
        <v>316</v>
      </c>
      <c r="N577" s="30"/>
      <c r="O577" s="30"/>
      <c r="P577" s="30"/>
    </row>
    <row r="578" spans="1:16" ht="30" customHeight="1">
      <c r="A578" s="30" t="s">
        <v>1282</v>
      </c>
      <c r="B578" s="47" t="s">
        <v>1263</v>
      </c>
      <c r="C578" s="48" t="s">
        <v>4085</v>
      </c>
      <c r="D578" s="30"/>
      <c r="E578" s="30"/>
      <c r="F578" s="30" t="s">
        <v>1283</v>
      </c>
      <c r="G578" s="30" t="s">
        <v>138</v>
      </c>
      <c r="H578" s="30" t="s">
        <v>141</v>
      </c>
      <c r="I578" s="30" t="s">
        <v>30</v>
      </c>
      <c r="J578" s="30" t="s">
        <v>142</v>
      </c>
      <c r="K578" s="30" t="s">
        <v>116</v>
      </c>
      <c r="L578" s="30" t="s">
        <v>143</v>
      </c>
      <c r="M578" s="48"/>
      <c r="N578" s="30"/>
      <c r="O578" s="30"/>
      <c r="P578" s="30"/>
    </row>
    <row r="579" spans="1:16" ht="45" customHeight="1">
      <c r="A579" s="30" t="s">
        <v>1284</v>
      </c>
      <c r="B579" s="47" t="s">
        <v>1263</v>
      </c>
      <c r="C579" s="49" t="s">
        <v>1285</v>
      </c>
      <c r="D579" s="30"/>
      <c r="E579" s="30"/>
      <c r="F579" s="30"/>
      <c r="G579" s="30"/>
      <c r="H579" s="30" t="s">
        <v>141</v>
      </c>
      <c r="I579" s="30" t="s">
        <v>31</v>
      </c>
      <c r="J579" s="30" t="s">
        <v>144</v>
      </c>
      <c r="K579" s="30" t="s">
        <v>117</v>
      </c>
      <c r="L579" s="30" t="s">
        <v>122</v>
      </c>
      <c r="M579" s="48"/>
      <c r="N579" s="30"/>
      <c r="O579" s="30"/>
      <c r="P579" s="30"/>
    </row>
    <row r="580" spans="1:16" ht="60" customHeight="1">
      <c r="A580" s="30" t="s">
        <v>1286</v>
      </c>
      <c r="B580" s="47" t="s">
        <v>1263</v>
      </c>
      <c r="C580" s="49" t="s">
        <v>1287</v>
      </c>
      <c r="D580" s="30"/>
      <c r="E580" s="30"/>
      <c r="F580" s="30"/>
      <c r="G580" s="30"/>
      <c r="H580" s="30" t="s">
        <v>141</v>
      </c>
      <c r="I580" s="30" t="s">
        <v>31</v>
      </c>
      <c r="J580" s="30" t="s">
        <v>144</v>
      </c>
      <c r="K580" s="30" t="s">
        <v>117</v>
      </c>
      <c r="L580" s="30" t="s">
        <v>122</v>
      </c>
      <c r="M580" s="48"/>
      <c r="N580" s="30"/>
      <c r="O580" s="30"/>
      <c r="P580" s="30"/>
    </row>
    <row r="581" spans="1:16" ht="60" customHeight="1">
      <c r="A581" s="30" t="s">
        <v>1288</v>
      </c>
      <c r="B581" s="47" t="s">
        <v>1263</v>
      </c>
      <c r="C581" s="49" t="s">
        <v>1289</v>
      </c>
      <c r="D581" s="30"/>
      <c r="E581" s="30"/>
      <c r="F581" s="30"/>
      <c r="G581" s="30"/>
      <c r="H581" s="30" t="s">
        <v>141</v>
      </c>
      <c r="I581" s="30" t="s">
        <v>31</v>
      </c>
      <c r="J581" s="30" t="s">
        <v>144</v>
      </c>
      <c r="K581" s="30" t="s">
        <v>117</v>
      </c>
      <c r="L581" s="30" t="s">
        <v>122</v>
      </c>
      <c r="M581" s="48"/>
      <c r="N581" s="30"/>
      <c r="O581" s="30"/>
      <c r="P581" s="30"/>
    </row>
    <row r="582" spans="1:16" ht="45" customHeight="1">
      <c r="A582" s="30" t="s">
        <v>1290</v>
      </c>
      <c r="B582" s="47" t="s">
        <v>1263</v>
      </c>
      <c r="C582" s="49" t="s">
        <v>1291</v>
      </c>
      <c r="D582" s="30"/>
      <c r="E582" s="30"/>
      <c r="F582" s="30"/>
      <c r="G582" s="30"/>
      <c r="H582" s="30" t="s">
        <v>141</v>
      </c>
      <c r="I582" s="30" t="s">
        <v>31</v>
      </c>
      <c r="J582" s="30" t="s">
        <v>144</v>
      </c>
      <c r="K582" s="30" t="s">
        <v>117</v>
      </c>
      <c r="L582" s="30" t="s">
        <v>122</v>
      </c>
      <c r="M582" s="48"/>
      <c r="N582" s="30"/>
      <c r="O582" s="30"/>
      <c r="P582" s="30"/>
    </row>
    <row r="583" spans="1:16" ht="60" customHeight="1">
      <c r="A583" s="30" t="s">
        <v>1292</v>
      </c>
      <c r="B583" s="47" t="s">
        <v>1263</v>
      </c>
      <c r="C583" s="49" t="s">
        <v>1293</v>
      </c>
      <c r="D583" s="30"/>
      <c r="E583" s="30"/>
      <c r="F583" s="30"/>
      <c r="G583" s="30"/>
      <c r="H583" s="30" t="s">
        <v>141</v>
      </c>
      <c r="I583" s="30" t="s">
        <v>31</v>
      </c>
      <c r="J583" s="30" t="s">
        <v>144</v>
      </c>
      <c r="K583" s="30" t="s">
        <v>117</v>
      </c>
      <c r="L583" s="30" t="s">
        <v>122</v>
      </c>
      <c r="M583" s="48"/>
      <c r="N583" s="30"/>
      <c r="O583" s="30"/>
      <c r="P583" s="30"/>
    </row>
    <row r="584" spans="1:16" ht="75" customHeight="1">
      <c r="A584" s="30" t="s">
        <v>1294</v>
      </c>
      <c r="B584" s="50" t="s">
        <v>1295</v>
      </c>
      <c r="C584" s="52" t="s">
        <v>3757</v>
      </c>
      <c r="D584" s="30"/>
      <c r="E584" s="30"/>
      <c r="F584" s="30"/>
      <c r="G584" s="30"/>
      <c r="H584" s="30" t="s">
        <v>141</v>
      </c>
      <c r="I584" s="30" t="s">
        <v>31</v>
      </c>
      <c r="J584" s="30" t="s">
        <v>145</v>
      </c>
      <c r="K584" s="30" t="s">
        <v>116</v>
      </c>
      <c r="L584" s="30" t="s">
        <v>122</v>
      </c>
      <c r="M584" s="48" t="s">
        <v>184</v>
      </c>
      <c r="N584" s="30"/>
      <c r="O584" s="30"/>
      <c r="P584" s="30"/>
    </row>
    <row r="585" spans="1:16" ht="75" customHeight="1">
      <c r="A585" s="30" t="s">
        <v>1296</v>
      </c>
      <c r="B585" s="47" t="s">
        <v>1297</v>
      </c>
      <c r="C585" s="48" t="s">
        <v>3758</v>
      </c>
      <c r="D585" s="30"/>
      <c r="E585" s="30"/>
      <c r="F585" s="30"/>
      <c r="G585" s="30"/>
      <c r="H585" s="30" t="s">
        <v>149</v>
      </c>
      <c r="I585" s="30" t="s">
        <v>1298</v>
      </c>
      <c r="J585" s="30" t="s">
        <v>144</v>
      </c>
      <c r="K585" s="30" t="s">
        <v>117</v>
      </c>
      <c r="L585" s="30" t="s">
        <v>3664</v>
      </c>
      <c r="M585" s="51" t="s">
        <v>3759</v>
      </c>
      <c r="N585" s="30"/>
      <c r="O585" s="30"/>
      <c r="P585" s="30"/>
    </row>
    <row r="586" spans="1:16" ht="60" customHeight="1">
      <c r="A586" s="30" t="s">
        <v>1299</v>
      </c>
      <c r="B586" s="47" t="s">
        <v>1295</v>
      </c>
      <c r="C586" s="49" t="s">
        <v>1300</v>
      </c>
      <c r="D586" s="30"/>
      <c r="E586" s="30"/>
      <c r="F586" s="30"/>
      <c r="G586" s="30"/>
      <c r="H586" s="30" t="s">
        <v>141</v>
      </c>
      <c r="I586" s="30" t="s">
        <v>30</v>
      </c>
      <c r="J586" s="30" t="s">
        <v>144</v>
      </c>
      <c r="K586" s="30" t="s">
        <v>117</v>
      </c>
      <c r="L586" s="30" t="s">
        <v>122</v>
      </c>
      <c r="M586" s="48" t="s">
        <v>1301</v>
      </c>
      <c r="N586" s="30"/>
      <c r="O586" s="30"/>
      <c r="P586" s="30"/>
    </row>
    <row r="587" spans="1:16" ht="90" customHeight="1">
      <c r="A587" s="30" t="s">
        <v>1302</v>
      </c>
      <c r="B587" s="47" t="s">
        <v>1263</v>
      </c>
      <c r="C587" s="48" t="s">
        <v>1303</v>
      </c>
      <c r="D587" s="30"/>
      <c r="E587" s="30"/>
      <c r="F587" s="30"/>
      <c r="G587" s="30"/>
      <c r="H587" s="30" t="s">
        <v>141</v>
      </c>
      <c r="I587" s="30" t="s">
        <v>31</v>
      </c>
      <c r="J587" s="30" t="s">
        <v>142</v>
      </c>
      <c r="K587" s="30" t="s">
        <v>116</v>
      </c>
      <c r="L587" s="30" t="s">
        <v>122</v>
      </c>
      <c r="M587" s="48" t="s">
        <v>184</v>
      </c>
      <c r="N587" s="30"/>
      <c r="O587" s="30"/>
      <c r="P587" s="30"/>
    </row>
    <row r="588" spans="1:16" ht="45" customHeight="1">
      <c r="A588" s="30" t="s">
        <v>1304</v>
      </c>
      <c r="B588" s="47" t="s">
        <v>1295</v>
      </c>
      <c r="C588" s="49" t="s">
        <v>1305</v>
      </c>
      <c r="D588" s="30"/>
      <c r="E588" s="30"/>
      <c r="F588" s="30"/>
      <c r="G588" s="30"/>
      <c r="H588" s="30" t="s">
        <v>141</v>
      </c>
      <c r="I588" s="30" t="s">
        <v>30</v>
      </c>
      <c r="J588" s="30" t="s">
        <v>144</v>
      </c>
      <c r="K588" s="30" t="s">
        <v>117</v>
      </c>
      <c r="L588" s="30" t="s">
        <v>122</v>
      </c>
      <c r="M588" s="48"/>
      <c r="N588" s="30"/>
      <c r="O588" s="30"/>
      <c r="P588" s="30"/>
    </row>
    <row r="589" spans="1:16" ht="30" customHeight="1">
      <c r="A589" s="30" t="s">
        <v>1306</v>
      </c>
      <c r="B589" s="47" t="s">
        <v>1295</v>
      </c>
      <c r="C589" s="49" t="s">
        <v>1307</v>
      </c>
      <c r="D589" s="30"/>
      <c r="E589" s="30"/>
      <c r="F589" s="30"/>
      <c r="G589" s="30"/>
      <c r="H589" s="30" t="s">
        <v>141</v>
      </c>
      <c r="I589" s="30" t="s">
        <v>30</v>
      </c>
      <c r="J589" s="30" t="s">
        <v>144</v>
      </c>
      <c r="K589" s="30" t="s">
        <v>117</v>
      </c>
      <c r="L589" s="30" t="s">
        <v>122</v>
      </c>
      <c r="M589" s="48"/>
      <c r="N589" s="30"/>
      <c r="O589" s="30"/>
      <c r="P589" s="30"/>
    </row>
    <row r="590" spans="1:16" ht="60" customHeight="1">
      <c r="A590" s="30" t="s">
        <v>1308</v>
      </c>
      <c r="B590" s="47" t="s">
        <v>1295</v>
      </c>
      <c r="C590" s="49" t="s">
        <v>1309</v>
      </c>
      <c r="D590" s="30"/>
      <c r="E590" s="30"/>
      <c r="F590" s="30"/>
      <c r="G590" s="30"/>
      <c r="H590" s="30" t="s">
        <v>141</v>
      </c>
      <c r="I590" s="30" t="s">
        <v>30</v>
      </c>
      <c r="J590" s="30" t="s">
        <v>144</v>
      </c>
      <c r="K590" s="30" t="s">
        <v>117</v>
      </c>
      <c r="L590" s="30" t="s">
        <v>122</v>
      </c>
      <c r="M590" s="48"/>
      <c r="N590" s="30"/>
      <c r="O590" s="30"/>
      <c r="P590" s="30"/>
    </row>
    <row r="591" spans="1:16" ht="30" customHeight="1">
      <c r="A591" s="30" t="s">
        <v>1310</v>
      </c>
      <c r="B591" s="47" t="s">
        <v>1295</v>
      </c>
      <c r="C591" s="49" t="s">
        <v>1311</v>
      </c>
      <c r="D591" s="30"/>
      <c r="E591" s="30"/>
      <c r="F591" s="30"/>
      <c r="G591" s="30"/>
      <c r="H591" s="30" t="s">
        <v>141</v>
      </c>
      <c r="I591" s="30" t="s">
        <v>30</v>
      </c>
      <c r="J591" s="30" t="s">
        <v>144</v>
      </c>
      <c r="K591" s="30" t="s">
        <v>117</v>
      </c>
      <c r="L591" s="30" t="s">
        <v>122</v>
      </c>
      <c r="M591" s="48"/>
      <c r="N591" s="30"/>
      <c r="O591" s="30"/>
      <c r="P591" s="30"/>
    </row>
    <row r="592" spans="1:16" ht="60" customHeight="1">
      <c r="A592" s="30" t="s">
        <v>1312</v>
      </c>
      <c r="B592" s="47" t="s">
        <v>1295</v>
      </c>
      <c r="C592" s="49" t="s">
        <v>1313</v>
      </c>
      <c r="D592" s="30"/>
      <c r="E592" s="30"/>
      <c r="F592" s="30"/>
      <c r="G592" s="30"/>
      <c r="H592" s="30" t="s">
        <v>141</v>
      </c>
      <c r="I592" s="30" t="s">
        <v>30</v>
      </c>
      <c r="J592" s="30" t="s">
        <v>144</v>
      </c>
      <c r="K592" s="30" t="s">
        <v>117</v>
      </c>
      <c r="L592" s="30" t="s">
        <v>122</v>
      </c>
      <c r="M592" s="48"/>
      <c r="N592" s="30"/>
      <c r="O592" s="30"/>
      <c r="P592" s="30"/>
    </row>
    <row r="593" spans="1:16" ht="75" customHeight="1">
      <c r="A593" s="30" t="s">
        <v>1314</v>
      </c>
      <c r="B593" s="47" t="s">
        <v>1295</v>
      </c>
      <c r="C593" s="49" t="s">
        <v>1315</v>
      </c>
      <c r="D593" s="30"/>
      <c r="E593" s="30"/>
      <c r="F593" s="30"/>
      <c r="G593" s="30"/>
      <c r="H593" s="30" t="s">
        <v>141</v>
      </c>
      <c r="I593" s="30" t="s">
        <v>30</v>
      </c>
      <c r="J593" s="30" t="s">
        <v>144</v>
      </c>
      <c r="K593" s="30" t="s">
        <v>117</v>
      </c>
      <c r="L593" s="30" t="s">
        <v>122</v>
      </c>
      <c r="M593" s="48"/>
      <c r="N593" s="30"/>
      <c r="O593" s="30"/>
      <c r="P593" s="30"/>
    </row>
    <row r="594" spans="1:16" ht="45" customHeight="1">
      <c r="A594" s="30" t="s">
        <v>1316</v>
      </c>
      <c r="B594" s="47" t="s">
        <v>1295</v>
      </c>
      <c r="C594" s="49" t="s">
        <v>1317</v>
      </c>
      <c r="D594" s="30"/>
      <c r="E594" s="30"/>
      <c r="F594" s="30"/>
      <c r="G594" s="30"/>
      <c r="H594" s="30" t="s">
        <v>141</v>
      </c>
      <c r="I594" s="30" t="s">
        <v>30</v>
      </c>
      <c r="J594" s="30" t="s">
        <v>144</v>
      </c>
      <c r="K594" s="30" t="s">
        <v>117</v>
      </c>
      <c r="L594" s="30" t="s">
        <v>122</v>
      </c>
      <c r="M594" s="48"/>
      <c r="N594" s="30"/>
      <c r="O594" s="30"/>
      <c r="P594" s="30"/>
    </row>
    <row r="595" spans="1:16" ht="45" customHeight="1">
      <c r="A595" s="30" t="s">
        <v>1318</v>
      </c>
      <c r="B595" s="47" t="s">
        <v>1295</v>
      </c>
      <c r="C595" s="49" t="s">
        <v>1319</v>
      </c>
      <c r="D595" s="30"/>
      <c r="E595" s="30"/>
      <c r="F595" s="30"/>
      <c r="G595" s="30"/>
      <c r="H595" s="30" t="s">
        <v>141</v>
      </c>
      <c r="I595" s="30" t="s">
        <v>30</v>
      </c>
      <c r="J595" s="30" t="s">
        <v>144</v>
      </c>
      <c r="K595" s="30" t="s">
        <v>117</v>
      </c>
      <c r="L595" s="30" t="s">
        <v>122</v>
      </c>
      <c r="M595" s="48"/>
      <c r="N595" s="30"/>
      <c r="O595" s="30"/>
      <c r="P595" s="30"/>
    </row>
    <row r="596" spans="1:16" ht="45" customHeight="1">
      <c r="A596" s="30" t="s">
        <v>1320</v>
      </c>
      <c r="B596" s="47" t="s">
        <v>1295</v>
      </c>
      <c r="C596" s="49" t="s">
        <v>1321</v>
      </c>
      <c r="D596" s="30"/>
      <c r="E596" s="30"/>
      <c r="F596" s="30"/>
      <c r="G596" s="30"/>
      <c r="H596" s="30" t="s">
        <v>141</v>
      </c>
      <c r="I596" s="30" t="s">
        <v>30</v>
      </c>
      <c r="J596" s="30" t="s">
        <v>144</v>
      </c>
      <c r="K596" s="30" t="s">
        <v>117</v>
      </c>
      <c r="L596" s="30" t="s">
        <v>122</v>
      </c>
      <c r="M596" s="48"/>
      <c r="N596" s="30"/>
      <c r="O596" s="30"/>
      <c r="P596" s="30"/>
    </row>
    <row r="597" spans="1:16" ht="30" customHeight="1">
      <c r="A597" s="30" t="s">
        <v>1322</v>
      </c>
      <c r="B597" s="47" t="s">
        <v>1323</v>
      </c>
      <c r="C597" s="48" t="s">
        <v>1324</v>
      </c>
      <c r="D597" s="30"/>
      <c r="E597" s="30"/>
      <c r="F597" s="30"/>
      <c r="G597" s="30"/>
      <c r="H597" s="30" t="s">
        <v>141</v>
      </c>
      <c r="I597" s="30" t="s">
        <v>31</v>
      </c>
      <c r="J597" s="30" t="s">
        <v>144</v>
      </c>
      <c r="K597" s="30" t="s">
        <v>1325</v>
      </c>
      <c r="L597" s="30" t="s">
        <v>122</v>
      </c>
      <c r="M597" s="48"/>
      <c r="N597" s="30"/>
      <c r="O597" s="30"/>
      <c r="P597" s="30"/>
    </row>
    <row r="598" spans="1:16" ht="60" customHeight="1">
      <c r="A598" s="30" t="s">
        <v>1326</v>
      </c>
      <c r="B598" s="47" t="s">
        <v>1323</v>
      </c>
      <c r="C598" s="48" t="s">
        <v>1327</v>
      </c>
      <c r="D598" s="30"/>
      <c r="E598" s="30"/>
      <c r="F598" s="30"/>
      <c r="G598" s="30"/>
      <c r="H598" s="30" t="s">
        <v>141</v>
      </c>
      <c r="I598" s="30" t="s">
        <v>30</v>
      </c>
      <c r="J598" s="30" t="s">
        <v>144</v>
      </c>
      <c r="K598" s="30" t="s">
        <v>117</v>
      </c>
      <c r="L598" s="30" t="s">
        <v>122</v>
      </c>
      <c r="M598" s="48"/>
      <c r="N598" s="30"/>
      <c r="O598" s="30"/>
      <c r="P598" s="30"/>
    </row>
    <row r="599" spans="1:16" ht="45" customHeight="1">
      <c r="A599" s="30" t="s">
        <v>1328</v>
      </c>
      <c r="B599" s="47" t="s">
        <v>1329</v>
      </c>
      <c r="C599" s="48" t="s">
        <v>1330</v>
      </c>
      <c r="D599" s="30"/>
      <c r="E599" s="30"/>
      <c r="F599" s="30"/>
      <c r="G599" s="30"/>
      <c r="H599" s="30" t="s">
        <v>141</v>
      </c>
      <c r="I599" s="30" t="s">
        <v>31</v>
      </c>
      <c r="J599" s="30" t="s">
        <v>144</v>
      </c>
      <c r="K599" s="30" t="s">
        <v>117</v>
      </c>
      <c r="L599" s="30" t="s">
        <v>122</v>
      </c>
      <c r="M599" s="48"/>
      <c r="N599" s="30"/>
      <c r="O599" s="30"/>
      <c r="P599" s="30"/>
    </row>
    <row r="600" spans="1:16" ht="75" customHeight="1">
      <c r="A600" s="30" t="s">
        <v>1331</v>
      </c>
      <c r="B600" s="47" t="s">
        <v>1323</v>
      </c>
      <c r="C600" s="48" t="s">
        <v>1332</v>
      </c>
      <c r="D600" s="30"/>
      <c r="E600" s="30"/>
      <c r="F600" s="30"/>
      <c r="G600" s="30"/>
      <c r="H600" s="30" t="s">
        <v>141</v>
      </c>
      <c r="I600" s="30" t="s">
        <v>30</v>
      </c>
      <c r="J600" s="30" t="s">
        <v>144</v>
      </c>
      <c r="K600" s="30" t="s">
        <v>117</v>
      </c>
      <c r="L600" s="30" t="s">
        <v>122</v>
      </c>
      <c r="M600" s="48"/>
      <c r="N600" s="30"/>
      <c r="O600" s="30"/>
      <c r="P600" s="30"/>
    </row>
    <row r="601" spans="1:16" ht="30" customHeight="1">
      <c r="A601" s="30" t="s">
        <v>1333</v>
      </c>
      <c r="B601" s="47" t="s">
        <v>1323</v>
      </c>
      <c r="C601" s="48" t="s">
        <v>3760</v>
      </c>
      <c r="D601" s="30"/>
      <c r="E601" s="30"/>
      <c r="F601" s="30"/>
      <c r="G601" s="30" t="s">
        <v>4025</v>
      </c>
      <c r="H601" s="30" t="s">
        <v>141</v>
      </c>
      <c r="I601" s="30" t="s">
        <v>30</v>
      </c>
      <c r="J601" s="30" t="s">
        <v>145</v>
      </c>
      <c r="K601" s="30" t="s">
        <v>116</v>
      </c>
      <c r="L601" s="30" t="s">
        <v>146</v>
      </c>
      <c r="M601" s="48"/>
      <c r="N601" s="30"/>
      <c r="O601" s="30"/>
      <c r="P601" s="30"/>
    </row>
    <row r="602" spans="1:16" ht="150" customHeight="1">
      <c r="A602" s="30" t="s">
        <v>1334</v>
      </c>
      <c r="B602" s="47" t="s">
        <v>1323</v>
      </c>
      <c r="C602" s="48" t="s">
        <v>3763</v>
      </c>
      <c r="D602" s="30"/>
      <c r="E602" s="30"/>
      <c r="F602" s="30"/>
      <c r="G602" s="30" t="s">
        <v>4025</v>
      </c>
      <c r="H602" s="30" t="s">
        <v>141</v>
      </c>
      <c r="I602" s="30" t="s">
        <v>30</v>
      </c>
      <c r="J602" s="30" t="s">
        <v>145</v>
      </c>
      <c r="K602" s="30" t="s">
        <v>116</v>
      </c>
      <c r="L602" s="30" t="s">
        <v>146</v>
      </c>
      <c r="M602" s="48"/>
      <c r="N602" s="30"/>
      <c r="O602" s="30"/>
      <c r="P602" s="30"/>
    </row>
    <row r="603" spans="1:16" ht="150" customHeight="1">
      <c r="A603" s="30" t="s">
        <v>1335</v>
      </c>
      <c r="B603" s="47" t="s">
        <v>1323</v>
      </c>
      <c r="C603" s="48" t="s">
        <v>4073</v>
      </c>
      <c r="D603" s="30"/>
      <c r="E603" s="30"/>
      <c r="F603" s="30" t="s">
        <v>1336</v>
      </c>
      <c r="G603" s="30" t="s">
        <v>4025</v>
      </c>
      <c r="H603" s="30" t="s">
        <v>149</v>
      </c>
      <c r="I603" s="30" t="s">
        <v>30</v>
      </c>
      <c r="J603" s="30" t="s">
        <v>145</v>
      </c>
      <c r="K603" s="30" t="s">
        <v>116</v>
      </c>
      <c r="L603" s="30" t="s">
        <v>146</v>
      </c>
      <c r="M603" s="48"/>
      <c r="N603" s="30"/>
      <c r="O603" s="30"/>
      <c r="P603" s="30"/>
    </row>
    <row r="604" spans="1:16" ht="60" customHeight="1">
      <c r="A604" s="30" t="s">
        <v>1337</v>
      </c>
      <c r="B604" s="47" t="s">
        <v>1323</v>
      </c>
      <c r="C604" s="48" t="s">
        <v>1338</v>
      </c>
      <c r="D604" s="30"/>
      <c r="E604" s="30"/>
      <c r="F604" s="30"/>
      <c r="G604" s="30"/>
      <c r="H604" s="30" t="s">
        <v>141</v>
      </c>
      <c r="I604" s="30" t="s">
        <v>30</v>
      </c>
      <c r="J604" s="30" t="s">
        <v>144</v>
      </c>
      <c r="K604" s="30" t="s">
        <v>117</v>
      </c>
      <c r="L604" s="30" t="s">
        <v>122</v>
      </c>
      <c r="M604" s="48"/>
      <c r="N604" s="30"/>
      <c r="O604" s="30"/>
      <c r="P604" s="30"/>
    </row>
    <row r="605" spans="1:16" s="31" customFormat="1" ht="45">
      <c r="A605" s="30" t="s">
        <v>1339</v>
      </c>
      <c r="B605" s="47" t="s">
        <v>1323</v>
      </c>
      <c r="C605" s="48" t="s">
        <v>4063</v>
      </c>
      <c r="D605" s="30"/>
      <c r="E605" s="30"/>
      <c r="F605" s="30"/>
      <c r="G605" s="30"/>
      <c r="H605" s="30" t="s">
        <v>141</v>
      </c>
      <c r="I605" s="30" t="s">
        <v>30</v>
      </c>
      <c r="J605" s="30" t="s">
        <v>142</v>
      </c>
      <c r="K605" s="30" t="s">
        <v>116</v>
      </c>
      <c r="L605" s="30" t="s">
        <v>122</v>
      </c>
      <c r="M605" s="48" t="s">
        <v>4207</v>
      </c>
      <c r="N605" s="30"/>
      <c r="O605" s="30"/>
      <c r="P605" s="30"/>
    </row>
    <row r="606" spans="1:16" ht="60" customHeight="1">
      <c r="A606" s="30" t="s">
        <v>1340</v>
      </c>
      <c r="B606" s="47" t="s">
        <v>1323</v>
      </c>
      <c r="C606" s="48" t="s">
        <v>1341</v>
      </c>
      <c r="D606" s="30"/>
      <c r="E606" s="30"/>
      <c r="F606" s="30"/>
      <c r="G606" s="30"/>
      <c r="H606" s="30" t="s">
        <v>141</v>
      </c>
      <c r="I606" s="30" t="s">
        <v>30</v>
      </c>
      <c r="J606" s="30" t="s">
        <v>144</v>
      </c>
      <c r="K606" s="30" t="s">
        <v>117</v>
      </c>
      <c r="L606" s="30" t="s">
        <v>122</v>
      </c>
      <c r="M606" s="48"/>
      <c r="N606" s="30"/>
      <c r="O606" s="30"/>
      <c r="P606" s="30"/>
    </row>
    <row r="607" spans="1:16" ht="45" customHeight="1">
      <c r="A607" s="30" t="s">
        <v>1342</v>
      </c>
      <c r="B607" s="47" t="s">
        <v>1323</v>
      </c>
      <c r="C607" s="48" t="s">
        <v>1343</v>
      </c>
      <c r="D607" s="30"/>
      <c r="E607" s="30"/>
      <c r="F607" s="30"/>
      <c r="G607" s="30" t="s">
        <v>4025</v>
      </c>
      <c r="H607" s="30" t="s">
        <v>141</v>
      </c>
      <c r="I607" s="30" t="s">
        <v>30</v>
      </c>
      <c r="J607" s="30" t="s">
        <v>142</v>
      </c>
      <c r="K607" s="30" t="s">
        <v>116</v>
      </c>
      <c r="L607" s="30" t="s">
        <v>146</v>
      </c>
      <c r="M607" s="48"/>
      <c r="N607" s="30"/>
      <c r="O607" s="30"/>
      <c r="P607" s="30"/>
    </row>
    <row r="608" spans="1:16" ht="45" customHeight="1">
      <c r="A608" s="30" t="s">
        <v>1344</v>
      </c>
      <c r="B608" s="47" t="s">
        <v>1323</v>
      </c>
      <c r="C608" s="48" t="s">
        <v>1345</v>
      </c>
      <c r="D608" s="30"/>
      <c r="E608" s="30"/>
      <c r="F608" s="30"/>
      <c r="G608" s="30"/>
      <c r="H608" s="30" t="s">
        <v>141</v>
      </c>
      <c r="I608" s="30" t="s">
        <v>30</v>
      </c>
      <c r="J608" s="30" t="s">
        <v>144</v>
      </c>
      <c r="K608" s="30" t="s">
        <v>117</v>
      </c>
      <c r="L608" s="30" t="s">
        <v>122</v>
      </c>
      <c r="M608" s="48"/>
      <c r="N608" s="30"/>
      <c r="O608" s="30"/>
      <c r="P608" s="30"/>
    </row>
    <row r="609" spans="1:16" ht="30" customHeight="1">
      <c r="A609" s="30" t="s">
        <v>1346</v>
      </c>
      <c r="B609" s="47" t="s">
        <v>1323</v>
      </c>
      <c r="C609" s="48" t="s">
        <v>1347</v>
      </c>
      <c r="D609" s="30"/>
      <c r="E609" s="30"/>
      <c r="F609" s="30"/>
      <c r="G609" s="30"/>
      <c r="H609" s="30" t="s">
        <v>141</v>
      </c>
      <c r="I609" s="30" t="s">
        <v>30</v>
      </c>
      <c r="J609" s="30" t="s">
        <v>144</v>
      </c>
      <c r="K609" s="30" t="s">
        <v>117</v>
      </c>
      <c r="L609" s="30" t="s">
        <v>122</v>
      </c>
      <c r="M609" s="48"/>
      <c r="N609" s="30"/>
      <c r="O609" s="30"/>
      <c r="P609" s="30"/>
    </row>
    <row r="610" spans="1:16" ht="30" customHeight="1">
      <c r="A610" s="30" t="s">
        <v>1348</v>
      </c>
      <c r="B610" s="47" t="s">
        <v>1323</v>
      </c>
      <c r="C610" s="48" t="s">
        <v>1349</v>
      </c>
      <c r="D610" s="30"/>
      <c r="E610" s="30"/>
      <c r="F610" s="30"/>
      <c r="G610" s="30" t="s">
        <v>4025</v>
      </c>
      <c r="H610" s="30" t="s">
        <v>141</v>
      </c>
      <c r="I610" s="30" t="s">
        <v>30</v>
      </c>
      <c r="J610" s="30" t="s">
        <v>145</v>
      </c>
      <c r="K610" s="30" t="s">
        <v>116</v>
      </c>
      <c r="L610" s="30" t="s">
        <v>146</v>
      </c>
      <c r="M610" s="48"/>
      <c r="N610" s="30"/>
      <c r="O610" s="30"/>
      <c r="P610" s="30"/>
    </row>
    <row r="611" spans="1:16" ht="30" customHeight="1">
      <c r="A611" s="30" t="s">
        <v>1350</v>
      </c>
      <c r="B611" s="47" t="s">
        <v>1323</v>
      </c>
      <c r="C611" s="48" t="s">
        <v>1351</v>
      </c>
      <c r="D611" s="30"/>
      <c r="E611" s="30"/>
      <c r="F611" s="30" t="s">
        <v>1352</v>
      </c>
      <c r="G611" s="30" t="s">
        <v>4025</v>
      </c>
      <c r="H611" s="30" t="s">
        <v>149</v>
      </c>
      <c r="I611" s="30" t="s">
        <v>30</v>
      </c>
      <c r="J611" s="30" t="s">
        <v>145</v>
      </c>
      <c r="K611" s="30" t="s">
        <v>116</v>
      </c>
      <c r="L611" s="30" t="s">
        <v>146</v>
      </c>
      <c r="M611" s="48"/>
      <c r="N611" s="30"/>
      <c r="O611" s="30"/>
      <c r="P611" s="30"/>
    </row>
    <row r="612" spans="1:16" ht="30" customHeight="1">
      <c r="A612" s="30" t="s">
        <v>1353</v>
      </c>
      <c r="B612" s="47" t="s">
        <v>1323</v>
      </c>
      <c r="C612" s="48" t="s">
        <v>1354</v>
      </c>
      <c r="D612" s="30"/>
      <c r="E612" s="30"/>
      <c r="F612" s="30"/>
      <c r="G612" s="30"/>
      <c r="H612" s="30" t="s">
        <v>141</v>
      </c>
      <c r="I612" s="30" t="s">
        <v>31</v>
      </c>
      <c r="J612" s="30" t="s">
        <v>142</v>
      </c>
      <c r="K612" s="30" t="s">
        <v>116</v>
      </c>
      <c r="L612" s="30" t="s">
        <v>122</v>
      </c>
      <c r="M612" s="48" t="s">
        <v>314</v>
      </c>
      <c r="N612" s="30"/>
      <c r="O612" s="30"/>
      <c r="P612" s="30"/>
    </row>
    <row r="613" spans="1:16" ht="60" customHeight="1">
      <c r="A613" s="30" t="s">
        <v>1355</v>
      </c>
      <c r="B613" s="47" t="s">
        <v>1323</v>
      </c>
      <c r="C613" s="48" t="s">
        <v>1356</v>
      </c>
      <c r="D613" s="30"/>
      <c r="E613" s="30"/>
      <c r="F613" s="30"/>
      <c r="G613" s="30"/>
      <c r="H613" s="30" t="s">
        <v>141</v>
      </c>
      <c r="I613" s="30" t="s">
        <v>30</v>
      </c>
      <c r="J613" s="30" t="s">
        <v>144</v>
      </c>
      <c r="K613" s="30" t="s">
        <v>117</v>
      </c>
      <c r="L613" s="30" t="s">
        <v>122</v>
      </c>
      <c r="M613" s="48"/>
      <c r="N613" s="30"/>
      <c r="O613" s="30"/>
      <c r="P613" s="30"/>
    </row>
    <row r="614" spans="1:16" ht="45" customHeight="1">
      <c r="A614" s="30" t="s">
        <v>1357</v>
      </c>
      <c r="B614" s="47" t="s">
        <v>1323</v>
      </c>
      <c r="C614" s="48" t="s">
        <v>1358</v>
      </c>
      <c r="D614" s="30"/>
      <c r="E614" s="30"/>
      <c r="F614" s="30"/>
      <c r="G614" s="30"/>
      <c r="H614" s="30" t="s">
        <v>141</v>
      </c>
      <c r="I614" s="30" t="s">
        <v>30</v>
      </c>
      <c r="J614" s="30" t="s">
        <v>144</v>
      </c>
      <c r="K614" s="30" t="s">
        <v>117</v>
      </c>
      <c r="L614" s="30" t="s">
        <v>122</v>
      </c>
      <c r="M614" s="48"/>
      <c r="N614" s="30"/>
      <c r="O614" s="30"/>
      <c r="P614" s="30"/>
    </row>
    <row r="615" spans="1:16" ht="60" customHeight="1">
      <c r="A615" s="30" t="s">
        <v>1359</v>
      </c>
      <c r="B615" s="47" t="s">
        <v>1323</v>
      </c>
      <c r="C615" s="48" t="s">
        <v>1360</v>
      </c>
      <c r="D615" s="30"/>
      <c r="E615" s="30"/>
      <c r="F615" s="30"/>
      <c r="G615" s="30"/>
      <c r="H615" s="30" t="s">
        <v>141</v>
      </c>
      <c r="I615" s="30" t="s">
        <v>30</v>
      </c>
      <c r="J615" s="30" t="s">
        <v>144</v>
      </c>
      <c r="K615" s="30" t="s">
        <v>117</v>
      </c>
      <c r="L615" s="30" t="s">
        <v>122</v>
      </c>
      <c r="M615" s="48"/>
      <c r="N615" s="30"/>
      <c r="O615" s="30"/>
      <c r="P615" s="30"/>
    </row>
    <row r="616" spans="1:16" s="31" customFormat="1" ht="60">
      <c r="A616" s="30" t="s">
        <v>1361</v>
      </c>
      <c r="B616" s="47" t="s">
        <v>1323</v>
      </c>
      <c r="C616" s="48" t="s">
        <v>1362</v>
      </c>
      <c r="D616" s="30"/>
      <c r="E616" s="30"/>
      <c r="F616" s="30"/>
      <c r="G616" s="30"/>
      <c r="H616" s="30" t="s">
        <v>141</v>
      </c>
      <c r="I616" s="30" t="s">
        <v>30</v>
      </c>
      <c r="J616" s="30" t="s">
        <v>145</v>
      </c>
      <c r="K616" s="30" t="s">
        <v>116</v>
      </c>
      <c r="L616" s="30" t="s">
        <v>122</v>
      </c>
      <c r="M616" s="48" t="s">
        <v>4208</v>
      </c>
      <c r="N616" s="30"/>
      <c r="O616" s="30"/>
      <c r="P616" s="30"/>
    </row>
    <row r="617" spans="1:16" s="31" customFormat="1" ht="45">
      <c r="A617" s="30" t="s">
        <v>1363</v>
      </c>
      <c r="B617" s="47" t="s">
        <v>1323</v>
      </c>
      <c r="C617" s="48" t="s">
        <v>1364</v>
      </c>
      <c r="D617" s="30"/>
      <c r="E617" s="30"/>
      <c r="F617" s="30" t="s">
        <v>1365</v>
      </c>
      <c r="G617" s="30"/>
      <c r="H617" s="30" t="s">
        <v>141</v>
      </c>
      <c r="I617" s="30" t="s">
        <v>30</v>
      </c>
      <c r="J617" s="30" t="s">
        <v>145</v>
      </c>
      <c r="K617" s="30" t="s">
        <v>116</v>
      </c>
      <c r="L617" s="30" t="s">
        <v>122</v>
      </c>
      <c r="M617" s="48" t="s">
        <v>4208</v>
      </c>
      <c r="N617" s="30"/>
      <c r="O617" s="30"/>
      <c r="P617" s="30"/>
    </row>
    <row r="618" spans="1:16" s="31" customFormat="1" ht="45">
      <c r="A618" s="30" t="s">
        <v>1366</v>
      </c>
      <c r="B618" s="47" t="s">
        <v>1323</v>
      </c>
      <c r="C618" s="48" t="s">
        <v>1367</v>
      </c>
      <c r="D618" s="30"/>
      <c r="E618" s="30"/>
      <c r="F618" s="30" t="s">
        <v>1368</v>
      </c>
      <c r="G618" s="30"/>
      <c r="H618" s="30" t="s">
        <v>149</v>
      </c>
      <c r="I618" s="30" t="s">
        <v>30</v>
      </c>
      <c r="J618" s="30" t="s">
        <v>145</v>
      </c>
      <c r="K618" s="30" t="s">
        <v>116</v>
      </c>
      <c r="L618" s="30" t="s">
        <v>122</v>
      </c>
      <c r="M618" s="48" t="s">
        <v>4208</v>
      </c>
      <c r="N618" s="30"/>
      <c r="O618" s="30"/>
      <c r="P618" s="30"/>
    </row>
    <row r="619" spans="1:16" ht="90" customHeight="1">
      <c r="A619" s="30" t="s">
        <v>1369</v>
      </c>
      <c r="B619" s="47" t="s">
        <v>1323</v>
      </c>
      <c r="C619" s="48" t="s">
        <v>1370</v>
      </c>
      <c r="D619" s="30"/>
      <c r="E619" s="30"/>
      <c r="F619" s="30"/>
      <c r="G619" s="30"/>
      <c r="H619" s="30" t="s">
        <v>141</v>
      </c>
      <c r="I619" s="30" t="s">
        <v>31</v>
      </c>
      <c r="J619" s="30" t="s">
        <v>142</v>
      </c>
      <c r="K619" s="30" t="s">
        <v>116</v>
      </c>
      <c r="L619" s="30" t="s">
        <v>122</v>
      </c>
      <c r="M619" s="48" t="s">
        <v>314</v>
      </c>
      <c r="N619" s="30"/>
      <c r="O619" s="30"/>
      <c r="P619" s="30"/>
    </row>
    <row r="620" spans="1:16" ht="45" customHeight="1">
      <c r="A620" s="30" t="s">
        <v>1371</v>
      </c>
      <c r="B620" s="47" t="s">
        <v>1323</v>
      </c>
      <c r="C620" s="48" t="s">
        <v>1372</v>
      </c>
      <c r="D620" s="30"/>
      <c r="E620" s="30"/>
      <c r="F620" s="30"/>
      <c r="G620" s="30" t="s">
        <v>4025</v>
      </c>
      <c r="H620" s="30" t="s">
        <v>141</v>
      </c>
      <c r="I620" s="30" t="s">
        <v>30</v>
      </c>
      <c r="J620" s="30" t="s">
        <v>142</v>
      </c>
      <c r="K620" s="30" t="s">
        <v>116</v>
      </c>
      <c r="L620" s="30" t="s">
        <v>146</v>
      </c>
      <c r="M620" s="48"/>
      <c r="N620" s="30"/>
      <c r="O620" s="30"/>
      <c r="P620" s="30"/>
    </row>
    <row r="621" spans="1:16" ht="45" customHeight="1">
      <c r="A621" s="30" t="s">
        <v>1373</v>
      </c>
      <c r="B621" s="50" t="s">
        <v>1323</v>
      </c>
      <c r="C621" s="52" t="s">
        <v>3764</v>
      </c>
      <c r="D621" s="30"/>
      <c r="E621" s="30"/>
      <c r="F621" s="30"/>
      <c r="G621" s="30"/>
      <c r="H621" s="30" t="s">
        <v>141</v>
      </c>
      <c r="I621" s="30" t="s">
        <v>30</v>
      </c>
      <c r="J621" s="30" t="s">
        <v>142</v>
      </c>
      <c r="K621" s="30" t="s">
        <v>116</v>
      </c>
      <c r="L621" s="30" t="s">
        <v>121</v>
      </c>
      <c r="M621" s="48" t="s">
        <v>316</v>
      </c>
      <c r="N621" s="54"/>
      <c r="O621" s="30"/>
      <c r="P621" s="30"/>
    </row>
    <row r="622" spans="1:16" ht="45" customHeight="1">
      <c r="A622" s="30" t="s">
        <v>1374</v>
      </c>
      <c r="B622" s="47" t="s">
        <v>1323</v>
      </c>
      <c r="C622" s="48" t="s">
        <v>1375</v>
      </c>
      <c r="D622" s="30"/>
      <c r="E622" s="30"/>
      <c r="F622" s="30"/>
      <c r="G622" s="30" t="s">
        <v>4025</v>
      </c>
      <c r="H622" s="30" t="s">
        <v>141</v>
      </c>
      <c r="I622" s="30" t="s">
        <v>30</v>
      </c>
      <c r="J622" s="30" t="s">
        <v>142</v>
      </c>
      <c r="K622" s="30" t="s">
        <v>116</v>
      </c>
      <c r="L622" s="30" t="s">
        <v>146</v>
      </c>
      <c r="M622" s="48"/>
      <c r="N622" s="30"/>
      <c r="O622" s="30"/>
      <c r="P622" s="30"/>
    </row>
    <row r="623" spans="1:16" ht="45" customHeight="1">
      <c r="A623" s="30" t="s">
        <v>1376</v>
      </c>
      <c r="B623" s="47" t="s">
        <v>1323</v>
      </c>
      <c r="C623" s="48" t="s">
        <v>1377</v>
      </c>
      <c r="D623" s="30"/>
      <c r="E623" s="30"/>
      <c r="F623" s="30"/>
      <c r="G623" s="30"/>
      <c r="H623" s="30" t="s">
        <v>141</v>
      </c>
      <c r="I623" s="30" t="s">
        <v>30</v>
      </c>
      <c r="J623" s="30" t="s">
        <v>142</v>
      </c>
      <c r="K623" s="30" t="s">
        <v>116</v>
      </c>
      <c r="L623" s="30" t="s">
        <v>122</v>
      </c>
      <c r="M623" s="48" t="s">
        <v>1378</v>
      </c>
      <c r="N623" s="30"/>
      <c r="O623" s="30"/>
      <c r="P623" s="30"/>
    </row>
    <row r="624" spans="1:16" ht="60" customHeight="1">
      <c r="A624" s="30" t="s">
        <v>1379</v>
      </c>
      <c r="B624" s="50" t="s">
        <v>1323</v>
      </c>
      <c r="C624" s="52" t="s">
        <v>3769</v>
      </c>
      <c r="D624" s="30"/>
      <c r="E624" s="30"/>
      <c r="F624" s="30"/>
      <c r="G624" s="30"/>
      <c r="H624" s="30" t="s">
        <v>141</v>
      </c>
      <c r="I624" s="30" t="s">
        <v>30</v>
      </c>
      <c r="J624" s="30" t="s">
        <v>145</v>
      </c>
      <c r="K624" s="30" t="s">
        <v>116</v>
      </c>
      <c r="L624" s="30" t="s">
        <v>121</v>
      </c>
      <c r="M624" s="48" t="s">
        <v>316</v>
      </c>
      <c r="N624" s="54"/>
      <c r="O624" s="30"/>
      <c r="P624" s="30"/>
    </row>
    <row r="625" spans="1:16" ht="45" customHeight="1">
      <c r="A625" s="30" t="s">
        <v>1380</v>
      </c>
      <c r="B625" s="47" t="s">
        <v>1323</v>
      </c>
      <c r="C625" s="48" t="s">
        <v>1381</v>
      </c>
      <c r="D625" s="30"/>
      <c r="E625" s="30"/>
      <c r="F625" s="30"/>
      <c r="G625" s="30"/>
      <c r="H625" s="30" t="s">
        <v>141</v>
      </c>
      <c r="I625" s="30" t="s">
        <v>30</v>
      </c>
      <c r="J625" s="30" t="s">
        <v>144</v>
      </c>
      <c r="K625" s="30" t="s">
        <v>117</v>
      </c>
      <c r="L625" s="30" t="s">
        <v>122</v>
      </c>
      <c r="M625" s="48"/>
      <c r="N625" s="30"/>
      <c r="O625" s="30"/>
      <c r="P625" s="30"/>
    </row>
    <row r="626" spans="1:16" ht="45" customHeight="1">
      <c r="A626" s="30" t="s">
        <v>1382</v>
      </c>
      <c r="B626" s="47" t="s">
        <v>1323</v>
      </c>
      <c r="C626" s="48" t="s">
        <v>1383</v>
      </c>
      <c r="D626" s="30"/>
      <c r="E626" s="30"/>
      <c r="F626" s="30"/>
      <c r="G626" s="30" t="s">
        <v>4025</v>
      </c>
      <c r="H626" s="30" t="s">
        <v>141</v>
      </c>
      <c r="I626" s="30" t="s">
        <v>30</v>
      </c>
      <c r="J626" s="30" t="s">
        <v>142</v>
      </c>
      <c r="K626" s="30" t="s">
        <v>116</v>
      </c>
      <c r="L626" s="30" t="s">
        <v>146</v>
      </c>
      <c r="M626" s="48"/>
      <c r="N626" s="30"/>
      <c r="O626" s="30"/>
      <c r="P626" s="30"/>
    </row>
    <row r="627" spans="1:16" ht="45" customHeight="1">
      <c r="A627" s="30" t="s">
        <v>1384</v>
      </c>
      <c r="B627" s="47" t="s">
        <v>1323</v>
      </c>
      <c r="C627" s="48" t="s">
        <v>1385</v>
      </c>
      <c r="D627" s="30"/>
      <c r="E627" s="30"/>
      <c r="F627" s="30"/>
      <c r="G627" s="30"/>
      <c r="H627" s="30" t="s">
        <v>141</v>
      </c>
      <c r="I627" s="30" t="s">
        <v>30</v>
      </c>
      <c r="J627" s="30" t="s">
        <v>144</v>
      </c>
      <c r="K627" s="30" t="s">
        <v>117</v>
      </c>
      <c r="L627" s="30" t="s">
        <v>122</v>
      </c>
      <c r="M627" s="48"/>
      <c r="N627" s="30"/>
      <c r="O627" s="30"/>
      <c r="P627" s="30"/>
    </row>
    <row r="628" spans="1:16" ht="45" customHeight="1">
      <c r="A628" s="30" t="s">
        <v>1386</v>
      </c>
      <c r="B628" s="47" t="s">
        <v>1323</v>
      </c>
      <c r="C628" s="48" t="s">
        <v>1387</v>
      </c>
      <c r="D628" s="30"/>
      <c r="E628" s="30"/>
      <c r="F628" s="30"/>
      <c r="G628" s="30" t="s">
        <v>4025</v>
      </c>
      <c r="H628" s="30" t="s">
        <v>141</v>
      </c>
      <c r="I628" s="30" t="s">
        <v>30</v>
      </c>
      <c r="J628" s="30" t="s">
        <v>142</v>
      </c>
      <c r="K628" s="30" t="s">
        <v>116</v>
      </c>
      <c r="L628" s="30" t="s">
        <v>146</v>
      </c>
      <c r="M628" s="48"/>
      <c r="N628" s="30"/>
      <c r="O628" s="30"/>
      <c r="P628" s="30"/>
    </row>
    <row r="629" spans="1:16" ht="45" customHeight="1">
      <c r="A629" s="30" t="s">
        <v>1388</v>
      </c>
      <c r="B629" s="47" t="s">
        <v>1323</v>
      </c>
      <c r="C629" s="48" t="s">
        <v>1389</v>
      </c>
      <c r="D629" s="30"/>
      <c r="E629" s="30"/>
      <c r="F629" s="30"/>
      <c r="G629" s="30"/>
      <c r="H629" s="30" t="s">
        <v>141</v>
      </c>
      <c r="I629" s="30" t="s">
        <v>30</v>
      </c>
      <c r="J629" s="30" t="s">
        <v>144</v>
      </c>
      <c r="K629" s="30" t="s">
        <v>117</v>
      </c>
      <c r="L629" s="30" t="s">
        <v>122</v>
      </c>
      <c r="M629" s="48"/>
      <c r="N629" s="30"/>
      <c r="O629" s="30"/>
      <c r="P629" s="30"/>
    </row>
    <row r="630" spans="1:16" s="31" customFormat="1" ht="30">
      <c r="A630" s="30" t="s">
        <v>1390</v>
      </c>
      <c r="B630" s="47" t="s">
        <v>1323</v>
      </c>
      <c r="C630" s="48" t="s">
        <v>3772</v>
      </c>
      <c r="D630" s="30"/>
      <c r="E630" s="30"/>
      <c r="F630" s="30"/>
      <c r="G630" s="30"/>
      <c r="H630" s="30" t="s">
        <v>141</v>
      </c>
      <c r="I630" s="30" t="s">
        <v>30</v>
      </c>
      <c r="J630" s="30" t="s">
        <v>142</v>
      </c>
      <c r="K630" s="30" t="s">
        <v>116</v>
      </c>
      <c r="L630" s="30" t="s">
        <v>122</v>
      </c>
      <c r="M630" s="48" t="s">
        <v>4209</v>
      </c>
      <c r="N630" s="30"/>
      <c r="O630" s="30"/>
      <c r="P630" s="30"/>
    </row>
    <row r="631" spans="1:16" ht="45" customHeight="1">
      <c r="A631" s="30" t="s">
        <v>1391</v>
      </c>
      <c r="B631" s="47" t="s">
        <v>1323</v>
      </c>
      <c r="C631" s="48" t="s">
        <v>3776</v>
      </c>
      <c r="D631" s="30"/>
      <c r="E631" s="30"/>
      <c r="F631" s="30"/>
      <c r="G631" s="30" t="s">
        <v>4025</v>
      </c>
      <c r="H631" s="30" t="s">
        <v>141</v>
      </c>
      <c r="I631" s="30" t="s">
        <v>30</v>
      </c>
      <c r="J631" s="30" t="s">
        <v>145</v>
      </c>
      <c r="K631" s="30" t="s">
        <v>116</v>
      </c>
      <c r="L631" s="30" t="s">
        <v>146</v>
      </c>
      <c r="M631" s="48"/>
      <c r="N631" s="30"/>
      <c r="O631" s="30"/>
      <c r="P631" s="30"/>
    </row>
    <row r="632" spans="1:16" ht="45" customHeight="1">
      <c r="A632" s="30" t="s">
        <v>1392</v>
      </c>
      <c r="B632" s="47" t="s">
        <v>1393</v>
      </c>
      <c r="C632" s="48" t="s">
        <v>1394</v>
      </c>
      <c r="D632" s="30"/>
      <c r="E632" s="30"/>
      <c r="F632" s="30"/>
      <c r="G632" s="30"/>
      <c r="H632" s="30" t="s">
        <v>141</v>
      </c>
      <c r="I632" s="30" t="s">
        <v>31</v>
      </c>
      <c r="J632" s="30" t="s">
        <v>142</v>
      </c>
      <c r="K632" s="30" t="s">
        <v>116</v>
      </c>
      <c r="L632" s="30" t="s">
        <v>122</v>
      </c>
      <c r="M632" s="48" t="s">
        <v>184</v>
      </c>
      <c r="N632" s="30"/>
      <c r="O632" s="30"/>
      <c r="P632" s="30"/>
    </row>
    <row r="633" spans="1:16" ht="60" customHeight="1">
      <c r="A633" s="30" t="s">
        <v>1395</v>
      </c>
      <c r="B633" s="50" t="s">
        <v>1393</v>
      </c>
      <c r="C633" s="52" t="s">
        <v>1396</v>
      </c>
      <c r="D633" s="30"/>
      <c r="E633" s="30"/>
      <c r="F633" s="30"/>
      <c r="G633" s="30"/>
      <c r="H633" s="30" t="s">
        <v>141</v>
      </c>
      <c r="I633" s="30" t="s">
        <v>30</v>
      </c>
      <c r="J633" s="30" t="s">
        <v>142</v>
      </c>
      <c r="K633" s="30" t="s">
        <v>116</v>
      </c>
      <c r="L633" s="30" t="s">
        <v>121</v>
      </c>
      <c r="M633" s="48" t="s">
        <v>706</v>
      </c>
      <c r="N633" s="30"/>
      <c r="O633" s="30"/>
      <c r="P633" s="30"/>
    </row>
    <row r="634" spans="1:16" ht="30" customHeight="1">
      <c r="A634" s="30" t="s">
        <v>1397</v>
      </c>
      <c r="B634" s="47" t="s">
        <v>1398</v>
      </c>
      <c r="C634" s="48" t="s">
        <v>3777</v>
      </c>
      <c r="D634" s="30"/>
      <c r="E634" s="30"/>
      <c r="F634" s="30"/>
      <c r="G634" s="30"/>
      <c r="H634" s="30" t="s">
        <v>141</v>
      </c>
      <c r="I634" s="30" t="s">
        <v>22</v>
      </c>
      <c r="J634" s="30" t="s">
        <v>144</v>
      </c>
      <c r="K634" s="30" t="s">
        <v>117</v>
      </c>
      <c r="L634" s="30" t="s">
        <v>122</v>
      </c>
      <c r="M634" s="48"/>
      <c r="N634" s="30"/>
      <c r="O634" s="30"/>
      <c r="P634" s="30"/>
    </row>
    <row r="635" spans="1:16" ht="45" customHeight="1">
      <c r="A635" s="30" t="s">
        <v>1399</v>
      </c>
      <c r="B635" s="47" t="s">
        <v>1398</v>
      </c>
      <c r="C635" s="49" t="s">
        <v>1400</v>
      </c>
      <c r="D635" s="30"/>
      <c r="E635" s="30"/>
      <c r="F635" s="30"/>
      <c r="G635" s="30"/>
      <c r="H635" s="30" t="s">
        <v>141</v>
      </c>
      <c r="I635" s="30" t="s">
        <v>22</v>
      </c>
      <c r="J635" s="30" t="s">
        <v>144</v>
      </c>
      <c r="K635" s="30" t="s">
        <v>117</v>
      </c>
      <c r="L635" s="30" t="s">
        <v>122</v>
      </c>
      <c r="M635" s="48"/>
      <c r="N635" s="30"/>
      <c r="O635" s="30"/>
      <c r="P635" s="30"/>
    </row>
    <row r="636" spans="1:16" ht="75" customHeight="1">
      <c r="A636" s="30" t="s">
        <v>1401</v>
      </c>
      <c r="B636" s="47" t="s">
        <v>1402</v>
      </c>
      <c r="C636" s="49" t="s">
        <v>1403</v>
      </c>
      <c r="D636" s="30"/>
      <c r="E636" s="30"/>
      <c r="F636" s="30"/>
      <c r="G636" s="30"/>
      <c r="H636" s="30" t="s">
        <v>141</v>
      </c>
      <c r="I636" s="30" t="s">
        <v>31</v>
      </c>
      <c r="J636" s="30" t="s">
        <v>144</v>
      </c>
      <c r="K636" s="30" t="s">
        <v>117</v>
      </c>
      <c r="L636" s="30" t="s">
        <v>122</v>
      </c>
      <c r="M636" s="48"/>
      <c r="N636" s="30"/>
      <c r="O636" s="30"/>
      <c r="P636" s="30"/>
    </row>
    <row r="637" spans="1:16" ht="30" customHeight="1">
      <c r="A637" s="30" t="s">
        <v>1404</v>
      </c>
      <c r="B637" s="47" t="s">
        <v>1402</v>
      </c>
      <c r="C637" s="48" t="s">
        <v>3780</v>
      </c>
      <c r="D637" s="30"/>
      <c r="E637" s="30"/>
      <c r="F637" s="30"/>
      <c r="G637" s="30"/>
      <c r="H637" s="30" t="s">
        <v>141</v>
      </c>
      <c r="I637" s="30" t="s">
        <v>22</v>
      </c>
      <c r="J637" s="30" t="s">
        <v>144</v>
      </c>
      <c r="K637" s="30" t="s">
        <v>117</v>
      </c>
      <c r="L637" s="30" t="s">
        <v>122</v>
      </c>
      <c r="M637" s="48"/>
      <c r="N637" s="30"/>
      <c r="O637" s="30"/>
      <c r="P637" s="30"/>
    </row>
    <row r="638" spans="1:16" ht="45" customHeight="1">
      <c r="A638" s="30" t="s">
        <v>1405</v>
      </c>
      <c r="B638" s="47" t="s">
        <v>1402</v>
      </c>
      <c r="C638" s="49" t="s">
        <v>1406</v>
      </c>
      <c r="D638" s="30"/>
      <c r="E638" s="30"/>
      <c r="F638" s="30"/>
      <c r="G638" s="30"/>
      <c r="H638" s="30" t="s">
        <v>141</v>
      </c>
      <c r="I638" s="30" t="s">
        <v>22</v>
      </c>
      <c r="J638" s="30" t="s">
        <v>144</v>
      </c>
      <c r="K638" s="30" t="s">
        <v>117</v>
      </c>
      <c r="L638" s="30" t="s">
        <v>122</v>
      </c>
      <c r="M638" s="48"/>
      <c r="N638" s="30"/>
      <c r="O638" s="30"/>
      <c r="P638" s="30"/>
    </row>
    <row r="639" spans="1:16" ht="60" customHeight="1">
      <c r="A639" s="30" t="s">
        <v>1407</v>
      </c>
      <c r="B639" s="47" t="s">
        <v>1408</v>
      </c>
      <c r="C639" s="49" t="s">
        <v>1409</v>
      </c>
      <c r="D639" s="30"/>
      <c r="E639" s="30"/>
      <c r="F639" s="30"/>
      <c r="G639" s="30"/>
      <c r="H639" s="30" t="s">
        <v>141</v>
      </c>
      <c r="I639" s="30" t="s">
        <v>31</v>
      </c>
      <c r="J639" s="30" t="s">
        <v>144</v>
      </c>
      <c r="K639" s="30" t="s">
        <v>117</v>
      </c>
      <c r="L639" s="30" t="s">
        <v>122</v>
      </c>
      <c r="M639" s="48"/>
      <c r="N639" s="30"/>
      <c r="O639" s="30"/>
      <c r="P639" s="30"/>
    </row>
    <row r="640" spans="1:16" ht="75" customHeight="1">
      <c r="A640" s="30" t="s">
        <v>1410</v>
      </c>
      <c r="B640" s="47" t="s">
        <v>1408</v>
      </c>
      <c r="C640" s="49" t="s">
        <v>1411</v>
      </c>
      <c r="D640" s="30"/>
      <c r="E640" s="30"/>
      <c r="F640" s="30"/>
      <c r="G640" s="30"/>
      <c r="H640" s="30" t="s">
        <v>141</v>
      </c>
      <c r="I640" s="30" t="s">
        <v>31</v>
      </c>
      <c r="J640" s="30" t="s">
        <v>144</v>
      </c>
      <c r="K640" s="30" t="s">
        <v>117</v>
      </c>
      <c r="L640" s="30" t="s">
        <v>122</v>
      </c>
      <c r="M640" s="48"/>
      <c r="N640" s="30"/>
      <c r="O640" s="30"/>
      <c r="P640" s="30"/>
    </row>
    <row r="641" spans="1:16" ht="45" customHeight="1">
      <c r="A641" s="30" t="s">
        <v>1412</v>
      </c>
      <c r="B641" s="47" t="s">
        <v>1408</v>
      </c>
      <c r="C641" s="49" t="s">
        <v>1413</v>
      </c>
      <c r="D641" s="30"/>
      <c r="E641" s="30"/>
      <c r="F641" s="30"/>
      <c r="G641" s="30"/>
      <c r="H641" s="30" t="s">
        <v>141</v>
      </c>
      <c r="I641" s="30" t="s">
        <v>31</v>
      </c>
      <c r="J641" s="30" t="s">
        <v>144</v>
      </c>
      <c r="K641" s="30" t="s">
        <v>117</v>
      </c>
      <c r="L641" s="30" t="s">
        <v>122</v>
      </c>
      <c r="M641" s="48"/>
      <c r="N641" s="30"/>
      <c r="O641" s="30"/>
      <c r="P641" s="30"/>
    </row>
    <row r="642" spans="1:16" ht="45" customHeight="1">
      <c r="A642" s="30" t="s">
        <v>1414</v>
      </c>
      <c r="B642" s="47" t="s">
        <v>1408</v>
      </c>
      <c r="C642" s="49" t="s">
        <v>1415</v>
      </c>
      <c r="D642" s="30"/>
      <c r="E642" s="30"/>
      <c r="F642" s="30"/>
      <c r="G642" s="30"/>
      <c r="H642" s="30" t="s">
        <v>141</v>
      </c>
      <c r="I642" s="30" t="s">
        <v>31</v>
      </c>
      <c r="J642" s="30" t="s">
        <v>144</v>
      </c>
      <c r="K642" s="30" t="s">
        <v>117</v>
      </c>
      <c r="L642" s="30" t="s">
        <v>122</v>
      </c>
      <c r="M642" s="48"/>
      <c r="N642" s="30"/>
      <c r="O642" s="30"/>
      <c r="P642" s="30"/>
    </row>
    <row r="643" spans="1:16" ht="45" customHeight="1">
      <c r="A643" s="30" t="s">
        <v>1416</v>
      </c>
      <c r="B643" s="47" t="s">
        <v>1408</v>
      </c>
      <c r="C643" s="49" t="s">
        <v>1417</v>
      </c>
      <c r="D643" s="30"/>
      <c r="E643" s="30"/>
      <c r="F643" s="30"/>
      <c r="G643" s="30"/>
      <c r="H643" s="30" t="s">
        <v>141</v>
      </c>
      <c r="I643" s="30" t="s">
        <v>31</v>
      </c>
      <c r="J643" s="30" t="s">
        <v>144</v>
      </c>
      <c r="K643" s="30" t="s">
        <v>117</v>
      </c>
      <c r="L643" s="30" t="s">
        <v>122</v>
      </c>
      <c r="M643" s="48"/>
      <c r="N643" s="30"/>
      <c r="O643" s="30"/>
      <c r="P643" s="30"/>
    </row>
    <row r="644" spans="1:16" ht="45" customHeight="1">
      <c r="A644" s="30" t="s">
        <v>1418</v>
      </c>
      <c r="B644" s="47" t="s">
        <v>1408</v>
      </c>
      <c r="C644" s="48" t="s">
        <v>3799</v>
      </c>
      <c r="D644" s="30"/>
      <c r="E644" s="30"/>
      <c r="F644" s="30"/>
      <c r="G644" s="30"/>
      <c r="H644" s="30" t="s">
        <v>141</v>
      </c>
      <c r="I644" s="30" t="s">
        <v>31</v>
      </c>
      <c r="J644" s="30" t="s">
        <v>144</v>
      </c>
      <c r="K644" s="30" t="s">
        <v>117</v>
      </c>
      <c r="L644" s="30" t="s">
        <v>122</v>
      </c>
      <c r="M644" s="48"/>
      <c r="N644" s="30"/>
      <c r="O644" s="30"/>
      <c r="P644" s="30"/>
    </row>
    <row r="645" spans="1:16" ht="60" customHeight="1">
      <c r="A645" s="30" t="s">
        <v>1419</v>
      </c>
      <c r="B645" s="47" t="s">
        <v>1408</v>
      </c>
      <c r="C645" s="48" t="s">
        <v>3800</v>
      </c>
      <c r="D645" s="30"/>
      <c r="E645" s="30"/>
      <c r="F645" s="30"/>
      <c r="G645" s="30"/>
      <c r="H645" s="30" t="s">
        <v>141</v>
      </c>
      <c r="I645" s="30" t="s">
        <v>31</v>
      </c>
      <c r="J645" s="30" t="s">
        <v>145</v>
      </c>
      <c r="K645" s="30" t="s">
        <v>116</v>
      </c>
      <c r="L645" s="30" t="s">
        <v>122</v>
      </c>
      <c r="M645" s="48" t="s">
        <v>314</v>
      </c>
      <c r="N645" s="30"/>
      <c r="O645" s="30"/>
      <c r="P645" s="30"/>
    </row>
    <row r="646" spans="1:16" ht="45" customHeight="1">
      <c r="A646" s="30" t="s">
        <v>1420</v>
      </c>
      <c r="B646" s="47" t="s">
        <v>1408</v>
      </c>
      <c r="C646" s="49" t="s">
        <v>1421</v>
      </c>
      <c r="D646" s="30"/>
      <c r="E646" s="30"/>
      <c r="F646" s="30"/>
      <c r="G646" s="30"/>
      <c r="H646" s="30" t="s">
        <v>141</v>
      </c>
      <c r="I646" s="30" t="s">
        <v>30</v>
      </c>
      <c r="J646" s="30" t="s">
        <v>144</v>
      </c>
      <c r="K646" s="30" t="s">
        <v>117</v>
      </c>
      <c r="L646" s="30" t="s">
        <v>122</v>
      </c>
      <c r="M646" s="48"/>
      <c r="N646" s="30"/>
      <c r="O646" s="30"/>
      <c r="P646" s="30"/>
    </row>
    <row r="647" spans="1:16" ht="45" customHeight="1">
      <c r="A647" s="30" t="s">
        <v>1422</v>
      </c>
      <c r="B647" s="47" t="s">
        <v>1408</v>
      </c>
      <c r="C647" s="49" t="s">
        <v>1423</v>
      </c>
      <c r="D647" s="30"/>
      <c r="E647" s="30"/>
      <c r="F647" s="30"/>
      <c r="G647" s="30"/>
      <c r="H647" s="30" t="s">
        <v>141</v>
      </c>
      <c r="I647" s="30" t="s">
        <v>22</v>
      </c>
      <c r="J647" s="30" t="s">
        <v>144</v>
      </c>
      <c r="K647" s="30" t="s">
        <v>117</v>
      </c>
      <c r="L647" s="30" t="s">
        <v>122</v>
      </c>
      <c r="M647" s="48"/>
      <c r="N647" s="30"/>
      <c r="O647" s="30"/>
      <c r="P647" s="30"/>
    </row>
    <row r="648" spans="1:16" ht="45" customHeight="1">
      <c r="A648" s="30" t="s">
        <v>1424</v>
      </c>
      <c r="B648" s="47" t="s">
        <v>1408</v>
      </c>
      <c r="C648" s="49" t="s">
        <v>1425</v>
      </c>
      <c r="D648" s="30"/>
      <c r="E648" s="30"/>
      <c r="F648" s="30"/>
      <c r="G648" s="30"/>
      <c r="H648" s="30" t="s">
        <v>141</v>
      </c>
      <c r="I648" s="30" t="s">
        <v>31</v>
      </c>
      <c r="J648" s="30" t="s">
        <v>142</v>
      </c>
      <c r="K648" s="30" t="s">
        <v>116</v>
      </c>
      <c r="L648" s="30" t="s">
        <v>122</v>
      </c>
      <c r="M648" s="48" t="s">
        <v>314</v>
      </c>
      <c r="N648" s="30"/>
      <c r="O648" s="30"/>
      <c r="P648" s="30"/>
    </row>
    <row r="649" spans="1:16" ht="90" customHeight="1">
      <c r="A649" s="30" t="s">
        <v>1426</v>
      </c>
      <c r="B649" s="47" t="s">
        <v>1408</v>
      </c>
      <c r="C649" s="49" t="s">
        <v>1427</v>
      </c>
      <c r="D649" s="30"/>
      <c r="E649" s="30"/>
      <c r="F649" s="30"/>
      <c r="G649" t="s">
        <v>4026</v>
      </c>
      <c r="H649" s="30" t="s">
        <v>141</v>
      </c>
      <c r="I649" s="30" t="s">
        <v>30</v>
      </c>
      <c r="J649" s="30" t="s">
        <v>142</v>
      </c>
      <c r="K649" s="30" t="s">
        <v>116</v>
      </c>
      <c r="L649" s="30" t="s">
        <v>143</v>
      </c>
      <c r="M649" s="48"/>
      <c r="N649" s="30"/>
      <c r="O649" s="30"/>
      <c r="P649" s="30"/>
    </row>
    <row r="650" spans="1:16" ht="75" customHeight="1">
      <c r="A650" s="30" t="s">
        <v>1428</v>
      </c>
      <c r="B650" s="47" t="s">
        <v>1429</v>
      </c>
      <c r="C650" s="49" t="s">
        <v>1430</v>
      </c>
      <c r="D650" s="30"/>
      <c r="E650" s="30"/>
      <c r="F650" s="30"/>
      <c r="G650" t="s">
        <v>4026</v>
      </c>
      <c r="H650" s="30" t="s">
        <v>141</v>
      </c>
      <c r="I650" s="30" t="s">
        <v>30</v>
      </c>
      <c r="J650" s="30" t="s">
        <v>142</v>
      </c>
      <c r="K650" s="30" t="s">
        <v>116</v>
      </c>
      <c r="L650" s="30" t="s">
        <v>143</v>
      </c>
      <c r="M650" s="48"/>
      <c r="N650" s="54"/>
      <c r="O650" s="30"/>
      <c r="P650" s="30"/>
    </row>
    <row r="651" spans="1:16" ht="60" customHeight="1">
      <c r="A651" s="30" t="s">
        <v>1431</v>
      </c>
      <c r="B651" s="47" t="s">
        <v>1429</v>
      </c>
      <c r="C651" s="49" t="s">
        <v>1432</v>
      </c>
      <c r="D651" s="30"/>
      <c r="E651" s="30"/>
      <c r="F651" s="30"/>
      <c r="G651" s="30"/>
      <c r="H651" s="30" t="s">
        <v>141</v>
      </c>
      <c r="I651" s="30" t="s">
        <v>30</v>
      </c>
      <c r="J651" s="30" t="s">
        <v>144</v>
      </c>
      <c r="K651" s="30" t="s">
        <v>117</v>
      </c>
      <c r="L651" s="30" t="s">
        <v>122</v>
      </c>
      <c r="M651" s="48"/>
      <c r="N651" s="30"/>
      <c r="O651" s="30"/>
      <c r="P651" s="30"/>
    </row>
    <row r="652" spans="1:16" ht="75" customHeight="1">
      <c r="A652" s="30" t="s">
        <v>1433</v>
      </c>
      <c r="B652" s="47" t="s">
        <v>1429</v>
      </c>
      <c r="C652" s="49" t="s">
        <v>1434</v>
      </c>
      <c r="D652" s="30"/>
      <c r="E652" s="30"/>
      <c r="F652" s="30"/>
      <c r="G652" s="30"/>
      <c r="H652" s="30" t="s">
        <v>141</v>
      </c>
      <c r="I652" s="30" t="s">
        <v>30</v>
      </c>
      <c r="J652" s="30" t="s">
        <v>144</v>
      </c>
      <c r="K652" s="30" t="s">
        <v>117</v>
      </c>
      <c r="L652" s="30" t="s">
        <v>122</v>
      </c>
      <c r="M652" s="48"/>
      <c r="N652" s="30"/>
      <c r="O652" s="30"/>
      <c r="P652" s="30"/>
    </row>
    <row r="653" spans="1:16" ht="135" customHeight="1">
      <c r="A653" s="30" t="s">
        <v>1435</v>
      </c>
      <c r="B653" s="47" t="s">
        <v>1429</v>
      </c>
      <c r="C653" s="49" t="s">
        <v>1436</v>
      </c>
      <c r="D653" s="30"/>
      <c r="E653" s="30"/>
      <c r="F653" s="30"/>
      <c r="G653" s="30"/>
      <c r="H653" s="30" t="s">
        <v>141</v>
      </c>
      <c r="I653" s="30" t="s">
        <v>31</v>
      </c>
      <c r="J653" s="30" t="s">
        <v>142</v>
      </c>
      <c r="K653" s="30" t="s">
        <v>116</v>
      </c>
      <c r="L653" s="30" t="s">
        <v>122</v>
      </c>
      <c r="M653" s="48" t="s">
        <v>314</v>
      </c>
      <c r="N653" s="30"/>
      <c r="O653" s="30"/>
      <c r="P653" s="30"/>
    </row>
    <row r="654" spans="1:16" ht="60" customHeight="1">
      <c r="A654" s="30" t="s">
        <v>1437</v>
      </c>
      <c r="B654" s="47" t="s">
        <v>1438</v>
      </c>
      <c r="C654" s="49" t="s">
        <v>1439</v>
      </c>
      <c r="D654" s="30"/>
      <c r="E654" s="30"/>
      <c r="F654" s="30"/>
      <c r="G654" s="30"/>
      <c r="H654" s="30" t="s">
        <v>141</v>
      </c>
      <c r="I654" s="30" t="s">
        <v>31</v>
      </c>
      <c r="J654" s="30" t="s">
        <v>144</v>
      </c>
      <c r="K654" s="30" t="s">
        <v>117</v>
      </c>
      <c r="L654" s="30" t="s">
        <v>122</v>
      </c>
      <c r="M654" s="48"/>
      <c r="N654" s="30"/>
      <c r="O654" s="30"/>
      <c r="P654" s="30"/>
    </row>
    <row r="655" spans="1:16" ht="75" customHeight="1">
      <c r="A655" s="30" t="s">
        <v>1440</v>
      </c>
      <c r="B655" s="47" t="s">
        <v>1438</v>
      </c>
      <c r="C655" s="49" t="s">
        <v>1441</v>
      </c>
      <c r="D655" s="30"/>
      <c r="E655" s="30"/>
      <c r="F655" s="30"/>
      <c r="G655" s="30"/>
      <c r="H655" s="30" t="s">
        <v>141</v>
      </c>
      <c r="I655" s="30" t="s">
        <v>31</v>
      </c>
      <c r="J655" s="30" t="s">
        <v>144</v>
      </c>
      <c r="K655" s="30" t="s">
        <v>117</v>
      </c>
      <c r="L655" s="30" t="s">
        <v>122</v>
      </c>
      <c r="M655" s="48"/>
      <c r="N655" s="30"/>
      <c r="O655" s="30"/>
      <c r="P655" s="30"/>
    </row>
    <row r="656" spans="1:16" ht="60" customHeight="1">
      <c r="A656" s="30" t="s">
        <v>1442</v>
      </c>
      <c r="B656" s="47" t="s">
        <v>1443</v>
      </c>
      <c r="C656" s="49" t="s">
        <v>1444</v>
      </c>
      <c r="D656" s="30"/>
      <c r="E656" s="30"/>
      <c r="F656" s="30"/>
      <c r="G656" t="s">
        <v>4026</v>
      </c>
      <c r="H656" s="30" t="s">
        <v>141</v>
      </c>
      <c r="I656" s="30" t="s">
        <v>30</v>
      </c>
      <c r="J656" s="30" t="s">
        <v>142</v>
      </c>
      <c r="K656" s="30" t="s">
        <v>116</v>
      </c>
      <c r="L656" s="30" t="s">
        <v>143</v>
      </c>
      <c r="M656" s="48"/>
      <c r="N656" s="54"/>
      <c r="O656" s="30"/>
      <c r="P656" s="30"/>
    </row>
    <row r="657" spans="1:16" ht="75" customHeight="1">
      <c r="A657" s="30" t="s">
        <v>1445</v>
      </c>
      <c r="B657" s="47" t="s">
        <v>1443</v>
      </c>
      <c r="C657" s="49" t="s">
        <v>1446</v>
      </c>
      <c r="D657" s="30"/>
      <c r="E657" s="30"/>
      <c r="F657" s="30"/>
      <c r="G657" s="30"/>
      <c r="H657" s="30" t="s">
        <v>141</v>
      </c>
      <c r="I657" s="30" t="s">
        <v>30</v>
      </c>
      <c r="J657" s="30" t="s">
        <v>144</v>
      </c>
      <c r="K657" s="30" t="s">
        <v>117</v>
      </c>
      <c r="L657" s="30" t="s">
        <v>122</v>
      </c>
      <c r="M657" s="48"/>
      <c r="N657" s="30"/>
      <c r="O657" s="30"/>
      <c r="P657" s="30"/>
    </row>
    <row r="658" spans="1:16" ht="45" customHeight="1">
      <c r="A658" s="30" t="s">
        <v>1447</v>
      </c>
      <c r="B658" s="47" t="s">
        <v>1448</v>
      </c>
      <c r="C658" s="49" t="s">
        <v>1449</v>
      </c>
      <c r="D658" s="30"/>
      <c r="E658" s="30"/>
      <c r="F658" s="30"/>
      <c r="G658" s="30"/>
      <c r="H658" s="30" t="s">
        <v>141</v>
      </c>
      <c r="I658" s="30" t="s">
        <v>22</v>
      </c>
      <c r="J658" s="30" t="s">
        <v>144</v>
      </c>
      <c r="K658" s="30" t="s">
        <v>117</v>
      </c>
      <c r="L658" s="30" t="s">
        <v>122</v>
      </c>
      <c r="M658" s="48"/>
      <c r="N658" s="30"/>
      <c r="O658" s="30"/>
      <c r="P658" s="30"/>
    </row>
    <row r="659" spans="1:16" ht="75" customHeight="1">
      <c r="A659" s="30" t="s">
        <v>1450</v>
      </c>
      <c r="B659" s="47" t="s">
        <v>1451</v>
      </c>
      <c r="C659" s="49" t="s">
        <v>1452</v>
      </c>
      <c r="D659" s="30"/>
      <c r="E659" s="30"/>
      <c r="F659" s="30"/>
      <c r="G659" s="30"/>
      <c r="H659" s="30" t="s">
        <v>141</v>
      </c>
      <c r="I659" s="30" t="s">
        <v>31</v>
      </c>
      <c r="J659" s="30" t="s">
        <v>144</v>
      </c>
      <c r="K659" s="30" t="s">
        <v>117</v>
      </c>
      <c r="L659" s="30" t="s">
        <v>122</v>
      </c>
      <c r="M659" s="48"/>
      <c r="N659" s="30"/>
      <c r="O659" s="30"/>
      <c r="P659" s="30"/>
    </row>
    <row r="660" spans="1:16" ht="90" customHeight="1">
      <c r="A660" s="30" t="s">
        <v>1453</v>
      </c>
      <c r="B660" s="47" t="s">
        <v>1454</v>
      </c>
      <c r="C660" s="49" t="s">
        <v>1455</v>
      </c>
      <c r="D660" s="30"/>
      <c r="E660" s="30"/>
      <c r="F660" s="30"/>
      <c r="G660" t="s">
        <v>4026</v>
      </c>
      <c r="H660" s="30" t="s">
        <v>141</v>
      </c>
      <c r="I660" s="30" t="s">
        <v>30</v>
      </c>
      <c r="J660" s="30" t="s">
        <v>142</v>
      </c>
      <c r="K660" s="30" t="s">
        <v>116</v>
      </c>
      <c r="L660" s="30" t="s">
        <v>143</v>
      </c>
      <c r="M660" s="48"/>
      <c r="N660" s="54"/>
      <c r="O660" s="30"/>
      <c r="P660" s="30"/>
    </row>
    <row r="661" spans="1:16" ht="75" customHeight="1">
      <c r="A661" s="30" t="s">
        <v>1456</v>
      </c>
      <c r="B661" s="47" t="s">
        <v>1457</v>
      </c>
      <c r="C661" s="49" t="s">
        <v>1458</v>
      </c>
      <c r="D661" s="30"/>
      <c r="E661" s="30"/>
      <c r="F661" s="30"/>
      <c r="G661" s="30"/>
      <c r="H661" s="30" t="s">
        <v>141</v>
      </c>
      <c r="I661" s="30" t="s">
        <v>31</v>
      </c>
      <c r="J661" s="30" t="s">
        <v>144</v>
      </c>
      <c r="K661" s="30" t="s">
        <v>117</v>
      </c>
      <c r="L661" s="30" t="s">
        <v>122</v>
      </c>
      <c r="M661" s="48"/>
      <c r="N661" s="30"/>
      <c r="O661" s="30"/>
      <c r="P661" s="30"/>
    </row>
    <row r="662" spans="1:16" ht="45" customHeight="1">
      <c r="A662" s="30" t="s">
        <v>1459</v>
      </c>
      <c r="B662" s="47" t="s">
        <v>1457</v>
      </c>
      <c r="C662" s="48" t="s">
        <v>3801</v>
      </c>
      <c r="D662" s="30"/>
      <c r="E662" s="30"/>
      <c r="F662" s="30"/>
      <c r="G662" s="30"/>
      <c r="H662" s="30" t="s">
        <v>141</v>
      </c>
      <c r="I662" s="30" t="s">
        <v>22</v>
      </c>
      <c r="J662" s="30" t="s">
        <v>144</v>
      </c>
      <c r="K662" s="30" t="s">
        <v>117</v>
      </c>
      <c r="L662" s="30" t="s">
        <v>122</v>
      </c>
      <c r="M662" s="48"/>
      <c r="N662" s="30"/>
      <c r="O662" s="30"/>
      <c r="P662" s="30"/>
    </row>
    <row r="663" spans="1:16" ht="75" customHeight="1">
      <c r="A663" s="30" t="s">
        <v>1460</v>
      </c>
      <c r="B663" s="47" t="s">
        <v>1457</v>
      </c>
      <c r="C663" s="49" t="s">
        <v>1458</v>
      </c>
      <c r="D663" s="30"/>
      <c r="E663" s="30"/>
      <c r="F663" s="30"/>
      <c r="G663" s="30"/>
      <c r="H663" s="30" t="s">
        <v>141</v>
      </c>
      <c r="I663" s="30" t="s">
        <v>31</v>
      </c>
      <c r="J663" s="30" t="s">
        <v>144</v>
      </c>
      <c r="K663" s="30" t="s">
        <v>117</v>
      </c>
      <c r="L663" s="30" t="s">
        <v>122</v>
      </c>
      <c r="M663" s="48"/>
      <c r="N663" s="30"/>
      <c r="O663" s="30"/>
      <c r="P663" s="30"/>
    </row>
    <row r="664" spans="1:16" ht="60" customHeight="1">
      <c r="A664" s="30" t="s">
        <v>1461</v>
      </c>
      <c r="B664" s="47" t="s">
        <v>1457</v>
      </c>
      <c r="C664" s="49" t="s">
        <v>1462</v>
      </c>
      <c r="D664" s="30"/>
      <c r="E664" s="30"/>
      <c r="F664" s="30"/>
      <c r="G664" s="30"/>
      <c r="H664" s="30" t="s">
        <v>141</v>
      </c>
      <c r="I664" s="30" t="s">
        <v>22</v>
      </c>
      <c r="J664" s="30" t="s">
        <v>144</v>
      </c>
      <c r="K664" s="30" t="s">
        <v>117</v>
      </c>
      <c r="L664" s="30" t="s">
        <v>122</v>
      </c>
      <c r="M664" s="48"/>
      <c r="N664" s="30"/>
      <c r="O664" s="30"/>
      <c r="P664" s="30"/>
    </row>
    <row r="665" spans="1:16" ht="45" customHeight="1">
      <c r="A665" s="30" t="s">
        <v>1463</v>
      </c>
      <c r="B665" s="47" t="s">
        <v>1457</v>
      </c>
      <c r="C665" s="49" t="s">
        <v>1464</v>
      </c>
      <c r="D665" s="30"/>
      <c r="E665" s="30"/>
      <c r="F665" s="30"/>
      <c r="G665" s="30"/>
      <c r="H665" s="30" t="s">
        <v>141</v>
      </c>
      <c r="I665" s="30" t="s">
        <v>22</v>
      </c>
      <c r="J665" s="30" t="s">
        <v>144</v>
      </c>
      <c r="K665" s="30" t="s">
        <v>117</v>
      </c>
      <c r="L665" s="30" t="s">
        <v>122</v>
      </c>
      <c r="M665" s="48"/>
      <c r="N665" s="30"/>
      <c r="O665" s="30"/>
      <c r="P665" s="30"/>
    </row>
    <row r="666" spans="1:16" ht="30" customHeight="1">
      <c r="A666" s="30" t="s">
        <v>1465</v>
      </c>
      <c r="B666" s="47" t="s">
        <v>1466</v>
      </c>
      <c r="C666" s="49" t="s">
        <v>1467</v>
      </c>
      <c r="D666" s="30"/>
      <c r="E666" s="30"/>
      <c r="F666" s="30"/>
      <c r="G666" s="30"/>
      <c r="H666" s="30" t="s">
        <v>141</v>
      </c>
      <c r="I666" s="30" t="s">
        <v>31</v>
      </c>
      <c r="J666" s="30" t="s">
        <v>142</v>
      </c>
      <c r="K666" s="30" t="s">
        <v>116</v>
      </c>
      <c r="L666" s="30" t="s">
        <v>122</v>
      </c>
      <c r="M666" s="48" t="s">
        <v>314</v>
      </c>
      <c r="N666" s="30"/>
      <c r="O666" s="30"/>
      <c r="P666" s="30"/>
    </row>
    <row r="667" spans="1:16" ht="30" customHeight="1">
      <c r="A667" s="30" t="s">
        <v>1468</v>
      </c>
      <c r="B667" s="47" t="s">
        <v>1466</v>
      </c>
      <c r="C667" s="49" t="s">
        <v>1469</v>
      </c>
      <c r="D667" s="30"/>
      <c r="E667" s="30"/>
      <c r="F667" s="30"/>
      <c r="G667" s="30"/>
      <c r="H667" s="30" t="s">
        <v>141</v>
      </c>
      <c r="I667" s="30" t="s">
        <v>31</v>
      </c>
      <c r="J667" s="30" t="s">
        <v>142</v>
      </c>
      <c r="K667" s="30" t="s">
        <v>116</v>
      </c>
      <c r="L667" s="30" t="s">
        <v>122</v>
      </c>
      <c r="M667" s="48" t="s">
        <v>314</v>
      </c>
      <c r="N667" s="30"/>
      <c r="O667" s="30"/>
      <c r="P667" s="30"/>
    </row>
    <row r="668" spans="1:16" ht="30" customHeight="1">
      <c r="A668" s="30" t="s">
        <v>1470</v>
      </c>
      <c r="B668" s="47" t="s">
        <v>1466</v>
      </c>
      <c r="C668" s="49" t="s">
        <v>1471</v>
      </c>
      <c r="D668" s="30"/>
      <c r="E668" s="30"/>
      <c r="F668" s="30"/>
      <c r="G668" s="30"/>
      <c r="H668" s="30" t="s">
        <v>141</v>
      </c>
      <c r="I668" s="30" t="s">
        <v>31</v>
      </c>
      <c r="J668" s="30" t="s">
        <v>142</v>
      </c>
      <c r="K668" s="30" t="s">
        <v>116</v>
      </c>
      <c r="L668" s="30" t="s">
        <v>122</v>
      </c>
      <c r="M668" s="48" t="s">
        <v>314</v>
      </c>
      <c r="N668" s="30"/>
      <c r="O668" s="30"/>
      <c r="P668" s="30"/>
    </row>
    <row r="669" spans="1:16" ht="30" customHeight="1">
      <c r="A669" s="30" t="s">
        <v>1472</v>
      </c>
      <c r="B669" s="47" t="s">
        <v>1466</v>
      </c>
      <c r="C669" s="49" t="s">
        <v>1473</v>
      </c>
      <c r="D669" s="30"/>
      <c r="E669" s="30"/>
      <c r="F669" s="30"/>
      <c r="G669" s="30"/>
      <c r="H669" s="30" t="s">
        <v>141</v>
      </c>
      <c r="I669" s="30" t="s">
        <v>31</v>
      </c>
      <c r="J669" s="30" t="s">
        <v>142</v>
      </c>
      <c r="K669" s="30" t="s">
        <v>116</v>
      </c>
      <c r="L669" s="30" t="s">
        <v>122</v>
      </c>
      <c r="M669" s="48" t="s">
        <v>314</v>
      </c>
      <c r="N669" s="30"/>
      <c r="O669" s="30"/>
      <c r="P669" s="30"/>
    </row>
    <row r="670" spans="1:16" ht="30" customHeight="1">
      <c r="A670" s="30" t="s">
        <v>1474</v>
      </c>
      <c r="B670" s="47" t="s">
        <v>1466</v>
      </c>
      <c r="C670" s="49" t="s">
        <v>1475</v>
      </c>
      <c r="D670" s="30"/>
      <c r="E670" s="30"/>
      <c r="F670" s="30"/>
      <c r="G670" s="30"/>
      <c r="H670" s="30" t="s">
        <v>141</v>
      </c>
      <c r="I670" s="30" t="s">
        <v>31</v>
      </c>
      <c r="J670" s="30" t="s">
        <v>142</v>
      </c>
      <c r="K670" s="30" t="s">
        <v>116</v>
      </c>
      <c r="L670" s="30" t="s">
        <v>122</v>
      </c>
      <c r="M670" s="48" t="s">
        <v>314</v>
      </c>
      <c r="N670" s="30"/>
      <c r="O670" s="30"/>
      <c r="P670" s="30"/>
    </row>
    <row r="671" spans="1:16" ht="45" customHeight="1">
      <c r="A671" s="30" t="s">
        <v>1476</v>
      </c>
      <c r="B671" s="47" t="s">
        <v>1466</v>
      </c>
      <c r="C671" s="49" t="s">
        <v>1477</v>
      </c>
      <c r="D671" s="30"/>
      <c r="E671" s="30"/>
      <c r="F671" s="30"/>
      <c r="G671" s="30"/>
      <c r="H671" s="30" t="s">
        <v>141</v>
      </c>
      <c r="I671" s="30" t="s">
        <v>31</v>
      </c>
      <c r="J671" s="30" t="s">
        <v>144</v>
      </c>
      <c r="K671" s="30" t="s">
        <v>117</v>
      </c>
      <c r="L671" s="30" t="s">
        <v>122</v>
      </c>
      <c r="M671" s="48"/>
      <c r="N671" s="30"/>
      <c r="O671" s="30"/>
      <c r="P671" s="30"/>
    </row>
    <row r="672" spans="1:16" ht="30" customHeight="1">
      <c r="A672" s="30" t="s">
        <v>1478</v>
      </c>
      <c r="B672" s="47" t="s">
        <v>1466</v>
      </c>
      <c r="C672" s="49" t="s">
        <v>1479</v>
      </c>
      <c r="D672" s="30"/>
      <c r="E672" s="30"/>
      <c r="F672" s="30"/>
      <c r="G672" s="30"/>
      <c r="H672" s="30" t="s">
        <v>141</v>
      </c>
      <c r="I672" s="30" t="s">
        <v>31</v>
      </c>
      <c r="J672" s="30" t="s">
        <v>144</v>
      </c>
      <c r="K672" s="30" t="s">
        <v>117</v>
      </c>
      <c r="L672" s="30" t="s">
        <v>122</v>
      </c>
      <c r="M672" s="48"/>
      <c r="N672" s="30"/>
      <c r="O672" s="30"/>
      <c r="P672" s="30"/>
    </row>
    <row r="673" spans="1:16" ht="45" customHeight="1">
      <c r="A673" s="30" t="s">
        <v>1480</v>
      </c>
      <c r="B673" s="47" t="s">
        <v>1466</v>
      </c>
      <c r="C673" s="49" t="s">
        <v>1481</v>
      </c>
      <c r="D673" s="30"/>
      <c r="E673" s="30"/>
      <c r="F673" s="30"/>
      <c r="G673" s="30"/>
      <c r="H673" s="30" t="s">
        <v>141</v>
      </c>
      <c r="I673" s="30" t="s">
        <v>31</v>
      </c>
      <c r="J673" s="30" t="s">
        <v>142</v>
      </c>
      <c r="K673" s="30" t="s">
        <v>116</v>
      </c>
      <c r="L673" s="30" t="s">
        <v>122</v>
      </c>
      <c r="M673" s="48" t="s">
        <v>314</v>
      </c>
      <c r="N673" s="30"/>
      <c r="O673" s="30"/>
      <c r="P673" s="30"/>
    </row>
    <row r="674" spans="1:16" ht="45" customHeight="1">
      <c r="A674" s="30" t="s">
        <v>1482</v>
      </c>
      <c r="B674" s="47" t="s">
        <v>1466</v>
      </c>
      <c r="C674" s="49" t="s">
        <v>1483</v>
      </c>
      <c r="D674" s="30"/>
      <c r="E674" s="30"/>
      <c r="F674" s="30"/>
      <c r="G674" s="30"/>
      <c r="H674" s="30" t="s">
        <v>141</v>
      </c>
      <c r="I674" s="30" t="s">
        <v>31</v>
      </c>
      <c r="J674" s="30" t="s">
        <v>144</v>
      </c>
      <c r="K674" s="30" t="s">
        <v>117</v>
      </c>
      <c r="L674" s="30" t="s">
        <v>122</v>
      </c>
      <c r="M674" s="48"/>
      <c r="N674" s="30"/>
      <c r="O674" s="30"/>
      <c r="P674" s="30"/>
    </row>
    <row r="675" spans="1:16" ht="45" customHeight="1">
      <c r="A675" s="30" t="s">
        <v>1484</v>
      </c>
      <c r="B675" s="47" t="s">
        <v>1466</v>
      </c>
      <c r="C675" s="49" t="s">
        <v>1485</v>
      </c>
      <c r="D675" s="30"/>
      <c r="E675" s="30"/>
      <c r="F675" s="30"/>
      <c r="G675" s="30"/>
      <c r="H675" s="30" t="s">
        <v>141</v>
      </c>
      <c r="I675" s="30" t="s">
        <v>31</v>
      </c>
      <c r="J675" s="30" t="s">
        <v>144</v>
      </c>
      <c r="K675" s="30" t="s">
        <v>117</v>
      </c>
      <c r="L675" s="30" t="s">
        <v>122</v>
      </c>
      <c r="M675" s="48"/>
      <c r="N675" s="30"/>
      <c r="O675" s="30"/>
      <c r="P675" s="30"/>
    </row>
    <row r="676" spans="1:16" s="31" customFormat="1" ht="60" customHeight="1">
      <c r="A676" s="30" t="s">
        <v>1486</v>
      </c>
      <c r="B676" s="47" t="s">
        <v>1487</v>
      </c>
      <c r="C676" s="49" t="s">
        <v>1488</v>
      </c>
      <c r="D676" s="30"/>
      <c r="E676" s="30"/>
      <c r="F676" s="30"/>
      <c r="G676" s="31" t="s">
        <v>4026</v>
      </c>
      <c r="H676" s="30" t="s">
        <v>141</v>
      </c>
      <c r="I676" s="30" t="s">
        <v>30</v>
      </c>
      <c r="J676" s="30" t="s">
        <v>142</v>
      </c>
      <c r="K676" s="30" t="s">
        <v>116</v>
      </c>
      <c r="L676" s="30" t="s">
        <v>143</v>
      </c>
      <c r="M676" s="48" t="s">
        <v>4217</v>
      </c>
      <c r="N676" s="54"/>
      <c r="O676" s="30"/>
      <c r="P676" s="30"/>
    </row>
    <row r="677" spans="1:16" s="31" customFormat="1" ht="60" customHeight="1">
      <c r="A677" s="30" t="s">
        <v>1489</v>
      </c>
      <c r="B677" s="50" t="s">
        <v>1487</v>
      </c>
      <c r="C677" s="52" t="s">
        <v>3802</v>
      </c>
      <c r="D677" s="30"/>
      <c r="E677" s="30"/>
      <c r="F677" s="30"/>
      <c r="H677" s="30" t="s">
        <v>141</v>
      </c>
      <c r="I677" s="30" t="s">
        <v>30</v>
      </c>
      <c r="J677" s="30" t="s">
        <v>142</v>
      </c>
      <c r="K677" s="30" t="s">
        <v>116</v>
      </c>
      <c r="L677" s="30" t="s">
        <v>122</v>
      </c>
      <c r="M677" s="48" t="s">
        <v>4217</v>
      </c>
      <c r="N677" s="30"/>
      <c r="O677" s="30"/>
      <c r="P677" s="30"/>
    </row>
    <row r="678" spans="1:16" ht="30" customHeight="1">
      <c r="A678" s="30" t="s">
        <v>1490</v>
      </c>
      <c r="B678" s="47" t="s">
        <v>1487</v>
      </c>
      <c r="C678" s="48" t="s">
        <v>1491</v>
      </c>
      <c r="D678" s="30"/>
      <c r="E678" s="30"/>
      <c r="F678" s="30"/>
      <c r="G678" s="30"/>
      <c r="H678" s="30" t="s">
        <v>141</v>
      </c>
      <c r="I678" s="30" t="s">
        <v>30</v>
      </c>
      <c r="J678" s="30" t="s">
        <v>144</v>
      </c>
      <c r="K678" s="30" t="s">
        <v>117</v>
      </c>
      <c r="L678" s="30" t="s">
        <v>122</v>
      </c>
      <c r="M678" s="48"/>
      <c r="N678" s="30"/>
      <c r="O678" s="30"/>
      <c r="P678" s="30"/>
    </row>
    <row r="679" spans="1:16" ht="30" customHeight="1">
      <c r="A679" s="30" t="s">
        <v>1492</v>
      </c>
      <c r="B679" s="47" t="s">
        <v>1487</v>
      </c>
      <c r="C679" s="48" t="s">
        <v>1493</v>
      </c>
      <c r="D679" s="30"/>
      <c r="E679" s="30"/>
      <c r="F679" s="30"/>
      <c r="G679" s="30"/>
      <c r="H679" s="30" t="s">
        <v>141</v>
      </c>
      <c r="I679" s="30" t="s">
        <v>30</v>
      </c>
      <c r="J679" s="30" t="s">
        <v>144</v>
      </c>
      <c r="K679" s="30" t="s">
        <v>117</v>
      </c>
      <c r="L679" s="30" t="s">
        <v>122</v>
      </c>
      <c r="M679" s="48"/>
      <c r="N679" s="30"/>
      <c r="O679" s="30"/>
      <c r="P679" s="30"/>
    </row>
    <row r="680" spans="1:16" ht="45" customHeight="1">
      <c r="A680" s="30" t="s">
        <v>1494</v>
      </c>
      <c r="B680" s="47" t="s">
        <v>1487</v>
      </c>
      <c r="C680" s="51" t="s">
        <v>1495</v>
      </c>
      <c r="D680" s="30"/>
      <c r="E680" s="30"/>
      <c r="F680" s="30"/>
      <c r="G680" t="s">
        <v>4026</v>
      </c>
      <c r="H680" s="30" t="s">
        <v>141</v>
      </c>
      <c r="I680" s="30" t="s">
        <v>30</v>
      </c>
      <c r="J680" s="30" t="s">
        <v>142</v>
      </c>
      <c r="K680" s="30" t="s">
        <v>116</v>
      </c>
      <c r="L680" s="30" t="s">
        <v>143</v>
      </c>
      <c r="M680" s="47" t="s">
        <v>4134</v>
      </c>
      <c r="N680" s="30"/>
      <c r="O680" s="30"/>
      <c r="P680" s="30"/>
    </row>
    <row r="681" spans="1:16" ht="45" customHeight="1">
      <c r="A681" s="30" t="s">
        <v>1496</v>
      </c>
      <c r="B681" s="47" t="s">
        <v>1487</v>
      </c>
      <c r="C681" s="51" t="s">
        <v>4087</v>
      </c>
      <c r="D681" s="30"/>
      <c r="E681" s="30"/>
      <c r="F681" s="30"/>
      <c r="G681" t="s">
        <v>4026</v>
      </c>
      <c r="H681" s="30" t="s">
        <v>141</v>
      </c>
      <c r="I681" s="30" t="s">
        <v>30</v>
      </c>
      <c r="J681" s="30" t="s">
        <v>142</v>
      </c>
      <c r="K681" s="30" t="s">
        <v>116</v>
      </c>
      <c r="L681" s="30" t="s">
        <v>143</v>
      </c>
      <c r="M681" s="47"/>
      <c r="N681" s="30"/>
      <c r="O681" s="30"/>
      <c r="P681" s="30"/>
    </row>
    <row r="682" spans="1:16" ht="75" customHeight="1">
      <c r="A682" s="30" t="s">
        <v>1497</v>
      </c>
      <c r="B682" s="47" t="s">
        <v>1487</v>
      </c>
      <c r="C682" s="51" t="s">
        <v>4086</v>
      </c>
      <c r="D682" s="30"/>
      <c r="E682" s="30"/>
      <c r="F682" s="30"/>
      <c r="H682" s="30" t="s">
        <v>141</v>
      </c>
      <c r="I682" s="30" t="s">
        <v>30</v>
      </c>
      <c r="J682" s="30" t="s">
        <v>142</v>
      </c>
      <c r="K682" s="30" t="s">
        <v>116</v>
      </c>
      <c r="L682" s="30" t="s">
        <v>122</v>
      </c>
      <c r="M682" s="47" t="s">
        <v>4088</v>
      </c>
      <c r="N682" s="30"/>
      <c r="O682" s="30"/>
      <c r="P682" s="30"/>
    </row>
    <row r="683" spans="1:16" ht="60" customHeight="1">
      <c r="A683" s="30" t="s">
        <v>1498</v>
      </c>
      <c r="B683" s="47" t="s">
        <v>1487</v>
      </c>
      <c r="C683" s="51" t="s">
        <v>1499</v>
      </c>
      <c r="D683" s="30"/>
      <c r="E683" s="30"/>
      <c r="F683" s="30"/>
      <c r="G683" t="s">
        <v>4026</v>
      </c>
      <c r="H683" s="30" t="s">
        <v>141</v>
      </c>
      <c r="I683" s="30" t="s">
        <v>30</v>
      </c>
      <c r="J683" s="30" t="s">
        <v>142</v>
      </c>
      <c r="K683" s="30" t="s">
        <v>116</v>
      </c>
      <c r="L683" s="30" t="s">
        <v>143</v>
      </c>
      <c r="M683" s="47" t="s">
        <v>4134</v>
      </c>
      <c r="N683" s="30"/>
      <c r="O683" s="30"/>
      <c r="P683" s="30"/>
    </row>
    <row r="684" spans="1:16" ht="45" customHeight="1">
      <c r="A684" s="30" t="s">
        <v>1500</v>
      </c>
      <c r="B684" s="47" t="s">
        <v>1487</v>
      </c>
      <c r="C684" s="51" t="s">
        <v>1501</v>
      </c>
      <c r="D684" s="30"/>
      <c r="E684" s="30"/>
      <c r="F684" s="30"/>
      <c r="G684" t="s">
        <v>4026</v>
      </c>
      <c r="H684" s="30" t="s">
        <v>141</v>
      </c>
      <c r="I684" s="30" t="s">
        <v>30</v>
      </c>
      <c r="J684" s="30" t="s">
        <v>142</v>
      </c>
      <c r="K684" s="30" t="s">
        <v>116</v>
      </c>
      <c r="L684" s="30" t="s">
        <v>143</v>
      </c>
      <c r="M684" s="47"/>
      <c r="N684" s="30"/>
      <c r="O684" s="30"/>
      <c r="P684" s="30"/>
    </row>
    <row r="685" spans="1:16" ht="75" customHeight="1">
      <c r="A685" s="30" t="s">
        <v>1502</v>
      </c>
      <c r="B685" s="47" t="s">
        <v>1487</v>
      </c>
      <c r="C685" s="51" t="s">
        <v>1503</v>
      </c>
      <c r="D685" s="30"/>
      <c r="E685" s="30"/>
      <c r="F685" s="30"/>
      <c r="H685" s="30" t="s">
        <v>141</v>
      </c>
      <c r="I685" s="30" t="s">
        <v>30</v>
      </c>
      <c r="J685" s="30" t="s">
        <v>142</v>
      </c>
      <c r="K685" s="30" t="s">
        <v>116</v>
      </c>
      <c r="L685" s="30" t="s">
        <v>122</v>
      </c>
      <c r="M685" s="47" t="s">
        <v>4088</v>
      </c>
      <c r="N685" s="30"/>
      <c r="O685" s="30"/>
      <c r="P685" s="30"/>
    </row>
    <row r="686" spans="1:16" ht="90" customHeight="1">
      <c r="A686" s="30" t="s">
        <v>1504</v>
      </c>
      <c r="B686" s="47" t="s">
        <v>1487</v>
      </c>
      <c r="C686" s="51" t="s">
        <v>4064</v>
      </c>
      <c r="D686" s="30"/>
      <c r="E686" s="30"/>
      <c r="F686" s="30"/>
      <c r="H686" s="30" t="s">
        <v>141</v>
      </c>
      <c r="I686" s="30" t="s">
        <v>30</v>
      </c>
      <c r="J686" s="30" t="s">
        <v>142</v>
      </c>
      <c r="K686" s="30" t="s">
        <v>116</v>
      </c>
      <c r="L686" s="30" t="s">
        <v>121</v>
      </c>
      <c r="M686" s="47" t="s">
        <v>4135</v>
      </c>
      <c r="N686" s="30"/>
      <c r="O686" s="30"/>
      <c r="P686" s="30"/>
    </row>
    <row r="687" spans="1:16" ht="60" customHeight="1">
      <c r="A687" s="30" t="s">
        <v>1506</v>
      </c>
      <c r="B687" s="47" t="s">
        <v>1487</v>
      </c>
      <c r="C687" s="51" t="s">
        <v>1505</v>
      </c>
      <c r="D687" s="30"/>
      <c r="E687" s="30"/>
      <c r="F687" s="30"/>
      <c r="H687" s="30" t="s">
        <v>141</v>
      </c>
      <c r="I687" s="30" t="s">
        <v>30</v>
      </c>
      <c r="J687" s="30" t="s">
        <v>144</v>
      </c>
      <c r="K687" s="30" t="s">
        <v>117</v>
      </c>
      <c r="L687" s="30" t="s">
        <v>3664</v>
      </c>
      <c r="M687" s="50" t="s">
        <v>4065</v>
      </c>
      <c r="N687" s="30"/>
      <c r="O687" s="30"/>
      <c r="P687" s="30"/>
    </row>
    <row r="688" spans="1:16" ht="90" customHeight="1">
      <c r="A688" s="30" t="s">
        <v>1507</v>
      </c>
      <c r="B688" s="47" t="s">
        <v>1487</v>
      </c>
      <c r="C688" s="51" t="s">
        <v>1508</v>
      </c>
      <c r="D688" s="30"/>
      <c r="E688" s="30"/>
      <c r="F688" s="30"/>
      <c r="H688" s="30" t="s">
        <v>141</v>
      </c>
      <c r="I688" s="30" t="s">
        <v>30</v>
      </c>
      <c r="J688" s="30" t="s">
        <v>142</v>
      </c>
      <c r="K688" s="30" t="s">
        <v>116</v>
      </c>
      <c r="L688" s="30" t="s">
        <v>121</v>
      </c>
      <c r="M688" s="47" t="s">
        <v>4135</v>
      </c>
      <c r="N688" s="30"/>
      <c r="O688" s="30"/>
      <c r="P688" s="30"/>
    </row>
    <row r="689" spans="1:16" ht="75" customHeight="1">
      <c r="A689" s="30" t="s">
        <v>1509</v>
      </c>
      <c r="B689" s="47" t="s">
        <v>1487</v>
      </c>
      <c r="C689" s="51" t="s">
        <v>1510</v>
      </c>
      <c r="D689" s="30"/>
      <c r="E689" s="30"/>
      <c r="F689" s="30"/>
      <c r="H689" s="30" t="s">
        <v>141</v>
      </c>
      <c r="I689" s="30" t="s">
        <v>30</v>
      </c>
      <c r="J689" s="30" t="s">
        <v>142</v>
      </c>
      <c r="K689" s="30" t="s">
        <v>116</v>
      </c>
      <c r="L689" s="30" t="s">
        <v>122</v>
      </c>
      <c r="M689" s="47" t="s">
        <v>4088</v>
      </c>
      <c r="N689" s="30"/>
      <c r="O689" s="30"/>
      <c r="P689" s="30"/>
    </row>
    <row r="690" spans="1:16" s="31" customFormat="1" ht="90" customHeight="1">
      <c r="A690" s="30" t="s">
        <v>1511</v>
      </c>
      <c r="B690" s="47" t="s">
        <v>1487</v>
      </c>
      <c r="C690" s="51" t="s">
        <v>4151</v>
      </c>
      <c r="D690" s="30"/>
      <c r="E690" s="30"/>
      <c r="F690" s="30"/>
      <c r="G690" s="31" t="s">
        <v>4026</v>
      </c>
      <c r="H690" s="30" t="s">
        <v>141</v>
      </c>
      <c r="I690" s="30" t="s">
        <v>30</v>
      </c>
      <c r="J690" s="30" t="s">
        <v>142</v>
      </c>
      <c r="K690" s="30" t="s">
        <v>116</v>
      </c>
      <c r="L690" s="30" t="s">
        <v>143</v>
      </c>
      <c r="M690" s="47"/>
      <c r="N690" s="66"/>
      <c r="O690" s="30"/>
      <c r="P690" s="30"/>
    </row>
    <row r="691" spans="1:16" s="31" customFormat="1" ht="75" customHeight="1">
      <c r="A691" s="30" t="s">
        <v>1512</v>
      </c>
      <c r="B691" s="47" t="s">
        <v>1487</v>
      </c>
      <c r="C691" s="51" t="s">
        <v>4152</v>
      </c>
      <c r="D691" s="30"/>
      <c r="E691" s="30"/>
      <c r="F691" s="30"/>
      <c r="H691" s="30" t="s">
        <v>141</v>
      </c>
      <c r="I691" s="30" t="s">
        <v>30</v>
      </c>
      <c r="J691" s="30" t="s">
        <v>142</v>
      </c>
      <c r="K691" s="30" t="s">
        <v>116</v>
      </c>
      <c r="L691" s="30" t="s">
        <v>122</v>
      </c>
      <c r="M691" s="47" t="s">
        <v>4088</v>
      </c>
      <c r="N691" s="66"/>
      <c r="O691" s="30"/>
      <c r="P691" s="30"/>
    </row>
    <row r="692" spans="1:16" s="31" customFormat="1" ht="75" customHeight="1">
      <c r="A692" s="30" t="s">
        <v>1513</v>
      </c>
      <c r="B692" s="47" t="s">
        <v>1487</v>
      </c>
      <c r="C692" s="51" t="s">
        <v>4153</v>
      </c>
      <c r="D692" s="30"/>
      <c r="E692" s="30"/>
      <c r="F692" s="30"/>
      <c r="H692" s="30" t="s">
        <v>141</v>
      </c>
      <c r="I692" s="30" t="s">
        <v>30</v>
      </c>
      <c r="J692" s="30" t="s">
        <v>142</v>
      </c>
      <c r="K692" s="30" t="s">
        <v>116</v>
      </c>
      <c r="L692" s="30" t="s">
        <v>122</v>
      </c>
      <c r="M692" s="47" t="s">
        <v>4214</v>
      </c>
      <c r="N692" s="66"/>
      <c r="O692" s="30"/>
      <c r="P692" s="30"/>
    </row>
    <row r="693" spans="1:16" s="31" customFormat="1" ht="60" customHeight="1">
      <c r="A693" s="30" t="s">
        <v>4155</v>
      </c>
      <c r="B693" s="47" t="s">
        <v>1487</v>
      </c>
      <c r="C693" s="51" t="s">
        <v>4154</v>
      </c>
      <c r="D693" s="30"/>
      <c r="E693" s="30"/>
      <c r="F693" s="30"/>
      <c r="H693" s="30" t="s">
        <v>141</v>
      </c>
      <c r="I693" s="30" t="s">
        <v>30</v>
      </c>
      <c r="J693" s="30" t="s">
        <v>142</v>
      </c>
      <c r="K693" s="30" t="s">
        <v>116</v>
      </c>
      <c r="L693" s="30" t="s">
        <v>122</v>
      </c>
      <c r="M693" s="48" t="s">
        <v>4214</v>
      </c>
      <c r="N693" s="66"/>
      <c r="O693" s="30"/>
      <c r="P693" s="30"/>
    </row>
    <row r="694" spans="1:16" s="31" customFormat="1" ht="75" customHeight="1">
      <c r="A694" s="30" t="s">
        <v>1514</v>
      </c>
      <c r="B694" s="47" t="s">
        <v>1487</v>
      </c>
      <c r="C694" s="51" t="s">
        <v>4156</v>
      </c>
      <c r="D694" s="30"/>
      <c r="E694" s="30"/>
      <c r="F694" s="30"/>
      <c r="H694" s="30" t="s">
        <v>141</v>
      </c>
      <c r="I694" s="30" t="s">
        <v>30</v>
      </c>
      <c r="J694" s="30" t="s">
        <v>142</v>
      </c>
      <c r="K694" s="30" t="s">
        <v>116</v>
      </c>
      <c r="L694" s="30" t="s">
        <v>122</v>
      </c>
      <c r="M694" s="47" t="s">
        <v>4088</v>
      </c>
      <c r="N694" s="66"/>
      <c r="O694" s="30"/>
      <c r="P694" s="30"/>
    </row>
    <row r="695" spans="1:16" s="31" customFormat="1" ht="75" customHeight="1">
      <c r="A695" s="30" t="s">
        <v>4157</v>
      </c>
      <c r="B695" s="47" t="s">
        <v>1487</v>
      </c>
      <c r="C695" s="51" t="s">
        <v>4158</v>
      </c>
      <c r="D695" s="30"/>
      <c r="E695" s="30"/>
      <c r="F695" s="30"/>
      <c r="H695" s="30" t="s">
        <v>141</v>
      </c>
      <c r="I695" s="30" t="s">
        <v>30</v>
      </c>
      <c r="J695" s="30" t="s">
        <v>142</v>
      </c>
      <c r="K695" s="30" t="s">
        <v>116</v>
      </c>
      <c r="L695" s="30" t="s">
        <v>122</v>
      </c>
      <c r="M695" s="47" t="s">
        <v>4088</v>
      </c>
      <c r="N695" s="66"/>
      <c r="O695" s="30"/>
      <c r="P695" s="30"/>
    </row>
    <row r="696" spans="1:16" ht="45" customHeight="1">
      <c r="A696" s="30" t="s">
        <v>1515</v>
      </c>
      <c r="B696" s="47" t="s">
        <v>1487</v>
      </c>
      <c r="C696" s="51" t="s">
        <v>1516</v>
      </c>
      <c r="D696" s="30"/>
      <c r="E696" s="30"/>
      <c r="F696" s="30"/>
      <c r="G696" t="s">
        <v>4026</v>
      </c>
      <c r="H696" s="30" t="s">
        <v>141</v>
      </c>
      <c r="I696" s="30" t="s">
        <v>30</v>
      </c>
      <c r="J696" s="30" t="s">
        <v>142</v>
      </c>
      <c r="K696" s="30" t="s">
        <v>116</v>
      </c>
      <c r="L696" s="30" t="s">
        <v>143</v>
      </c>
      <c r="M696" s="47" t="s">
        <v>4134</v>
      </c>
      <c r="N696" s="30"/>
      <c r="O696" s="30"/>
      <c r="P696" s="30"/>
    </row>
    <row r="697" spans="1:16" ht="75" customHeight="1">
      <c r="A697" s="30" t="s">
        <v>1517</v>
      </c>
      <c r="B697" s="47" t="s">
        <v>1487</v>
      </c>
      <c r="C697" s="51" t="s">
        <v>1518</v>
      </c>
      <c r="D697" s="30"/>
      <c r="E697" s="30"/>
      <c r="F697" s="30"/>
      <c r="H697" s="30" t="s">
        <v>141</v>
      </c>
      <c r="I697" s="30" t="s">
        <v>30</v>
      </c>
      <c r="J697" s="30" t="s">
        <v>142</v>
      </c>
      <c r="K697" s="30" t="s">
        <v>116</v>
      </c>
      <c r="L697" s="30" t="s">
        <v>122</v>
      </c>
      <c r="M697" s="47" t="s">
        <v>4088</v>
      </c>
      <c r="N697" s="30"/>
      <c r="O697" s="30"/>
      <c r="P697" s="30"/>
    </row>
    <row r="698" spans="1:16" ht="45" customHeight="1">
      <c r="A698" s="30" t="s">
        <v>1519</v>
      </c>
      <c r="B698" s="47" t="s">
        <v>1487</v>
      </c>
      <c r="C698" s="51" t="s">
        <v>1520</v>
      </c>
      <c r="D698" s="30"/>
      <c r="E698" s="30"/>
      <c r="F698" s="30"/>
      <c r="G698" t="s">
        <v>4026</v>
      </c>
      <c r="H698" s="30" t="s">
        <v>141</v>
      </c>
      <c r="I698" s="30" t="s">
        <v>30</v>
      </c>
      <c r="J698" s="30" t="s">
        <v>142</v>
      </c>
      <c r="K698" s="30" t="s">
        <v>116</v>
      </c>
      <c r="L698" s="30" t="s">
        <v>143</v>
      </c>
      <c r="M698" s="47" t="s">
        <v>4134</v>
      </c>
      <c r="N698" s="30"/>
      <c r="O698" s="30"/>
      <c r="P698" s="30"/>
    </row>
    <row r="699" spans="1:16" ht="75" customHeight="1">
      <c r="A699" s="30" t="s">
        <v>1521</v>
      </c>
      <c r="B699" s="47" t="s">
        <v>1487</v>
      </c>
      <c r="C699" s="51" t="s">
        <v>1522</v>
      </c>
      <c r="D699" s="30"/>
      <c r="E699" s="30"/>
      <c r="F699" s="30"/>
      <c r="H699" s="30" t="s">
        <v>141</v>
      </c>
      <c r="I699" s="30" t="s">
        <v>30</v>
      </c>
      <c r="J699" s="30" t="s">
        <v>142</v>
      </c>
      <c r="K699" s="30" t="s">
        <v>116</v>
      </c>
      <c r="L699" s="30" t="s">
        <v>122</v>
      </c>
      <c r="M699" s="47" t="s">
        <v>4088</v>
      </c>
      <c r="N699" s="30"/>
      <c r="O699" s="30"/>
      <c r="P699" s="30"/>
    </row>
    <row r="700" spans="1:16" ht="60" customHeight="1">
      <c r="A700" s="30" t="s">
        <v>1523</v>
      </c>
      <c r="B700" s="47" t="s">
        <v>1487</v>
      </c>
      <c r="C700" s="51" t="s">
        <v>1524</v>
      </c>
      <c r="D700" s="30"/>
      <c r="E700" s="30"/>
      <c r="F700" s="30"/>
      <c r="G700" t="s">
        <v>4026</v>
      </c>
      <c r="H700" s="30" t="s">
        <v>141</v>
      </c>
      <c r="I700" s="30" t="s">
        <v>30</v>
      </c>
      <c r="J700" s="30" t="s">
        <v>142</v>
      </c>
      <c r="K700" s="30" t="s">
        <v>116</v>
      </c>
      <c r="L700" s="30" t="s">
        <v>143</v>
      </c>
      <c r="M700" s="47" t="s">
        <v>4134</v>
      </c>
      <c r="N700" s="30"/>
      <c r="O700" s="30"/>
      <c r="P700" s="30"/>
    </row>
    <row r="701" spans="1:16" ht="75" customHeight="1">
      <c r="A701" s="30" t="s">
        <v>1525</v>
      </c>
      <c r="B701" s="47" t="s">
        <v>1487</v>
      </c>
      <c r="C701" s="51" t="s">
        <v>1526</v>
      </c>
      <c r="D701" s="30"/>
      <c r="E701" s="30"/>
      <c r="F701" s="30"/>
      <c r="H701" s="30" t="s">
        <v>141</v>
      </c>
      <c r="I701" s="30" t="s">
        <v>30</v>
      </c>
      <c r="J701" s="30" t="s">
        <v>142</v>
      </c>
      <c r="K701" s="30" t="s">
        <v>116</v>
      </c>
      <c r="L701" s="30" t="s">
        <v>122</v>
      </c>
      <c r="M701" s="47" t="s">
        <v>4088</v>
      </c>
      <c r="N701" s="30"/>
      <c r="O701" s="30"/>
      <c r="P701" s="30"/>
    </row>
    <row r="702" spans="1:16" ht="75" customHeight="1">
      <c r="A702" s="30" t="s">
        <v>1527</v>
      </c>
      <c r="B702" s="47" t="s">
        <v>1487</v>
      </c>
      <c r="C702" s="51" t="s">
        <v>1528</v>
      </c>
      <c r="D702" s="30"/>
      <c r="E702" s="30"/>
      <c r="F702" s="30"/>
      <c r="H702" s="30" t="s">
        <v>141</v>
      </c>
      <c r="I702" s="30" t="s">
        <v>30</v>
      </c>
      <c r="J702" s="30" t="s">
        <v>142</v>
      </c>
      <c r="K702" s="30" t="s">
        <v>116</v>
      </c>
      <c r="L702" s="30" t="s">
        <v>121</v>
      </c>
      <c r="M702" s="47" t="s">
        <v>4136</v>
      </c>
      <c r="N702" s="30"/>
      <c r="O702" s="30"/>
      <c r="P702" s="30"/>
    </row>
    <row r="703" spans="1:16" ht="75" customHeight="1">
      <c r="A703" s="30" t="s">
        <v>1529</v>
      </c>
      <c r="B703" s="47" t="s">
        <v>1487</v>
      </c>
      <c r="C703" s="51" t="s">
        <v>1530</v>
      </c>
      <c r="D703" s="30"/>
      <c r="E703" s="30"/>
      <c r="F703" s="30"/>
      <c r="H703" s="30" t="s">
        <v>141</v>
      </c>
      <c r="I703" s="30" t="s">
        <v>30</v>
      </c>
      <c r="J703" s="30" t="s">
        <v>142</v>
      </c>
      <c r="K703" s="30" t="s">
        <v>116</v>
      </c>
      <c r="L703" s="30" t="s">
        <v>122</v>
      </c>
      <c r="M703" s="47" t="s">
        <v>4088</v>
      </c>
      <c r="N703" s="30"/>
      <c r="O703" s="30"/>
      <c r="P703" s="30"/>
    </row>
    <row r="704" spans="1:16" ht="75" customHeight="1">
      <c r="A704" s="30" t="s">
        <v>1531</v>
      </c>
      <c r="B704" s="47" t="s">
        <v>1487</v>
      </c>
      <c r="C704" s="51" t="s">
        <v>1532</v>
      </c>
      <c r="D704" s="30"/>
      <c r="E704" s="30"/>
      <c r="F704" s="30"/>
      <c r="H704" s="30" t="s">
        <v>141</v>
      </c>
      <c r="I704" s="30" t="s">
        <v>30</v>
      </c>
      <c r="J704" s="30" t="s">
        <v>142</v>
      </c>
      <c r="K704" s="30" t="s">
        <v>116</v>
      </c>
      <c r="L704" s="30" t="s">
        <v>121</v>
      </c>
      <c r="M704" s="47" t="s">
        <v>4137</v>
      </c>
      <c r="N704" s="30"/>
      <c r="O704" s="30"/>
      <c r="P704" s="30"/>
    </row>
    <row r="705" spans="1:16" ht="75" customHeight="1">
      <c r="A705" s="30" t="s">
        <v>1533</v>
      </c>
      <c r="B705" s="47" t="s">
        <v>1487</v>
      </c>
      <c r="C705" s="51" t="s">
        <v>1534</v>
      </c>
      <c r="D705" s="30"/>
      <c r="E705" s="30"/>
      <c r="F705" s="30"/>
      <c r="H705" s="30" t="s">
        <v>141</v>
      </c>
      <c r="I705" s="30" t="s">
        <v>30</v>
      </c>
      <c r="J705" s="30" t="s">
        <v>142</v>
      </c>
      <c r="K705" s="30" t="s">
        <v>116</v>
      </c>
      <c r="L705" s="30" t="s">
        <v>121</v>
      </c>
      <c r="M705" s="47" t="s">
        <v>4137</v>
      </c>
      <c r="N705" s="30"/>
      <c r="O705" s="30"/>
      <c r="P705" s="30"/>
    </row>
    <row r="706" spans="1:16" ht="75" customHeight="1">
      <c r="A706" s="30" t="s">
        <v>1535</v>
      </c>
      <c r="B706" s="47" t="s">
        <v>1487</v>
      </c>
      <c r="C706" s="51" t="s">
        <v>1536</v>
      </c>
      <c r="D706" s="30"/>
      <c r="E706" s="30"/>
      <c r="F706" s="30"/>
      <c r="H706" s="30" t="s">
        <v>141</v>
      </c>
      <c r="I706" s="30" t="s">
        <v>30</v>
      </c>
      <c r="J706" s="30" t="s">
        <v>142</v>
      </c>
      <c r="K706" s="30" t="s">
        <v>116</v>
      </c>
      <c r="L706" s="30" t="s">
        <v>122</v>
      </c>
      <c r="M706" s="47" t="s">
        <v>4088</v>
      </c>
      <c r="N706" s="30"/>
      <c r="O706" s="30"/>
      <c r="P706" s="30"/>
    </row>
    <row r="707" spans="1:16" ht="45" customHeight="1">
      <c r="A707" s="30" t="s">
        <v>1537</v>
      </c>
      <c r="B707" s="47" t="s">
        <v>1538</v>
      </c>
      <c r="C707" s="49" t="s">
        <v>1539</v>
      </c>
      <c r="D707" s="30"/>
      <c r="E707" s="30"/>
      <c r="F707" s="30"/>
      <c r="G707" s="30"/>
      <c r="H707" s="30" t="s">
        <v>141</v>
      </c>
      <c r="I707" s="30" t="s">
        <v>22</v>
      </c>
      <c r="J707" s="30" t="s">
        <v>144</v>
      </c>
      <c r="K707" s="30" t="s">
        <v>117</v>
      </c>
      <c r="L707" s="30" t="s">
        <v>122</v>
      </c>
      <c r="M707" s="48"/>
      <c r="N707" s="30"/>
      <c r="O707" s="30"/>
      <c r="P707" s="30"/>
    </row>
    <row r="708" spans="1:16" ht="75" customHeight="1">
      <c r="A708" s="30" t="s">
        <v>1540</v>
      </c>
      <c r="B708" s="47" t="s">
        <v>1541</v>
      </c>
      <c r="C708" s="49" t="s">
        <v>1542</v>
      </c>
      <c r="D708" s="30"/>
      <c r="E708" s="30"/>
      <c r="F708" s="30"/>
      <c r="G708" s="30"/>
      <c r="H708" s="30" t="s">
        <v>141</v>
      </c>
      <c r="I708" s="30" t="s">
        <v>31</v>
      </c>
      <c r="J708" s="30" t="s">
        <v>144</v>
      </c>
      <c r="K708" s="30" t="s">
        <v>117</v>
      </c>
      <c r="L708" s="30" t="s">
        <v>122</v>
      </c>
      <c r="M708" s="48"/>
      <c r="N708" s="30"/>
      <c r="O708" s="30"/>
      <c r="P708" s="30"/>
    </row>
    <row r="709" spans="1:16" ht="90" customHeight="1">
      <c r="A709" s="30" t="s">
        <v>1543</v>
      </c>
      <c r="B709" s="47" t="s">
        <v>1544</v>
      </c>
      <c r="C709" s="49" t="s">
        <v>1545</v>
      </c>
      <c r="D709" s="30"/>
      <c r="E709" s="30"/>
      <c r="F709" s="30"/>
      <c r="G709" t="s">
        <v>4026</v>
      </c>
      <c r="H709" s="30" t="s">
        <v>141</v>
      </c>
      <c r="I709" s="30" t="s">
        <v>30</v>
      </c>
      <c r="J709" s="30" t="s">
        <v>142</v>
      </c>
      <c r="K709" s="30" t="s">
        <v>116</v>
      </c>
      <c r="L709" s="30" t="s">
        <v>143</v>
      </c>
      <c r="M709" s="48"/>
      <c r="N709" s="30"/>
      <c r="O709" s="30"/>
      <c r="P709" s="30"/>
    </row>
    <row r="710" spans="1:16" ht="45" customHeight="1">
      <c r="A710" s="30" t="s">
        <v>1546</v>
      </c>
      <c r="B710" s="47" t="s">
        <v>1547</v>
      </c>
      <c r="C710" s="49" t="s">
        <v>1548</v>
      </c>
      <c r="D710" s="30"/>
      <c r="E710" s="30"/>
      <c r="F710" s="30"/>
      <c r="G710" s="30"/>
      <c r="H710" s="30" t="s">
        <v>141</v>
      </c>
      <c r="I710" s="30" t="s">
        <v>22</v>
      </c>
      <c r="J710" s="30" t="s">
        <v>144</v>
      </c>
      <c r="K710" s="30" t="s">
        <v>117</v>
      </c>
      <c r="L710" s="30" t="s">
        <v>122</v>
      </c>
      <c r="M710" s="48"/>
      <c r="N710" s="30"/>
      <c r="O710" s="30"/>
      <c r="P710" s="30"/>
    </row>
    <row r="711" spans="1:16" ht="75" customHeight="1">
      <c r="A711" s="30" t="s">
        <v>1549</v>
      </c>
      <c r="B711" s="47" t="s">
        <v>1550</v>
      </c>
      <c r="C711" s="49" t="s">
        <v>1551</v>
      </c>
      <c r="D711" s="30"/>
      <c r="E711" s="30"/>
      <c r="F711" s="30"/>
      <c r="G711" s="30"/>
      <c r="H711" s="30" t="s">
        <v>141</v>
      </c>
      <c r="I711" s="30" t="s">
        <v>31</v>
      </c>
      <c r="J711" s="30" t="s">
        <v>144</v>
      </c>
      <c r="K711" s="30" t="s">
        <v>117</v>
      </c>
      <c r="L711" s="30" t="s">
        <v>122</v>
      </c>
      <c r="M711" s="48"/>
      <c r="N711" s="30"/>
      <c r="O711" s="30"/>
      <c r="P711" s="30"/>
    </row>
    <row r="712" spans="1:16" ht="90" customHeight="1">
      <c r="A712" s="30" t="s">
        <v>1552</v>
      </c>
      <c r="B712" s="47" t="s">
        <v>1553</v>
      </c>
      <c r="C712" s="49" t="s">
        <v>1554</v>
      </c>
      <c r="D712" s="30"/>
      <c r="E712" s="30"/>
      <c r="F712" s="30"/>
      <c r="G712" t="s">
        <v>4026</v>
      </c>
      <c r="H712" s="30" t="s">
        <v>141</v>
      </c>
      <c r="I712" s="30" t="s">
        <v>30</v>
      </c>
      <c r="J712" s="30" t="s">
        <v>142</v>
      </c>
      <c r="K712" s="30" t="s">
        <v>116</v>
      </c>
      <c r="L712" s="30" t="s">
        <v>143</v>
      </c>
      <c r="M712" s="48"/>
      <c r="N712" s="30"/>
      <c r="O712" s="30"/>
      <c r="P712" s="30"/>
    </row>
    <row r="713" spans="1:16" ht="45" customHeight="1">
      <c r="A713" s="30" t="s">
        <v>1555</v>
      </c>
      <c r="B713" s="47" t="s">
        <v>1556</v>
      </c>
      <c r="C713" s="49" t="s">
        <v>1557</v>
      </c>
      <c r="D713" s="30"/>
      <c r="E713" s="30"/>
      <c r="F713" s="30"/>
      <c r="G713" s="30"/>
      <c r="H713" s="30" t="s">
        <v>141</v>
      </c>
      <c r="I713" s="30" t="s">
        <v>22</v>
      </c>
      <c r="J713" s="30" t="s">
        <v>144</v>
      </c>
      <c r="K713" s="30" t="s">
        <v>117</v>
      </c>
      <c r="L713" s="30" t="s">
        <v>122</v>
      </c>
      <c r="M713" s="48"/>
      <c r="N713" s="30"/>
      <c r="O713" s="30"/>
      <c r="P713" s="30"/>
    </row>
    <row r="714" spans="1:16" ht="75" customHeight="1">
      <c r="A714" s="30" t="s">
        <v>1558</v>
      </c>
      <c r="B714" s="47" t="s">
        <v>1559</v>
      </c>
      <c r="C714" s="48" t="s">
        <v>1560</v>
      </c>
      <c r="D714" s="30"/>
      <c r="E714" s="30"/>
      <c r="F714" s="30"/>
      <c r="G714" s="30"/>
      <c r="H714" s="30" t="s">
        <v>141</v>
      </c>
      <c r="I714" s="30" t="s">
        <v>31</v>
      </c>
      <c r="J714" s="30" t="s">
        <v>142</v>
      </c>
      <c r="K714" s="30" t="s">
        <v>116</v>
      </c>
      <c r="L714" s="30" t="s">
        <v>122</v>
      </c>
      <c r="M714" s="48" t="s">
        <v>184</v>
      </c>
      <c r="N714" s="30"/>
      <c r="O714" s="30"/>
      <c r="P714" s="30"/>
    </row>
    <row r="715" spans="1:16" ht="75" customHeight="1">
      <c r="A715" s="30" t="s">
        <v>1561</v>
      </c>
      <c r="B715" s="47" t="s">
        <v>1562</v>
      </c>
      <c r="C715" s="49" t="s">
        <v>1563</v>
      </c>
      <c r="D715" s="30"/>
      <c r="E715" s="30"/>
      <c r="F715" s="30"/>
      <c r="G715" t="s">
        <v>4026</v>
      </c>
      <c r="H715" s="30" t="s">
        <v>141</v>
      </c>
      <c r="I715" s="30" t="s">
        <v>30</v>
      </c>
      <c r="J715" s="30" t="s">
        <v>142</v>
      </c>
      <c r="K715" s="30" t="s">
        <v>116</v>
      </c>
      <c r="L715" s="30" t="s">
        <v>143</v>
      </c>
      <c r="M715" s="48"/>
      <c r="N715" s="30"/>
      <c r="O715" s="30"/>
      <c r="P715" s="30"/>
    </row>
    <row r="716" spans="1:16" ht="60" customHeight="1">
      <c r="A716" s="30" t="s">
        <v>1564</v>
      </c>
      <c r="B716" s="47" t="s">
        <v>1562</v>
      </c>
      <c r="C716" s="49" t="s">
        <v>1565</v>
      </c>
      <c r="D716" s="30"/>
      <c r="E716" s="30"/>
      <c r="F716" s="30"/>
      <c r="G716" s="30"/>
      <c r="H716" s="30" t="s">
        <v>141</v>
      </c>
      <c r="I716" s="30" t="s">
        <v>30</v>
      </c>
      <c r="J716" s="30" t="s">
        <v>144</v>
      </c>
      <c r="K716" s="30" t="s">
        <v>117</v>
      </c>
      <c r="L716" s="30" t="s">
        <v>122</v>
      </c>
      <c r="M716" s="48"/>
      <c r="N716" s="30"/>
      <c r="O716" s="30"/>
      <c r="P716" s="30"/>
    </row>
    <row r="717" spans="1:16" ht="45" customHeight="1">
      <c r="A717" s="30" t="s">
        <v>1566</v>
      </c>
      <c r="B717" s="47" t="s">
        <v>1567</v>
      </c>
      <c r="C717" s="49" t="s">
        <v>1568</v>
      </c>
      <c r="D717" s="30"/>
      <c r="E717" s="30"/>
      <c r="F717" s="30"/>
      <c r="G717" s="30"/>
      <c r="H717" s="30" t="s">
        <v>141</v>
      </c>
      <c r="I717" s="30" t="s">
        <v>22</v>
      </c>
      <c r="J717" s="30" t="s">
        <v>144</v>
      </c>
      <c r="K717" s="30" t="s">
        <v>117</v>
      </c>
      <c r="L717" s="30" t="s">
        <v>122</v>
      </c>
      <c r="M717" s="48"/>
      <c r="N717" s="30"/>
      <c r="O717" s="30"/>
      <c r="P717" s="30"/>
    </row>
    <row r="718" spans="1:16" ht="75" customHeight="1">
      <c r="A718" s="30" t="s">
        <v>1569</v>
      </c>
      <c r="B718" s="47" t="s">
        <v>1570</v>
      </c>
      <c r="C718" s="49" t="s">
        <v>1571</v>
      </c>
      <c r="D718" s="30"/>
      <c r="E718" s="30"/>
      <c r="F718" s="30"/>
      <c r="G718" s="30"/>
      <c r="H718" s="30" t="s">
        <v>141</v>
      </c>
      <c r="I718" s="30" t="s">
        <v>31</v>
      </c>
      <c r="J718" s="30" t="s">
        <v>144</v>
      </c>
      <c r="K718" s="30" t="s">
        <v>117</v>
      </c>
      <c r="L718" s="30" t="s">
        <v>122</v>
      </c>
      <c r="M718" s="48"/>
      <c r="N718" s="30"/>
      <c r="O718" s="30"/>
      <c r="P718" s="30"/>
    </row>
    <row r="719" spans="1:16" ht="90" customHeight="1">
      <c r="A719" s="30" t="s">
        <v>1572</v>
      </c>
      <c r="B719" s="47" t="s">
        <v>1573</v>
      </c>
      <c r="C719" s="48" t="s">
        <v>1574</v>
      </c>
      <c r="D719" s="30"/>
      <c r="E719" s="30"/>
      <c r="F719" s="30"/>
      <c r="G719" t="s">
        <v>4026</v>
      </c>
      <c r="H719" s="30" t="s">
        <v>141</v>
      </c>
      <c r="I719" s="30" t="s">
        <v>30</v>
      </c>
      <c r="J719" s="30" t="s">
        <v>142</v>
      </c>
      <c r="K719" s="30" t="s">
        <v>116</v>
      </c>
      <c r="L719" s="30" t="s">
        <v>143</v>
      </c>
      <c r="M719" s="48"/>
      <c r="N719" s="30"/>
      <c r="O719" s="30"/>
      <c r="P719" s="30"/>
    </row>
    <row r="720" spans="1:16" ht="45" customHeight="1">
      <c r="A720" s="30" t="s">
        <v>1575</v>
      </c>
      <c r="B720" s="47" t="s">
        <v>1576</v>
      </c>
      <c r="C720" s="49" t="s">
        <v>1577</v>
      </c>
      <c r="D720" s="30"/>
      <c r="E720" s="30"/>
      <c r="F720" s="30"/>
      <c r="G720" s="30"/>
      <c r="H720" s="30" t="s">
        <v>141</v>
      </c>
      <c r="I720" s="30" t="s">
        <v>31</v>
      </c>
      <c r="J720" s="30" t="s">
        <v>144</v>
      </c>
      <c r="K720" s="30" t="s">
        <v>117</v>
      </c>
      <c r="L720" s="30" t="s">
        <v>122</v>
      </c>
      <c r="M720" s="48"/>
      <c r="N720" s="30"/>
      <c r="O720" s="30"/>
      <c r="P720" s="30"/>
    </row>
    <row r="721" spans="1:16" ht="45" customHeight="1">
      <c r="A721" s="30" t="s">
        <v>1578</v>
      </c>
      <c r="B721" s="47" t="s">
        <v>1576</v>
      </c>
      <c r="C721" s="49" t="s">
        <v>1579</v>
      </c>
      <c r="D721" s="30"/>
      <c r="E721" s="30"/>
      <c r="F721" s="30"/>
      <c r="G721" s="30"/>
      <c r="H721" s="30" t="s">
        <v>141</v>
      </c>
      <c r="I721" s="30" t="s">
        <v>30</v>
      </c>
      <c r="J721" s="30" t="s">
        <v>144</v>
      </c>
      <c r="K721" s="30" t="s">
        <v>117</v>
      </c>
      <c r="L721" s="30" t="s">
        <v>122</v>
      </c>
      <c r="M721" s="48"/>
      <c r="N721" s="30"/>
      <c r="O721" s="30"/>
      <c r="P721" s="30"/>
    </row>
    <row r="722" spans="1:16" ht="60" customHeight="1">
      <c r="A722" s="30" t="s">
        <v>1580</v>
      </c>
      <c r="B722" s="47" t="s">
        <v>1576</v>
      </c>
      <c r="C722" s="48" t="s">
        <v>1581</v>
      </c>
      <c r="D722" s="30"/>
      <c r="E722" s="30"/>
      <c r="F722" s="30"/>
      <c r="G722" s="30"/>
      <c r="H722" s="30" t="s">
        <v>141</v>
      </c>
      <c r="I722" s="30" t="s">
        <v>31</v>
      </c>
      <c r="J722" s="30" t="s">
        <v>144</v>
      </c>
      <c r="K722" s="30" t="s">
        <v>117</v>
      </c>
      <c r="L722" s="30" t="s">
        <v>122</v>
      </c>
      <c r="M722" s="48"/>
      <c r="N722" s="30"/>
      <c r="O722" s="30"/>
      <c r="P722" s="30"/>
    </row>
    <row r="723" spans="1:16" s="31" customFormat="1" ht="45">
      <c r="A723" s="30" t="s">
        <v>1582</v>
      </c>
      <c r="B723" s="47" t="s">
        <v>1576</v>
      </c>
      <c r="C723" s="48" t="s">
        <v>4210</v>
      </c>
      <c r="D723" s="30"/>
      <c r="E723" s="30"/>
      <c r="F723" s="30"/>
      <c r="H723" s="30" t="s">
        <v>141</v>
      </c>
      <c r="I723" s="30" t="s">
        <v>22</v>
      </c>
      <c r="J723" s="30" t="s">
        <v>144</v>
      </c>
      <c r="K723" s="30" t="s">
        <v>117</v>
      </c>
      <c r="L723" s="30" t="s">
        <v>122</v>
      </c>
      <c r="M723" s="48"/>
      <c r="N723" s="30"/>
      <c r="O723" s="30"/>
      <c r="P723" s="30"/>
    </row>
    <row r="724" spans="1:16" ht="45" customHeight="1">
      <c r="A724" s="30" t="s">
        <v>1583</v>
      </c>
      <c r="B724" s="47" t="s">
        <v>1576</v>
      </c>
      <c r="C724" s="48" t="s">
        <v>1584</v>
      </c>
      <c r="D724" s="30"/>
      <c r="E724" s="30"/>
      <c r="F724" s="30"/>
      <c r="G724" s="30"/>
      <c r="H724" s="30" t="s">
        <v>141</v>
      </c>
      <c r="I724" s="30" t="s">
        <v>31</v>
      </c>
      <c r="J724" s="30" t="s">
        <v>144</v>
      </c>
      <c r="K724" s="30" t="s">
        <v>117</v>
      </c>
      <c r="L724" s="30" t="s">
        <v>122</v>
      </c>
      <c r="M724" s="48"/>
      <c r="N724" s="30"/>
      <c r="O724" s="30"/>
      <c r="P724" s="30"/>
    </row>
    <row r="725" spans="1:16" ht="105" customHeight="1">
      <c r="A725" s="30" t="s">
        <v>1585</v>
      </c>
      <c r="B725" s="47" t="s">
        <v>1576</v>
      </c>
      <c r="C725" s="49" t="s">
        <v>1586</v>
      </c>
      <c r="D725" s="30"/>
      <c r="E725" s="30"/>
      <c r="F725" s="30"/>
      <c r="G725" t="s">
        <v>137</v>
      </c>
      <c r="H725" s="30" t="s">
        <v>141</v>
      </c>
      <c r="I725" s="30" t="s">
        <v>22</v>
      </c>
      <c r="J725" s="30" t="s">
        <v>142</v>
      </c>
      <c r="K725" s="30" t="s">
        <v>116</v>
      </c>
      <c r="L725" s="30" t="s">
        <v>146</v>
      </c>
      <c r="M725" s="48"/>
      <c r="N725" s="30"/>
      <c r="O725" s="30"/>
      <c r="P725" s="30"/>
    </row>
    <row r="726" spans="1:16" ht="45" customHeight="1">
      <c r="A726" s="30" t="s">
        <v>1587</v>
      </c>
      <c r="B726" s="47" t="s">
        <v>1576</v>
      </c>
      <c r="C726" s="49" t="s">
        <v>1588</v>
      </c>
      <c r="D726" s="30"/>
      <c r="E726" s="30"/>
      <c r="F726" s="30"/>
      <c r="G726" s="30"/>
      <c r="H726" s="30" t="s">
        <v>141</v>
      </c>
      <c r="I726" s="30" t="s">
        <v>22</v>
      </c>
      <c r="J726" s="30" t="s">
        <v>144</v>
      </c>
      <c r="K726" s="30" t="s">
        <v>117</v>
      </c>
      <c r="L726" s="30" t="s">
        <v>122</v>
      </c>
      <c r="M726" s="48"/>
      <c r="N726" s="30"/>
      <c r="O726" s="30"/>
      <c r="P726" s="30"/>
    </row>
    <row r="727" spans="1:16" ht="75" customHeight="1">
      <c r="A727" s="30" t="s">
        <v>1589</v>
      </c>
      <c r="B727" s="47" t="s">
        <v>1576</v>
      </c>
      <c r="C727" s="49" t="s">
        <v>1590</v>
      </c>
      <c r="D727" s="30"/>
      <c r="E727" s="30"/>
      <c r="F727" s="30"/>
      <c r="G727" s="30"/>
      <c r="H727" s="30" t="s">
        <v>141</v>
      </c>
      <c r="I727" s="30" t="s">
        <v>30</v>
      </c>
      <c r="J727" s="30" t="s">
        <v>144</v>
      </c>
      <c r="K727" s="30" t="s">
        <v>117</v>
      </c>
      <c r="L727" s="30" t="s">
        <v>122</v>
      </c>
      <c r="M727" s="48"/>
      <c r="N727" s="30"/>
      <c r="O727" s="30"/>
      <c r="P727" s="30"/>
    </row>
    <row r="728" spans="1:16" ht="75" customHeight="1">
      <c r="A728" s="30" t="s">
        <v>1591</v>
      </c>
      <c r="B728" s="47" t="s">
        <v>1576</v>
      </c>
      <c r="C728" s="49" t="s">
        <v>1592</v>
      </c>
      <c r="D728" s="30"/>
      <c r="E728" s="30"/>
      <c r="F728" s="30"/>
      <c r="G728" s="30"/>
      <c r="H728" s="30" t="s">
        <v>141</v>
      </c>
      <c r="I728" s="30" t="s">
        <v>30</v>
      </c>
      <c r="J728" s="30" t="s">
        <v>144</v>
      </c>
      <c r="K728" s="30" t="s">
        <v>117</v>
      </c>
      <c r="L728" s="30" t="s">
        <v>122</v>
      </c>
      <c r="M728" s="48"/>
      <c r="N728" s="30"/>
      <c r="O728" s="30"/>
      <c r="P728" s="30"/>
    </row>
    <row r="729" spans="1:16" ht="30" customHeight="1">
      <c r="A729" s="30" t="s">
        <v>1593</v>
      </c>
      <c r="B729" s="47" t="s">
        <v>1576</v>
      </c>
      <c r="C729" s="49" t="s">
        <v>1594</v>
      </c>
      <c r="D729" s="30"/>
      <c r="E729" s="30"/>
      <c r="F729" s="30"/>
      <c r="G729" s="30"/>
      <c r="H729" s="30" t="s">
        <v>141</v>
      </c>
      <c r="I729" s="30" t="s">
        <v>30</v>
      </c>
      <c r="J729" s="30" t="s">
        <v>144</v>
      </c>
      <c r="K729" s="30" t="s">
        <v>117</v>
      </c>
      <c r="L729" s="30" t="s">
        <v>122</v>
      </c>
      <c r="M729" s="48"/>
      <c r="N729" s="30"/>
      <c r="O729" s="30"/>
      <c r="P729" s="30"/>
    </row>
    <row r="730" spans="1:16" ht="60" customHeight="1">
      <c r="A730" s="30" t="s">
        <v>1595</v>
      </c>
      <c r="B730" s="47" t="s">
        <v>1576</v>
      </c>
      <c r="C730" s="49" t="s">
        <v>1596</v>
      </c>
      <c r="D730" s="30"/>
      <c r="E730" s="30"/>
      <c r="F730" s="30"/>
      <c r="G730" s="30"/>
      <c r="H730" s="30" t="s">
        <v>141</v>
      </c>
      <c r="I730" s="30" t="s">
        <v>30</v>
      </c>
      <c r="J730" s="30" t="s">
        <v>144</v>
      </c>
      <c r="K730" s="30" t="s">
        <v>117</v>
      </c>
      <c r="L730" s="30" t="s">
        <v>122</v>
      </c>
      <c r="M730" s="48"/>
      <c r="N730" s="30"/>
      <c r="O730" s="30"/>
      <c r="P730" s="30"/>
    </row>
    <row r="731" spans="1:16" ht="75" customHeight="1">
      <c r="A731" s="30" t="s">
        <v>1597</v>
      </c>
      <c r="B731" s="47" t="s">
        <v>1576</v>
      </c>
      <c r="C731" s="49" t="s">
        <v>1598</v>
      </c>
      <c r="D731" s="30"/>
      <c r="E731" s="30"/>
      <c r="F731" s="30"/>
      <c r="G731" s="30"/>
      <c r="H731" s="30" t="s">
        <v>141</v>
      </c>
      <c r="I731" s="30" t="s">
        <v>30</v>
      </c>
      <c r="J731" s="30" t="s">
        <v>144</v>
      </c>
      <c r="K731" s="30" t="s">
        <v>117</v>
      </c>
      <c r="L731" s="30" t="s">
        <v>122</v>
      </c>
      <c r="M731" s="48"/>
      <c r="N731" s="30"/>
      <c r="O731" s="30"/>
      <c r="P731" s="30"/>
    </row>
    <row r="732" spans="1:16" ht="75" customHeight="1">
      <c r="A732" s="30" t="s">
        <v>1599</v>
      </c>
      <c r="B732" s="47" t="s">
        <v>1576</v>
      </c>
      <c r="C732" s="49" t="s">
        <v>1600</v>
      </c>
      <c r="D732" s="30"/>
      <c r="E732" s="30"/>
      <c r="F732" s="30"/>
      <c r="G732" s="30"/>
      <c r="H732" s="30" t="s">
        <v>141</v>
      </c>
      <c r="I732" s="30" t="s">
        <v>30</v>
      </c>
      <c r="J732" s="30" t="s">
        <v>144</v>
      </c>
      <c r="K732" s="30" t="s">
        <v>117</v>
      </c>
      <c r="L732" s="30" t="s">
        <v>122</v>
      </c>
      <c r="M732" s="48"/>
      <c r="N732" s="30"/>
      <c r="O732" s="30"/>
      <c r="P732" s="30"/>
    </row>
    <row r="733" spans="1:16" ht="75" customHeight="1">
      <c r="A733" s="30" t="s">
        <v>1601</v>
      </c>
      <c r="B733" s="47" t="s">
        <v>1602</v>
      </c>
      <c r="C733" s="49" t="s">
        <v>1603</v>
      </c>
      <c r="D733" s="30"/>
      <c r="E733" s="30"/>
      <c r="F733" s="30"/>
      <c r="G733" s="30"/>
      <c r="H733" s="30" t="s">
        <v>141</v>
      </c>
      <c r="I733" s="30" t="s">
        <v>22</v>
      </c>
      <c r="J733" s="30" t="s">
        <v>144</v>
      </c>
      <c r="K733" s="30" t="s">
        <v>117</v>
      </c>
      <c r="L733" s="30" t="s">
        <v>122</v>
      </c>
      <c r="M733" s="48"/>
      <c r="N733" s="30"/>
      <c r="O733" s="30"/>
      <c r="P733" s="30"/>
    </row>
    <row r="734" spans="1:16" ht="30" customHeight="1">
      <c r="A734" s="30" t="s">
        <v>1604</v>
      </c>
      <c r="B734" s="47" t="s">
        <v>1602</v>
      </c>
      <c r="C734" s="49" t="s">
        <v>1605</v>
      </c>
      <c r="D734" s="30"/>
      <c r="E734" s="30"/>
      <c r="F734" s="30"/>
      <c r="G734" s="30"/>
      <c r="H734" s="30" t="s">
        <v>141</v>
      </c>
      <c r="I734" s="30" t="s">
        <v>22</v>
      </c>
      <c r="J734" s="30" t="s">
        <v>144</v>
      </c>
      <c r="K734" s="30" t="s">
        <v>117</v>
      </c>
      <c r="L734" s="30" t="s">
        <v>122</v>
      </c>
      <c r="M734" s="48"/>
      <c r="N734" s="30"/>
      <c r="O734" s="30"/>
      <c r="P734" s="30"/>
    </row>
    <row r="735" spans="1:16" ht="60" customHeight="1">
      <c r="A735" s="30" t="s">
        <v>1606</v>
      </c>
      <c r="B735" s="47" t="s">
        <v>1607</v>
      </c>
      <c r="C735" s="49" t="s">
        <v>1608</v>
      </c>
      <c r="D735" s="30"/>
      <c r="E735" s="30"/>
      <c r="F735" s="30"/>
      <c r="G735" s="30"/>
      <c r="H735" s="30" t="s">
        <v>141</v>
      </c>
      <c r="I735" s="30" t="s">
        <v>31</v>
      </c>
      <c r="J735" s="30" t="s">
        <v>144</v>
      </c>
      <c r="K735" s="30" t="s">
        <v>117</v>
      </c>
      <c r="L735" s="30" t="s">
        <v>122</v>
      </c>
      <c r="M735" s="48"/>
      <c r="N735" s="30"/>
      <c r="O735" s="30"/>
      <c r="P735" s="30"/>
    </row>
    <row r="736" spans="1:16" ht="45" customHeight="1">
      <c r="A736" s="30" t="s">
        <v>1609</v>
      </c>
      <c r="B736" s="47" t="s">
        <v>1607</v>
      </c>
      <c r="C736" s="48" t="s">
        <v>3803</v>
      </c>
      <c r="D736" s="30"/>
      <c r="E736" s="30"/>
      <c r="F736" s="30"/>
      <c r="G736" s="30"/>
      <c r="H736" s="30" t="s">
        <v>141</v>
      </c>
      <c r="I736" s="30" t="s">
        <v>31</v>
      </c>
      <c r="J736" s="30" t="s">
        <v>144</v>
      </c>
      <c r="K736" s="30" t="s">
        <v>117</v>
      </c>
      <c r="L736" s="30" t="s">
        <v>122</v>
      </c>
      <c r="M736" s="48"/>
      <c r="N736" s="30"/>
      <c r="O736" s="30"/>
      <c r="P736" s="30"/>
    </row>
    <row r="737" spans="1:16" ht="45" customHeight="1">
      <c r="A737" s="30" t="s">
        <v>1610</v>
      </c>
      <c r="B737" s="47" t="s">
        <v>1607</v>
      </c>
      <c r="C737" s="48" t="s">
        <v>3804</v>
      </c>
      <c r="D737" s="30"/>
      <c r="E737" s="30"/>
      <c r="F737" s="30"/>
      <c r="G737" s="30"/>
      <c r="H737" s="30" t="s">
        <v>141</v>
      </c>
      <c r="I737" s="30" t="s">
        <v>30</v>
      </c>
      <c r="J737" s="30" t="s">
        <v>144</v>
      </c>
      <c r="K737" s="30" t="s">
        <v>117</v>
      </c>
      <c r="L737" s="30" t="s">
        <v>122</v>
      </c>
      <c r="M737" s="48"/>
      <c r="N737" s="30"/>
      <c r="O737" s="30"/>
      <c r="P737" s="30"/>
    </row>
    <row r="738" spans="1:16" ht="45" customHeight="1">
      <c r="A738" s="30" t="s">
        <v>1611</v>
      </c>
      <c r="B738" s="47" t="s">
        <v>1607</v>
      </c>
      <c r="C738" s="49" t="s">
        <v>1612</v>
      </c>
      <c r="D738" s="30"/>
      <c r="E738" s="30"/>
      <c r="F738" s="30"/>
      <c r="G738" s="30"/>
      <c r="H738" s="30" t="s">
        <v>141</v>
      </c>
      <c r="I738" s="30" t="s">
        <v>31</v>
      </c>
      <c r="J738" s="30" t="s">
        <v>145</v>
      </c>
      <c r="K738" s="30" t="s">
        <v>116</v>
      </c>
      <c r="L738" s="30" t="s">
        <v>122</v>
      </c>
      <c r="M738" s="48" t="s">
        <v>314</v>
      </c>
      <c r="N738" s="30"/>
      <c r="O738" s="30"/>
      <c r="P738" s="30"/>
    </row>
    <row r="739" spans="1:16" ht="75" customHeight="1">
      <c r="A739" s="30" t="s">
        <v>1613</v>
      </c>
      <c r="B739" s="47" t="s">
        <v>1607</v>
      </c>
      <c r="C739" s="48" t="s">
        <v>3805</v>
      </c>
      <c r="D739" s="30"/>
      <c r="E739" s="30"/>
      <c r="F739" s="30"/>
      <c r="G739" t="s">
        <v>137</v>
      </c>
      <c r="H739" s="30" t="s">
        <v>141</v>
      </c>
      <c r="I739" s="30" t="s">
        <v>30</v>
      </c>
      <c r="J739" s="30" t="s">
        <v>142</v>
      </c>
      <c r="K739" s="30" t="s">
        <v>116</v>
      </c>
      <c r="L739" s="30" t="s">
        <v>143</v>
      </c>
      <c r="M739" s="48"/>
      <c r="N739" s="30"/>
      <c r="O739" s="30"/>
      <c r="P739" s="30"/>
    </row>
    <row r="740" spans="1:16" ht="45" customHeight="1">
      <c r="A740" s="30" t="s">
        <v>1614</v>
      </c>
      <c r="B740" s="47" t="s">
        <v>1607</v>
      </c>
      <c r="C740" s="48" t="s">
        <v>1615</v>
      </c>
      <c r="D740" s="30"/>
      <c r="E740" s="30"/>
      <c r="F740" s="30"/>
      <c r="G740" s="30"/>
      <c r="H740" s="30" t="s">
        <v>141</v>
      </c>
      <c r="I740" s="30" t="s">
        <v>31</v>
      </c>
      <c r="J740" s="30" t="s">
        <v>144</v>
      </c>
      <c r="K740" s="30" t="s">
        <v>117</v>
      </c>
      <c r="L740" s="30" t="s">
        <v>122</v>
      </c>
      <c r="M740" s="48"/>
      <c r="N740" s="30"/>
      <c r="O740" s="30"/>
      <c r="P740" s="30"/>
    </row>
    <row r="741" spans="1:16" ht="45" customHeight="1">
      <c r="A741" s="30" t="s">
        <v>1616</v>
      </c>
      <c r="B741" s="47" t="s">
        <v>1607</v>
      </c>
      <c r="C741" s="48" t="s">
        <v>3806</v>
      </c>
      <c r="D741" s="30"/>
      <c r="E741" s="30"/>
      <c r="F741" s="30"/>
      <c r="G741" s="30"/>
      <c r="H741" s="30" t="s">
        <v>141</v>
      </c>
      <c r="I741" s="30" t="s">
        <v>31</v>
      </c>
      <c r="J741" s="30" t="s">
        <v>144</v>
      </c>
      <c r="K741" s="30" t="s">
        <v>117</v>
      </c>
      <c r="L741" s="30" t="s">
        <v>122</v>
      </c>
      <c r="M741" s="48"/>
      <c r="N741" s="30"/>
      <c r="O741" s="30"/>
      <c r="P741" s="30"/>
    </row>
    <row r="742" spans="1:16" ht="45" customHeight="1">
      <c r="A742" s="30" t="s">
        <v>1617</v>
      </c>
      <c r="B742" s="47" t="s">
        <v>1607</v>
      </c>
      <c r="C742" s="48" t="s">
        <v>3809</v>
      </c>
      <c r="D742" s="30"/>
      <c r="E742" s="30"/>
      <c r="F742" s="30"/>
      <c r="G742" s="30"/>
      <c r="H742" s="30" t="s">
        <v>141</v>
      </c>
      <c r="I742" s="30" t="s">
        <v>31</v>
      </c>
      <c r="J742" s="30" t="s">
        <v>144</v>
      </c>
      <c r="K742" s="30" t="s">
        <v>117</v>
      </c>
      <c r="L742" s="30" t="s">
        <v>122</v>
      </c>
      <c r="M742" s="48"/>
      <c r="N742" s="30"/>
      <c r="O742" s="30"/>
      <c r="P742" s="30"/>
    </row>
    <row r="743" spans="1:16" ht="60" customHeight="1">
      <c r="A743" s="30" t="s">
        <v>1618</v>
      </c>
      <c r="B743" s="47" t="s">
        <v>1607</v>
      </c>
      <c r="C743" s="49" t="s">
        <v>1619</v>
      </c>
      <c r="D743" s="30"/>
      <c r="E743" s="30"/>
      <c r="F743" s="30"/>
      <c r="G743" s="30"/>
      <c r="H743" s="30" t="s">
        <v>141</v>
      </c>
      <c r="I743" s="30" t="s">
        <v>31</v>
      </c>
      <c r="J743" s="30" t="s">
        <v>144</v>
      </c>
      <c r="K743" s="30" t="s">
        <v>117</v>
      </c>
      <c r="L743" s="30" t="s">
        <v>122</v>
      </c>
      <c r="M743" s="48"/>
      <c r="N743" s="30"/>
      <c r="O743" s="30"/>
      <c r="P743" s="30"/>
    </row>
    <row r="744" spans="1:16" ht="75" customHeight="1">
      <c r="A744" s="30" t="s">
        <v>1620</v>
      </c>
      <c r="B744" s="47" t="s">
        <v>1607</v>
      </c>
      <c r="C744" s="49" t="s">
        <v>1621</v>
      </c>
      <c r="D744" s="30"/>
      <c r="E744" s="30"/>
      <c r="F744" s="30"/>
      <c r="G744" s="30"/>
      <c r="H744" s="30" t="s">
        <v>141</v>
      </c>
      <c r="I744" s="30" t="s">
        <v>31</v>
      </c>
      <c r="J744" s="30" t="s">
        <v>144</v>
      </c>
      <c r="K744" s="30" t="s">
        <v>117</v>
      </c>
      <c r="L744" s="30" t="s">
        <v>122</v>
      </c>
      <c r="M744" s="48"/>
      <c r="N744" s="30"/>
      <c r="O744" s="30"/>
      <c r="P744" s="30"/>
    </row>
    <row r="745" spans="1:16" ht="60" customHeight="1">
      <c r="A745" s="30" t="s">
        <v>1622</v>
      </c>
      <c r="B745" s="47" t="s">
        <v>1607</v>
      </c>
      <c r="C745" s="49" t="s">
        <v>1623</v>
      </c>
      <c r="D745" s="30"/>
      <c r="E745" s="30"/>
      <c r="F745" s="30"/>
      <c r="G745" s="30"/>
      <c r="H745" s="30" t="s">
        <v>141</v>
      </c>
      <c r="I745" s="30" t="s">
        <v>31</v>
      </c>
      <c r="J745" s="30" t="s">
        <v>144</v>
      </c>
      <c r="K745" s="30" t="s">
        <v>117</v>
      </c>
      <c r="L745" s="30" t="s">
        <v>122</v>
      </c>
      <c r="M745" s="48"/>
      <c r="N745" s="30"/>
      <c r="O745" s="30"/>
      <c r="P745" s="30"/>
    </row>
    <row r="746" spans="1:16" ht="30" customHeight="1">
      <c r="A746" s="30" t="s">
        <v>1624</v>
      </c>
      <c r="B746" s="47" t="s">
        <v>1607</v>
      </c>
      <c r="C746" s="48" t="s">
        <v>1625</v>
      </c>
      <c r="D746" s="30"/>
      <c r="E746" s="30"/>
      <c r="F746" s="30"/>
      <c r="G746" s="30"/>
      <c r="H746" s="30" t="s">
        <v>141</v>
      </c>
      <c r="I746" s="30" t="s">
        <v>31</v>
      </c>
      <c r="J746" s="30" t="s">
        <v>142</v>
      </c>
      <c r="K746" s="30" t="s">
        <v>116</v>
      </c>
      <c r="L746" s="30" t="s">
        <v>122</v>
      </c>
      <c r="M746" s="48" t="s">
        <v>314</v>
      </c>
      <c r="N746" s="30"/>
      <c r="O746" s="30"/>
      <c r="P746" s="30"/>
    </row>
    <row r="747" spans="1:16" ht="30" customHeight="1">
      <c r="A747" s="30" t="s">
        <v>1626</v>
      </c>
      <c r="B747" s="47" t="s">
        <v>1607</v>
      </c>
      <c r="C747" s="48" t="s">
        <v>3813</v>
      </c>
      <c r="D747" s="30"/>
      <c r="E747" s="30"/>
      <c r="F747" s="30"/>
      <c r="G747" s="30"/>
      <c r="H747" s="30" t="s">
        <v>141</v>
      </c>
      <c r="I747" s="30" t="s">
        <v>31</v>
      </c>
      <c r="J747" s="30" t="s">
        <v>142</v>
      </c>
      <c r="K747" s="30" t="s">
        <v>116</v>
      </c>
      <c r="L747" s="30" t="s">
        <v>122</v>
      </c>
      <c r="M747" s="48" t="s">
        <v>314</v>
      </c>
      <c r="N747" s="30"/>
      <c r="O747" s="30"/>
      <c r="P747" s="30"/>
    </row>
    <row r="748" spans="1:16" ht="30" customHeight="1">
      <c r="A748" s="30" t="s">
        <v>1627</v>
      </c>
      <c r="B748" s="47" t="s">
        <v>1607</v>
      </c>
      <c r="C748" s="48" t="s">
        <v>1628</v>
      </c>
      <c r="D748" s="30"/>
      <c r="E748" s="30"/>
      <c r="F748" s="30"/>
      <c r="G748" s="30"/>
      <c r="H748" s="30" t="s">
        <v>141</v>
      </c>
      <c r="I748" s="30" t="s">
        <v>31</v>
      </c>
      <c r="J748" s="30" t="s">
        <v>142</v>
      </c>
      <c r="K748" s="30" t="s">
        <v>116</v>
      </c>
      <c r="L748" s="30" t="s">
        <v>122</v>
      </c>
      <c r="M748" s="48" t="s">
        <v>314</v>
      </c>
      <c r="N748" s="30"/>
      <c r="O748" s="30"/>
      <c r="P748" s="30"/>
    </row>
    <row r="749" spans="1:16" ht="30" customHeight="1">
      <c r="A749" s="30" t="s">
        <v>1629</v>
      </c>
      <c r="B749" s="47" t="s">
        <v>1607</v>
      </c>
      <c r="C749" s="49" t="s">
        <v>1630</v>
      </c>
      <c r="D749" s="30"/>
      <c r="E749" s="30"/>
      <c r="F749" s="30"/>
      <c r="G749" s="30"/>
      <c r="H749" s="30" t="s">
        <v>141</v>
      </c>
      <c r="I749" s="30" t="s">
        <v>31</v>
      </c>
      <c r="J749" s="30" t="s">
        <v>142</v>
      </c>
      <c r="K749" s="30" t="s">
        <v>116</v>
      </c>
      <c r="L749" s="30" t="s">
        <v>122</v>
      </c>
      <c r="M749" s="48" t="s">
        <v>314</v>
      </c>
      <c r="N749" s="30"/>
      <c r="O749" s="30"/>
      <c r="P749" s="30"/>
    </row>
    <row r="750" spans="1:16" ht="30" customHeight="1">
      <c r="A750" s="30" t="s">
        <v>1631</v>
      </c>
      <c r="B750" s="47" t="s">
        <v>1607</v>
      </c>
      <c r="C750" s="48" t="s">
        <v>1632</v>
      </c>
      <c r="D750" s="30"/>
      <c r="E750" s="30"/>
      <c r="F750" s="30"/>
      <c r="G750" s="30"/>
      <c r="H750" s="30" t="s">
        <v>141</v>
      </c>
      <c r="I750" s="30" t="s">
        <v>31</v>
      </c>
      <c r="J750" s="30" t="s">
        <v>144</v>
      </c>
      <c r="K750" s="30" t="s">
        <v>117</v>
      </c>
      <c r="L750" s="30" t="s">
        <v>122</v>
      </c>
      <c r="M750" s="48"/>
      <c r="N750" s="30"/>
      <c r="O750" s="30"/>
      <c r="P750" s="30"/>
    </row>
    <row r="751" spans="1:16" ht="30" customHeight="1">
      <c r="A751" s="30" t="s">
        <v>1633</v>
      </c>
      <c r="B751" s="47" t="s">
        <v>1607</v>
      </c>
      <c r="C751" s="49" t="s">
        <v>1634</v>
      </c>
      <c r="D751" s="30"/>
      <c r="E751" s="30"/>
      <c r="F751" s="30"/>
      <c r="G751" s="30"/>
      <c r="H751" s="30" t="s">
        <v>141</v>
      </c>
      <c r="I751" s="30" t="s">
        <v>31</v>
      </c>
      <c r="J751" s="30" t="s">
        <v>142</v>
      </c>
      <c r="K751" s="30" t="s">
        <v>116</v>
      </c>
      <c r="L751" s="30" t="s">
        <v>122</v>
      </c>
      <c r="M751" s="48" t="s">
        <v>314</v>
      </c>
      <c r="N751" s="30"/>
      <c r="O751" s="30"/>
      <c r="P751" s="30"/>
    </row>
    <row r="752" spans="1:16" ht="30" customHeight="1">
      <c r="A752" s="30" t="s">
        <v>1635</v>
      </c>
      <c r="B752" s="47" t="s">
        <v>1607</v>
      </c>
      <c r="C752" s="49" t="s">
        <v>1636</v>
      </c>
      <c r="D752" s="30"/>
      <c r="E752" s="30"/>
      <c r="F752" s="30"/>
      <c r="G752" s="30"/>
      <c r="H752" s="30" t="s">
        <v>141</v>
      </c>
      <c r="I752" s="30" t="s">
        <v>31</v>
      </c>
      <c r="J752" s="30" t="s">
        <v>142</v>
      </c>
      <c r="K752" s="30" t="s">
        <v>116</v>
      </c>
      <c r="L752" s="30" t="s">
        <v>122</v>
      </c>
      <c r="M752" s="48" t="s">
        <v>314</v>
      </c>
      <c r="N752" s="30"/>
      <c r="O752" s="30"/>
      <c r="P752" s="30"/>
    </row>
    <row r="753" spans="1:16" ht="30" customHeight="1">
      <c r="A753" s="30" t="s">
        <v>1637</v>
      </c>
      <c r="B753" s="47" t="s">
        <v>1607</v>
      </c>
      <c r="C753" s="48" t="s">
        <v>1638</v>
      </c>
      <c r="D753" s="30"/>
      <c r="E753" s="30"/>
      <c r="F753" s="30"/>
      <c r="G753" s="30"/>
      <c r="H753" s="30" t="s">
        <v>141</v>
      </c>
      <c r="I753" s="30" t="s">
        <v>31</v>
      </c>
      <c r="J753" s="30" t="s">
        <v>144</v>
      </c>
      <c r="K753" s="30" t="s">
        <v>117</v>
      </c>
      <c r="L753" s="30" t="s">
        <v>122</v>
      </c>
      <c r="M753" s="48"/>
      <c r="N753" s="30"/>
      <c r="O753" s="30"/>
      <c r="P753" s="30"/>
    </row>
    <row r="754" spans="1:16" ht="30" customHeight="1">
      <c r="A754" s="30" t="s">
        <v>1639</v>
      </c>
      <c r="B754" s="47" t="s">
        <v>1607</v>
      </c>
      <c r="C754" s="49" t="s">
        <v>1640</v>
      </c>
      <c r="D754" s="30"/>
      <c r="E754" s="30"/>
      <c r="F754" s="30"/>
      <c r="G754" s="30"/>
      <c r="H754" s="30" t="s">
        <v>141</v>
      </c>
      <c r="I754" s="30" t="s">
        <v>31</v>
      </c>
      <c r="J754" s="30" t="s">
        <v>144</v>
      </c>
      <c r="K754" s="30" t="s">
        <v>117</v>
      </c>
      <c r="L754" s="30" t="s">
        <v>122</v>
      </c>
      <c r="M754" s="48"/>
      <c r="N754" s="30"/>
      <c r="O754" s="30"/>
      <c r="P754" s="30"/>
    </row>
    <row r="755" spans="1:16" ht="75" customHeight="1">
      <c r="A755" s="30" t="s">
        <v>1641</v>
      </c>
      <c r="B755" s="47" t="s">
        <v>1607</v>
      </c>
      <c r="C755" s="49" t="s">
        <v>1642</v>
      </c>
      <c r="D755" s="30"/>
      <c r="E755" s="30"/>
      <c r="F755" s="30"/>
      <c r="G755" s="30"/>
      <c r="H755" s="30" t="s">
        <v>141</v>
      </c>
      <c r="I755" s="30" t="s">
        <v>31</v>
      </c>
      <c r="J755" s="30" t="s">
        <v>144</v>
      </c>
      <c r="K755" s="30" t="s">
        <v>117</v>
      </c>
      <c r="L755" s="30" t="s">
        <v>122</v>
      </c>
      <c r="M755" s="48"/>
      <c r="N755" s="30"/>
      <c r="O755" s="30"/>
      <c r="P755" s="30"/>
    </row>
    <row r="756" spans="1:16" ht="60" customHeight="1">
      <c r="A756" s="30" t="s">
        <v>1643</v>
      </c>
      <c r="B756" s="47" t="s">
        <v>1607</v>
      </c>
      <c r="C756" s="49" t="s">
        <v>1644</v>
      </c>
      <c r="D756" s="30"/>
      <c r="E756" s="30"/>
      <c r="F756" s="30"/>
      <c r="G756" s="30"/>
      <c r="H756" s="30" t="s">
        <v>141</v>
      </c>
      <c r="I756" s="30" t="s">
        <v>31</v>
      </c>
      <c r="J756" s="30" t="s">
        <v>144</v>
      </c>
      <c r="K756" s="30" t="s">
        <v>117</v>
      </c>
      <c r="L756" s="30" t="s">
        <v>122</v>
      </c>
      <c r="M756" s="48"/>
      <c r="N756" s="30"/>
      <c r="O756" s="30"/>
      <c r="P756" s="30"/>
    </row>
    <row r="757" spans="1:16" ht="60" customHeight="1">
      <c r="A757" s="30" t="s">
        <v>1645</v>
      </c>
      <c r="B757" s="47" t="s">
        <v>1607</v>
      </c>
      <c r="C757" s="49" t="s">
        <v>1646</v>
      </c>
      <c r="D757" s="30"/>
      <c r="E757" s="30"/>
      <c r="F757" s="30"/>
      <c r="G757" s="30"/>
      <c r="H757" s="30" t="s">
        <v>141</v>
      </c>
      <c r="I757" s="30" t="s">
        <v>31</v>
      </c>
      <c r="J757" s="30" t="s">
        <v>144</v>
      </c>
      <c r="K757" s="30" t="s">
        <v>117</v>
      </c>
      <c r="L757" s="30" t="s">
        <v>122</v>
      </c>
      <c r="M757" s="48"/>
      <c r="N757" s="30"/>
      <c r="O757" s="30"/>
      <c r="P757" s="30"/>
    </row>
    <row r="758" spans="1:16" ht="45" customHeight="1">
      <c r="A758" s="30" t="s">
        <v>1647</v>
      </c>
      <c r="B758" s="47" t="s">
        <v>1607</v>
      </c>
      <c r="C758" s="49" t="s">
        <v>1648</v>
      </c>
      <c r="D758" s="30"/>
      <c r="E758" s="30"/>
      <c r="F758" s="30"/>
      <c r="G758" s="30"/>
      <c r="H758" s="30" t="s">
        <v>141</v>
      </c>
      <c r="I758" s="30" t="s">
        <v>31</v>
      </c>
      <c r="J758" s="30" t="s">
        <v>142</v>
      </c>
      <c r="K758" s="30" t="s">
        <v>116</v>
      </c>
      <c r="L758" s="30" t="s">
        <v>122</v>
      </c>
      <c r="M758" s="48" t="s">
        <v>314</v>
      </c>
      <c r="N758" s="30"/>
      <c r="O758" s="30"/>
      <c r="P758" s="30"/>
    </row>
    <row r="759" spans="1:16" ht="60" customHeight="1">
      <c r="A759" s="30" t="s">
        <v>1649</v>
      </c>
      <c r="B759" s="47" t="s">
        <v>1607</v>
      </c>
      <c r="C759" s="49" t="s">
        <v>1650</v>
      </c>
      <c r="D759" s="30"/>
      <c r="E759" s="30"/>
      <c r="F759" s="30"/>
      <c r="G759" s="30"/>
      <c r="H759" s="30" t="s">
        <v>141</v>
      </c>
      <c r="I759" s="30" t="s">
        <v>31</v>
      </c>
      <c r="J759" s="30" t="s">
        <v>142</v>
      </c>
      <c r="K759" s="30" t="s">
        <v>116</v>
      </c>
      <c r="L759" s="30" t="s">
        <v>122</v>
      </c>
      <c r="M759" s="48" t="s">
        <v>314</v>
      </c>
      <c r="N759" s="30"/>
      <c r="O759" s="30"/>
      <c r="P759" s="30"/>
    </row>
    <row r="760" spans="1:16" ht="45" customHeight="1">
      <c r="A760" s="30" t="s">
        <v>1651</v>
      </c>
      <c r="B760" s="47" t="s">
        <v>1607</v>
      </c>
      <c r="C760" s="49" t="s">
        <v>1652</v>
      </c>
      <c r="D760" s="30"/>
      <c r="E760" s="30"/>
      <c r="F760" s="30"/>
      <c r="G760" s="30"/>
      <c r="H760" s="30" t="s">
        <v>141</v>
      </c>
      <c r="I760" s="30" t="s">
        <v>31</v>
      </c>
      <c r="J760" s="30" t="s">
        <v>142</v>
      </c>
      <c r="K760" s="30" t="s">
        <v>116</v>
      </c>
      <c r="L760" s="30" t="s">
        <v>122</v>
      </c>
      <c r="M760" s="48" t="s">
        <v>314</v>
      </c>
      <c r="N760" s="30"/>
      <c r="O760" s="30"/>
      <c r="P760" s="30"/>
    </row>
    <row r="761" spans="1:16" ht="60" customHeight="1">
      <c r="A761" s="30" t="s">
        <v>1653</v>
      </c>
      <c r="B761" s="47" t="s">
        <v>1607</v>
      </c>
      <c r="C761" s="49" t="s">
        <v>1654</v>
      </c>
      <c r="D761" s="30"/>
      <c r="E761" s="30"/>
      <c r="F761" s="30"/>
      <c r="G761" s="30"/>
      <c r="H761" s="30" t="s">
        <v>141</v>
      </c>
      <c r="I761" s="30" t="s">
        <v>31</v>
      </c>
      <c r="J761" s="30" t="s">
        <v>142</v>
      </c>
      <c r="K761" s="30" t="s">
        <v>116</v>
      </c>
      <c r="L761" s="30" t="s">
        <v>122</v>
      </c>
      <c r="M761" s="48" t="s">
        <v>314</v>
      </c>
      <c r="N761" s="30"/>
      <c r="O761" s="30"/>
      <c r="P761" s="30"/>
    </row>
    <row r="762" spans="1:16" ht="60" customHeight="1">
      <c r="A762" s="30" t="s">
        <v>1655</v>
      </c>
      <c r="B762" s="47" t="s">
        <v>1607</v>
      </c>
      <c r="C762" s="49" t="s">
        <v>1656</v>
      </c>
      <c r="D762" s="30"/>
      <c r="E762" s="30"/>
      <c r="F762" s="30"/>
      <c r="G762" s="30"/>
      <c r="H762" s="30" t="s">
        <v>141</v>
      </c>
      <c r="I762" s="30" t="s">
        <v>31</v>
      </c>
      <c r="J762" s="30" t="s">
        <v>144</v>
      </c>
      <c r="K762" s="30" t="s">
        <v>117</v>
      </c>
      <c r="L762" s="30" t="s">
        <v>122</v>
      </c>
      <c r="M762" s="48"/>
      <c r="N762" s="30"/>
      <c r="O762" s="30"/>
      <c r="P762" s="30"/>
    </row>
    <row r="763" spans="1:16" ht="60" customHeight="1">
      <c r="A763" s="30" t="s">
        <v>1657</v>
      </c>
      <c r="B763" s="47" t="s">
        <v>1607</v>
      </c>
      <c r="C763" s="49" t="s">
        <v>1658</v>
      </c>
      <c r="D763" s="30"/>
      <c r="E763" s="30"/>
      <c r="F763" s="30"/>
      <c r="G763" s="30"/>
      <c r="H763" s="30" t="s">
        <v>141</v>
      </c>
      <c r="I763" s="30" t="s">
        <v>31</v>
      </c>
      <c r="J763" s="30" t="s">
        <v>142</v>
      </c>
      <c r="K763" s="30" t="s">
        <v>116</v>
      </c>
      <c r="L763" s="30" t="s">
        <v>122</v>
      </c>
      <c r="M763" s="48" t="s">
        <v>314</v>
      </c>
      <c r="N763" s="30"/>
      <c r="O763" s="30"/>
      <c r="P763" s="30"/>
    </row>
    <row r="764" spans="1:16" ht="45" customHeight="1">
      <c r="A764" s="30" t="s">
        <v>1659</v>
      </c>
      <c r="B764" s="47" t="s">
        <v>1607</v>
      </c>
      <c r="C764" s="49" t="s">
        <v>1660</v>
      </c>
      <c r="D764" s="30"/>
      <c r="E764" s="30"/>
      <c r="F764" s="30"/>
      <c r="G764" s="30"/>
      <c r="H764" s="30" t="s">
        <v>141</v>
      </c>
      <c r="I764" s="30" t="s">
        <v>31</v>
      </c>
      <c r="J764" s="30" t="s">
        <v>142</v>
      </c>
      <c r="K764" s="30" t="s">
        <v>116</v>
      </c>
      <c r="L764" s="30" t="s">
        <v>122</v>
      </c>
      <c r="M764" s="48" t="s">
        <v>314</v>
      </c>
      <c r="N764" s="30"/>
      <c r="O764" s="30"/>
      <c r="P764" s="30"/>
    </row>
    <row r="765" spans="1:16" ht="45" customHeight="1">
      <c r="A765" s="30" t="s">
        <v>1661</v>
      </c>
      <c r="B765" s="47" t="s">
        <v>1607</v>
      </c>
      <c r="C765" s="49" t="s">
        <v>1662</v>
      </c>
      <c r="D765" s="30"/>
      <c r="E765" s="30"/>
      <c r="F765" s="30"/>
      <c r="G765" s="30"/>
      <c r="H765" s="30" t="s">
        <v>141</v>
      </c>
      <c r="I765" s="30" t="s">
        <v>31</v>
      </c>
      <c r="J765" s="30" t="s">
        <v>144</v>
      </c>
      <c r="K765" s="30" t="s">
        <v>117</v>
      </c>
      <c r="L765" s="30" t="s">
        <v>122</v>
      </c>
      <c r="M765" s="48"/>
      <c r="N765" s="30"/>
      <c r="O765" s="30"/>
      <c r="P765" s="30"/>
    </row>
    <row r="766" spans="1:16" ht="45" customHeight="1">
      <c r="A766" s="30" t="s">
        <v>1663</v>
      </c>
      <c r="B766" s="47" t="s">
        <v>1607</v>
      </c>
      <c r="C766" s="49" t="s">
        <v>1664</v>
      </c>
      <c r="D766" s="30"/>
      <c r="E766" s="30"/>
      <c r="F766" s="30"/>
      <c r="G766" s="30"/>
      <c r="H766" s="30" t="s">
        <v>141</v>
      </c>
      <c r="I766" s="30" t="s">
        <v>31</v>
      </c>
      <c r="J766" s="30" t="s">
        <v>144</v>
      </c>
      <c r="K766" s="30" t="s">
        <v>117</v>
      </c>
      <c r="L766" s="30" t="s">
        <v>122</v>
      </c>
      <c r="M766" s="48"/>
      <c r="N766" s="30"/>
      <c r="O766" s="30"/>
      <c r="P766" s="30"/>
    </row>
    <row r="767" spans="1:16" ht="45" customHeight="1">
      <c r="A767" s="30" t="s">
        <v>1665</v>
      </c>
      <c r="B767" s="47" t="s">
        <v>1607</v>
      </c>
      <c r="C767" s="49" t="s">
        <v>1666</v>
      </c>
      <c r="D767" s="30"/>
      <c r="E767" s="30"/>
      <c r="F767" s="30"/>
      <c r="G767" s="30"/>
      <c r="H767" s="30" t="s">
        <v>141</v>
      </c>
      <c r="I767" s="30" t="s">
        <v>31</v>
      </c>
      <c r="J767" s="30" t="s">
        <v>144</v>
      </c>
      <c r="K767" s="30" t="s">
        <v>117</v>
      </c>
      <c r="L767" s="30" t="s">
        <v>122</v>
      </c>
      <c r="M767" s="48"/>
      <c r="N767" s="30"/>
      <c r="O767" s="30"/>
      <c r="P767" s="30"/>
    </row>
    <row r="768" spans="1:16" ht="45" customHeight="1">
      <c r="A768" s="30" t="s">
        <v>1667</v>
      </c>
      <c r="B768" s="47" t="s">
        <v>1607</v>
      </c>
      <c r="C768" s="49" t="s">
        <v>1668</v>
      </c>
      <c r="D768" s="30"/>
      <c r="E768" s="30"/>
      <c r="F768" s="30"/>
      <c r="G768" s="30"/>
      <c r="H768" s="30" t="s">
        <v>141</v>
      </c>
      <c r="I768" s="30" t="s">
        <v>31</v>
      </c>
      <c r="J768" s="30" t="s">
        <v>144</v>
      </c>
      <c r="K768" s="30" t="s">
        <v>117</v>
      </c>
      <c r="L768" s="30" t="s">
        <v>122</v>
      </c>
      <c r="M768" s="48"/>
      <c r="N768" s="30"/>
      <c r="O768" s="30"/>
      <c r="P768" s="30"/>
    </row>
    <row r="769" spans="1:16" ht="45" customHeight="1">
      <c r="A769" s="30" t="s">
        <v>1669</v>
      </c>
      <c r="B769" s="47" t="s">
        <v>1607</v>
      </c>
      <c r="C769" s="49" t="s">
        <v>1670</v>
      </c>
      <c r="D769" s="30"/>
      <c r="E769" s="30"/>
      <c r="F769" s="30"/>
      <c r="G769" s="30"/>
      <c r="H769" s="30" t="s">
        <v>141</v>
      </c>
      <c r="I769" s="30" t="s">
        <v>31</v>
      </c>
      <c r="J769" s="30" t="s">
        <v>144</v>
      </c>
      <c r="K769" s="30" t="s">
        <v>117</v>
      </c>
      <c r="L769" s="30" t="s">
        <v>122</v>
      </c>
      <c r="M769" s="48"/>
      <c r="N769" s="30"/>
      <c r="O769" s="30"/>
      <c r="P769" s="30"/>
    </row>
    <row r="770" spans="1:16" ht="45" customHeight="1">
      <c r="A770" s="30" t="s">
        <v>1671</v>
      </c>
      <c r="B770" s="47" t="s">
        <v>1607</v>
      </c>
      <c r="C770" s="49" t="s">
        <v>1672</v>
      </c>
      <c r="D770" s="30"/>
      <c r="E770" s="30"/>
      <c r="F770" s="30"/>
      <c r="G770" s="30"/>
      <c r="H770" s="30" t="s">
        <v>141</v>
      </c>
      <c r="I770" s="30" t="s">
        <v>31</v>
      </c>
      <c r="J770" s="30" t="s">
        <v>142</v>
      </c>
      <c r="K770" s="30" t="s">
        <v>116</v>
      </c>
      <c r="L770" s="30" t="s">
        <v>122</v>
      </c>
      <c r="M770" s="48" t="s">
        <v>314</v>
      </c>
      <c r="N770" s="30"/>
      <c r="O770" s="30"/>
      <c r="P770" s="30"/>
    </row>
    <row r="771" spans="1:16" ht="45" customHeight="1">
      <c r="A771" s="30" t="s">
        <v>1673</v>
      </c>
      <c r="B771" s="47" t="s">
        <v>1607</v>
      </c>
      <c r="C771" s="49" t="s">
        <v>1674</v>
      </c>
      <c r="D771" s="30"/>
      <c r="E771" s="30"/>
      <c r="F771" s="30"/>
      <c r="G771" s="30"/>
      <c r="H771" s="30" t="s">
        <v>141</v>
      </c>
      <c r="I771" s="30" t="s">
        <v>31</v>
      </c>
      <c r="J771" s="30" t="s">
        <v>142</v>
      </c>
      <c r="K771" s="30" t="s">
        <v>116</v>
      </c>
      <c r="L771" s="30" t="s">
        <v>122</v>
      </c>
      <c r="M771" s="48" t="s">
        <v>314</v>
      </c>
      <c r="N771" s="30"/>
      <c r="O771" s="30"/>
      <c r="P771" s="30"/>
    </row>
    <row r="772" spans="1:16" ht="45" customHeight="1">
      <c r="A772" s="30" t="s">
        <v>1675</v>
      </c>
      <c r="B772" s="47" t="s">
        <v>1607</v>
      </c>
      <c r="C772" s="49" t="s">
        <v>1676</v>
      </c>
      <c r="D772" s="30"/>
      <c r="E772" s="30"/>
      <c r="F772" s="30"/>
      <c r="G772" s="30"/>
      <c r="H772" s="30" t="s">
        <v>141</v>
      </c>
      <c r="I772" s="30" t="s">
        <v>31</v>
      </c>
      <c r="J772" s="30" t="s">
        <v>142</v>
      </c>
      <c r="K772" s="30" t="s">
        <v>116</v>
      </c>
      <c r="L772" s="30" t="s">
        <v>122</v>
      </c>
      <c r="M772" s="48" t="s">
        <v>314</v>
      </c>
      <c r="N772" s="30"/>
      <c r="O772" s="30"/>
      <c r="P772" s="30"/>
    </row>
    <row r="773" spans="1:16" ht="45" customHeight="1">
      <c r="A773" s="30" t="s">
        <v>1677</v>
      </c>
      <c r="B773" s="47" t="s">
        <v>1607</v>
      </c>
      <c r="C773" s="49" t="s">
        <v>1678</v>
      </c>
      <c r="D773" s="30"/>
      <c r="E773" s="30"/>
      <c r="F773" s="30"/>
      <c r="G773" s="30"/>
      <c r="H773" s="30" t="s">
        <v>141</v>
      </c>
      <c r="I773" s="30" t="s">
        <v>31</v>
      </c>
      <c r="J773" s="30" t="s">
        <v>142</v>
      </c>
      <c r="K773" s="30" t="s">
        <v>116</v>
      </c>
      <c r="L773" s="30" t="s">
        <v>122</v>
      </c>
      <c r="M773" s="48" t="s">
        <v>314</v>
      </c>
      <c r="N773" s="30"/>
      <c r="O773" s="30"/>
      <c r="P773" s="30"/>
    </row>
    <row r="774" spans="1:16" ht="45" customHeight="1">
      <c r="A774" s="30" t="s">
        <v>1679</v>
      </c>
      <c r="B774" s="47" t="s">
        <v>1607</v>
      </c>
      <c r="C774" s="49" t="s">
        <v>1680</v>
      </c>
      <c r="D774" s="30"/>
      <c r="E774" s="30"/>
      <c r="F774" s="30"/>
      <c r="G774" s="30"/>
      <c r="H774" s="30" t="s">
        <v>141</v>
      </c>
      <c r="I774" s="30" t="s">
        <v>31</v>
      </c>
      <c r="J774" s="30" t="s">
        <v>142</v>
      </c>
      <c r="K774" s="30" t="s">
        <v>116</v>
      </c>
      <c r="L774" s="30" t="s">
        <v>122</v>
      </c>
      <c r="M774" s="48" t="s">
        <v>314</v>
      </c>
      <c r="N774" s="30"/>
      <c r="O774" s="30"/>
      <c r="P774" s="30"/>
    </row>
    <row r="775" spans="1:16" ht="45" customHeight="1">
      <c r="A775" s="30" t="s">
        <v>1681</v>
      </c>
      <c r="B775" s="47" t="s">
        <v>1607</v>
      </c>
      <c r="C775" s="49" t="s">
        <v>1682</v>
      </c>
      <c r="D775" s="30"/>
      <c r="E775" s="30"/>
      <c r="F775" s="30"/>
      <c r="G775" s="30"/>
      <c r="H775" s="30" t="s">
        <v>141</v>
      </c>
      <c r="I775" s="30" t="s">
        <v>30</v>
      </c>
      <c r="J775" s="30" t="s">
        <v>144</v>
      </c>
      <c r="K775" s="30" t="s">
        <v>117</v>
      </c>
      <c r="L775" s="30" t="s">
        <v>122</v>
      </c>
      <c r="M775" s="48"/>
      <c r="N775" s="30"/>
      <c r="O775" s="30"/>
      <c r="P775" s="30"/>
    </row>
    <row r="776" spans="1:16" ht="45" customHeight="1">
      <c r="A776" s="30" t="s">
        <v>1683</v>
      </c>
      <c r="B776" s="47" t="s">
        <v>1607</v>
      </c>
      <c r="C776" s="49" t="s">
        <v>1684</v>
      </c>
      <c r="D776" s="30"/>
      <c r="E776" s="30"/>
      <c r="F776" s="30"/>
      <c r="G776" s="30"/>
      <c r="H776" s="30" t="s">
        <v>141</v>
      </c>
      <c r="I776" s="30" t="s">
        <v>31</v>
      </c>
      <c r="J776" s="30" t="s">
        <v>142</v>
      </c>
      <c r="K776" s="30" t="s">
        <v>116</v>
      </c>
      <c r="L776" s="30" t="s">
        <v>122</v>
      </c>
      <c r="M776" s="48" t="s">
        <v>314</v>
      </c>
      <c r="N776" s="30"/>
      <c r="O776" s="30"/>
      <c r="P776" s="30"/>
    </row>
    <row r="777" spans="1:16" ht="45" customHeight="1">
      <c r="A777" s="30" t="s">
        <v>1685</v>
      </c>
      <c r="B777" s="47" t="s">
        <v>1607</v>
      </c>
      <c r="C777" s="49" t="s">
        <v>1686</v>
      </c>
      <c r="D777" s="30"/>
      <c r="E777" s="30"/>
      <c r="F777" s="30"/>
      <c r="G777" s="30"/>
      <c r="H777" s="30" t="s">
        <v>141</v>
      </c>
      <c r="I777" s="30" t="s">
        <v>31</v>
      </c>
      <c r="J777" s="30" t="s">
        <v>142</v>
      </c>
      <c r="K777" s="30" t="s">
        <v>116</v>
      </c>
      <c r="L777" s="30" t="s">
        <v>122</v>
      </c>
      <c r="M777" s="48" t="s">
        <v>314</v>
      </c>
      <c r="N777" s="30"/>
      <c r="O777" s="30"/>
      <c r="P777" s="30"/>
    </row>
    <row r="778" spans="1:16" ht="30" customHeight="1">
      <c r="A778" s="30" t="s">
        <v>1687</v>
      </c>
      <c r="B778" s="47" t="s">
        <v>1607</v>
      </c>
      <c r="C778" s="48" t="s">
        <v>1688</v>
      </c>
      <c r="D778" s="30"/>
      <c r="E778" s="30"/>
      <c r="F778" s="30"/>
      <c r="G778" s="30"/>
      <c r="H778" s="30" t="s">
        <v>141</v>
      </c>
      <c r="I778" s="30" t="s">
        <v>31</v>
      </c>
      <c r="J778" s="30" t="s">
        <v>144</v>
      </c>
      <c r="K778" s="30" t="s">
        <v>117</v>
      </c>
      <c r="L778" s="30" t="s">
        <v>122</v>
      </c>
      <c r="M778" s="48"/>
      <c r="N778" s="30"/>
      <c r="O778" s="30"/>
      <c r="P778" s="30"/>
    </row>
    <row r="779" spans="1:16" ht="45" customHeight="1">
      <c r="A779" s="30" t="s">
        <v>1689</v>
      </c>
      <c r="B779" s="47" t="s">
        <v>1607</v>
      </c>
      <c r="C779" s="48" t="s">
        <v>1690</v>
      </c>
      <c r="D779" s="30"/>
      <c r="E779" s="30"/>
      <c r="F779" s="30"/>
      <c r="G779" s="30"/>
      <c r="H779" s="30" t="s">
        <v>141</v>
      </c>
      <c r="I779" s="30" t="s">
        <v>31</v>
      </c>
      <c r="J779" s="30" t="s">
        <v>144</v>
      </c>
      <c r="K779" s="30" t="s">
        <v>117</v>
      </c>
      <c r="L779" s="30" t="s">
        <v>122</v>
      </c>
      <c r="M779" s="48"/>
      <c r="N779" s="30"/>
      <c r="O779" s="30"/>
      <c r="P779" s="30"/>
    </row>
    <row r="780" spans="1:16" ht="45" customHeight="1">
      <c r="A780" s="30" t="s">
        <v>1691</v>
      </c>
      <c r="B780" s="47" t="s">
        <v>1607</v>
      </c>
      <c r="C780" s="49" t="s">
        <v>1692</v>
      </c>
      <c r="D780" s="30"/>
      <c r="E780" s="30"/>
      <c r="F780" s="30"/>
      <c r="G780" s="30"/>
      <c r="H780" s="30" t="s">
        <v>141</v>
      </c>
      <c r="I780" s="30" t="s">
        <v>31</v>
      </c>
      <c r="J780" s="30" t="s">
        <v>144</v>
      </c>
      <c r="K780" s="30" t="s">
        <v>117</v>
      </c>
      <c r="L780" s="30" t="s">
        <v>122</v>
      </c>
      <c r="M780" s="48"/>
      <c r="N780" s="30"/>
      <c r="O780" s="30"/>
      <c r="P780" s="30"/>
    </row>
    <row r="781" spans="1:16" ht="30" customHeight="1">
      <c r="A781" s="30" t="s">
        <v>1693</v>
      </c>
      <c r="B781" s="47" t="s">
        <v>1607</v>
      </c>
      <c r="C781" s="49" t="s">
        <v>1694</v>
      </c>
      <c r="D781" s="30"/>
      <c r="E781" s="30"/>
      <c r="F781" s="30"/>
      <c r="G781" s="30"/>
      <c r="H781" s="30" t="s">
        <v>141</v>
      </c>
      <c r="I781" s="30" t="s">
        <v>31</v>
      </c>
      <c r="J781" s="30" t="s">
        <v>144</v>
      </c>
      <c r="K781" s="30" t="s">
        <v>117</v>
      </c>
      <c r="L781" s="30" t="s">
        <v>122</v>
      </c>
      <c r="M781" s="48"/>
      <c r="N781" s="30"/>
      <c r="O781" s="30"/>
      <c r="P781" s="30"/>
    </row>
    <row r="782" spans="1:16" ht="45" customHeight="1">
      <c r="A782" s="30" t="s">
        <v>1695</v>
      </c>
      <c r="B782" s="47" t="s">
        <v>1607</v>
      </c>
      <c r="C782" s="49" t="s">
        <v>1696</v>
      </c>
      <c r="D782" s="30"/>
      <c r="E782" s="30"/>
      <c r="F782" s="30"/>
      <c r="G782" s="30"/>
      <c r="H782" s="30" t="s">
        <v>141</v>
      </c>
      <c r="I782" s="30" t="s">
        <v>31</v>
      </c>
      <c r="J782" s="30" t="s">
        <v>144</v>
      </c>
      <c r="K782" s="30" t="s">
        <v>117</v>
      </c>
      <c r="L782" s="30" t="s">
        <v>122</v>
      </c>
      <c r="M782" s="48"/>
      <c r="N782" s="30"/>
      <c r="O782" s="30"/>
      <c r="P782" s="30"/>
    </row>
    <row r="783" spans="1:16" ht="30" customHeight="1">
      <c r="A783" s="30" t="s">
        <v>1697</v>
      </c>
      <c r="B783" s="47" t="s">
        <v>1607</v>
      </c>
      <c r="C783" s="49" t="s">
        <v>1698</v>
      </c>
      <c r="D783" s="30"/>
      <c r="E783" s="30"/>
      <c r="F783" s="30"/>
      <c r="G783" s="30"/>
      <c r="H783" s="30" t="s">
        <v>141</v>
      </c>
      <c r="I783" s="30" t="s">
        <v>31</v>
      </c>
      <c r="J783" s="30" t="s">
        <v>142</v>
      </c>
      <c r="K783" s="30" t="s">
        <v>116</v>
      </c>
      <c r="L783" s="30" t="s">
        <v>122</v>
      </c>
      <c r="M783" s="48" t="s">
        <v>314</v>
      </c>
      <c r="N783" s="30"/>
      <c r="O783" s="30"/>
      <c r="P783" s="30"/>
    </row>
    <row r="784" spans="1:16" ht="30" customHeight="1">
      <c r="A784" s="30" t="s">
        <v>1699</v>
      </c>
      <c r="B784" s="47" t="s">
        <v>1607</v>
      </c>
      <c r="C784" s="49" t="s">
        <v>1700</v>
      </c>
      <c r="D784" s="30"/>
      <c r="E784" s="30"/>
      <c r="F784" s="30"/>
      <c r="G784" s="30"/>
      <c r="H784" s="30" t="s">
        <v>141</v>
      </c>
      <c r="I784" s="30" t="s">
        <v>31</v>
      </c>
      <c r="J784" s="30" t="s">
        <v>144</v>
      </c>
      <c r="K784" s="30" t="s">
        <v>117</v>
      </c>
      <c r="L784" s="30" t="s">
        <v>122</v>
      </c>
      <c r="M784" s="48"/>
      <c r="N784" s="30"/>
      <c r="O784" s="30"/>
      <c r="P784" s="30"/>
    </row>
    <row r="785" spans="1:16" ht="30" customHeight="1">
      <c r="A785" s="30" t="s">
        <v>1701</v>
      </c>
      <c r="B785" s="47" t="s">
        <v>1607</v>
      </c>
      <c r="C785" s="49" t="s">
        <v>1702</v>
      </c>
      <c r="D785" s="30"/>
      <c r="E785" s="30"/>
      <c r="F785" s="30"/>
      <c r="G785" s="30"/>
      <c r="H785" s="30" t="s">
        <v>141</v>
      </c>
      <c r="I785" s="30" t="s">
        <v>31</v>
      </c>
      <c r="J785" s="30" t="s">
        <v>145</v>
      </c>
      <c r="K785" s="30" t="s">
        <v>116</v>
      </c>
      <c r="L785" s="30" t="s">
        <v>122</v>
      </c>
      <c r="M785" s="48" t="s">
        <v>314</v>
      </c>
      <c r="N785" s="30"/>
      <c r="O785" s="30"/>
      <c r="P785" s="30"/>
    </row>
    <row r="786" spans="1:16" ht="45" customHeight="1">
      <c r="A786" s="30" t="s">
        <v>1703</v>
      </c>
      <c r="B786" s="47" t="s">
        <v>1607</v>
      </c>
      <c r="C786" s="49" t="s">
        <v>1704</v>
      </c>
      <c r="D786" s="30"/>
      <c r="E786" s="30"/>
      <c r="F786" s="30"/>
      <c r="G786" s="30"/>
      <c r="H786" s="30" t="s">
        <v>141</v>
      </c>
      <c r="I786" s="30" t="s">
        <v>30</v>
      </c>
      <c r="J786" s="30" t="s">
        <v>142</v>
      </c>
      <c r="K786" s="30" t="s">
        <v>116</v>
      </c>
      <c r="L786" s="30" t="s">
        <v>121</v>
      </c>
      <c r="M786" s="48" t="s">
        <v>237</v>
      </c>
      <c r="N786" s="30"/>
      <c r="O786" s="30"/>
      <c r="P786" s="30"/>
    </row>
    <row r="787" spans="1:16" ht="30" customHeight="1">
      <c r="A787" s="30" t="s">
        <v>1705</v>
      </c>
      <c r="B787" s="47" t="s">
        <v>1607</v>
      </c>
      <c r="C787" s="48" t="s">
        <v>1706</v>
      </c>
      <c r="D787" s="30"/>
      <c r="E787" s="30"/>
      <c r="F787" s="30" t="s">
        <v>4116</v>
      </c>
      <c r="G787" s="30" t="s">
        <v>138</v>
      </c>
      <c r="H787" s="30" t="s">
        <v>141</v>
      </c>
      <c r="I787" s="30" t="s">
        <v>30</v>
      </c>
      <c r="J787" s="30" t="s">
        <v>142</v>
      </c>
      <c r="K787" s="30" t="s">
        <v>116</v>
      </c>
      <c r="L787" s="30" t="s">
        <v>143</v>
      </c>
      <c r="M787" s="48"/>
      <c r="N787" s="30"/>
      <c r="O787" s="30"/>
      <c r="P787" s="30"/>
    </row>
    <row r="788" spans="1:16" ht="45" customHeight="1">
      <c r="A788" s="30" t="s">
        <v>1707</v>
      </c>
      <c r="B788" s="47" t="s">
        <v>1607</v>
      </c>
      <c r="C788" s="49" t="s">
        <v>1708</v>
      </c>
      <c r="D788" s="30"/>
      <c r="E788" s="30"/>
      <c r="F788" s="30"/>
      <c r="G788" s="30"/>
      <c r="H788" s="30" t="s">
        <v>141</v>
      </c>
      <c r="I788" s="30" t="s">
        <v>30</v>
      </c>
      <c r="J788" s="30" t="s">
        <v>144</v>
      </c>
      <c r="K788" s="30" t="s">
        <v>117</v>
      </c>
      <c r="L788" s="30" t="s">
        <v>122</v>
      </c>
      <c r="M788" s="48"/>
      <c r="N788" s="30"/>
      <c r="O788" s="30"/>
      <c r="P788" s="30"/>
    </row>
    <row r="789" spans="1:16" ht="30" customHeight="1">
      <c r="A789" s="30" t="s">
        <v>1709</v>
      </c>
      <c r="B789" s="47" t="s">
        <v>1710</v>
      </c>
      <c r="C789" s="48" t="s">
        <v>1711</v>
      </c>
      <c r="D789" s="30"/>
      <c r="E789" s="30"/>
      <c r="F789" s="30"/>
      <c r="G789" s="30"/>
      <c r="H789" s="30" t="s">
        <v>141</v>
      </c>
      <c r="I789" s="30" t="s">
        <v>31</v>
      </c>
      <c r="J789" s="30" t="s">
        <v>144</v>
      </c>
      <c r="K789" s="30" t="s">
        <v>117</v>
      </c>
      <c r="L789" s="30" t="s">
        <v>122</v>
      </c>
      <c r="M789" s="48"/>
      <c r="N789" s="30"/>
      <c r="O789" s="30"/>
      <c r="P789" s="30"/>
    </row>
    <row r="790" spans="1:16" ht="45" customHeight="1">
      <c r="A790" s="30" t="s">
        <v>1712</v>
      </c>
      <c r="B790" s="47" t="s">
        <v>1710</v>
      </c>
      <c r="C790" s="48" t="s">
        <v>1713</v>
      </c>
      <c r="D790" s="30"/>
      <c r="E790" s="30"/>
      <c r="F790" s="30"/>
      <c r="G790" s="30"/>
      <c r="H790" s="30" t="s">
        <v>141</v>
      </c>
      <c r="I790" s="30" t="s">
        <v>31</v>
      </c>
      <c r="J790" s="30" t="s">
        <v>144</v>
      </c>
      <c r="K790" s="30" t="s">
        <v>117</v>
      </c>
      <c r="L790" s="30" t="s">
        <v>122</v>
      </c>
      <c r="M790" s="48"/>
      <c r="N790" s="30"/>
      <c r="O790" s="30"/>
      <c r="P790" s="30"/>
    </row>
    <row r="791" spans="1:16" ht="30" customHeight="1">
      <c r="A791" s="30" t="s">
        <v>1714</v>
      </c>
      <c r="B791" s="47" t="s">
        <v>1710</v>
      </c>
      <c r="C791" s="48" t="s">
        <v>1715</v>
      </c>
      <c r="D791" s="30"/>
      <c r="E791" s="30"/>
      <c r="F791" s="30"/>
      <c r="G791" s="30"/>
      <c r="H791" s="30" t="s">
        <v>141</v>
      </c>
      <c r="I791" s="30" t="s">
        <v>31</v>
      </c>
      <c r="J791" s="30" t="s">
        <v>144</v>
      </c>
      <c r="K791" s="30" t="s">
        <v>117</v>
      </c>
      <c r="L791" s="30" t="s">
        <v>122</v>
      </c>
      <c r="M791" s="48"/>
      <c r="N791" s="30"/>
      <c r="O791" s="30"/>
      <c r="P791" s="30"/>
    </row>
    <row r="792" spans="1:16" ht="30" customHeight="1">
      <c r="A792" s="30" t="s">
        <v>1716</v>
      </c>
      <c r="B792" s="47" t="s">
        <v>1710</v>
      </c>
      <c r="C792" s="48" t="s">
        <v>3814</v>
      </c>
      <c r="D792" s="30"/>
      <c r="E792" s="30"/>
      <c r="F792" s="30"/>
      <c r="G792" s="30"/>
      <c r="H792" s="30" t="s">
        <v>141</v>
      </c>
      <c r="I792" s="30" t="s">
        <v>31</v>
      </c>
      <c r="J792" s="30" t="s">
        <v>145</v>
      </c>
      <c r="K792" s="30" t="s">
        <v>116</v>
      </c>
      <c r="L792" s="30" t="s">
        <v>122</v>
      </c>
      <c r="M792" s="48" t="s">
        <v>314</v>
      </c>
      <c r="N792" s="30"/>
      <c r="O792" s="30"/>
      <c r="P792" s="30"/>
    </row>
    <row r="793" spans="1:16" ht="30" customHeight="1">
      <c r="A793" s="30" t="s">
        <v>1717</v>
      </c>
      <c r="B793" s="47" t="s">
        <v>1710</v>
      </c>
      <c r="C793" s="48" t="s">
        <v>1718</v>
      </c>
      <c r="D793" s="30"/>
      <c r="E793" s="30"/>
      <c r="F793" s="30"/>
      <c r="G793" s="30"/>
      <c r="H793" s="30" t="s">
        <v>141</v>
      </c>
      <c r="I793" s="30" t="s">
        <v>30</v>
      </c>
      <c r="J793" s="30" t="s">
        <v>142</v>
      </c>
      <c r="K793" s="30" t="s">
        <v>116</v>
      </c>
      <c r="L793" s="30" t="s">
        <v>121</v>
      </c>
      <c r="M793" s="48" t="s">
        <v>237</v>
      </c>
      <c r="N793" s="30"/>
      <c r="O793" s="30"/>
      <c r="P793" s="30"/>
    </row>
    <row r="794" spans="1:16" ht="30" customHeight="1">
      <c r="A794" s="30" t="s">
        <v>1719</v>
      </c>
      <c r="B794" s="47" t="s">
        <v>1710</v>
      </c>
      <c r="C794" s="48" t="s">
        <v>1720</v>
      </c>
      <c r="D794" s="30"/>
      <c r="E794" s="30"/>
      <c r="F794" s="30" t="s">
        <v>4117</v>
      </c>
      <c r="G794" s="30" t="s">
        <v>138</v>
      </c>
      <c r="H794" s="30" t="s">
        <v>141</v>
      </c>
      <c r="I794" s="30" t="s">
        <v>30</v>
      </c>
      <c r="J794" s="30" t="s">
        <v>142</v>
      </c>
      <c r="K794" s="30" t="s">
        <v>116</v>
      </c>
      <c r="L794" s="30" t="s">
        <v>143</v>
      </c>
      <c r="M794" s="48"/>
      <c r="N794" s="30"/>
      <c r="O794" s="30"/>
      <c r="P794" s="30"/>
    </row>
    <row r="795" spans="1:16" ht="75" customHeight="1">
      <c r="A795" s="30" t="s">
        <v>1721</v>
      </c>
      <c r="B795" s="47" t="s">
        <v>1722</v>
      </c>
      <c r="C795" s="48" t="s">
        <v>1723</v>
      </c>
      <c r="D795" s="30"/>
      <c r="E795" s="30"/>
      <c r="F795" s="30"/>
      <c r="G795" t="s">
        <v>137</v>
      </c>
      <c r="H795" s="30" t="s">
        <v>141</v>
      </c>
      <c r="I795" s="30" t="s">
        <v>30</v>
      </c>
      <c r="J795" s="30" t="s">
        <v>142</v>
      </c>
      <c r="K795" s="30" t="s">
        <v>116</v>
      </c>
      <c r="L795" s="30" t="s">
        <v>143</v>
      </c>
      <c r="M795" s="48"/>
      <c r="N795" s="54"/>
      <c r="O795" s="30"/>
      <c r="P795" s="30"/>
    </row>
    <row r="796" spans="1:16" ht="60" customHeight="1">
      <c r="A796" s="30" t="s">
        <v>1724</v>
      </c>
      <c r="B796" s="47" t="s">
        <v>1722</v>
      </c>
      <c r="C796" s="49" t="s">
        <v>1725</v>
      </c>
      <c r="D796" s="30"/>
      <c r="E796" s="30"/>
      <c r="F796" s="30"/>
      <c r="G796" s="30"/>
      <c r="H796" s="30" t="s">
        <v>141</v>
      </c>
      <c r="I796" s="30" t="s">
        <v>30</v>
      </c>
      <c r="J796" s="30" t="s">
        <v>144</v>
      </c>
      <c r="K796" s="30" t="s">
        <v>117</v>
      </c>
      <c r="L796" s="30" t="s">
        <v>122</v>
      </c>
      <c r="M796" s="48"/>
      <c r="N796" s="30"/>
      <c r="O796" s="30"/>
      <c r="P796" s="30"/>
    </row>
    <row r="797" spans="1:16" ht="45" customHeight="1">
      <c r="A797" s="30" t="s">
        <v>1726</v>
      </c>
      <c r="B797" s="47" t="s">
        <v>1727</v>
      </c>
      <c r="C797" s="49" t="s">
        <v>1728</v>
      </c>
      <c r="D797" s="30"/>
      <c r="E797" s="30"/>
      <c r="F797" s="30"/>
      <c r="G797" s="30"/>
      <c r="H797" s="30" t="s">
        <v>141</v>
      </c>
      <c r="I797" s="30" t="s">
        <v>30</v>
      </c>
      <c r="J797" s="30" t="s">
        <v>144</v>
      </c>
      <c r="K797" s="30" t="s">
        <v>117</v>
      </c>
      <c r="L797" s="30" t="s">
        <v>122</v>
      </c>
      <c r="M797" s="48"/>
      <c r="N797" s="30"/>
      <c r="O797" s="30"/>
      <c r="P797" s="30"/>
    </row>
    <row r="798" spans="1:16" ht="45" customHeight="1">
      <c r="A798" s="30" t="s">
        <v>1729</v>
      </c>
      <c r="B798" s="47" t="s">
        <v>1727</v>
      </c>
      <c r="C798" s="49" t="s">
        <v>1730</v>
      </c>
      <c r="D798" s="30"/>
      <c r="E798" s="30"/>
      <c r="F798" s="30"/>
      <c r="G798" s="30"/>
      <c r="H798" s="30" t="s">
        <v>141</v>
      </c>
      <c r="I798" s="30" t="s">
        <v>30</v>
      </c>
      <c r="J798" s="30" t="s">
        <v>144</v>
      </c>
      <c r="K798" s="30" t="s">
        <v>117</v>
      </c>
      <c r="L798" s="30" t="s">
        <v>122</v>
      </c>
      <c r="M798" s="48"/>
      <c r="N798" s="30"/>
      <c r="O798" s="30"/>
      <c r="P798" s="30"/>
    </row>
    <row r="799" spans="1:16" ht="30" customHeight="1">
      <c r="A799" s="30" t="s">
        <v>1731</v>
      </c>
      <c r="B799" s="47" t="s">
        <v>1727</v>
      </c>
      <c r="C799" s="49" t="s">
        <v>1732</v>
      </c>
      <c r="D799" s="30"/>
      <c r="E799" s="30"/>
      <c r="F799" s="30"/>
      <c r="G799" s="30"/>
      <c r="H799" s="30" t="s">
        <v>141</v>
      </c>
      <c r="I799" s="30" t="s">
        <v>30</v>
      </c>
      <c r="J799" s="30" t="s">
        <v>144</v>
      </c>
      <c r="K799" s="30" t="s">
        <v>117</v>
      </c>
      <c r="L799" s="30" t="s">
        <v>122</v>
      </c>
      <c r="M799" s="48"/>
      <c r="N799" s="30"/>
      <c r="O799" s="30"/>
      <c r="P799" s="30"/>
    </row>
    <row r="800" spans="1:16" ht="60" customHeight="1">
      <c r="A800" s="30" t="s">
        <v>1733</v>
      </c>
      <c r="B800" s="47" t="s">
        <v>1727</v>
      </c>
      <c r="C800" s="49" t="s">
        <v>1734</v>
      </c>
      <c r="D800" s="30"/>
      <c r="E800" s="30"/>
      <c r="F800" s="30"/>
      <c r="G800" s="30"/>
      <c r="H800" s="30" t="s">
        <v>141</v>
      </c>
      <c r="I800" s="30" t="s">
        <v>30</v>
      </c>
      <c r="J800" s="30" t="s">
        <v>144</v>
      </c>
      <c r="K800" s="30" t="s">
        <v>117</v>
      </c>
      <c r="L800" s="30" t="s">
        <v>122</v>
      </c>
      <c r="M800" s="48"/>
      <c r="N800" s="30"/>
      <c r="O800" s="30"/>
      <c r="P800" s="30"/>
    </row>
    <row r="801" spans="1:16" ht="60" customHeight="1">
      <c r="A801" s="30" t="s">
        <v>1735</v>
      </c>
      <c r="B801" s="47" t="s">
        <v>1727</v>
      </c>
      <c r="C801" s="49" t="s">
        <v>1736</v>
      </c>
      <c r="D801" s="30"/>
      <c r="E801" s="30"/>
      <c r="F801" s="30"/>
      <c r="G801" t="s">
        <v>137</v>
      </c>
      <c r="H801" s="30" t="s">
        <v>141</v>
      </c>
      <c r="I801" s="30" t="s">
        <v>30</v>
      </c>
      <c r="J801" s="30" t="s">
        <v>142</v>
      </c>
      <c r="K801" s="30" t="s">
        <v>116</v>
      </c>
      <c r="L801" s="30" t="s">
        <v>146</v>
      </c>
      <c r="M801" s="48"/>
      <c r="N801" s="30"/>
      <c r="O801" s="30"/>
      <c r="P801" s="30"/>
    </row>
    <row r="802" spans="1:16" ht="60" customHeight="1">
      <c r="A802" s="30" t="s">
        <v>1737</v>
      </c>
      <c r="B802" s="47" t="s">
        <v>1727</v>
      </c>
      <c r="C802" s="49" t="s">
        <v>1738</v>
      </c>
      <c r="D802" s="30"/>
      <c r="E802" s="30"/>
      <c r="F802" s="30"/>
      <c r="G802" s="30"/>
      <c r="H802" s="30" t="s">
        <v>141</v>
      </c>
      <c r="I802" s="30" t="s">
        <v>30</v>
      </c>
      <c r="J802" s="30" t="s">
        <v>144</v>
      </c>
      <c r="K802" s="30" t="s">
        <v>117</v>
      </c>
      <c r="L802" s="30" t="s">
        <v>122</v>
      </c>
      <c r="M802" s="48"/>
      <c r="N802" s="30"/>
      <c r="O802" s="30"/>
      <c r="P802" s="30"/>
    </row>
    <row r="803" spans="1:16" ht="45" customHeight="1">
      <c r="A803" s="30" t="s">
        <v>1739</v>
      </c>
      <c r="B803" s="47" t="s">
        <v>1727</v>
      </c>
      <c r="C803" s="49" t="s">
        <v>1740</v>
      </c>
      <c r="D803" s="30"/>
      <c r="E803" s="30"/>
      <c r="F803" s="30"/>
      <c r="G803" s="30"/>
      <c r="H803" s="30" t="s">
        <v>141</v>
      </c>
      <c r="I803" s="30" t="s">
        <v>30</v>
      </c>
      <c r="J803" s="30" t="s">
        <v>144</v>
      </c>
      <c r="K803" s="30" t="s">
        <v>117</v>
      </c>
      <c r="L803" s="30" t="s">
        <v>122</v>
      </c>
      <c r="M803" s="48"/>
      <c r="N803" s="30"/>
      <c r="O803" s="30"/>
      <c r="P803" s="30"/>
    </row>
    <row r="804" spans="1:16" ht="45" customHeight="1">
      <c r="A804" s="30" t="s">
        <v>1741</v>
      </c>
      <c r="B804" s="47" t="s">
        <v>1727</v>
      </c>
      <c r="C804" s="49" t="s">
        <v>1742</v>
      </c>
      <c r="D804" s="30"/>
      <c r="E804" s="30"/>
      <c r="F804" s="30"/>
      <c r="G804" s="30"/>
      <c r="H804" s="30" t="s">
        <v>141</v>
      </c>
      <c r="I804" s="30" t="s">
        <v>30</v>
      </c>
      <c r="J804" s="30" t="s">
        <v>144</v>
      </c>
      <c r="K804" s="30" t="s">
        <v>117</v>
      </c>
      <c r="L804" s="30" t="s">
        <v>122</v>
      </c>
      <c r="M804" s="48"/>
      <c r="N804" s="30"/>
      <c r="O804" s="30"/>
      <c r="P804" s="30"/>
    </row>
    <row r="805" spans="1:16" ht="60" customHeight="1">
      <c r="A805" s="30" t="s">
        <v>1743</v>
      </c>
      <c r="B805" s="47" t="s">
        <v>1727</v>
      </c>
      <c r="C805" s="48" t="s">
        <v>1744</v>
      </c>
      <c r="D805" s="30"/>
      <c r="E805" s="30"/>
      <c r="F805" s="30"/>
      <c r="G805" t="s">
        <v>137</v>
      </c>
      <c r="H805" s="30" t="s">
        <v>141</v>
      </c>
      <c r="I805" s="30" t="s">
        <v>30</v>
      </c>
      <c r="J805" s="30" t="s">
        <v>142</v>
      </c>
      <c r="K805" s="30" t="s">
        <v>116</v>
      </c>
      <c r="L805" s="30" t="s">
        <v>146</v>
      </c>
      <c r="M805" s="48"/>
      <c r="N805" s="30"/>
      <c r="O805" s="30"/>
      <c r="P805" s="30"/>
    </row>
    <row r="806" spans="1:16" ht="45" customHeight="1">
      <c r="A806" s="30" t="s">
        <v>1745</v>
      </c>
      <c r="B806" s="47" t="s">
        <v>1727</v>
      </c>
      <c r="C806" s="49" t="s">
        <v>1746</v>
      </c>
      <c r="D806" s="30"/>
      <c r="E806" s="30"/>
      <c r="F806" s="30"/>
      <c r="G806" t="s">
        <v>137</v>
      </c>
      <c r="H806" s="30" t="s">
        <v>141</v>
      </c>
      <c r="I806" s="30" t="s">
        <v>30</v>
      </c>
      <c r="J806" s="30" t="s">
        <v>142</v>
      </c>
      <c r="K806" s="30" t="s">
        <v>116</v>
      </c>
      <c r="L806" s="30" t="s">
        <v>146</v>
      </c>
      <c r="M806" s="48"/>
      <c r="N806" s="30"/>
      <c r="O806" s="30"/>
      <c r="P806" s="30"/>
    </row>
    <row r="807" spans="1:16" ht="60" customHeight="1">
      <c r="A807" s="30" t="s">
        <v>1747</v>
      </c>
      <c r="B807" s="47" t="s">
        <v>1727</v>
      </c>
      <c r="C807" s="49" t="s">
        <v>1748</v>
      </c>
      <c r="D807" s="30"/>
      <c r="E807" s="30"/>
      <c r="F807" s="30"/>
      <c r="G807" t="s">
        <v>137</v>
      </c>
      <c r="H807" s="30" t="s">
        <v>141</v>
      </c>
      <c r="I807" s="30" t="s">
        <v>30</v>
      </c>
      <c r="J807" s="30" t="s">
        <v>142</v>
      </c>
      <c r="K807" s="30" t="s">
        <v>116</v>
      </c>
      <c r="L807" s="30" t="s">
        <v>146</v>
      </c>
      <c r="M807" s="48"/>
      <c r="N807" s="30"/>
      <c r="O807" s="30"/>
      <c r="P807" s="30"/>
    </row>
    <row r="808" spans="1:16" s="31" customFormat="1" ht="30">
      <c r="A808" s="30" t="s">
        <v>1749</v>
      </c>
      <c r="B808" s="47" t="s">
        <v>1727</v>
      </c>
      <c r="C808" s="48" t="s">
        <v>1750</v>
      </c>
      <c r="D808" s="30"/>
      <c r="E808" s="30"/>
      <c r="F808" s="30"/>
      <c r="G808" s="31" t="s">
        <v>137</v>
      </c>
      <c r="H808" s="30" t="s">
        <v>141</v>
      </c>
      <c r="I808" s="30" t="s">
        <v>30</v>
      </c>
      <c r="J808" s="30" t="s">
        <v>145</v>
      </c>
      <c r="K808" s="30" t="s">
        <v>116</v>
      </c>
      <c r="L808" s="30" t="s">
        <v>146</v>
      </c>
      <c r="M808" s="48" t="s">
        <v>4211</v>
      </c>
      <c r="N808" s="30"/>
      <c r="O808" s="30"/>
      <c r="P808" s="30"/>
    </row>
    <row r="809" spans="1:16" s="31" customFormat="1" ht="30">
      <c r="A809" s="30" t="s">
        <v>1751</v>
      </c>
      <c r="B809" s="47" t="s">
        <v>1727</v>
      </c>
      <c r="C809" s="48" t="s">
        <v>1752</v>
      </c>
      <c r="D809" s="30"/>
      <c r="E809" s="30"/>
      <c r="F809" s="30" t="s">
        <v>1753</v>
      </c>
      <c r="G809" s="31" t="s">
        <v>137</v>
      </c>
      <c r="H809" s="30" t="s">
        <v>149</v>
      </c>
      <c r="I809" s="30" t="s">
        <v>30</v>
      </c>
      <c r="J809" s="30" t="s">
        <v>145</v>
      </c>
      <c r="K809" s="30" t="s">
        <v>116</v>
      </c>
      <c r="L809" s="30" t="s">
        <v>146</v>
      </c>
      <c r="M809" s="48" t="s">
        <v>4211</v>
      </c>
      <c r="N809" s="30"/>
      <c r="O809" s="30"/>
      <c r="P809" s="30"/>
    </row>
    <row r="810" spans="1:16" ht="75" customHeight="1">
      <c r="A810" s="30" t="s">
        <v>1754</v>
      </c>
      <c r="B810" s="47" t="s">
        <v>1755</v>
      </c>
      <c r="C810" s="49" t="s">
        <v>1756</v>
      </c>
      <c r="D810" s="30"/>
      <c r="E810" s="30"/>
      <c r="F810" s="30"/>
      <c r="G810" s="30"/>
      <c r="H810" s="30" t="s">
        <v>141</v>
      </c>
      <c r="I810" s="30" t="s">
        <v>30</v>
      </c>
      <c r="J810" s="30" t="s">
        <v>144</v>
      </c>
      <c r="K810" s="30" t="s">
        <v>117</v>
      </c>
      <c r="L810" s="30" t="s">
        <v>122</v>
      </c>
      <c r="M810" s="48"/>
      <c r="N810" s="30"/>
      <c r="O810" s="30"/>
      <c r="P810" s="30"/>
    </row>
    <row r="811" spans="1:16" ht="75" customHeight="1">
      <c r="A811" s="30" t="s">
        <v>1757</v>
      </c>
      <c r="B811" s="47" t="s">
        <v>1755</v>
      </c>
      <c r="C811" s="49" t="s">
        <v>1758</v>
      </c>
      <c r="D811" s="30"/>
      <c r="E811" s="30"/>
      <c r="F811" s="30"/>
      <c r="G811" s="30"/>
      <c r="H811" s="30" t="s">
        <v>141</v>
      </c>
      <c r="I811" s="30" t="s">
        <v>30</v>
      </c>
      <c r="J811" s="30" t="s">
        <v>144</v>
      </c>
      <c r="K811" s="30" t="s">
        <v>117</v>
      </c>
      <c r="L811" s="30" t="s">
        <v>122</v>
      </c>
      <c r="M811" s="48"/>
      <c r="N811" s="30"/>
      <c r="O811" s="30"/>
      <c r="P811" s="30"/>
    </row>
    <row r="812" spans="1:16" ht="30" customHeight="1">
      <c r="A812" s="30" t="s">
        <v>1759</v>
      </c>
      <c r="B812" s="47" t="s">
        <v>1755</v>
      </c>
      <c r="C812" s="49" t="s">
        <v>1760</v>
      </c>
      <c r="D812" s="30"/>
      <c r="E812" s="30"/>
      <c r="F812" s="30"/>
      <c r="G812" s="30"/>
      <c r="H812" s="30" t="s">
        <v>141</v>
      </c>
      <c r="I812" s="30" t="s">
        <v>30</v>
      </c>
      <c r="J812" s="30" t="s">
        <v>144</v>
      </c>
      <c r="K812" s="30" t="s">
        <v>117</v>
      </c>
      <c r="L812" s="30" t="s">
        <v>122</v>
      </c>
      <c r="M812" s="48"/>
      <c r="N812" s="30"/>
      <c r="O812" s="30"/>
      <c r="P812" s="30"/>
    </row>
    <row r="813" spans="1:16" ht="75" customHeight="1">
      <c r="A813" s="30" t="s">
        <v>1761</v>
      </c>
      <c r="B813" s="47" t="s">
        <v>1755</v>
      </c>
      <c r="C813" s="49" t="s">
        <v>1762</v>
      </c>
      <c r="D813" s="30"/>
      <c r="E813" s="30"/>
      <c r="F813" s="30"/>
      <c r="G813" s="30"/>
      <c r="H813" s="30" t="s">
        <v>141</v>
      </c>
      <c r="I813" s="30" t="s">
        <v>30</v>
      </c>
      <c r="J813" s="30" t="s">
        <v>144</v>
      </c>
      <c r="K813" s="30" t="s">
        <v>117</v>
      </c>
      <c r="L813" s="30" t="s">
        <v>122</v>
      </c>
      <c r="M813" s="48"/>
      <c r="N813" s="30"/>
      <c r="O813" s="30"/>
      <c r="P813" s="30"/>
    </row>
    <row r="814" spans="1:16" ht="45" customHeight="1">
      <c r="A814" s="30" t="s">
        <v>1763</v>
      </c>
      <c r="B814" s="47" t="s">
        <v>1755</v>
      </c>
      <c r="C814" s="49" t="s">
        <v>1764</v>
      </c>
      <c r="D814" s="30"/>
      <c r="E814" s="30"/>
      <c r="F814" s="30"/>
      <c r="G814" s="30"/>
      <c r="H814" s="30" t="s">
        <v>141</v>
      </c>
      <c r="I814" s="30" t="s">
        <v>31</v>
      </c>
      <c r="J814" s="30" t="s">
        <v>142</v>
      </c>
      <c r="K814" s="30" t="s">
        <v>116</v>
      </c>
      <c r="L814" s="30" t="s">
        <v>122</v>
      </c>
      <c r="M814" s="48" t="s">
        <v>314</v>
      </c>
      <c r="N814" s="30"/>
      <c r="O814" s="30"/>
      <c r="P814" s="30"/>
    </row>
    <row r="815" spans="1:16" ht="45" customHeight="1">
      <c r="A815" s="30" t="s">
        <v>1765</v>
      </c>
      <c r="B815" s="47" t="s">
        <v>1755</v>
      </c>
      <c r="C815" s="49" t="s">
        <v>1766</v>
      </c>
      <c r="D815" s="30"/>
      <c r="E815" s="30"/>
      <c r="F815" s="30"/>
      <c r="G815" s="30"/>
      <c r="H815" s="30" t="s">
        <v>141</v>
      </c>
      <c r="I815" s="30" t="s">
        <v>31</v>
      </c>
      <c r="J815" s="30" t="s">
        <v>142</v>
      </c>
      <c r="K815" s="30" t="s">
        <v>116</v>
      </c>
      <c r="L815" s="30" t="s">
        <v>122</v>
      </c>
      <c r="M815" s="48" t="s">
        <v>314</v>
      </c>
      <c r="N815" s="30"/>
      <c r="O815" s="30"/>
      <c r="P815" s="30"/>
    </row>
    <row r="816" spans="1:16" ht="45" customHeight="1">
      <c r="A816" s="30" t="s">
        <v>1767</v>
      </c>
      <c r="B816" s="47" t="s">
        <v>1755</v>
      </c>
      <c r="C816" s="49" t="s">
        <v>1768</v>
      </c>
      <c r="D816" s="30"/>
      <c r="E816" s="30"/>
      <c r="F816" s="30"/>
      <c r="G816" s="30"/>
      <c r="H816" s="30" t="s">
        <v>141</v>
      </c>
      <c r="I816" s="30" t="s">
        <v>30</v>
      </c>
      <c r="J816" s="30" t="s">
        <v>144</v>
      </c>
      <c r="K816" s="30" t="s">
        <v>117</v>
      </c>
      <c r="L816" s="30" t="s">
        <v>122</v>
      </c>
      <c r="M816" s="48"/>
      <c r="N816" s="30"/>
      <c r="O816" s="30"/>
      <c r="P816" s="30"/>
    </row>
    <row r="817" spans="1:16" ht="45" customHeight="1">
      <c r="A817" s="30" t="s">
        <v>1769</v>
      </c>
      <c r="B817" s="47" t="s">
        <v>1755</v>
      </c>
      <c r="C817" s="49" t="s">
        <v>1770</v>
      </c>
      <c r="D817" s="30"/>
      <c r="E817" s="30"/>
      <c r="F817" s="30"/>
      <c r="G817" t="s">
        <v>137</v>
      </c>
      <c r="H817" s="30" t="s">
        <v>141</v>
      </c>
      <c r="I817" s="30" t="s">
        <v>30</v>
      </c>
      <c r="J817" s="30" t="s">
        <v>145</v>
      </c>
      <c r="K817" s="30" t="s">
        <v>116</v>
      </c>
      <c r="L817" s="30" t="s">
        <v>146</v>
      </c>
      <c r="M817" s="48"/>
      <c r="N817" s="30"/>
      <c r="O817" s="30"/>
      <c r="P817" s="30"/>
    </row>
    <row r="818" spans="1:16" ht="45" customHeight="1">
      <c r="A818" s="30" t="s">
        <v>1771</v>
      </c>
      <c r="B818" s="47" t="s">
        <v>1755</v>
      </c>
      <c r="C818" s="48" t="s">
        <v>1772</v>
      </c>
      <c r="D818" s="30"/>
      <c r="E818" s="30"/>
      <c r="F818" s="30" t="s">
        <v>1773</v>
      </c>
      <c r="G818" t="s">
        <v>137</v>
      </c>
      <c r="H818" s="30" t="s">
        <v>149</v>
      </c>
      <c r="I818" s="30" t="s">
        <v>30</v>
      </c>
      <c r="J818" s="30" t="s">
        <v>145</v>
      </c>
      <c r="K818" s="30" t="s">
        <v>116</v>
      </c>
      <c r="L818" s="30" t="s">
        <v>146</v>
      </c>
      <c r="M818" s="48"/>
      <c r="N818" s="30"/>
      <c r="O818" s="30"/>
      <c r="P818" s="30"/>
    </row>
    <row r="819" spans="1:16" ht="45" customHeight="1">
      <c r="A819" s="30" t="s">
        <v>1774</v>
      </c>
      <c r="B819" s="47" t="s">
        <v>1755</v>
      </c>
      <c r="C819" s="49" t="s">
        <v>1775</v>
      </c>
      <c r="D819" s="30"/>
      <c r="E819" s="30"/>
      <c r="F819" s="30"/>
      <c r="G819" s="30"/>
      <c r="H819" s="30" t="s">
        <v>141</v>
      </c>
      <c r="I819" s="30" t="s">
        <v>31</v>
      </c>
      <c r="J819" s="30" t="s">
        <v>142</v>
      </c>
      <c r="K819" s="30" t="s">
        <v>116</v>
      </c>
      <c r="L819" s="30" t="s">
        <v>122</v>
      </c>
      <c r="M819" s="48" t="s">
        <v>314</v>
      </c>
      <c r="N819" s="30"/>
      <c r="O819" s="30"/>
      <c r="P819" s="30"/>
    </row>
    <row r="820" spans="1:16" ht="45" customHeight="1">
      <c r="A820" s="30" t="s">
        <v>1776</v>
      </c>
      <c r="B820" s="47" t="s">
        <v>1755</v>
      </c>
      <c r="C820" s="49" t="s">
        <v>1777</v>
      </c>
      <c r="D820" s="30"/>
      <c r="E820" s="30"/>
      <c r="F820" s="30"/>
      <c r="G820" s="30"/>
      <c r="H820" s="30" t="s">
        <v>141</v>
      </c>
      <c r="I820" s="30" t="s">
        <v>30</v>
      </c>
      <c r="J820" s="30" t="s">
        <v>144</v>
      </c>
      <c r="K820" s="30" t="s">
        <v>117</v>
      </c>
      <c r="L820" s="30" t="s">
        <v>122</v>
      </c>
      <c r="M820" s="48"/>
      <c r="N820" s="30"/>
      <c r="O820" s="30"/>
      <c r="P820" s="30" t="s">
        <v>3658</v>
      </c>
    </row>
    <row r="821" spans="1:16" ht="45" customHeight="1">
      <c r="A821" s="30" t="s">
        <v>1778</v>
      </c>
      <c r="B821" s="47" t="s">
        <v>1755</v>
      </c>
      <c r="C821" s="48" t="s">
        <v>3819</v>
      </c>
      <c r="D821" s="30"/>
      <c r="E821" s="30"/>
      <c r="F821" s="30"/>
      <c r="G821" t="s">
        <v>137</v>
      </c>
      <c r="H821" s="30" t="s">
        <v>141</v>
      </c>
      <c r="I821" s="30" t="s">
        <v>30</v>
      </c>
      <c r="J821" s="30" t="s">
        <v>145</v>
      </c>
      <c r="K821" s="30" t="s">
        <v>116</v>
      </c>
      <c r="L821" s="30" t="s">
        <v>146</v>
      </c>
      <c r="M821" s="48"/>
      <c r="N821" s="30"/>
      <c r="O821" s="30"/>
      <c r="P821" s="30" t="s">
        <v>3658</v>
      </c>
    </row>
    <row r="822" spans="1:16" ht="75" customHeight="1">
      <c r="A822" s="30" t="s">
        <v>1779</v>
      </c>
      <c r="B822" s="47" t="s">
        <v>1780</v>
      </c>
      <c r="C822" s="49" t="s">
        <v>1781</v>
      </c>
      <c r="D822" s="30"/>
      <c r="E822" s="30"/>
      <c r="F822" s="30"/>
      <c r="G822" s="30"/>
      <c r="H822" s="30" t="s">
        <v>141</v>
      </c>
      <c r="I822" s="30" t="s">
        <v>30</v>
      </c>
      <c r="J822" s="30" t="s">
        <v>144</v>
      </c>
      <c r="K822" s="30" t="s">
        <v>117</v>
      </c>
      <c r="L822" s="30" t="s">
        <v>122</v>
      </c>
      <c r="M822" s="48"/>
      <c r="N822" s="30"/>
      <c r="O822" s="30"/>
      <c r="P822" s="30"/>
    </row>
    <row r="823" spans="1:16" ht="30" customHeight="1">
      <c r="A823" s="30" t="s">
        <v>1782</v>
      </c>
      <c r="B823" s="47" t="s">
        <v>1780</v>
      </c>
      <c r="C823" s="48" t="s">
        <v>1783</v>
      </c>
      <c r="D823" s="30"/>
      <c r="E823" s="30"/>
      <c r="F823" s="30"/>
      <c r="G823" s="30"/>
      <c r="H823" s="30" t="s">
        <v>141</v>
      </c>
      <c r="I823" s="30" t="s">
        <v>30</v>
      </c>
      <c r="J823" s="30" t="s">
        <v>144</v>
      </c>
      <c r="K823" s="30" t="s">
        <v>117</v>
      </c>
      <c r="L823" s="30" t="s">
        <v>122</v>
      </c>
      <c r="M823" s="48"/>
      <c r="N823" s="30"/>
      <c r="O823" s="30"/>
      <c r="P823" s="30"/>
    </row>
    <row r="824" spans="1:16" ht="45" customHeight="1">
      <c r="A824" s="30" t="s">
        <v>1784</v>
      </c>
      <c r="B824" s="47" t="s">
        <v>1780</v>
      </c>
      <c r="C824" s="49" t="s">
        <v>1785</v>
      </c>
      <c r="D824" s="30"/>
      <c r="E824" s="30"/>
      <c r="F824" s="30"/>
      <c r="G824" t="s">
        <v>137</v>
      </c>
      <c r="H824" s="30" t="s">
        <v>141</v>
      </c>
      <c r="I824" s="30" t="s">
        <v>30</v>
      </c>
      <c r="J824" s="30" t="s">
        <v>142</v>
      </c>
      <c r="K824" s="30" t="s">
        <v>116</v>
      </c>
      <c r="L824" s="30" t="s">
        <v>146</v>
      </c>
      <c r="M824" s="48"/>
      <c r="N824" s="30"/>
      <c r="O824" s="30"/>
      <c r="P824" s="30"/>
    </row>
    <row r="825" spans="1:16" ht="30" customHeight="1">
      <c r="A825" s="30" t="s">
        <v>1786</v>
      </c>
      <c r="B825" s="47" t="s">
        <v>1780</v>
      </c>
      <c r="C825" s="49" t="s">
        <v>1787</v>
      </c>
      <c r="D825" s="30"/>
      <c r="E825" s="30"/>
      <c r="F825" s="30"/>
      <c r="G825" s="30"/>
      <c r="H825" s="30" t="s">
        <v>141</v>
      </c>
      <c r="I825" s="30" t="s">
        <v>30</v>
      </c>
      <c r="J825" s="30" t="s">
        <v>144</v>
      </c>
      <c r="K825" s="30" t="s">
        <v>117</v>
      </c>
      <c r="L825" s="30" t="s">
        <v>122</v>
      </c>
      <c r="M825" s="48"/>
      <c r="N825" s="30"/>
      <c r="O825" s="30"/>
      <c r="P825" s="30"/>
    </row>
    <row r="826" spans="1:16" ht="30" customHeight="1">
      <c r="A826" s="30" t="s">
        <v>1788</v>
      </c>
      <c r="B826" s="47" t="s">
        <v>1780</v>
      </c>
      <c r="C826" s="48" t="s">
        <v>1789</v>
      </c>
      <c r="D826" s="30"/>
      <c r="E826" s="30"/>
      <c r="F826" s="30"/>
      <c r="G826" t="s">
        <v>137</v>
      </c>
      <c r="H826" s="30" t="s">
        <v>141</v>
      </c>
      <c r="I826" s="30" t="s">
        <v>30</v>
      </c>
      <c r="J826" s="30" t="s">
        <v>142</v>
      </c>
      <c r="K826" s="30" t="s">
        <v>116</v>
      </c>
      <c r="L826" s="30" t="s">
        <v>146</v>
      </c>
      <c r="M826" s="48"/>
      <c r="N826" s="30"/>
      <c r="O826" s="30"/>
      <c r="P826" s="30"/>
    </row>
    <row r="827" spans="1:16" ht="30" customHeight="1">
      <c r="A827" s="30" t="s">
        <v>1790</v>
      </c>
      <c r="B827" s="47" t="s">
        <v>1780</v>
      </c>
      <c r="C827" s="49" t="s">
        <v>1791</v>
      </c>
      <c r="D827" s="30"/>
      <c r="E827" s="30"/>
      <c r="F827" s="30"/>
      <c r="G827" s="30"/>
      <c r="H827" s="30" t="s">
        <v>141</v>
      </c>
      <c r="I827" s="30" t="s">
        <v>31</v>
      </c>
      <c r="J827" s="30" t="s">
        <v>142</v>
      </c>
      <c r="K827" s="30" t="s">
        <v>116</v>
      </c>
      <c r="L827" s="30" t="s">
        <v>122</v>
      </c>
      <c r="M827" s="48" t="s">
        <v>314</v>
      </c>
      <c r="N827" s="30"/>
      <c r="O827" s="30"/>
      <c r="P827" s="30"/>
    </row>
    <row r="828" spans="1:16" ht="60" customHeight="1">
      <c r="A828" s="30" t="s">
        <v>1792</v>
      </c>
      <c r="B828" s="47" t="s">
        <v>1780</v>
      </c>
      <c r="C828" s="48" t="s">
        <v>1793</v>
      </c>
      <c r="D828" s="30"/>
      <c r="E828" s="30"/>
      <c r="F828" s="30"/>
      <c r="G828" t="s">
        <v>137</v>
      </c>
      <c r="H828" s="30" t="s">
        <v>141</v>
      </c>
      <c r="I828" s="30" t="s">
        <v>30</v>
      </c>
      <c r="J828" s="30" t="s">
        <v>142</v>
      </c>
      <c r="K828" s="30" t="s">
        <v>116</v>
      </c>
      <c r="L828" s="30" t="s">
        <v>146</v>
      </c>
      <c r="M828" s="48"/>
      <c r="N828" s="30"/>
      <c r="O828" s="30"/>
      <c r="P828" s="30"/>
    </row>
    <row r="829" spans="1:16" ht="75" customHeight="1">
      <c r="A829" s="30" t="s">
        <v>1794</v>
      </c>
      <c r="B829" s="47" t="s">
        <v>1795</v>
      </c>
      <c r="C829" s="49" t="s">
        <v>1796</v>
      </c>
      <c r="D829" s="30"/>
      <c r="E829" s="30"/>
      <c r="F829" s="30"/>
      <c r="G829" s="30"/>
      <c r="H829" s="30" t="s">
        <v>141</v>
      </c>
      <c r="I829" s="30" t="s">
        <v>31</v>
      </c>
      <c r="J829" s="30" t="s">
        <v>144</v>
      </c>
      <c r="K829" s="30" t="s">
        <v>117</v>
      </c>
      <c r="L829" s="30" t="s">
        <v>122</v>
      </c>
      <c r="M829" s="48"/>
      <c r="N829" s="30"/>
      <c r="O829" s="30"/>
      <c r="P829" s="30"/>
    </row>
    <row r="830" spans="1:16" ht="30" customHeight="1">
      <c r="A830" s="30" t="s">
        <v>1797</v>
      </c>
      <c r="B830" s="47" t="s">
        <v>1795</v>
      </c>
      <c r="C830" s="48" t="s">
        <v>1798</v>
      </c>
      <c r="D830" s="30"/>
      <c r="E830" s="30"/>
      <c r="F830" s="30"/>
      <c r="G830" s="30"/>
      <c r="H830" s="30" t="s">
        <v>141</v>
      </c>
      <c r="I830" s="30" t="s">
        <v>31</v>
      </c>
      <c r="J830" s="30" t="s">
        <v>144</v>
      </c>
      <c r="K830" s="30" t="s">
        <v>117</v>
      </c>
      <c r="L830" s="30" t="s">
        <v>122</v>
      </c>
      <c r="M830" s="48"/>
      <c r="N830" s="30"/>
      <c r="O830" s="30"/>
      <c r="P830" s="30"/>
    </row>
    <row r="831" spans="1:16" ht="60" customHeight="1">
      <c r="A831" s="30" t="s">
        <v>1799</v>
      </c>
      <c r="B831" s="47" t="s">
        <v>1800</v>
      </c>
      <c r="C831" s="49" t="s">
        <v>1801</v>
      </c>
      <c r="D831" s="30"/>
      <c r="E831" s="30"/>
      <c r="F831" s="30"/>
      <c r="G831" s="30"/>
      <c r="H831" s="30" t="s">
        <v>141</v>
      </c>
      <c r="I831" s="30" t="s">
        <v>31</v>
      </c>
      <c r="J831" s="30" t="s">
        <v>144</v>
      </c>
      <c r="K831" s="30" t="s">
        <v>117</v>
      </c>
      <c r="L831" s="30" t="s">
        <v>122</v>
      </c>
      <c r="M831" s="48"/>
      <c r="N831" s="30"/>
      <c r="O831" s="30"/>
      <c r="P831" s="30"/>
    </row>
    <row r="832" spans="1:16" ht="45" customHeight="1">
      <c r="A832" s="30" t="s">
        <v>1802</v>
      </c>
      <c r="B832" s="47" t="s">
        <v>1800</v>
      </c>
      <c r="C832" s="49" t="s">
        <v>1803</v>
      </c>
      <c r="D832" s="30"/>
      <c r="E832" s="30"/>
      <c r="F832" s="30"/>
      <c r="G832" s="30"/>
      <c r="H832" s="30" t="s">
        <v>141</v>
      </c>
      <c r="I832" s="30" t="s">
        <v>31</v>
      </c>
      <c r="J832" s="30" t="s">
        <v>142</v>
      </c>
      <c r="K832" s="30" t="s">
        <v>116</v>
      </c>
      <c r="L832" s="30" t="s">
        <v>122</v>
      </c>
      <c r="M832" s="48" t="s">
        <v>314</v>
      </c>
      <c r="N832" s="30"/>
      <c r="O832" s="30"/>
      <c r="P832" s="30"/>
    </row>
    <row r="833" spans="1:16" ht="75" customHeight="1">
      <c r="A833" s="30" t="s">
        <v>1804</v>
      </c>
      <c r="B833" s="47" t="s">
        <v>1800</v>
      </c>
      <c r="C833" s="49" t="s">
        <v>1805</v>
      </c>
      <c r="D833" s="30"/>
      <c r="E833" s="30"/>
      <c r="F833" s="30"/>
      <c r="G833" t="s">
        <v>137</v>
      </c>
      <c r="H833" s="30" t="s">
        <v>141</v>
      </c>
      <c r="I833" s="30" t="s">
        <v>30</v>
      </c>
      <c r="J833" s="30" t="s">
        <v>142</v>
      </c>
      <c r="K833" s="30" t="s">
        <v>116</v>
      </c>
      <c r="L833" s="30" t="s">
        <v>146</v>
      </c>
      <c r="M833" s="48"/>
      <c r="N833" s="30"/>
      <c r="O833" s="30"/>
      <c r="P833" s="30"/>
    </row>
    <row r="834" spans="1:16" ht="30" customHeight="1">
      <c r="A834" s="30" t="s">
        <v>1806</v>
      </c>
      <c r="B834" s="47" t="s">
        <v>1800</v>
      </c>
      <c r="C834" s="49" t="s">
        <v>1807</v>
      </c>
      <c r="D834" s="30"/>
      <c r="E834" s="30"/>
      <c r="F834" s="30"/>
      <c r="G834" s="30"/>
      <c r="H834" s="30" t="s">
        <v>141</v>
      </c>
      <c r="I834" s="30" t="s">
        <v>31</v>
      </c>
      <c r="J834" s="30" t="s">
        <v>142</v>
      </c>
      <c r="K834" s="30" t="s">
        <v>116</v>
      </c>
      <c r="L834" s="30" t="s">
        <v>122</v>
      </c>
      <c r="M834" s="48" t="s">
        <v>314</v>
      </c>
      <c r="N834" s="30"/>
      <c r="O834" s="30"/>
      <c r="P834" s="30"/>
    </row>
    <row r="835" spans="1:16" ht="30" customHeight="1">
      <c r="A835" s="30" t="s">
        <v>1808</v>
      </c>
      <c r="B835" s="47" t="s">
        <v>1800</v>
      </c>
      <c r="C835" s="49" t="s">
        <v>1809</v>
      </c>
      <c r="D835" s="30"/>
      <c r="E835" s="30"/>
      <c r="F835" s="30"/>
      <c r="G835" s="30"/>
      <c r="H835" s="30" t="s">
        <v>141</v>
      </c>
      <c r="I835" s="30" t="s">
        <v>31</v>
      </c>
      <c r="J835" s="30" t="s">
        <v>142</v>
      </c>
      <c r="K835" s="30" t="s">
        <v>116</v>
      </c>
      <c r="L835" s="30" t="s">
        <v>122</v>
      </c>
      <c r="M835" s="48" t="s">
        <v>314</v>
      </c>
      <c r="N835" s="30"/>
      <c r="O835" s="30"/>
      <c r="P835" s="30"/>
    </row>
    <row r="836" spans="1:16" ht="15" customHeight="1">
      <c r="A836" s="30" t="s">
        <v>1810</v>
      </c>
      <c r="B836" s="47" t="s">
        <v>1800</v>
      </c>
      <c r="C836" s="49" t="s">
        <v>1811</v>
      </c>
      <c r="D836" s="30"/>
      <c r="E836" s="30"/>
      <c r="F836" s="30"/>
      <c r="G836" s="30"/>
      <c r="H836" s="30" t="s">
        <v>141</v>
      </c>
      <c r="I836" s="30" t="s">
        <v>31</v>
      </c>
      <c r="J836" s="30" t="s">
        <v>144</v>
      </c>
      <c r="K836" s="30" t="s">
        <v>117</v>
      </c>
      <c r="L836" s="30" t="s">
        <v>122</v>
      </c>
      <c r="M836" s="48"/>
      <c r="N836" s="30"/>
      <c r="O836" s="30"/>
      <c r="P836" s="30"/>
    </row>
    <row r="837" spans="1:16" ht="45" customHeight="1">
      <c r="A837" s="30" t="s">
        <v>1812</v>
      </c>
      <c r="B837" s="47" t="s">
        <v>1800</v>
      </c>
      <c r="C837" s="49" t="s">
        <v>1813</v>
      </c>
      <c r="D837" s="30"/>
      <c r="E837" s="30"/>
      <c r="F837" s="30"/>
      <c r="G837" s="30"/>
      <c r="H837" s="30" t="s">
        <v>141</v>
      </c>
      <c r="I837" s="30" t="s">
        <v>31</v>
      </c>
      <c r="J837" s="30" t="s">
        <v>142</v>
      </c>
      <c r="K837" s="30" t="s">
        <v>116</v>
      </c>
      <c r="L837" s="30" t="s">
        <v>122</v>
      </c>
      <c r="M837" s="48" t="s">
        <v>314</v>
      </c>
      <c r="N837" s="30"/>
      <c r="O837" s="30"/>
      <c r="P837" s="30"/>
    </row>
    <row r="838" spans="1:16" ht="60" customHeight="1">
      <c r="A838" s="30" t="s">
        <v>1814</v>
      </c>
      <c r="B838" s="47" t="s">
        <v>1800</v>
      </c>
      <c r="C838" s="49" t="s">
        <v>1815</v>
      </c>
      <c r="D838" s="30"/>
      <c r="E838" s="30"/>
      <c r="F838" s="30"/>
      <c r="G838" s="30"/>
      <c r="H838" s="30" t="s">
        <v>141</v>
      </c>
      <c r="I838" s="30" t="s">
        <v>31</v>
      </c>
      <c r="J838" s="30" t="s">
        <v>144</v>
      </c>
      <c r="K838" s="30" t="s">
        <v>117</v>
      </c>
      <c r="L838" s="30" t="s">
        <v>122</v>
      </c>
      <c r="M838" s="48"/>
      <c r="N838" s="30"/>
      <c r="O838" s="30"/>
      <c r="P838" s="30"/>
    </row>
    <row r="839" spans="1:16" ht="45" customHeight="1">
      <c r="A839" s="30" t="s">
        <v>1816</v>
      </c>
      <c r="B839" s="47" t="s">
        <v>1800</v>
      </c>
      <c r="C839" s="49" t="s">
        <v>1817</v>
      </c>
      <c r="D839" s="30"/>
      <c r="E839" s="30"/>
      <c r="F839" s="30"/>
      <c r="G839" s="30"/>
      <c r="H839" s="30" t="s">
        <v>141</v>
      </c>
      <c r="I839" s="30" t="s">
        <v>31</v>
      </c>
      <c r="J839" s="30" t="s">
        <v>144</v>
      </c>
      <c r="K839" s="30" t="s">
        <v>117</v>
      </c>
      <c r="L839" s="30" t="s">
        <v>122</v>
      </c>
      <c r="M839" s="48"/>
      <c r="N839" s="30"/>
      <c r="O839" s="30"/>
      <c r="P839" s="30"/>
    </row>
    <row r="840" spans="1:16" ht="45" customHeight="1">
      <c r="A840" s="30" t="s">
        <v>1818</v>
      </c>
      <c r="B840" s="47" t="s">
        <v>1800</v>
      </c>
      <c r="C840" s="49" t="s">
        <v>1819</v>
      </c>
      <c r="D840" s="30"/>
      <c r="E840" s="30"/>
      <c r="F840" s="30"/>
      <c r="G840" s="30"/>
      <c r="H840" s="30" t="s">
        <v>141</v>
      </c>
      <c r="I840" s="30" t="s">
        <v>31</v>
      </c>
      <c r="J840" s="30" t="s">
        <v>144</v>
      </c>
      <c r="K840" s="30" t="s">
        <v>117</v>
      </c>
      <c r="L840" s="30" t="s">
        <v>122</v>
      </c>
      <c r="M840" s="48"/>
      <c r="N840" s="30"/>
      <c r="O840" s="30"/>
      <c r="P840" s="30"/>
    </row>
    <row r="841" spans="1:16" ht="45" customHeight="1">
      <c r="A841" s="30" t="s">
        <v>1820</v>
      </c>
      <c r="B841" s="47" t="s">
        <v>1800</v>
      </c>
      <c r="C841" s="49" t="s">
        <v>1821</v>
      </c>
      <c r="D841" s="30"/>
      <c r="E841" s="30"/>
      <c r="F841" s="30"/>
      <c r="G841" s="30"/>
      <c r="H841" s="30" t="s">
        <v>141</v>
      </c>
      <c r="I841" s="30" t="s">
        <v>31</v>
      </c>
      <c r="J841" s="30" t="s">
        <v>142</v>
      </c>
      <c r="K841" s="30" t="s">
        <v>116</v>
      </c>
      <c r="L841" s="30" t="s">
        <v>122</v>
      </c>
      <c r="M841" s="48" t="s">
        <v>314</v>
      </c>
      <c r="N841" s="30"/>
      <c r="O841" s="30"/>
      <c r="P841" s="30"/>
    </row>
    <row r="842" spans="1:16" ht="60" customHeight="1">
      <c r="A842" s="30" t="s">
        <v>1822</v>
      </c>
      <c r="B842" s="47" t="s">
        <v>1800</v>
      </c>
      <c r="C842" s="49" t="s">
        <v>1823</v>
      </c>
      <c r="D842" s="30"/>
      <c r="E842" s="30"/>
      <c r="F842" s="30"/>
      <c r="G842" s="30"/>
      <c r="H842" s="30" t="s">
        <v>141</v>
      </c>
      <c r="I842" s="30" t="s">
        <v>31</v>
      </c>
      <c r="J842" s="30" t="s">
        <v>144</v>
      </c>
      <c r="K842" s="30" t="s">
        <v>117</v>
      </c>
      <c r="L842" s="30" t="s">
        <v>122</v>
      </c>
      <c r="M842" s="48"/>
      <c r="N842" s="30"/>
      <c r="O842" s="30"/>
      <c r="P842" s="30"/>
    </row>
    <row r="843" spans="1:16" ht="45" customHeight="1">
      <c r="A843" s="30" t="s">
        <v>1824</v>
      </c>
      <c r="B843" s="47" t="s">
        <v>1800</v>
      </c>
      <c r="C843" s="49" t="s">
        <v>1825</v>
      </c>
      <c r="D843" s="30"/>
      <c r="E843" s="30"/>
      <c r="F843" s="30"/>
      <c r="G843" s="30"/>
      <c r="H843" s="30" t="s">
        <v>141</v>
      </c>
      <c r="I843" s="30" t="s">
        <v>31</v>
      </c>
      <c r="J843" s="30" t="s">
        <v>142</v>
      </c>
      <c r="K843" s="30" t="s">
        <v>116</v>
      </c>
      <c r="L843" s="30" t="s">
        <v>122</v>
      </c>
      <c r="M843" s="48" t="s">
        <v>314</v>
      </c>
      <c r="N843" s="30"/>
      <c r="O843" s="30"/>
      <c r="P843" s="30"/>
    </row>
    <row r="844" spans="1:16" ht="75" customHeight="1">
      <c r="A844" s="30" t="s">
        <v>1826</v>
      </c>
      <c r="B844" s="47" t="s">
        <v>1800</v>
      </c>
      <c r="C844" s="49" t="s">
        <v>1827</v>
      </c>
      <c r="D844" s="30"/>
      <c r="E844" s="30"/>
      <c r="F844" s="30"/>
      <c r="G844" s="30"/>
      <c r="H844" s="30" t="s">
        <v>141</v>
      </c>
      <c r="I844" s="30" t="s">
        <v>31</v>
      </c>
      <c r="J844" s="30" t="s">
        <v>142</v>
      </c>
      <c r="K844" s="30" t="s">
        <v>116</v>
      </c>
      <c r="L844" s="30" t="s">
        <v>122</v>
      </c>
      <c r="M844" s="48" t="s">
        <v>314</v>
      </c>
      <c r="N844" s="30"/>
      <c r="O844" s="30"/>
      <c r="P844" s="30"/>
    </row>
    <row r="845" spans="1:16" ht="30" customHeight="1">
      <c r="A845" s="30" t="s">
        <v>1828</v>
      </c>
      <c r="B845" s="47" t="s">
        <v>1800</v>
      </c>
      <c r="C845" s="49" t="s">
        <v>1829</v>
      </c>
      <c r="D845" s="30"/>
      <c r="E845" s="30"/>
      <c r="F845" s="30"/>
      <c r="G845" s="30"/>
      <c r="H845" s="30" t="s">
        <v>141</v>
      </c>
      <c r="I845" s="30" t="s">
        <v>31</v>
      </c>
      <c r="J845" s="30" t="s">
        <v>145</v>
      </c>
      <c r="K845" s="30" t="s">
        <v>116</v>
      </c>
      <c r="L845" s="30" t="s">
        <v>122</v>
      </c>
      <c r="M845" s="48" t="s">
        <v>314</v>
      </c>
      <c r="N845" s="30"/>
      <c r="O845" s="30"/>
      <c r="P845" s="30"/>
    </row>
    <row r="846" spans="1:16" ht="45" customHeight="1">
      <c r="A846" s="30" t="s">
        <v>1830</v>
      </c>
      <c r="B846" s="47" t="s">
        <v>1800</v>
      </c>
      <c r="C846" s="49" t="s">
        <v>1831</v>
      </c>
      <c r="D846" s="30"/>
      <c r="E846" s="30"/>
      <c r="F846" s="30"/>
      <c r="G846" s="30"/>
      <c r="H846" s="30" t="s">
        <v>141</v>
      </c>
      <c r="I846" s="30" t="s">
        <v>30</v>
      </c>
      <c r="J846" s="30" t="s">
        <v>142</v>
      </c>
      <c r="K846" s="30" t="s">
        <v>116</v>
      </c>
      <c r="L846" s="30" t="s">
        <v>121</v>
      </c>
      <c r="M846" s="48" t="s">
        <v>237</v>
      </c>
      <c r="N846" s="30"/>
      <c r="O846" s="30"/>
      <c r="P846" s="30"/>
    </row>
    <row r="847" spans="1:16" ht="30" customHeight="1">
      <c r="A847" s="30" t="s">
        <v>1832</v>
      </c>
      <c r="B847" s="47" t="s">
        <v>1800</v>
      </c>
      <c r="C847" s="48" t="s">
        <v>1833</v>
      </c>
      <c r="D847" s="30"/>
      <c r="E847" s="30"/>
      <c r="F847" s="30"/>
      <c r="G847" s="30" t="s">
        <v>138</v>
      </c>
      <c r="H847" s="30" t="s">
        <v>141</v>
      </c>
      <c r="I847" s="30" t="s">
        <v>30</v>
      </c>
      <c r="J847" s="30" t="s">
        <v>142</v>
      </c>
      <c r="K847" s="30" t="s">
        <v>116</v>
      </c>
      <c r="L847" s="30" t="s">
        <v>143</v>
      </c>
      <c r="M847" s="48"/>
      <c r="N847" s="30"/>
      <c r="O847" s="30"/>
      <c r="P847" s="30"/>
    </row>
    <row r="848" spans="1:16" ht="60" customHeight="1">
      <c r="A848" s="30" t="s">
        <v>1834</v>
      </c>
      <c r="B848" s="47" t="s">
        <v>1800</v>
      </c>
      <c r="C848" s="49" t="s">
        <v>1835</v>
      </c>
      <c r="D848" s="30"/>
      <c r="E848" s="30"/>
      <c r="F848" s="30"/>
      <c r="G848" s="30"/>
      <c r="H848" s="30" t="s">
        <v>141</v>
      </c>
      <c r="I848" s="30" t="s">
        <v>31</v>
      </c>
      <c r="J848" s="30" t="s">
        <v>144</v>
      </c>
      <c r="K848" s="30" t="s">
        <v>117</v>
      </c>
      <c r="L848" s="30" t="s">
        <v>122</v>
      </c>
      <c r="M848" s="48"/>
      <c r="N848" s="30"/>
      <c r="O848" s="30"/>
      <c r="P848" s="30"/>
    </row>
    <row r="849" spans="1:16" ht="45" customHeight="1">
      <c r="A849" s="30" t="s">
        <v>1836</v>
      </c>
      <c r="B849" s="47" t="s">
        <v>1800</v>
      </c>
      <c r="C849" s="49" t="s">
        <v>1837</v>
      </c>
      <c r="D849" s="30"/>
      <c r="E849" s="30"/>
      <c r="F849" s="30"/>
      <c r="G849" s="30"/>
      <c r="H849" s="30" t="s">
        <v>141</v>
      </c>
      <c r="I849" s="30" t="s">
        <v>31</v>
      </c>
      <c r="J849" s="30" t="s">
        <v>142</v>
      </c>
      <c r="K849" s="30" t="s">
        <v>116</v>
      </c>
      <c r="L849" s="30" t="s">
        <v>122</v>
      </c>
      <c r="M849" s="48" t="s">
        <v>314</v>
      </c>
      <c r="N849" s="30"/>
      <c r="O849" s="30"/>
      <c r="P849" s="30"/>
    </row>
    <row r="850" spans="1:16" ht="30" customHeight="1">
      <c r="A850" s="30" t="s">
        <v>1838</v>
      </c>
      <c r="B850" s="47" t="s">
        <v>1800</v>
      </c>
      <c r="C850" s="49" t="s">
        <v>1839</v>
      </c>
      <c r="D850" s="30"/>
      <c r="E850" s="30"/>
      <c r="F850" s="30"/>
      <c r="G850" s="30"/>
      <c r="H850" s="30" t="s">
        <v>141</v>
      </c>
      <c r="I850" s="30" t="s">
        <v>31</v>
      </c>
      <c r="J850" s="30" t="s">
        <v>142</v>
      </c>
      <c r="K850" s="30" t="s">
        <v>116</v>
      </c>
      <c r="L850" s="30" t="s">
        <v>122</v>
      </c>
      <c r="M850" s="48" t="s">
        <v>314</v>
      </c>
      <c r="N850" s="30"/>
      <c r="O850" s="30"/>
      <c r="P850" s="30"/>
    </row>
    <row r="851" spans="1:16" ht="45" customHeight="1">
      <c r="A851" s="30" t="s">
        <v>1840</v>
      </c>
      <c r="B851" s="47" t="s">
        <v>1800</v>
      </c>
      <c r="C851" s="49" t="s">
        <v>1841</v>
      </c>
      <c r="D851" s="30"/>
      <c r="E851" s="30"/>
      <c r="F851" s="30"/>
      <c r="G851" s="30"/>
      <c r="H851" s="30" t="s">
        <v>141</v>
      </c>
      <c r="I851" s="30" t="s">
        <v>31</v>
      </c>
      <c r="J851" s="30" t="s">
        <v>142</v>
      </c>
      <c r="K851" s="30" t="s">
        <v>116</v>
      </c>
      <c r="L851" s="30" t="s">
        <v>122</v>
      </c>
      <c r="M851" s="48" t="s">
        <v>314</v>
      </c>
      <c r="N851" s="30"/>
      <c r="O851" s="30"/>
      <c r="P851" s="30"/>
    </row>
    <row r="852" spans="1:16" ht="75" customHeight="1">
      <c r="A852" s="30" t="s">
        <v>1842</v>
      </c>
      <c r="B852" s="47" t="s">
        <v>1843</v>
      </c>
      <c r="C852" s="49" t="s">
        <v>1844</v>
      </c>
      <c r="D852" s="30"/>
      <c r="E852" s="30"/>
      <c r="F852" s="30"/>
      <c r="G852" t="s">
        <v>137</v>
      </c>
      <c r="H852" s="30" t="s">
        <v>141</v>
      </c>
      <c r="I852" s="30" t="s">
        <v>30</v>
      </c>
      <c r="J852" s="30" t="s">
        <v>142</v>
      </c>
      <c r="K852" s="30" t="s">
        <v>116</v>
      </c>
      <c r="L852" s="30" t="s">
        <v>143</v>
      </c>
      <c r="M852" s="48"/>
      <c r="N852" s="30"/>
      <c r="O852" s="30"/>
      <c r="P852" s="30"/>
    </row>
    <row r="853" spans="1:16" ht="60" customHeight="1">
      <c r="A853" s="30" t="s">
        <v>1845</v>
      </c>
      <c r="B853" s="47" t="s">
        <v>1843</v>
      </c>
      <c r="C853" s="49" t="s">
        <v>1846</v>
      </c>
      <c r="D853" s="30"/>
      <c r="E853" s="30"/>
      <c r="F853" s="30"/>
      <c r="G853" s="30"/>
      <c r="H853" s="30" t="s">
        <v>141</v>
      </c>
      <c r="I853" s="30" t="s">
        <v>30</v>
      </c>
      <c r="J853" s="30" t="s">
        <v>144</v>
      </c>
      <c r="K853" s="30" t="s">
        <v>117</v>
      </c>
      <c r="L853" s="30" t="s">
        <v>122</v>
      </c>
      <c r="M853" s="48"/>
      <c r="N853" s="30"/>
      <c r="O853" s="30"/>
      <c r="P853" s="30"/>
    </row>
    <row r="854" spans="1:16" ht="30" customHeight="1">
      <c r="A854" s="30" t="s">
        <v>1847</v>
      </c>
      <c r="B854" s="47" t="s">
        <v>1843</v>
      </c>
      <c r="C854" s="49" t="s">
        <v>1848</v>
      </c>
      <c r="D854" s="30"/>
      <c r="E854" s="30"/>
      <c r="F854" s="30"/>
      <c r="G854" s="30"/>
      <c r="H854" s="30" t="s">
        <v>141</v>
      </c>
      <c r="I854" s="30" t="s">
        <v>30</v>
      </c>
      <c r="J854" s="30" t="s">
        <v>144</v>
      </c>
      <c r="K854" s="30" t="s">
        <v>117</v>
      </c>
      <c r="L854" s="30" t="s">
        <v>122</v>
      </c>
      <c r="M854" s="48"/>
      <c r="N854" s="30"/>
      <c r="O854" s="30"/>
      <c r="P854" s="30"/>
    </row>
    <row r="855" spans="1:16" ht="45" customHeight="1">
      <c r="A855" s="30" t="s">
        <v>1849</v>
      </c>
      <c r="B855" s="47" t="s">
        <v>1843</v>
      </c>
      <c r="C855" s="49" t="s">
        <v>1850</v>
      </c>
      <c r="D855" s="30"/>
      <c r="E855" s="30"/>
      <c r="F855" s="30"/>
      <c r="G855" t="s">
        <v>137</v>
      </c>
      <c r="H855" s="30" t="s">
        <v>141</v>
      </c>
      <c r="I855" s="30" t="s">
        <v>30</v>
      </c>
      <c r="J855" s="30" t="s">
        <v>142</v>
      </c>
      <c r="K855" s="30" t="s">
        <v>116</v>
      </c>
      <c r="L855" s="30" t="s">
        <v>146</v>
      </c>
      <c r="M855" s="48"/>
      <c r="N855" s="30"/>
      <c r="O855" s="30"/>
      <c r="P855" s="30"/>
    </row>
    <row r="856" spans="1:16" ht="45" customHeight="1">
      <c r="A856" s="30" t="s">
        <v>1851</v>
      </c>
      <c r="B856" s="47" t="s">
        <v>1843</v>
      </c>
      <c r="C856" s="49" t="s">
        <v>1852</v>
      </c>
      <c r="D856" s="30"/>
      <c r="E856" s="30"/>
      <c r="F856" s="30"/>
      <c r="G856" s="30"/>
      <c r="H856" s="30" t="s">
        <v>141</v>
      </c>
      <c r="I856" s="30" t="s">
        <v>30</v>
      </c>
      <c r="J856" s="30" t="s">
        <v>144</v>
      </c>
      <c r="K856" s="30" t="s">
        <v>117</v>
      </c>
      <c r="L856" s="30" t="s">
        <v>122</v>
      </c>
      <c r="M856" s="48"/>
      <c r="N856" s="30"/>
      <c r="O856" s="30"/>
      <c r="P856" s="30"/>
    </row>
    <row r="857" spans="1:16" ht="90" customHeight="1">
      <c r="A857" s="30" t="s">
        <v>1853</v>
      </c>
      <c r="B857" s="47" t="s">
        <v>1854</v>
      </c>
      <c r="C857" s="49" t="s">
        <v>1855</v>
      </c>
      <c r="D857" s="30"/>
      <c r="E857" s="30"/>
      <c r="F857" s="30"/>
      <c r="G857" s="30"/>
      <c r="H857" s="30" t="s">
        <v>141</v>
      </c>
      <c r="I857" s="30" t="s">
        <v>31</v>
      </c>
      <c r="J857" s="30" t="s">
        <v>144</v>
      </c>
      <c r="K857" s="30" t="s">
        <v>117</v>
      </c>
      <c r="L857" s="30" t="s">
        <v>122</v>
      </c>
      <c r="M857" s="48"/>
      <c r="N857" s="30"/>
      <c r="O857" s="30"/>
      <c r="P857" s="30"/>
    </row>
    <row r="858" spans="1:16" ht="60" customHeight="1">
      <c r="A858" s="30" t="s">
        <v>1856</v>
      </c>
      <c r="B858" s="47" t="s">
        <v>1857</v>
      </c>
      <c r="C858" s="49" t="s">
        <v>1858</v>
      </c>
      <c r="D858" s="30"/>
      <c r="E858" s="30"/>
      <c r="F858" s="30"/>
      <c r="G858" s="30"/>
      <c r="H858" s="30" t="s">
        <v>141</v>
      </c>
      <c r="I858" s="30" t="s">
        <v>31</v>
      </c>
      <c r="J858" s="30" t="s">
        <v>144</v>
      </c>
      <c r="K858" s="30" t="s">
        <v>117</v>
      </c>
      <c r="L858" s="30" t="s">
        <v>122</v>
      </c>
      <c r="M858" s="48"/>
      <c r="N858" s="30"/>
      <c r="O858" s="30"/>
      <c r="P858" s="30"/>
    </row>
    <row r="859" spans="1:16" ht="30" customHeight="1">
      <c r="A859" s="30" t="s">
        <v>1859</v>
      </c>
      <c r="B859" s="47" t="s">
        <v>1857</v>
      </c>
      <c r="C859" s="49" t="s">
        <v>1807</v>
      </c>
      <c r="D859" s="30"/>
      <c r="E859" s="30"/>
      <c r="F859" s="30"/>
      <c r="G859" s="30"/>
      <c r="H859" s="30" t="s">
        <v>141</v>
      </c>
      <c r="I859" s="30" t="s">
        <v>31</v>
      </c>
      <c r="J859" s="30" t="s">
        <v>142</v>
      </c>
      <c r="K859" s="30" t="s">
        <v>116</v>
      </c>
      <c r="L859" s="30" t="s">
        <v>122</v>
      </c>
      <c r="M859" s="48" t="s">
        <v>314</v>
      </c>
      <c r="N859" s="30"/>
      <c r="O859" s="30"/>
      <c r="P859" s="30"/>
    </row>
    <row r="860" spans="1:16" ht="30" customHeight="1">
      <c r="A860" s="30" t="s">
        <v>1860</v>
      </c>
      <c r="B860" s="47" t="s">
        <v>1857</v>
      </c>
      <c r="C860" s="49" t="s">
        <v>1809</v>
      </c>
      <c r="D860" s="30"/>
      <c r="E860" s="30"/>
      <c r="F860" s="30"/>
      <c r="G860" s="30"/>
      <c r="H860" s="30" t="s">
        <v>141</v>
      </c>
      <c r="I860" s="30" t="s">
        <v>31</v>
      </c>
      <c r="J860" s="30" t="s">
        <v>142</v>
      </c>
      <c r="K860" s="30" t="s">
        <v>116</v>
      </c>
      <c r="L860" s="30" t="s">
        <v>122</v>
      </c>
      <c r="M860" s="48" t="s">
        <v>314</v>
      </c>
      <c r="N860" s="30"/>
      <c r="O860" s="30"/>
      <c r="P860" s="30"/>
    </row>
    <row r="861" spans="1:16" ht="15" customHeight="1">
      <c r="A861" s="30" t="s">
        <v>1861</v>
      </c>
      <c r="B861" s="47" t="s">
        <v>1857</v>
      </c>
      <c r="C861" s="49" t="s">
        <v>1862</v>
      </c>
      <c r="D861" s="30"/>
      <c r="E861" s="30"/>
      <c r="F861" s="30"/>
      <c r="G861" s="30"/>
      <c r="H861" s="30" t="s">
        <v>141</v>
      </c>
      <c r="I861" s="30" t="s">
        <v>31</v>
      </c>
      <c r="J861" s="30" t="s">
        <v>144</v>
      </c>
      <c r="K861" s="30" t="s">
        <v>117</v>
      </c>
      <c r="L861" s="30" t="s">
        <v>122</v>
      </c>
      <c r="M861" s="48"/>
      <c r="N861" s="30"/>
      <c r="O861" s="30"/>
      <c r="P861" s="30"/>
    </row>
    <row r="862" spans="1:16" ht="45" customHeight="1">
      <c r="A862" s="30" t="s">
        <v>1863</v>
      </c>
      <c r="B862" s="47" t="s">
        <v>1857</v>
      </c>
      <c r="C862" s="49" t="s">
        <v>1864</v>
      </c>
      <c r="D862" s="30"/>
      <c r="E862" s="30"/>
      <c r="F862" s="30"/>
      <c r="G862" s="30"/>
      <c r="H862" s="30" t="s">
        <v>141</v>
      </c>
      <c r="I862" s="30" t="s">
        <v>31</v>
      </c>
      <c r="J862" s="30" t="s">
        <v>142</v>
      </c>
      <c r="K862" s="30" t="s">
        <v>116</v>
      </c>
      <c r="L862" s="30" t="s">
        <v>122</v>
      </c>
      <c r="M862" s="48" t="s">
        <v>314</v>
      </c>
      <c r="N862" s="30"/>
      <c r="O862" s="30"/>
      <c r="P862" s="30"/>
    </row>
    <row r="863" spans="1:16" ht="45" customHeight="1">
      <c r="A863" s="30" t="s">
        <v>1865</v>
      </c>
      <c r="B863" s="47" t="s">
        <v>1857</v>
      </c>
      <c r="C863" s="49" t="s">
        <v>1866</v>
      </c>
      <c r="D863" s="30"/>
      <c r="E863" s="30"/>
      <c r="F863" s="30"/>
      <c r="G863" s="30"/>
      <c r="H863" s="30" t="s">
        <v>141</v>
      </c>
      <c r="I863" s="30" t="s">
        <v>31</v>
      </c>
      <c r="J863" s="30" t="s">
        <v>144</v>
      </c>
      <c r="K863" s="30" t="s">
        <v>117</v>
      </c>
      <c r="L863" s="30" t="s">
        <v>122</v>
      </c>
      <c r="M863" s="48"/>
      <c r="N863" s="30"/>
      <c r="O863" s="30"/>
      <c r="P863" s="30"/>
    </row>
    <row r="864" spans="1:16" ht="75" customHeight="1">
      <c r="A864" s="30" t="s">
        <v>1867</v>
      </c>
      <c r="B864" s="47" t="s">
        <v>1868</v>
      </c>
      <c r="C864" s="49" t="s">
        <v>1869</v>
      </c>
      <c r="D864" s="30"/>
      <c r="E864" s="30"/>
      <c r="F864" s="30"/>
      <c r="G864" t="s">
        <v>137</v>
      </c>
      <c r="H864" s="30" t="s">
        <v>141</v>
      </c>
      <c r="I864" s="30" t="s">
        <v>30</v>
      </c>
      <c r="J864" s="30" t="s">
        <v>142</v>
      </c>
      <c r="K864" s="30" t="s">
        <v>116</v>
      </c>
      <c r="L864" s="30" t="s">
        <v>143</v>
      </c>
      <c r="M864" s="48"/>
      <c r="N864" s="30"/>
      <c r="O864" s="30"/>
      <c r="P864" s="30"/>
    </row>
    <row r="865" spans="1:16" ht="60" customHeight="1">
      <c r="A865" s="30" t="s">
        <v>1870</v>
      </c>
      <c r="B865" s="47" t="s">
        <v>1868</v>
      </c>
      <c r="C865" s="48" t="s">
        <v>1871</v>
      </c>
      <c r="D865" s="30"/>
      <c r="E865" s="30"/>
      <c r="F865" s="30"/>
      <c r="G865" s="30"/>
      <c r="H865" s="30" t="s">
        <v>141</v>
      </c>
      <c r="I865" s="30" t="s">
        <v>30</v>
      </c>
      <c r="J865" s="30" t="s">
        <v>144</v>
      </c>
      <c r="K865" s="30" t="s">
        <v>117</v>
      </c>
      <c r="L865" s="30" t="s">
        <v>122</v>
      </c>
      <c r="M865" s="48"/>
      <c r="N865" s="30"/>
      <c r="O865" s="30"/>
      <c r="P865" s="30"/>
    </row>
    <row r="866" spans="1:16" ht="30" customHeight="1">
      <c r="A866" s="30" t="s">
        <v>1872</v>
      </c>
      <c r="B866" s="47" t="s">
        <v>1868</v>
      </c>
      <c r="C866" s="48" t="s">
        <v>1873</v>
      </c>
      <c r="D866" s="30"/>
      <c r="E866" s="30"/>
      <c r="F866" s="30"/>
      <c r="G866" s="30"/>
      <c r="H866" s="30" t="s">
        <v>141</v>
      </c>
      <c r="I866" s="30" t="s">
        <v>30</v>
      </c>
      <c r="J866" s="30" t="s">
        <v>144</v>
      </c>
      <c r="K866" s="30" t="s">
        <v>117</v>
      </c>
      <c r="L866" s="30" t="s">
        <v>122</v>
      </c>
      <c r="M866" s="48"/>
      <c r="N866" s="30"/>
      <c r="O866" s="30"/>
      <c r="P866" s="30"/>
    </row>
    <row r="867" spans="1:16" ht="30" customHeight="1">
      <c r="A867" s="30" t="s">
        <v>1874</v>
      </c>
      <c r="B867" s="47" t="s">
        <v>1868</v>
      </c>
      <c r="C867" s="48" t="s">
        <v>1875</v>
      </c>
      <c r="D867" s="30"/>
      <c r="E867" s="30"/>
      <c r="F867" s="30"/>
      <c r="G867" s="30"/>
      <c r="H867" s="30" t="s">
        <v>141</v>
      </c>
      <c r="I867" s="30" t="s">
        <v>30</v>
      </c>
      <c r="J867" s="30" t="s">
        <v>144</v>
      </c>
      <c r="K867" s="30" t="s">
        <v>117</v>
      </c>
      <c r="L867" s="30" t="s">
        <v>122</v>
      </c>
      <c r="M867" s="48"/>
      <c r="N867" s="30"/>
      <c r="O867" s="30"/>
      <c r="P867" s="30"/>
    </row>
    <row r="868" spans="1:16" ht="60" customHeight="1">
      <c r="A868" s="30" t="s">
        <v>1876</v>
      </c>
      <c r="B868" s="47" t="s">
        <v>1868</v>
      </c>
      <c r="C868" s="51" t="s">
        <v>1877</v>
      </c>
      <c r="D868" s="30"/>
      <c r="E868" s="30"/>
      <c r="F868" s="30"/>
      <c r="G868" t="s">
        <v>137</v>
      </c>
      <c r="H868" s="30" t="s">
        <v>141</v>
      </c>
      <c r="I868" s="30" t="s">
        <v>30</v>
      </c>
      <c r="J868" s="30" t="s">
        <v>142</v>
      </c>
      <c r="K868" s="30" t="s">
        <v>116</v>
      </c>
      <c r="L868" s="30" t="s">
        <v>143</v>
      </c>
      <c r="M868" s="47" t="s">
        <v>4134</v>
      </c>
      <c r="N868" s="30"/>
      <c r="O868" s="30"/>
      <c r="P868" s="30"/>
    </row>
    <row r="869" spans="1:16" ht="75" customHeight="1">
      <c r="A869" s="30" t="s">
        <v>1878</v>
      </c>
      <c r="B869" s="47" t="s">
        <v>1868</v>
      </c>
      <c r="C869" s="51" t="s">
        <v>1879</v>
      </c>
      <c r="D869" s="30"/>
      <c r="E869" s="30"/>
      <c r="F869" s="30"/>
      <c r="H869" s="30" t="s">
        <v>141</v>
      </c>
      <c r="I869" s="30" t="s">
        <v>30</v>
      </c>
      <c r="J869" s="30" t="s">
        <v>142</v>
      </c>
      <c r="K869" s="30" t="s">
        <v>116</v>
      </c>
      <c r="L869" s="30" t="s">
        <v>122</v>
      </c>
      <c r="M869" s="47" t="s">
        <v>4088</v>
      </c>
      <c r="N869" s="30"/>
      <c r="O869" s="30"/>
      <c r="P869" s="30"/>
    </row>
    <row r="870" spans="1:16" ht="45" customHeight="1">
      <c r="A870" s="30" t="s">
        <v>1880</v>
      </c>
      <c r="B870" s="47" t="s">
        <v>1868</v>
      </c>
      <c r="C870" s="51" t="s">
        <v>1881</v>
      </c>
      <c r="D870" s="30"/>
      <c r="E870" s="30"/>
      <c r="F870" s="30"/>
      <c r="G870" t="s">
        <v>137</v>
      </c>
      <c r="H870" s="30" t="s">
        <v>141</v>
      </c>
      <c r="I870" s="30" t="s">
        <v>30</v>
      </c>
      <c r="J870" s="30" t="s">
        <v>142</v>
      </c>
      <c r="K870" s="30" t="s">
        <v>116</v>
      </c>
      <c r="L870" s="30" t="s">
        <v>143</v>
      </c>
      <c r="M870" s="47" t="s">
        <v>4134</v>
      </c>
      <c r="N870" s="30"/>
      <c r="O870" s="30"/>
      <c r="P870" s="30"/>
    </row>
    <row r="871" spans="1:16" ht="45" customHeight="1">
      <c r="A871" s="30" t="s">
        <v>1882</v>
      </c>
      <c r="B871" s="47" t="s">
        <v>1868</v>
      </c>
      <c r="C871" s="51" t="s">
        <v>1883</v>
      </c>
      <c r="D871" s="30"/>
      <c r="E871" s="30"/>
      <c r="F871" s="30"/>
      <c r="G871" t="s">
        <v>137</v>
      </c>
      <c r="H871" s="30" t="s">
        <v>141</v>
      </c>
      <c r="I871" s="30" t="s">
        <v>30</v>
      </c>
      <c r="J871" s="30" t="s">
        <v>142</v>
      </c>
      <c r="K871" s="30" t="s">
        <v>116</v>
      </c>
      <c r="L871" s="30" t="s">
        <v>143</v>
      </c>
      <c r="M871" s="65"/>
      <c r="N871" s="30"/>
      <c r="O871" s="30"/>
      <c r="P871" s="30"/>
    </row>
    <row r="872" spans="1:16" ht="75" customHeight="1">
      <c r="A872" s="30" t="s">
        <v>1884</v>
      </c>
      <c r="B872" s="47" t="s">
        <v>1868</v>
      </c>
      <c r="C872" s="51" t="s">
        <v>1885</v>
      </c>
      <c r="D872" s="30"/>
      <c r="E872" s="30"/>
      <c r="F872" s="30"/>
      <c r="H872" s="30" t="s">
        <v>141</v>
      </c>
      <c r="I872" s="30" t="s">
        <v>30</v>
      </c>
      <c r="J872" s="30" t="s">
        <v>142</v>
      </c>
      <c r="K872" s="30" t="s">
        <v>116</v>
      </c>
      <c r="L872" s="30" t="s">
        <v>122</v>
      </c>
      <c r="M872" s="47" t="s">
        <v>4088</v>
      </c>
      <c r="N872" s="30"/>
      <c r="O872" s="30"/>
      <c r="P872" s="30"/>
    </row>
    <row r="873" spans="1:16" ht="45" customHeight="1">
      <c r="A873" s="30" t="s">
        <v>1886</v>
      </c>
      <c r="B873" s="47" t="s">
        <v>1868</v>
      </c>
      <c r="C873" s="51" t="s">
        <v>1887</v>
      </c>
      <c r="D873" s="30"/>
      <c r="E873" s="30"/>
      <c r="F873" s="30"/>
      <c r="G873" t="s">
        <v>137</v>
      </c>
      <c r="H873" s="30" t="s">
        <v>141</v>
      </c>
      <c r="I873" s="30" t="s">
        <v>30</v>
      </c>
      <c r="J873" s="30" t="s">
        <v>142</v>
      </c>
      <c r="K873" s="30" t="s">
        <v>116</v>
      </c>
      <c r="L873" s="30" t="s">
        <v>143</v>
      </c>
      <c r="M873" s="47" t="s">
        <v>4134</v>
      </c>
      <c r="N873" s="30"/>
      <c r="O873" s="30"/>
      <c r="P873" s="30"/>
    </row>
    <row r="874" spans="1:16" s="31" customFormat="1" ht="45" customHeight="1">
      <c r="A874" s="30" t="s">
        <v>1888</v>
      </c>
      <c r="B874" s="47" t="s">
        <v>1868</v>
      </c>
      <c r="C874" s="51" t="s">
        <v>1889</v>
      </c>
      <c r="D874" s="30"/>
      <c r="E874" s="30"/>
      <c r="F874" s="30"/>
      <c r="G874" s="31" t="s">
        <v>137</v>
      </c>
      <c r="H874" s="30" t="s">
        <v>141</v>
      </c>
      <c r="I874" s="30" t="s">
        <v>30</v>
      </c>
      <c r="J874" s="30" t="s">
        <v>142</v>
      </c>
      <c r="K874" s="30" t="s">
        <v>116</v>
      </c>
      <c r="L874" s="30" t="s">
        <v>143</v>
      </c>
      <c r="M874" s="47"/>
      <c r="N874" s="30"/>
      <c r="O874" s="30"/>
      <c r="P874" s="30"/>
    </row>
    <row r="875" spans="1:16" ht="75" customHeight="1">
      <c r="A875" s="30" t="s">
        <v>1890</v>
      </c>
      <c r="B875" s="47" t="s">
        <v>1868</v>
      </c>
      <c r="C875" s="51" t="s">
        <v>1891</v>
      </c>
      <c r="D875" s="30"/>
      <c r="E875" s="30"/>
      <c r="F875" s="30"/>
      <c r="H875" s="30" t="s">
        <v>141</v>
      </c>
      <c r="I875" s="30" t="s">
        <v>30</v>
      </c>
      <c r="J875" s="30" t="s">
        <v>142</v>
      </c>
      <c r="K875" s="30" t="s">
        <v>116</v>
      </c>
      <c r="L875" s="30" t="s">
        <v>122</v>
      </c>
      <c r="M875" s="47" t="s">
        <v>4088</v>
      </c>
      <c r="N875" s="30"/>
      <c r="O875" s="30"/>
      <c r="P875" s="30"/>
    </row>
    <row r="876" spans="1:16" ht="45" customHeight="1">
      <c r="A876" s="30" t="s">
        <v>1892</v>
      </c>
      <c r="B876" s="47" t="s">
        <v>1868</v>
      </c>
      <c r="C876" s="51" t="s">
        <v>1893</v>
      </c>
      <c r="D876" s="30"/>
      <c r="E876" s="30"/>
      <c r="F876" s="30"/>
      <c r="G876" t="s">
        <v>137</v>
      </c>
      <c r="H876" s="30" t="s">
        <v>141</v>
      </c>
      <c r="I876" s="30" t="s">
        <v>30</v>
      </c>
      <c r="J876" s="30" t="s">
        <v>142</v>
      </c>
      <c r="K876" s="30" t="s">
        <v>116</v>
      </c>
      <c r="L876" s="30" t="s">
        <v>143</v>
      </c>
      <c r="M876" s="47" t="s">
        <v>4134</v>
      </c>
      <c r="N876" s="30"/>
      <c r="O876" s="30"/>
      <c r="P876" s="30"/>
    </row>
    <row r="877" spans="1:16" ht="75" customHeight="1">
      <c r="A877" s="30" t="s">
        <v>1894</v>
      </c>
      <c r="B877" s="47" t="s">
        <v>1868</v>
      </c>
      <c r="C877" s="51" t="s">
        <v>1895</v>
      </c>
      <c r="D877" s="30"/>
      <c r="E877" s="30"/>
      <c r="F877" s="30"/>
      <c r="H877" s="30" t="s">
        <v>141</v>
      </c>
      <c r="I877" s="30" t="s">
        <v>30</v>
      </c>
      <c r="J877" s="30" t="s">
        <v>142</v>
      </c>
      <c r="K877" s="30" t="s">
        <v>116</v>
      </c>
      <c r="L877" s="30" t="s">
        <v>122</v>
      </c>
      <c r="M877" s="47" t="s">
        <v>4088</v>
      </c>
      <c r="N877" s="30"/>
      <c r="O877" s="30"/>
      <c r="P877" s="30"/>
    </row>
    <row r="878" spans="1:16" ht="60" customHeight="1">
      <c r="A878" s="30" t="s">
        <v>1896</v>
      </c>
      <c r="B878" s="47" t="s">
        <v>1868</v>
      </c>
      <c r="C878" s="51" t="s">
        <v>1897</v>
      </c>
      <c r="D878" s="30"/>
      <c r="E878" s="30"/>
      <c r="F878" s="30"/>
      <c r="G878" t="s">
        <v>137</v>
      </c>
      <c r="H878" s="30" t="s">
        <v>141</v>
      </c>
      <c r="I878" s="30" t="s">
        <v>30</v>
      </c>
      <c r="J878" s="30" t="s">
        <v>142</v>
      </c>
      <c r="K878" s="30" t="s">
        <v>116</v>
      </c>
      <c r="L878" s="30" t="s">
        <v>143</v>
      </c>
      <c r="M878" s="47" t="s">
        <v>4134</v>
      </c>
      <c r="N878" s="30"/>
      <c r="O878" s="30"/>
      <c r="P878" s="30"/>
    </row>
    <row r="879" spans="1:16" ht="75" customHeight="1">
      <c r="A879" s="30" t="s">
        <v>1898</v>
      </c>
      <c r="B879" s="47" t="s">
        <v>1868</v>
      </c>
      <c r="C879" s="51" t="s">
        <v>1899</v>
      </c>
      <c r="D879" s="30"/>
      <c r="E879" s="30"/>
      <c r="F879" s="30"/>
      <c r="H879" s="30" t="s">
        <v>141</v>
      </c>
      <c r="I879" s="30" t="s">
        <v>30</v>
      </c>
      <c r="J879" s="30" t="s">
        <v>142</v>
      </c>
      <c r="K879" s="30" t="s">
        <v>116</v>
      </c>
      <c r="L879" s="30" t="s">
        <v>122</v>
      </c>
      <c r="M879" s="47" t="s">
        <v>4088</v>
      </c>
      <c r="N879" s="30"/>
      <c r="O879" s="30"/>
      <c r="P879" s="30"/>
    </row>
    <row r="880" spans="1:16" ht="45" customHeight="1">
      <c r="A880" s="30" t="s">
        <v>1900</v>
      </c>
      <c r="B880" s="47" t="s">
        <v>1868</v>
      </c>
      <c r="C880" s="51" t="s">
        <v>1901</v>
      </c>
      <c r="D880" s="30"/>
      <c r="E880" s="30"/>
      <c r="F880" s="30"/>
      <c r="G880" t="s">
        <v>137</v>
      </c>
      <c r="H880" s="30" t="s">
        <v>141</v>
      </c>
      <c r="I880" s="30" t="s">
        <v>30</v>
      </c>
      <c r="J880" s="30" t="s">
        <v>142</v>
      </c>
      <c r="K880" s="30" t="s">
        <v>116</v>
      </c>
      <c r="L880" s="30" t="s">
        <v>143</v>
      </c>
      <c r="M880" s="47" t="s">
        <v>4134</v>
      </c>
      <c r="N880" s="30"/>
      <c r="O880" s="30"/>
      <c r="P880" s="30"/>
    </row>
    <row r="881" spans="1:16" ht="75" customHeight="1">
      <c r="A881" s="30" t="s">
        <v>1902</v>
      </c>
      <c r="B881" s="47" t="s">
        <v>1868</v>
      </c>
      <c r="C881" s="51" t="s">
        <v>1903</v>
      </c>
      <c r="D881" s="30"/>
      <c r="E881" s="30"/>
      <c r="F881" s="30"/>
      <c r="H881" s="30" t="s">
        <v>141</v>
      </c>
      <c r="I881" s="30" t="s">
        <v>30</v>
      </c>
      <c r="J881" s="30" t="s">
        <v>142</v>
      </c>
      <c r="K881" s="30" t="s">
        <v>116</v>
      </c>
      <c r="L881" s="30" t="s">
        <v>122</v>
      </c>
      <c r="M881" s="47" t="s">
        <v>4088</v>
      </c>
      <c r="N881" s="30"/>
      <c r="O881" s="30"/>
      <c r="P881" s="30"/>
    </row>
    <row r="882" spans="1:16" ht="60" customHeight="1">
      <c r="A882" s="30" t="s">
        <v>1904</v>
      </c>
      <c r="B882" s="47" t="s">
        <v>1868</v>
      </c>
      <c r="C882" s="51" t="s">
        <v>1905</v>
      </c>
      <c r="D882" s="30"/>
      <c r="E882" s="30"/>
      <c r="F882" s="30"/>
      <c r="G882" t="s">
        <v>137</v>
      </c>
      <c r="H882" s="30" t="s">
        <v>141</v>
      </c>
      <c r="I882" s="30" t="s">
        <v>30</v>
      </c>
      <c r="J882" s="30" t="s">
        <v>142</v>
      </c>
      <c r="K882" s="30" t="s">
        <v>116</v>
      </c>
      <c r="L882" s="30" t="s">
        <v>143</v>
      </c>
      <c r="M882" s="47" t="s">
        <v>4134</v>
      </c>
      <c r="N882" s="30"/>
      <c r="O882" s="30"/>
      <c r="P882" s="30"/>
    </row>
    <row r="883" spans="1:16" ht="75" customHeight="1">
      <c r="A883" s="30" t="s">
        <v>1906</v>
      </c>
      <c r="B883" s="47" t="s">
        <v>1868</v>
      </c>
      <c r="C883" s="51" t="s">
        <v>1907</v>
      </c>
      <c r="D883" s="30"/>
      <c r="E883" s="30"/>
      <c r="F883" s="30"/>
      <c r="H883" s="30" t="s">
        <v>141</v>
      </c>
      <c r="I883" s="30" t="s">
        <v>30</v>
      </c>
      <c r="J883" s="30" t="s">
        <v>142</v>
      </c>
      <c r="K883" s="30" t="s">
        <v>116</v>
      </c>
      <c r="L883" s="30" t="s">
        <v>122</v>
      </c>
      <c r="M883" s="47" t="s">
        <v>4088</v>
      </c>
      <c r="N883" s="30"/>
      <c r="O883" s="30"/>
      <c r="P883" s="30"/>
    </row>
    <row r="884" spans="1:16" ht="90" customHeight="1">
      <c r="A884" s="30" t="s">
        <v>1908</v>
      </c>
      <c r="B884" s="47" t="s">
        <v>1868</v>
      </c>
      <c r="C884" s="51" t="s">
        <v>1909</v>
      </c>
      <c r="D884" s="30"/>
      <c r="E884" s="30"/>
      <c r="F884" s="30"/>
      <c r="H884" s="30" t="s">
        <v>141</v>
      </c>
      <c r="I884" s="30" t="s">
        <v>30</v>
      </c>
      <c r="J884" s="30" t="s">
        <v>142</v>
      </c>
      <c r="K884" s="30" t="s">
        <v>116</v>
      </c>
      <c r="L884" s="30" t="s">
        <v>121</v>
      </c>
      <c r="M884" s="47" t="s">
        <v>4135</v>
      </c>
      <c r="N884" s="30"/>
      <c r="O884" s="30"/>
      <c r="P884" s="30"/>
    </row>
    <row r="885" spans="1:16" ht="90" customHeight="1">
      <c r="A885" s="30" t="s">
        <v>1910</v>
      </c>
      <c r="B885" s="47" t="s">
        <v>1868</v>
      </c>
      <c r="C885" s="51" t="s">
        <v>1911</v>
      </c>
      <c r="D885" s="30"/>
      <c r="E885" s="30"/>
      <c r="F885" s="30"/>
      <c r="H885" s="30" t="s">
        <v>141</v>
      </c>
      <c r="I885" s="30" t="s">
        <v>30</v>
      </c>
      <c r="J885" s="30" t="s">
        <v>142</v>
      </c>
      <c r="K885" s="30" t="s">
        <v>116</v>
      </c>
      <c r="L885" s="30" t="s">
        <v>121</v>
      </c>
      <c r="M885" s="47" t="s">
        <v>4135</v>
      </c>
      <c r="N885" s="30"/>
      <c r="O885" s="30"/>
      <c r="P885" s="30"/>
    </row>
    <row r="886" spans="1:16" ht="75" customHeight="1">
      <c r="A886" s="30" t="s">
        <v>1912</v>
      </c>
      <c r="B886" s="47" t="s">
        <v>1868</v>
      </c>
      <c r="C886" s="51" t="s">
        <v>1913</v>
      </c>
      <c r="D886" s="30"/>
      <c r="E886" s="30"/>
      <c r="F886" s="30"/>
      <c r="H886" s="30" t="s">
        <v>141</v>
      </c>
      <c r="I886" s="30" t="s">
        <v>30</v>
      </c>
      <c r="J886" s="30" t="s">
        <v>142</v>
      </c>
      <c r="K886" s="30" t="s">
        <v>116</v>
      </c>
      <c r="L886" s="30" t="s">
        <v>122</v>
      </c>
      <c r="M886" s="47" t="s">
        <v>4088</v>
      </c>
      <c r="N886" s="30"/>
      <c r="O886" s="30"/>
      <c r="P886" s="30"/>
    </row>
    <row r="887" spans="1:16" ht="60" customHeight="1">
      <c r="A887" s="30" t="s">
        <v>1914</v>
      </c>
      <c r="B887" s="47" t="s">
        <v>1868</v>
      </c>
      <c r="C887" s="51" t="s">
        <v>1915</v>
      </c>
      <c r="D887" s="30"/>
      <c r="E887" s="30"/>
      <c r="F887" s="30"/>
      <c r="G887" t="s">
        <v>137</v>
      </c>
      <c r="H887" s="30" t="s">
        <v>141</v>
      </c>
      <c r="I887" s="30" t="s">
        <v>30</v>
      </c>
      <c r="J887" s="30" t="s">
        <v>142</v>
      </c>
      <c r="K887" s="30" t="s">
        <v>116</v>
      </c>
      <c r="L887" s="30" t="s">
        <v>143</v>
      </c>
      <c r="M887" s="47" t="s">
        <v>4134</v>
      </c>
      <c r="N887" s="30"/>
      <c r="O887" s="30"/>
      <c r="P887" s="30"/>
    </row>
    <row r="888" spans="1:16" ht="75" customHeight="1">
      <c r="A888" s="30" t="s">
        <v>1916</v>
      </c>
      <c r="B888" s="47" t="s">
        <v>1868</v>
      </c>
      <c r="C888" s="51" t="s">
        <v>1917</v>
      </c>
      <c r="D888" s="30"/>
      <c r="E888" s="30"/>
      <c r="F888" s="30"/>
      <c r="H888" s="30" t="s">
        <v>141</v>
      </c>
      <c r="I888" s="30" t="s">
        <v>30</v>
      </c>
      <c r="J888" s="30" t="s">
        <v>142</v>
      </c>
      <c r="K888" s="30" t="s">
        <v>116</v>
      </c>
      <c r="L888" s="30" t="s">
        <v>122</v>
      </c>
      <c r="M888" s="47" t="s">
        <v>4088</v>
      </c>
      <c r="N888" s="30"/>
      <c r="O888" s="30"/>
      <c r="P888" s="30"/>
    </row>
    <row r="889" spans="1:16" ht="60" customHeight="1">
      <c r="A889" s="30" t="s">
        <v>1918</v>
      </c>
      <c r="B889" s="47" t="s">
        <v>1868</v>
      </c>
      <c r="C889" s="51" t="s">
        <v>1919</v>
      </c>
      <c r="D889" s="30"/>
      <c r="E889" s="30"/>
      <c r="F889" s="30"/>
      <c r="G889" t="s">
        <v>137</v>
      </c>
      <c r="H889" s="30" t="s">
        <v>141</v>
      </c>
      <c r="I889" s="30" t="s">
        <v>30</v>
      </c>
      <c r="J889" s="30" t="s">
        <v>142</v>
      </c>
      <c r="K889" s="30" t="s">
        <v>116</v>
      </c>
      <c r="L889" s="30" t="s">
        <v>143</v>
      </c>
      <c r="M889" s="47" t="s">
        <v>4134</v>
      </c>
      <c r="N889" s="30"/>
      <c r="O889" s="30"/>
      <c r="P889" s="30"/>
    </row>
    <row r="890" spans="1:16" ht="75" customHeight="1">
      <c r="A890" s="30" t="s">
        <v>1920</v>
      </c>
      <c r="B890" s="47" t="s">
        <v>1868</v>
      </c>
      <c r="C890" s="51" t="s">
        <v>1921</v>
      </c>
      <c r="D890" s="30"/>
      <c r="E890" s="30"/>
      <c r="F890" s="30"/>
      <c r="H890" s="30" t="s">
        <v>141</v>
      </c>
      <c r="I890" s="30" t="s">
        <v>30</v>
      </c>
      <c r="J890" s="30" t="s">
        <v>142</v>
      </c>
      <c r="K890" s="30" t="s">
        <v>116</v>
      </c>
      <c r="L890" s="30" t="s">
        <v>122</v>
      </c>
      <c r="M890" s="47" t="s">
        <v>4088</v>
      </c>
      <c r="N890" s="30"/>
      <c r="O890" s="30"/>
      <c r="P890" s="30"/>
    </row>
    <row r="891" spans="1:16" ht="75" customHeight="1">
      <c r="A891" s="30" t="s">
        <v>1922</v>
      </c>
      <c r="B891" s="47" t="s">
        <v>1868</v>
      </c>
      <c r="C891" s="51" t="s">
        <v>1923</v>
      </c>
      <c r="D891" s="30"/>
      <c r="E891" s="30"/>
      <c r="F891" s="30"/>
      <c r="G891" t="s">
        <v>137</v>
      </c>
      <c r="H891" s="30" t="s">
        <v>141</v>
      </c>
      <c r="I891" s="30" t="s">
        <v>30</v>
      </c>
      <c r="J891" s="30" t="s">
        <v>142</v>
      </c>
      <c r="K891" s="30" t="s">
        <v>116</v>
      </c>
      <c r="L891" s="30" t="s">
        <v>143</v>
      </c>
      <c r="M891" s="47" t="s">
        <v>4134</v>
      </c>
      <c r="N891" s="30"/>
      <c r="O891" s="30"/>
      <c r="P891" s="30"/>
    </row>
    <row r="892" spans="1:16" ht="75" customHeight="1">
      <c r="A892" s="30" t="s">
        <v>1924</v>
      </c>
      <c r="B892" s="47" t="s">
        <v>1868</v>
      </c>
      <c r="C892" s="51" t="s">
        <v>1925</v>
      </c>
      <c r="D892" s="30"/>
      <c r="E892" s="30"/>
      <c r="F892" s="30"/>
      <c r="H892" s="30" t="s">
        <v>141</v>
      </c>
      <c r="I892" s="30" t="s">
        <v>30</v>
      </c>
      <c r="J892" s="30" t="s">
        <v>142</v>
      </c>
      <c r="K892" s="30" t="s">
        <v>116</v>
      </c>
      <c r="L892" s="30" t="s">
        <v>122</v>
      </c>
      <c r="M892" s="47" t="s">
        <v>4088</v>
      </c>
      <c r="N892" s="30"/>
      <c r="O892" s="30"/>
      <c r="P892" s="30"/>
    </row>
    <row r="893" spans="1:16" ht="75" customHeight="1">
      <c r="A893" s="30" t="s">
        <v>1926</v>
      </c>
      <c r="B893" s="47" t="s">
        <v>1868</v>
      </c>
      <c r="C893" s="51" t="s">
        <v>1532</v>
      </c>
      <c r="D893" s="30"/>
      <c r="E893" s="30"/>
      <c r="F893" s="30"/>
      <c r="H893" s="30" t="s">
        <v>141</v>
      </c>
      <c r="I893" s="30" t="s">
        <v>30</v>
      </c>
      <c r="J893" s="30" t="s">
        <v>142</v>
      </c>
      <c r="K893" s="30" t="s">
        <v>116</v>
      </c>
      <c r="L893" s="30" t="s">
        <v>121</v>
      </c>
      <c r="M893" s="47" t="s">
        <v>4137</v>
      </c>
      <c r="N893" s="30"/>
      <c r="O893" s="30"/>
      <c r="P893" s="30"/>
    </row>
    <row r="894" spans="1:16" ht="75" customHeight="1">
      <c r="A894" s="30" t="s">
        <v>1927</v>
      </c>
      <c r="B894" s="47" t="s">
        <v>1868</v>
      </c>
      <c r="C894" s="51" t="s">
        <v>1534</v>
      </c>
      <c r="D894" s="30"/>
      <c r="E894" s="30"/>
      <c r="F894" s="30"/>
      <c r="H894" s="30" t="s">
        <v>141</v>
      </c>
      <c r="I894" s="30" t="s">
        <v>30</v>
      </c>
      <c r="J894" s="30" t="s">
        <v>142</v>
      </c>
      <c r="K894" s="30" t="s">
        <v>116</v>
      </c>
      <c r="L894" s="30" t="s">
        <v>121</v>
      </c>
      <c r="M894" s="47" t="s">
        <v>4137</v>
      </c>
      <c r="N894" s="30"/>
      <c r="O894" s="30"/>
      <c r="P894" s="30"/>
    </row>
    <row r="895" spans="1:16" ht="75" customHeight="1">
      <c r="A895" s="30" t="s">
        <v>1928</v>
      </c>
      <c r="B895" s="47" t="s">
        <v>1868</v>
      </c>
      <c r="C895" s="51" t="s">
        <v>1929</v>
      </c>
      <c r="D895" s="30"/>
      <c r="E895" s="30"/>
      <c r="F895" s="30"/>
      <c r="H895" s="30" t="s">
        <v>141</v>
      </c>
      <c r="I895" s="30" t="s">
        <v>30</v>
      </c>
      <c r="J895" s="30" t="s">
        <v>142</v>
      </c>
      <c r="K895" s="30" t="s">
        <v>116</v>
      </c>
      <c r="L895" s="30" t="s">
        <v>122</v>
      </c>
      <c r="M895" s="47" t="s">
        <v>4088</v>
      </c>
      <c r="N895" s="30"/>
      <c r="O895" s="30"/>
      <c r="P895" s="30"/>
    </row>
    <row r="896" spans="1:16" ht="75" customHeight="1">
      <c r="A896" s="30" t="s">
        <v>1930</v>
      </c>
      <c r="B896" s="47" t="s">
        <v>1868</v>
      </c>
      <c r="C896" s="51" t="s">
        <v>1931</v>
      </c>
      <c r="D896" s="30"/>
      <c r="E896" s="30"/>
      <c r="F896" s="30"/>
      <c r="H896" s="30" t="s">
        <v>141</v>
      </c>
      <c r="I896" s="30" t="s">
        <v>30</v>
      </c>
      <c r="J896" s="30" t="s">
        <v>142</v>
      </c>
      <c r="K896" s="30" t="s">
        <v>116</v>
      </c>
      <c r="L896" s="30" t="s">
        <v>121</v>
      </c>
      <c r="M896" s="47" t="s">
        <v>4136</v>
      </c>
      <c r="N896" s="30"/>
      <c r="O896" s="30"/>
      <c r="P896" s="30"/>
    </row>
    <row r="897" spans="1:16" ht="45" customHeight="1">
      <c r="A897" s="30" t="s">
        <v>1932</v>
      </c>
      <c r="B897" s="47" t="s">
        <v>1868</v>
      </c>
      <c r="C897" s="51" t="s">
        <v>1933</v>
      </c>
      <c r="D897" s="30"/>
      <c r="E897" s="30"/>
      <c r="F897" s="30"/>
      <c r="G897" t="s">
        <v>137</v>
      </c>
      <c r="H897" s="30" t="s">
        <v>141</v>
      </c>
      <c r="I897" s="30" t="s">
        <v>30</v>
      </c>
      <c r="J897" s="30" t="s">
        <v>142</v>
      </c>
      <c r="K897" s="30" t="s">
        <v>116</v>
      </c>
      <c r="L897" s="30" t="s">
        <v>143</v>
      </c>
      <c r="M897" s="47" t="s">
        <v>4138</v>
      </c>
      <c r="N897" s="30"/>
      <c r="O897" s="30"/>
      <c r="P897" s="30"/>
    </row>
    <row r="898" spans="1:16" ht="75" customHeight="1">
      <c r="A898" s="30" t="s">
        <v>1934</v>
      </c>
      <c r="B898" s="47" t="s">
        <v>1868</v>
      </c>
      <c r="C898" s="51" t="s">
        <v>1935</v>
      </c>
      <c r="D898" s="30"/>
      <c r="E898" s="30"/>
      <c r="F898" s="30"/>
      <c r="H898" s="30" t="s">
        <v>141</v>
      </c>
      <c r="I898" s="30" t="s">
        <v>30</v>
      </c>
      <c r="J898" s="30" t="s">
        <v>142</v>
      </c>
      <c r="K898" s="30" t="s">
        <v>116</v>
      </c>
      <c r="L898" s="30" t="s">
        <v>122</v>
      </c>
      <c r="M898" s="47" t="s">
        <v>4088</v>
      </c>
      <c r="N898" s="30"/>
      <c r="O898" s="30"/>
      <c r="P898" s="30"/>
    </row>
    <row r="899" spans="1:16" ht="90" customHeight="1">
      <c r="A899" s="30" t="s">
        <v>1936</v>
      </c>
      <c r="B899" s="47" t="s">
        <v>1937</v>
      </c>
      <c r="C899" s="48" t="s">
        <v>1938</v>
      </c>
      <c r="D899" s="30"/>
      <c r="E899" s="30"/>
      <c r="F899" s="30"/>
      <c r="G899" s="30"/>
      <c r="H899" s="30" t="s">
        <v>141</v>
      </c>
      <c r="I899" s="30" t="s">
        <v>31</v>
      </c>
      <c r="J899" s="30" t="s">
        <v>144</v>
      </c>
      <c r="K899" s="30" t="s">
        <v>117</v>
      </c>
      <c r="L899" s="30" t="s">
        <v>122</v>
      </c>
      <c r="M899" s="48"/>
      <c r="N899" s="30"/>
      <c r="O899" s="30"/>
      <c r="P899" s="30"/>
    </row>
    <row r="900" spans="1:16" ht="45" customHeight="1">
      <c r="A900" s="30" t="s">
        <v>1939</v>
      </c>
      <c r="B900" s="47" t="s">
        <v>1937</v>
      </c>
      <c r="C900" s="48" t="s">
        <v>1940</v>
      </c>
      <c r="D900" s="30"/>
      <c r="E900" s="30"/>
      <c r="F900" s="30"/>
      <c r="G900" t="s">
        <v>4027</v>
      </c>
      <c r="H900" s="30" t="s">
        <v>141</v>
      </c>
      <c r="I900" s="30" t="s">
        <v>30</v>
      </c>
      <c r="J900" s="30" t="s">
        <v>142</v>
      </c>
      <c r="K900" s="30" t="s">
        <v>116</v>
      </c>
      <c r="L900" s="30" t="s">
        <v>146</v>
      </c>
      <c r="M900" s="48"/>
      <c r="N900" s="30"/>
      <c r="O900" s="30"/>
      <c r="P900" s="30"/>
    </row>
    <row r="901" spans="1:16" ht="45" customHeight="1">
      <c r="A901" s="30" t="s">
        <v>1941</v>
      </c>
      <c r="B901" s="47" t="s">
        <v>1937</v>
      </c>
      <c r="C901" s="48" t="s">
        <v>1942</v>
      </c>
      <c r="D901" s="30"/>
      <c r="E901" s="30"/>
      <c r="F901" s="30"/>
      <c r="G901" s="30"/>
      <c r="H901" s="30" t="s">
        <v>141</v>
      </c>
      <c r="I901" s="30" t="s">
        <v>31</v>
      </c>
      <c r="J901" s="30" t="s">
        <v>142</v>
      </c>
      <c r="K901" s="30" t="s">
        <v>116</v>
      </c>
      <c r="L901" s="30" t="s">
        <v>122</v>
      </c>
      <c r="M901" s="48" t="s">
        <v>314</v>
      </c>
      <c r="N901" s="30"/>
      <c r="O901" s="30"/>
      <c r="P901" s="30"/>
    </row>
    <row r="902" spans="1:16" ht="75" customHeight="1">
      <c r="A902" s="30" t="s">
        <v>1943</v>
      </c>
      <c r="B902" s="47" t="s">
        <v>1937</v>
      </c>
      <c r="C902" s="48" t="s">
        <v>1944</v>
      </c>
      <c r="D902" s="30"/>
      <c r="E902" s="30"/>
      <c r="F902" s="30"/>
      <c r="G902" s="30"/>
      <c r="H902" s="30" t="s">
        <v>141</v>
      </c>
      <c r="I902" s="30" t="s">
        <v>30</v>
      </c>
      <c r="J902" s="30" t="s">
        <v>144</v>
      </c>
      <c r="K902" s="30" t="s">
        <v>117</v>
      </c>
      <c r="L902" s="30" t="s">
        <v>122</v>
      </c>
      <c r="M902" s="48"/>
      <c r="N902" s="30"/>
      <c r="O902" s="30"/>
      <c r="P902" s="30"/>
    </row>
    <row r="903" spans="1:16" ht="60" customHeight="1">
      <c r="A903" s="30" t="s">
        <v>1945</v>
      </c>
      <c r="B903" s="47" t="s">
        <v>1937</v>
      </c>
      <c r="C903" s="48" t="s">
        <v>1946</v>
      </c>
      <c r="D903" s="30"/>
      <c r="E903" s="30"/>
      <c r="F903" s="30"/>
      <c r="G903" s="30"/>
      <c r="H903" s="30" t="s">
        <v>141</v>
      </c>
      <c r="I903" s="30" t="s">
        <v>30</v>
      </c>
      <c r="J903" s="30" t="s">
        <v>144</v>
      </c>
      <c r="K903" s="30" t="s">
        <v>117</v>
      </c>
      <c r="L903" s="30" t="s">
        <v>122</v>
      </c>
      <c r="M903" s="48"/>
      <c r="N903" s="30"/>
      <c r="O903" s="30"/>
      <c r="P903" s="30"/>
    </row>
    <row r="904" spans="1:16" ht="60" customHeight="1">
      <c r="A904" s="30" t="s">
        <v>1947</v>
      </c>
      <c r="B904" s="47" t="s">
        <v>1937</v>
      </c>
      <c r="C904" s="48" t="s">
        <v>1948</v>
      </c>
      <c r="D904" s="30"/>
      <c r="E904" s="30"/>
      <c r="F904" s="30"/>
      <c r="G904" s="30"/>
      <c r="H904" s="30" t="s">
        <v>141</v>
      </c>
      <c r="I904" s="30" t="s">
        <v>30</v>
      </c>
      <c r="J904" s="30" t="s">
        <v>144</v>
      </c>
      <c r="K904" s="30" t="s">
        <v>117</v>
      </c>
      <c r="L904" s="30" t="s">
        <v>122</v>
      </c>
      <c r="M904" s="48"/>
      <c r="N904" s="30"/>
      <c r="O904" s="30"/>
      <c r="P904" s="30"/>
    </row>
    <row r="905" spans="1:16" ht="60" customHeight="1">
      <c r="A905" s="30" t="s">
        <v>1949</v>
      </c>
      <c r="B905" s="47" t="s">
        <v>1937</v>
      </c>
      <c r="C905" s="48" t="s">
        <v>1950</v>
      </c>
      <c r="D905" s="30"/>
      <c r="E905" s="30"/>
      <c r="F905" s="30"/>
      <c r="G905" s="30"/>
      <c r="H905" s="30" t="s">
        <v>141</v>
      </c>
      <c r="I905" s="30" t="s">
        <v>30</v>
      </c>
      <c r="J905" s="30" t="s">
        <v>144</v>
      </c>
      <c r="K905" s="30" t="s">
        <v>117</v>
      </c>
      <c r="L905" s="30" t="s">
        <v>122</v>
      </c>
      <c r="M905" s="48"/>
      <c r="N905" s="30"/>
      <c r="O905" s="30"/>
      <c r="P905" s="30"/>
    </row>
    <row r="906" spans="1:16" ht="45" customHeight="1">
      <c r="A906" s="30" t="s">
        <v>1951</v>
      </c>
      <c r="B906" s="47" t="s">
        <v>1937</v>
      </c>
      <c r="C906" s="48" t="s">
        <v>1952</v>
      </c>
      <c r="D906" s="30"/>
      <c r="E906" s="30"/>
      <c r="F906" s="30"/>
      <c r="G906" t="s">
        <v>4027</v>
      </c>
      <c r="H906" s="30" t="s">
        <v>141</v>
      </c>
      <c r="I906" s="30" t="s">
        <v>30</v>
      </c>
      <c r="J906" s="30" t="s">
        <v>142</v>
      </c>
      <c r="K906" s="30" t="s">
        <v>116</v>
      </c>
      <c r="L906" s="30" t="s">
        <v>146</v>
      </c>
      <c r="M906" s="48"/>
      <c r="N906" s="30"/>
      <c r="O906" s="30"/>
      <c r="P906" s="30"/>
    </row>
    <row r="907" spans="1:16" ht="45" customHeight="1">
      <c r="A907" s="30" t="s">
        <v>1953</v>
      </c>
      <c r="B907" s="47" t="s">
        <v>1937</v>
      </c>
      <c r="C907" s="48" t="s">
        <v>1954</v>
      </c>
      <c r="D907" s="30"/>
      <c r="E907" s="30"/>
      <c r="F907" s="30"/>
      <c r="G907" s="30"/>
      <c r="H907" s="30" t="s">
        <v>141</v>
      </c>
      <c r="I907" s="30" t="s">
        <v>31</v>
      </c>
      <c r="J907" s="30" t="s">
        <v>142</v>
      </c>
      <c r="K907" s="30" t="s">
        <v>116</v>
      </c>
      <c r="L907" s="30" t="s">
        <v>122</v>
      </c>
      <c r="M907" s="48" t="s">
        <v>314</v>
      </c>
      <c r="N907" s="30"/>
      <c r="O907" s="30"/>
      <c r="P907" s="30"/>
    </row>
    <row r="908" spans="1:16" ht="45" customHeight="1">
      <c r="A908" s="30" t="s">
        <v>1955</v>
      </c>
      <c r="B908" s="47" t="s">
        <v>1937</v>
      </c>
      <c r="C908" s="48" t="s">
        <v>1956</v>
      </c>
      <c r="D908" s="30"/>
      <c r="E908" s="30"/>
      <c r="F908" s="30"/>
      <c r="G908" t="s">
        <v>4027</v>
      </c>
      <c r="H908" s="30" t="s">
        <v>141</v>
      </c>
      <c r="I908" s="30" t="s">
        <v>30</v>
      </c>
      <c r="J908" s="30" t="s">
        <v>142</v>
      </c>
      <c r="K908" s="30" t="s">
        <v>116</v>
      </c>
      <c r="L908" s="30" t="s">
        <v>146</v>
      </c>
      <c r="M908" s="48"/>
      <c r="N908" s="30"/>
      <c r="O908" s="30"/>
      <c r="P908" s="30"/>
    </row>
    <row r="909" spans="1:16" ht="60" customHeight="1">
      <c r="A909" s="30" t="s">
        <v>1957</v>
      </c>
      <c r="B909" s="47" t="s">
        <v>1937</v>
      </c>
      <c r="C909" s="48" t="s">
        <v>1958</v>
      </c>
      <c r="D909" s="30"/>
      <c r="E909" s="30"/>
      <c r="F909" s="30"/>
      <c r="G909" s="30"/>
      <c r="H909" s="30" t="s">
        <v>141</v>
      </c>
      <c r="I909" s="30" t="s">
        <v>31</v>
      </c>
      <c r="J909" s="30" t="s">
        <v>142</v>
      </c>
      <c r="K909" s="30" t="s">
        <v>116</v>
      </c>
      <c r="L909" s="30" t="s">
        <v>122</v>
      </c>
      <c r="M909" s="48" t="s">
        <v>314</v>
      </c>
      <c r="N909" s="30"/>
      <c r="O909" s="30"/>
      <c r="P909" s="30"/>
    </row>
    <row r="910" spans="1:16" ht="60" customHeight="1">
      <c r="A910" s="30" t="s">
        <v>1959</v>
      </c>
      <c r="B910" s="47" t="s">
        <v>1960</v>
      </c>
      <c r="C910" s="48" t="s">
        <v>1961</v>
      </c>
      <c r="D910" s="30"/>
      <c r="E910" s="30"/>
      <c r="F910" s="30"/>
      <c r="G910" s="30"/>
      <c r="H910" s="30" t="s">
        <v>141</v>
      </c>
      <c r="I910" s="30" t="s">
        <v>31</v>
      </c>
      <c r="J910" s="30" t="s">
        <v>142</v>
      </c>
      <c r="K910" s="30" t="s">
        <v>116</v>
      </c>
      <c r="L910" s="30" t="s">
        <v>122</v>
      </c>
      <c r="M910" s="48" t="s">
        <v>314</v>
      </c>
      <c r="N910" s="30"/>
      <c r="O910" s="30"/>
      <c r="P910" s="30"/>
    </row>
    <row r="911" spans="1:16" ht="45" customHeight="1">
      <c r="A911" s="30" t="s">
        <v>1962</v>
      </c>
      <c r="B911" s="47" t="s">
        <v>1960</v>
      </c>
      <c r="C911" s="48" t="s">
        <v>1963</v>
      </c>
      <c r="D911" s="30"/>
      <c r="E911" s="30"/>
      <c r="F911" s="30"/>
      <c r="G911" t="s">
        <v>4027</v>
      </c>
      <c r="H911" s="30" t="s">
        <v>141</v>
      </c>
      <c r="I911" s="30" t="s">
        <v>30</v>
      </c>
      <c r="J911" s="30" t="s">
        <v>142</v>
      </c>
      <c r="K911" s="30" t="s">
        <v>116</v>
      </c>
      <c r="L911" s="30" t="s">
        <v>146</v>
      </c>
      <c r="M911" s="48"/>
      <c r="N911" s="30"/>
      <c r="O911" s="30"/>
      <c r="P911" s="30"/>
    </row>
    <row r="912" spans="1:16" ht="45" customHeight="1">
      <c r="A912" s="30" t="s">
        <v>1964</v>
      </c>
      <c r="B912" s="47" t="s">
        <v>1960</v>
      </c>
      <c r="C912" s="48" t="s">
        <v>1965</v>
      </c>
      <c r="D912" s="30"/>
      <c r="E912" s="30"/>
      <c r="F912" s="30"/>
      <c r="G912" s="30"/>
      <c r="H912" s="30" t="s">
        <v>141</v>
      </c>
      <c r="I912" s="30" t="s">
        <v>30</v>
      </c>
      <c r="J912" s="30" t="s">
        <v>144</v>
      </c>
      <c r="K912" s="30" t="s">
        <v>117</v>
      </c>
      <c r="L912" s="30" t="s">
        <v>122</v>
      </c>
      <c r="M912" s="48"/>
      <c r="N912" s="30"/>
      <c r="O912" s="30"/>
      <c r="P912" s="30"/>
    </row>
    <row r="913" spans="1:16" ht="45" customHeight="1">
      <c r="A913" s="30" t="s">
        <v>1966</v>
      </c>
      <c r="B913" s="47" t="s">
        <v>1960</v>
      </c>
      <c r="C913" s="48" t="s">
        <v>1967</v>
      </c>
      <c r="D913" s="30"/>
      <c r="E913" s="30"/>
      <c r="F913" s="30"/>
      <c r="G913" t="s">
        <v>4027</v>
      </c>
      <c r="H913" s="30" t="s">
        <v>141</v>
      </c>
      <c r="I913" s="30" t="s">
        <v>30</v>
      </c>
      <c r="J913" s="30" t="s">
        <v>142</v>
      </c>
      <c r="K913" s="30" t="s">
        <v>116</v>
      </c>
      <c r="L913" s="30" t="s">
        <v>146</v>
      </c>
      <c r="M913" s="48"/>
      <c r="N913" s="30"/>
      <c r="O913" s="30"/>
      <c r="P913" s="30"/>
    </row>
    <row r="914" spans="1:16" ht="45" customHeight="1">
      <c r="A914" s="30" t="s">
        <v>1968</v>
      </c>
      <c r="B914" s="47" t="s">
        <v>1960</v>
      </c>
      <c r="C914" s="48" t="s">
        <v>1969</v>
      </c>
      <c r="D914" s="30"/>
      <c r="E914" s="30"/>
      <c r="F914" s="30"/>
      <c r="G914" s="30"/>
      <c r="H914" s="30" t="s">
        <v>141</v>
      </c>
      <c r="I914" s="30" t="s">
        <v>31</v>
      </c>
      <c r="J914" s="30" t="s">
        <v>142</v>
      </c>
      <c r="K914" s="30" t="s">
        <v>116</v>
      </c>
      <c r="L914" s="30" t="s">
        <v>122</v>
      </c>
      <c r="M914" s="48" t="s">
        <v>314</v>
      </c>
      <c r="N914" s="30"/>
      <c r="O914" s="30"/>
      <c r="P914" s="30"/>
    </row>
    <row r="915" spans="1:16" ht="45" customHeight="1">
      <c r="A915" s="30" t="s">
        <v>1970</v>
      </c>
      <c r="B915" s="47" t="s">
        <v>1960</v>
      </c>
      <c r="C915" s="48" t="s">
        <v>1971</v>
      </c>
      <c r="D915" s="30"/>
      <c r="E915" s="30"/>
      <c r="F915" s="30"/>
      <c r="G915" s="30"/>
      <c r="H915" s="30" t="s">
        <v>141</v>
      </c>
      <c r="I915" s="30" t="s">
        <v>30</v>
      </c>
      <c r="J915" s="30" t="s">
        <v>144</v>
      </c>
      <c r="K915" s="30" t="s">
        <v>117</v>
      </c>
      <c r="L915" s="30" t="s">
        <v>122</v>
      </c>
      <c r="M915" s="48"/>
      <c r="N915" s="30"/>
      <c r="O915" s="30"/>
      <c r="P915" s="30"/>
    </row>
    <row r="916" spans="1:16" ht="30" customHeight="1">
      <c r="A916" s="30" t="s">
        <v>1972</v>
      </c>
      <c r="B916" s="47" t="s">
        <v>1960</v>
      </c>
      <c r="C916" s="48" t="s">
        <v>1973</v>
      </c>
      <c r="D916" s="30"/>
      <c r="E916" s="30"/>
      <c r="F916" s="30"/>
      <c r="G916" t="s">
        <v>4027</v>
      </c>
      <c r="H916" s="30" t="s">
        <v>141</v>
      </c>
      <c r="I916" s="30" t="s">
        <v>30</v>
      </c>
      <c r="J916" s="30" t="s">
        <v>142</v>
      </c>
      <c r="K916" s="30" t="s">
        <v>116</v>
      </c>
      <c r="L916" s="30" t="s">
        <v>146</v>
      </c>
      <c r="M916" s="48"/>
      <c r="N916" s="30"/>
      <c r="O916" s="30"/>
      <c r="P916" s="30"/>
    </row>
    <row r="917" spans="1:16" ht="75" customHeight="1">
      <c r="A917" s="30" t="s">
        <v>1974</v>
      </c>
      <c r="B917" s="47" t="s">
        <v>1960</v>
      </c>
      <c r="C917" s="48" t="s">
        <v>1975</v>
      </c>
      <c r="D917" s="30"/>
      <c r="E917" s="30"/>
      <c r="F917" s="30"/>
      <c r="G917" s="30"/>
      <c r="H917" s="30" t="s">
        <v>141</v>
      </c>
      <c r="I917" s="30" t="s">
        <v>30</v>
      </c>
      <c r="J917" s="30" t="s">
        <v>144</v>
      </c>
      <c r="K917" s="30" t="s">
        <v>117</v>
      </c>
      <c r="L917" s="30" t="s">
        <v>122</v>
      </c>
      <c r="M917" s="48"/>
      <c r="N917" s="30"/>
      <c r="O917" s="30"/>
      <c r="P917" s="30"/>
    </row>
    <row r="918" spans="1:16" ht="45" customHeight="1">
      <c r="A918" s="30" t="s">
        <v>1976</v>
      </c>
      <c r="B918" s="47" t="s">
        <v>1960</v>
      </c>
      <c r="C918" s="48" t="s">
        <v>1977</v>
      </c>
      <c r="D918" s="30"/>
      <c r="E918" s="30"/>
      <c r="F918" s="30"/>
      <c r="G918" t="s">
        <v>4027</v>
      </c>
      <c r="H918" s="30" t="s">
        <v>141</v>
      </c>
      <c r="I918" s="30" t="s">
        <v>30</v>
      </c>
      <c r="J918" s="30" t="s">
        <v>142</v>
      </c>
      <c r="K918" s="30" t="s">
        <v>116</v>
      </c>
      <c r="L918" s="30" t="s">
        <v>146</v>
      </c>
      <c r="M918" s="48"/>
      <c r="N918" s="30"/>
      <c r="O918" s="30"/>
      <c r="P918" s="30"/>
    </row>
    <row r="919" spans="1:16" ht="45" customHeight="1">
      <c r="A919" s="30" t="s">
        <v>1978</v>
      </c>
      <c r="B919" s="47" t="s">
        <v>1960</v>
      </c>
      <c r="C919" s="48" t="s">
        <v>1979</v>
      </c>
      <c r="D919" s="30"/>
      <c r="E919" s="30"/>
      <c r="F919" s="30"/>
      <c r="G919" t="s">
        <v>4027</v>
      </c>
      <c r="H919" s="30" t="s">
        <v>141</v>
      </c>
      <c r="I919" s="30" t="s">
        <v>30</v>
      </c>
      <c r="J919" s="30" t="s">
        <v>142</v>
      </c>
      <c r="K919" s="30" t="s">
        <v>116</v>
      </c>
      <c r="L919" s="30" t="s">
        <v>146</v>
      </c>
      <c r="M919" s="48"/>
      <c r="N919" s="30"/>
      <c r="O919" s="30"/>
      <c r="P919" s="30"/>
    </row>
    <row r="920" spans="1:16" ht="60" customHeight="1">
      <c r="A920" s="30" t="s">
        <v>1980</v>
      </c>
      <c r="B920" s="47" t="s">
        <v>1960</v>
      </c>
      <c r="C920" s="48" t="s">
        <v>1981</v>
      </c>
      <c r="D920" s="30"/>
      <c r="E920" s="30"/>
      <c r="F920" s="30"/>
      <c r="G920" s="30"/>
      <c r="H920" s="30" t="s">
        <v>141</v>
      </c>
      <c r="I920" s="30" t="s">
        <v>30</v>
      </c>
      <c r="J920" s="30" t="s">
        <v>144</v>
      </c>
      <c r="K920" s="30" t="s">
        <v>117</v>
      </c>
      <c r="L920" s="30" t="s">
        <v>122</v>
      </c>
      <c r="M920" s="48"/>
      <c r="N920" s="30"/>
      <c r="O920" s="30"/>
      <c r="P920" s="30"/>
    </row>
    <row r="921" spans="1:16" ht="135" customHeight="1">
      <c r="A921" s="30" t="s">
        <v>1982</v>
      </c>
      <c r="B921" s="47" t="s">
        <v>1983</v>
      </c>
      <c r="C921" s="48" t="s">
        <v>3820</v>
      </c>
      <c r="D921" s="30"/>
      <c r="E921" s="30"/>
      <c r="F921" s="30"/>
      <c r="G921" s="30"/>
      <c r="H921" s="30" t="s">
        <v>141</v>
      </c>
      <c r="I921" s="30" t="s">
        <v>30</v>
      </c>
      <c r="J921" s="30" t="s">
        <v>144</v>
      </c>
      <c r="K921" s="30" t="s">
        <v>117</v>
      </c>
      <c r="L921" s="30" t="s">
        <v>122</v>
      </c>
      <c r="M921" s="48"/>
      <c r="N921" s="30"/>
      <c r="O921" s="30"/>
      <c r="P921" s="30"/>
    </row>
    <row r="922" spans="1:16" ht="45" customHeight="1">
      <c r="A922" s="30" t="s">
        <v>1984</v>
      </c>
      <c r="B922" s="47" t="s">
        <v>1983</v>
      </c>
      <c r="C922" s="48" t="s">
        <v>1985</v>
      </c>
      <c r="D922" s="30"/>
      <c r="E922" s="30"/>
      <c r="F922" s="30"/>
      <c r="G922" t="s">
        <v>4027</v>
      </c>
      <c r="H922" s="30" t="s">
        <v>141</v>
      </c>
      <c r="I922" s="30" t="s">
        <v>30</v>
      </c>
      <c r="J922" s="30" t="s">
        <v>142</v>
      </c>
      <c r="K922" s="30" t="s">
        <v>116</v>
      </c>
      <c r="L922" s="30" t="s">
        <v>146</v>
      </c>
      <c r="M922" s="48"/>
      <c r="N922" s="30"/>
      <c r="O922" s="30"/>
      <c r="P922" s="30"/>
    </row>
    <row r="923" spans="1:16" ht="45" customHeight="1">
      <c r="A923" s="30" t="s">
        <v>1986</v>
      </c>
      <c r="B923" s="47" t="s">
        <v>1983</v>
      </c>
      <c r="C923" s="48" t="s">
        <v>1987</v>
      </c>
      <c r="D923" s="30"/>
      <c r="E923" s="30"/>
      <c r="F923" s="30"/>
      <c r="G923" s="30"/>
      <c r="H923" s="30" t="s">
        <v>141</v>
      </c>
      <c r="I923" s="30" t="s">
        <v>31</v>
      </c>
      <c r="J923" s="30" t="s">
        <v>142</v>
      </c>
      <c r="K923" s="30" t="s">
        <v>116</v>
      </c>
      <c r="L923" s="30" t="s">
        <v>122</v>
      </c>
      <c r="M923" s="48" t="s">
        <v>314</v>
      </c>
      <c r="N923" s="30"/>
      <c r="O923" s="30"/>
      <c r="P923" s="30"/>
    </row>
    <row r="924" spans="1:16" ht="45" customHeight="1">
      <c r="A924" s="30" t="s">
        <v>1988</v>
      </c>
      <c r="B924" s="47" t="s">
        <v>1983</v>
      </c>
      <c r="C924" s="48" t="s">
        <v>1989</v>
      </c>
      <c r="D924" s="30"/>
      <c r="E924" s="30"/>
      <c r="F924" s="30"/>
      <c r="G924" t="s">
        <v>4027</v>
      </c>
      <c r="H924" s="30" t="s">
        <v>141</v>
      </c>
      <c r="I924" s="30" t="s">
        <v>30</v>
      </c>
      <c r="J924" s="30" t="s">
        <v>142</v>
      </c>
      <c r="K924" s="30" t="s">
        <v>116</v>
      </c>
      <c r="L924" s="30" t="s">
        <v>146</v>
      </c>
      <c r="M924" s="48"/>
      <c r="N924" s="30"/>
      <c r="O924" s="30"/>
      <c r="P924" s="30"/>
    </row>
    <row r="925" spans="1:16" ht="45" customHeight="1">
      <c r="A925" s="30" t="s">
        <v>1990</v>
      </c>
      <c r="B925" s="47" t="s">
        <v>1983</v>
      </c>
      <c r="C925" s="48" t="s">
        <v>1991</v>
      </c>
      <c r="D925" s="30"/>
      <c r="E925" s="30"/>
      <c r="F925" s="30"/>
      <c r="G925" s="30"/>
      <c r="H925" s="30" t="s">
        <v>141</v>
      </c>
      <c r="I925" s="30" t="s">
        <v>31</v>
      </c>
      <c r="J925" s="30" t="s">
        <v>142</v>
      </c>
      <c r="K925" s="30" t="s">
        <v>116</v>
      </c>
      <c r="L925" s="30" t="s">
        <v>122</v>
      </c>
      <c r="M925" s="48" t="s">
        <v>314</v>
      </c>
      <c r="N925" s="30"/>
      <c r="O925" s="30"/>
      <c r="P925" s="30"/>
    </row>
    <row r="926" spans="1:16" ht="60" customHeight="1">
      <c r="A926" s="30" t="s">
        <v>1992</v>
      </c>
      <c r="B926" s="47" t="s">
        <v>1983</v>
      </c>
      <c r="C926" s="48" t="s">
        <v>1993</v>
      </c>
      <c r="D926" s="30"/>
      <c r="E926" s="30"/>
      <c r="F926" s="30"/>
      <c r="G926" t="s">
        <v>4027</v>
      </c>
      <c r="H926" s="30" t="s">
        <v>141</v>
      </c>
      <c r="I926" s="30" t="s">
        <v>30</v>
      </c>
      <c r="J926" s="30" t="s">
        <v>142</v>
      </c>
      <c r="K926" s="30" t="s">
        <v>116</v>
      </c>
      <c r="L926" s="30" t="s">
        <v>146</v>
      </c>
      <c r="M926" s="48"/>
      <c r="N926" s="30"/>
      <c r="O926" s="30"/>
      <c r="P926" s="30"/>
    </row>
    <row r="927" spans="1:16" ht="60" customHeight="1">
      <c r="A927" s="30" t="s">
        <v>1994</v>
      </c>
      <c r="B927" s="47" t="s">
        <v>1983</v>
      </c>
      <c r="C927" s="48" t="s">
        <v>1995</v>
      </c>
      <c r="D927" s="30"/>
      <c r="E927" s="30"/>
      <c r="F927" s="30"/>
      <c r="G927" s="30"/>
      <c r="H927" s="30" t="s">
        <v>141</v>
      </c>
      <c r="I927" s="30" t="s">
        <v>31</v>
      </c>
      <c r="J927" s="30" t="s">
        <v>142</v>
      </c>
      <c r="K927" s="30" t="s">
        <v>116</v>
      </c>
      <c r="L927" s="30" t="s">
        <v>122</v>
      </c>
      <c r="M927" s="48" t="s">
        <v>314</v>
      </c>
      <c r="N927" s="30"/>
      <c r="O927" s="30"/>
      <c r="P927" s="30"/>
    </row>
    <row r="928" spans="1:16" ht="60" customHeight="1">
      <c r="A928" s="30" t="s">
        <v>1996</v>
      </c>
      <c r="B928" s="47" t="s">
        <v>1983</v>
      </c>
      <c r="C928" s="48" t="s">
        <v>1997</v>
      </c>
      <c r="D928" s="30"/>
      <c r="E928" s="30"/>
      <c r="F928" s="30"/>
      <c r="G928" t="s">
        <v>4027</v>
      </c>
      <c r="H928" s="30" t="s">
        <v>141</v>
      </c>
      <c r="I928" s="30" t="s">
        <v>30</v>
      </c>
      <c r="J928" s="30" t="s">
        <v>142</v>
      </c>
      <c r="K928" s="30" t="s">
        <v>116</v>
      </c>
      <c r="L928" s="30" t="s">
        <v>146</v>
      </c>
      <c r="M928" s="48"/>
      <c r="N928" s="30"/>
      <c r="O928" s="30"/>
      <c r="P928" s="30"/>
    </row>
    <row r="929" spans="1:16" ht="45" customHeight="1">
      <c r="A929" s="30" t="s">
        <v>1998</v>
      </c>
      <c r="B929" s="47" t="s">
        <v>1983</v>
      </c>
      <c r="C929" s="48" t="s">
        <v>1999</v>
      </c>
      <c r="D929" s="30"/>
      <c r="E929" s="30"/>
      <c r="F929" s="30"/>
      <c r="G929" s="30"/>
      <c r="H929" s="30" t="s">
        <v>141</v>
      </c>
      <c r="I929" s="30" t="s">
        <v>30</v>
      </c>
      <c r="J929" s="30" t="s">
        <v>144</v>
      </c>
      <c r="K929" s="30" t="s">
        <v>117</v>
      </c>
      <c r="L929" s="30" t="s">
        <v>122</v>
      </c>
      <c r="M929" s="48"/>
      <c r="N929" s="30"/>
      <c r="O929" s="30"/>
      <c r="P929" s="30"/>
    </row>
    <row r="930" spans="1:16" ht="45" customHeight="1">
      <c r="A930" s="30" t="s">
        <v>2000</v>
      </c>
      <c r="B930" s="47" t="s">
        <v>1983</v>
      </c>
      <c r="C930" s="48" t="s">
        <v>2001</v>
      </c>
      <c r="D930" s="30"/>
      <c r="E930" s="30"/>
      <c r="F930" s="30"/>
      <c r="G930" t="s">
        <v>4027</v>
      </c>
      <c r="H930" s="30" t="s">
        <v>141</v>
      </c>
      <c r="I930" s="30" t="s">
        <v>30</v>
      </c>
      <c r="J930" s="30" t="s">
        <v>142</v>
      </c>
      <c r="K930" s="30" t="s">
        <v>116</v>
      </c>
      <c r="L930" s="30" t="s">
        <v>146</v>
      </c>
      <c r="M930" s="48"/>
      <c r="N930" s="30"/>
      <c r="O930" s="30"/>
      <c r="P930" s="30"/>
    </row>
    <row r="931" spans="1:16" ht="45" customHeight="1">
      <c r="A931" s="30" t="s">
        <v>2002</v>
      </c>
      <c r="B931" s="47" t="s">
        <v>1983</v>
      </c>
      <c r="C931" s="48" t="s">
        <v>2003</v>
      </c>
      <c r="D931" s="30"/>
      <c r="E931" s="30"/>
      <c r="F931" s="30"/>
      <c r="G931" s="30"/>
      <c r="H931" s="30" t="s">
        <v>141</v>
      </c>
      <c r="I931" s="30" t="s">
        <v>31</v>
      </c>
      <c r="J931" s="30" t="s">
        <v>142</v>
      </c>
      <c r="K931" s="30" t="s">
        <v>116</v>
      </c>
      <c r="L931" s="30" t="s">
        <v>122</v>
      </c>
      <c r="M931" s="48" t="s">
        <v>314</v>
      </c>
      <c r="N931" s="30"/>
      <c r="O931" s="30"/>
      <c r="P931" s="30"/>
    </row>
    <row r="932" spans="1:16" ht="45" customHeight="1">
      <c r="A932" s="30" t="s">
        <v>2004</v>
      </c>
      <c r="B932" s="47" t="s">
        <v>1983</v>
      </c>
      <c r="C932" s="48" t="s">
        <v>2005</v>
      </c>
      <c r="D932" s="30"/>
      <c r="E932" s="30"/>
      <c r="F932" s="30"/>
      <c r="G932" s="30"/>
      <c r="H932" s="30" t="s">
        <v>141</v>
      </c>
      <c r="I932" s="30" t="s">
        <v>30</v>
      </c>
      <c r="J932" s="30" t="s">
        <v>144</v>
      </c>
      <c r="K932" s="30" t="s">
        <v>117</v>
      </c>
      <c r="L932" s="30" t="s">
        <v>122</v>
      </c>
      <c r="M932" s="48"/>
      <c r="N932" s="30"/>
      <c r="O932" s="30"/>
      <c r="P932" s="30"/>
    </row>
    <row r="933" spans="1:16" s="31" customFormat="1">
      <c r="A933" s="30" t="s">
        <v>2006</v>
      </c>
      <c r="B933" s="47" t="s">
        <v>1983</v>
      </c>
      <c r="C933" s="48" t="s">
        <v>2007</v>
      </c>
      <c r="D933" s="30"/>
      <c r="E933" s="30"/>
      <c r="F933" s="30"/>
      <c r="G933" s="31" t="s">
        <v>4027</v>
      </c>
      <c r="H933" s="30" t="s">
        <v>141</v>
      </c>
      <c r="I933" s="30" t="s">
        <v>30</v>
      </c>
      <c r="J933" s="30" t="s">
        <v>142</v>
      </c>
      <c r="K933" s="30" t="s">
        <v>116</v>
      </c>
      <c r="L933" s="30" t="s">
        <v>146</v>
      </c>
      <c r="M933" s="48"/>
      <c r="N933" s="30"/>
      <c r="O933" s="30"/>
      <c r="P933" s="30"/>
    </row>
    <row r="934" spans="1:16" ht="45" customHeight="1">
      <c r="A934" s="30" t="s">
        <v>2008</v>
      </c>
      <c r="B934" s="47" t="s">
        <v>1983</v>
      </c>
      <c r="C934" s="48" t="s">
        <v>2009</v>
      </c>
      <c r="D934" s="30"/>
      <c r="E934" s="30"/>
      <c r="F934" s="30"/>
      <c r="G934" t="s">
        <v>4027</v>
      </c>
      <c r="H934" s="30" t="s">
        <v>141</v>
      </c>
      <c r="I934" s="30" t="s">
        <v>30</v>
      </c>
      <c r="J934" s="30" t="s">
        <v>142</v>
      </c>
      <c r="K934" s="30" t="s">
        <v>116</v>
      </c>
      <c r="L934" s="30" t="s">
        <v>146</v>
      </c>
      <c r="M934" s="48"/>
      <c r="N934" s="30"/>
      <c r="O934" s="30"/>
      <c r="P934" s="30"/>
    </row>
    <row r="935" spans="1:16" ht="120" customHeight="1">
      <c r="A935" s="30" t="s">
        <v>2010</v>
      </c>
      <c r="B935" s="47" t="s">
        <v>2011</v>
      </c>
      <c r="C935" s="48" t="s">
        <v>3823</v>
      </c>
      <c r="D935" s="30"/>
      <c r="E935" s="30"/>
      <c r="F935" s="30"/>
      <c r="G935" s="30"/>
      <c r="H935" s="30" t="s">
        <v>141</v>
      </c>
      <c r="I935" s="30" t="s">
        <v>30</v>
      </c>
      <c r="J935" s="30" t="s">
        <v>144</v>
      </c>
      <c r="K935" s="30" t="s">
        <v>117</v>
      </c>
      <c r="L935" s="30" t="s">
        <v>122</v>
      </c>
      <c r="M935" s="48"/>
      <c r="N935" s="30"/>
      <c r="O935" s="30"/>
      <c r="P935" s="30"/>
    </row>
    <row r="936" spans="1:16" ht="45" customHeight="1">
      <c r="A936" s="30" t="s">
        <v>2012</v>
      </c>
      <c r="B936" s="47" t="s">
        <v>2011</v>
      </c>
      <c r="C936" s="48" t="s">
        <v>2013</v>
      </c>
      <c r="D936" s="30"/>
      <c r="E936" s="30"/>
      <c r="F936" s="30"/>
      <c r="G936" t="s">
        <v>4027</v>
      </c>
      <c r="H936" s="30" t="s">
        <v>141</v>
      </c>
      <c r="I936" s="30" t="s">
        <v>30</v>
      </c>
      <c r="J936" s="30" t="s">
        <v>142</v>
      </c>
      <c r="K936" s="30" t="s">
        <v>116</v>
      </c>
      <c r="L936" s="30" t="s">
        <v>146</v>
      </c>
      <c r="M936" s="48"/>
      <c r="N936" s="30"/>
      <c r="O936" s="30"/>
      <c r="P936" s="30"/>
    </row>
    <row r="937" spans="1:16" ht="45" customHeight="1">
      <c r="A937" s="30" t="s">
        <v>2014</v>
      </c>
      <c r="B937" s="47" t="s">
        <v>2011</v>
      </c>
      <c r="C937" s="48" t="s">
        <v>2015</v>
      </c>
      <c r="D937" s="30"/>
      <c r="E937" s="30"/>
      <c r="F937" s="30"/>
      <c r="G937" s="30"/>
      <c r="H937" s="30" t="s">
        <v>141</v>
      </c>
      <c r="I937" s="30" t="s">
        <v>31</v>
      </c>
      <c r="J937" s="30" t="s">
        <v>142</v>
      </c>
      <c r="K937" s="30" t="s">
        <v>116</v>
      </c>
      <c r="L937" s="30" t="s">
        <v>122</v>
      </c>
      <c r="M937" s="48" t="s">
        <v>314</v>
      </c>
      <c r="N937" s="30"/>
      <c r="O937" s="30"/>
      <c r="P937" s="30"/>
    </row>
    <row r="938" spans="1:16" ht="60" customHeight="1">
      <c r="A938" s="30" t="s">
        <v>2016</v>
      </c>
      <c r="B938" s="47" t="s">
        <v>2011</v>
      </c>
      <c r="C938" s="48" t="s">
        <v>2017</v>
      </c>
      <c r="D938" s="30"/>
      <c r="E938" s="30"/>
      <c r="F938" s="30"/>
      <c r="G938" t="s">
        <v>4027</v>
      </c>
      <c r="H938" s="30" t="s">
        <v>141</v>
      </c>
      <c r="I938" s="30" t="s">
        <v>30</v>
      </c>
      <c r="J938" s="30" t="s">
        <v>142</v>
      </c>
      <c r="K938" s="30" t="s">
        <v>116</v>
      </c>
      <c r="L938" s="30" t="s">
        <v>146</v>
      </c>
      <c r="M938" s="48"/>
      <c r="N938" s="30"/>
      <c r="O938" s="30"/>
      <c r="P938" s="30"/>
    </row>
    <row r="939" spans="1:16" ht="60" customHeight="1">
      <c r="A939" s="30" t="s">
        <v>2018</v>
      </c>
      <c r="B939" s="47" t="s">
        <v>2011</v>
      </c>
      <c r="C939" s="48" t="s">
        <v>2019</v>
      </c>
      <c r="D939" s="30"/>
      <c r="E939" s="30"/>
      <c r="F939" s="30"/>
      <c r="G939" s="30"/>
      <c r="H939" s="30" t="s">
        <v>141</v>
      </c>
      <c r="I939" s="30" t="s">
        <v>31</v>
      </c>
      <c r="J939" s="30" t="s">
        <v>142</v>
      </c>
      <c r="K939" s="30" t="s">
        <v>116</v>
      </c>
      <c r="L939" s="30" t="s">
        <v>122</v>
      </c>
      <c r="M939" s="48" t="s">
        <v>314</v>
      </c>
      <c r="N939" s="30"/>
      <c r="O939" s="30"/>
      <c r="P939" s="30"/>
    </row>
    <row r="940" spans="1:16" ht="60" customHeight="1">
      <c r="A940" s="30" t="s">
        <v>2020</v>
      </c>
      <c r="B940" s="47" t="s">
        <v>2011</v>
      </c>
      <c r="C940" s="48" t="s">
        <v>2021</v>
      </c>
      <c r="D940" s="30"/>
      <c r="E940" s="30"/>
      <c r="F940" s="30"/>
      <c r="G940" t="s">
        <v>4027</v>
      </c>
      <c r="H940" s="30" t="s">
        <v>141</v>
      </c>
      <c r="I940" s="30" t="s">
        <v>30</v>
      </c>
      <c r="J940" s="30" t="s">
        <v>142</v>
      </c>
      <c r="K940" s="30" t="s">
        <v>116</v>
      </c>
      <c r="L940" s="30" t="s">
        <v>146</v>
      </c>
      <c r="M940" s="48"/>
      <c r="N940" s="30"/>
      <c r="O940" s="30"/>
      <c r="P940" s="30"/>
    </row>
    <row r="941" spans="1:16" ht="45" customHeight="1">
      <c r="A941" s="30" t="s">
        <v>2022</v>
      </c>
      <c r="B941" s="47" t="s">
        <v>2011</v>
      </c>
      <c r="C941" s="48" t="s">
        <v>2023</v>
      </c>
      <c r="D941" s="30"/>
      <c r="E941" s="30"/>
      <c r="F941" s="30"/>
      <c r="G941" t="s">
        <v>4027</v>
      </c>
      <c r="H941" s="30" t="s">
        <v>141</v>
      </c>
      <c r="I941" s="30" t="s">
        <v>30</v>
      </c>
      <c r="J941" s="30" t="s">
        <v>142</v>
      </c>
      <c r="K941" s="30" t="s">
        <v>116</v>
      </c>
      <c r="L941" s="30" t="s">
        <v>146</v>
      </c>
      <c r="M941" s="48"/>
      <c r="N941" s="30"/>
      <c r="O941" s="30"/>
      <c r="P941" s="30"/>
    </row>
    <row r="942" spans="1:16" ht="45" customHeight="1">
      <c r="A942" s="30" t="s">
        <v>2024</v>
      </c>
      <c r="B942" s="47" t="s">
        <v>2011</v>
      </c>
      <c r="C942" s="48" t="s">
        <v>2025</v>
      </c>
      <c r="D942" s="30"/>
      <c r="E942" s="30"/>
      <c r="F942" s="30"/>
      <c r="G942" s="30"/>
      <c r="H942" s="30" t="s">
        <v>141</v>
      </c>
      <c r="I942" s="30" t="s">
        <v>31</v>
      </c>
      <c r="J942" s="30" t="s">
        <v>142</v>
      </c>
      <c r="K942" s="30" t="s">
        <v>116</v>
      </c>
      <c r="L942" s="30" t="s">
        <v>122</v>
      </c>
      <c r="M942" s="48" t="s">
        <v>314</v>
      </c>
      <c r="N942" s="30"/>
      <c r="O942" s="30"/>
      <c r="P942" s="30"/>
    </row>
    <row r="943" spans="1:16" ht="45" customHeight="1">
      <c r="A943" s="30" t="s">
        <v>2026</v>
      </c>
      <c r="B943" s="47" t="s">
        <v>2011</v>
      </c>
      <c r="C943" s="48" t="s">
        <v>2027</v>
      </c>
      <c r="D943" s="30"/>
      <c r="E943" s="30"/>
      <c r="F943" s="30"/>
      <c r="G943" s="30"/>
      <c r="H943" s="30" t="s">
        <v>141</v>
      </c>
      <c r="I943" s="30" t="s">
        <v>30</v>
      </c>
      <c r="J943" s="30" t="s">
        <v>144</v>
      </c>
      <c r="K943" s="30" t="s">
        <v>117</v>
      </c>
      <c r="L943" s="30" t="s">
        <v>122</v>
      </c>
      <c r="M943" s="48"/>
      <c r="N943" s="30"/>
      <c r="O943" s="30"/>
      <c r="P943" s="30"/>
    </row>
    <row r="944" spans="1:16" ht="30" customHeight="1">
      <c r="A944" s="30" t="s">
        <v>2028</v>
      </c>
      <c r="B944" s="47" t="s">
        <v>2011</v>
      </c>
      <c r="C944" s="48" t="s">
        <v>2029</v>
      </c>
      <c r="D944" s="30"/>
      <c r="E944" s="30"/>
      <c r="F944" s="30"/>
      <c r="G944" t="s">
        <v>4027</v>
      </c>
      <c r="H944" s="30" t="s">
        <v>141</v>
      </c>
      <c r="I944" s="30" t="s">
        <v>30</v>
      </c>
      <c r="J944" s="30" t="s">
        <v>142</v>
      </c>
      <c r="K944" s="30" t="s">
        <v>116</v>
      </c>
      <c r="L944" s="30" t="s">
        <v>146</v>
      </c>
      <c r="M944" s="48"/>
      <c r="N944" s="30"/>
      <c r="O944" s="30"/>
      <c r="P944" s="30"/>
    </row>
    <row r="945" spans="1:16" ht="45" customHeight="1">
      <c r="A945" s="30" t="s">
        <v>2030</v>
      </c>
      <c r="B945" s="47" t="s">
        <v>2011</v>
      </c>
      <c r="C945" s="48" t="s">
        <v>2031</v>
      </c>
      <c r="D945" s="30"/>
      <c r="E945" s="30"/>
      <c r="F945" s="30"/>
      <c r="G945" s="30"/>
      <c r="H945" s="30" t="s">
        <v>141</v>
      </c>
      <c r="I945" s="30" t="s">
        <v>30</v>
      </c>
      <c r="J945" s="30" t="s">
        <v>144</v>
      </c>
      <c r="K945" s="30" t="s">
        <v>117</v>
      </c>
      <c r="L945" s="30" t="s">
        <v>122</v>
      </c>
      <c r="M945" s="48"/>
      <c r="N945" s="30"/>
      <c r="O945" s="30"/>
      <c r="P945" s="30"/>
    </row>
    <row r="946" spans="1:16" ht="30" customHeight="1">
      <c r="A946" s="30" t="s">
        <v>2032</v>
      </c>
      <c r="B946" s="47" t="s">
        <v>2011</v>
      </c>
      <c r="C946" s="48" t="s">
        <v>2033</v>
      </c>
      <c r="D946" s="30"/>
      <c r="E946" s="30"/>
      <c r="F946" s="30"/>
      <c r="G946" t="s">
        <v>4027</v>
      </c>
      <c r="H946" s="30" t="s">
        <v>141</v>
      </c>
      <c r="I946" s="30" t="s">
        <v>30</v>
      </c>
      <c r="J946" s="30" t="s">
        <v>142</v>
      </c>
      <c r="K946" s="30" t="s">
        <v>116</v>
      </c>
      <c r="L946" s="30" t="s">
        <v>146</v>
      </c>
      <c r="M946" s="48"/>
      <c r="N946" s="30"/>
      <c r="O946" s="30"/>
      <c r="P946" s="30"/>
    </row>
    <row r="947" spans="1:16" ht="45" customHeight="1">
      <c r="A947" s="30" t="s">
        <v>2034</v>
      </c>
      <c r="B947" s="47" t="s">
        <v>2011</v>
      </c>
      <c r="C947" s="48" t="s">
        <v>2035</v>
      </c>
      <c r="D947" s="30"/>
      <c r="E947" s="30"/>
      <c r="F947" s="30"/>
      <c r="G947" s="30"/>
      <c r="H947" s="30" t="s">
        <v>141</v>
      </c>
      <c r="I947" s="30" t="s">
        <v>30</v>
      </c>
      <c r="J947" s="30" t="s">
        <v>144</v>
      </c>
      <c r="K947" s="30" t="s">
        <v>117</v>
      </c>
      <c r="L947" s="30" t="s">
        <v>122</v>
      </c>
      <c r="M947" s="48"/>
      <c r="N947" s="30"/>
      <c r="O947" s="30"/>
      <c r="P947" s="30"/>
    </row>
    <row r="948" spans="1:16" s="31" customFormat="1" ht="30">
      <c r="A948" s="30" t="s">
        <v>2036</v>
      </c>
      <c r="B948" s="47" t="s">
        <v>2011</v>
      </c>
      <c r="C948" s="48" t="s">
        <v>2037</v>
      </c>
      <c r="D948" s="30"/>
      <c r="E948" s="30"/>
      <c r="F948" s="30"/>
      <c r="G948" s="31" t="s">
        <v>4027</v>
      </c>
      <c r="H948" s="30" t="s">
        <v>141</v>
      </c>
      <c r="I948" s="30" t="s">
        <v>30</v>
      </c>
      <c r="J948" s="30" t="s">
        <v>142</v>
      </c>
      <c r="K948" s="30" t="s">
        <v>116</v>
      </c>
      <c r="L948" s="30" t="s">
        <v>146</v>
      </c>
      <c r="M948" s="48"/>
      <c r="N948" s="30"/>
      <c r="O948" s="30"/>
      <c r="P948" s="30"/>
    </row>
    <row r="949" spans="1:16" s="31" customFormat="1" ht="30">
      <c r="A949" s="30" t="s">
        <v>2038</v>
      </c>
      <c r="B949" s="47" t="s">
        <v>2011</v>
      </c>
      <c r="C949" s="48" t="s">
        <v>2039</v>
      </c>
      <c r="D949" s="30"/>
      <c r="E949" s="30"/>
      <c r="F949" s="30"/>
      <c r="H949" s="30" t="s">
        <v>141</v>
      </c>
      <c r="I949" s="30" t="s">
        <v>30</v>
      </c>
      <c r="J949" s="30" t="s">
        <v>142</v>
      </c>
      <c r="K949" s="30" t="s">
        <v>116</v>
      </c>
      <c r="L949" s="30" t="s">
        <v>122</v>
      </c>
      <c r="M949" s="48" t="s">
        <v>4209</v>
      </c>
      <c r="N949" s="30"/>
      <c r="O949" s="30"/>
      <c r="P949" s="30"/>
    </row>
    <row r="950" spans="1:16" s="31" customFormat="1" ht="30">
      <c r="A950" s="30" t="s">
        <v>2040</v>
      </c>
      <c r="B950" s="47" t="s">
        <v>2011</v>
      </c>
      <c r="C950" s="48" t="s">
        <v>2041</v>
      </c>
      <c r="D950" s="30"/>
      <c r="E950" s="30"/>
      <c r="F950" s="30"/>
      <c r="H950" s="30" t="s">
        <v>141</v>
      </c>
      <c r="I950" s="30" t="s">
        <v>30</v>
      </c>
      <c r="J950" s="30" t="s">
        <v>144</v>
      </c>
      <c r="K950" s="30" t="s">
        <v>117</v>
      </c>
      <c r="L950" s="30" t="s">
        <v>122</v>
      </c>
      <c r="M950" s="48"/>
      <c r="N950" s="30"/>
      <c r="O950" s="30"/>
      <c r="P950" s="30"/>
    </row>
    <row r="951" spans="1:16" s="31" customFormat="1">
      <c r="A951" s="30" t="s">
        <v>2042</v>
      </c>
      <c r="B951" s="47" t="s">
        <v>2011</v>
      </c>
      <c r="C951" s="48" t="s">
        <v>2043</v>
      </c>
      <c r="D951" s="30"/>
      <c r="E951" s="30"/>
      <c r="F951" s="30"/>
      <c r="G951" s="31" t="s">
        <v>4027</v>
      </c>
      <c r="H951" s="30" t="s">
        <v>141</v>
      </c>
      <c r="I951" s="30" t="s">
        <v>30</v>
      </c>
      <c r="J951" s="30" t="s">
        <v>142</v>
      </c>
      <c r="K951" s="30" t="s">
        <v>116</v>
      </c>
      <c r="L951" s="30" t="s">
        <v>146</v>
      </c>
      <c r="M951" s="48"/>
      <c r="N951" s="30"/>
      <c r="O951" s="30"/>
      <c r="P951" s="30"/>
    </row>
    <row r="952" spans="1:16" ht="45" customHeight="1">
      <c r="A952" s="30" t="s">
        <v>2044</v>
      </c>
      <c r="B952" s="47" t="s">
        <v>2011</v>
      </c>
      <c r="C952" s="49" t="s">
        <v>2045</v>
      </c>
      <c r="D952" s="30"/>
      <c r="E952" s="30"/>
      <c r="F952" s="30"/>
      <c r="G952" s="30"/>
      <c r="H952" s="30" t="s">
        <v>141</v>
      </c>
      <c r="I952" s="30" t="s">
        <v>30</v>
      </c>
      <c r="J952" s="30" t="s">
        <v>144</v>
      </c>
      <c r="K952" s="30" t="s">
        <v>117</v>
      </c>
      <c r="L952" s="30" t="s">
        <v>122</v>
      </c>
      <c r="M952" s="48"/>
      <c r="N952" s="30"/>
      <c r="O952" s="30"/>
      <c r="P952" s="30"/>
    </row>
    <row r="953" spans="1:16" s="31" customFormat="1" ht="30">
      <c r="A953" s="30" t="s">
        <v>2046</v>
      </c>
      <c r="B953" s="47" t="s">
        <v>2011</v>
      </c>
      <c r="C953" s="49" t="s">
        <v>2047</v>
      </c>
      <c r="D953" s="30"/>
      <c r="E953" s="30"/>
      <c r="F953" s="30"/>
      <c r="G953" s="31" t="s">
        <v>4027</v>
      </c>
      <c r="H953" s="30" t="s">
        <v>141</v>
      </c>
      <c r="I953" s="30" t="s">
        <v>30</v>
      </c>
      <c r="J953" s="30" t="s">
        <v>142</v>
      </c>
      <c r="K953" s="30" t="s">
        <v>116</v>
      </c>
      <c r="L953" s="30" t="s">
        <v>146</v>
      </c>
      <c r="M953" s="48"/>
      <c r="N953" s="30"/>
      <c r="O953" s="30"/>
      <c r="P953" s="30"/>
    </row>
    <row r="954" spans="1:16" s="31" customFormat="1" ht="30">
      <c r="A954" s="30" t="s">
        <v>2048</v>
      </c>
      <c r="B954" s="47" t="s">
        <v>2011</v>
      </c>
      <c r="C954" s="48" t="s">
        <v>2049</v>
      </c>
      <c r="D954" s="30"/>
      <c r="E954" s="30"/>
      <c r="F954" s="30"/>
      <c r="H954" s="30" t="s">
        <v>141</v>
      </c>
      <c r="I954" s="30" t="s">
        <v>30</v>
      </c>
      <c r="J954" s="30" t="s">
        <v>142</v>
      </c>
      <c r="K954" s="30" t="s">
        <v>116</v>
      </c>
      <c r="L954" s="30" t="s">
        <v>122</v>
      </c>
      <c r="M954" s="48" t="s">
        <v>4209</v>
      </c>
      <c r="N954" s="30"/>
      <c r="O954" s="30"/>
      <c r="P954" s="30"/>
    </row>
    <row r="955" spans="1:16" s="31" customFormat="1" ht="45">
      <c r="A955" s="30" t="s">
        <v>2050</v>
      </c>
      <c r="B955" s="47" t="s">
        <v>2051</v>
      </c>
      <c r="C955" s="48" t="s">
        <v>4043</v>
      </c>
      <c r="D955" s="30"/>
      <c r="E955" s="30"/>
      <c r="F955" s="30"/>
      <c r="H955" s="30" t="s">
        <v>141</v>
      </c>
      <c r="I955" s="30" t="s">
        <v>30</v>
      </c>
      <c r="J955" s="30" t="s">
        <v>145</v>
      </c>
      <c r="K955" s="30" t="s">
        <v>116</v>
      </c>
      <c r="L955" s="30" t="s">
        <v>121</v>
      </c>
      <c r="M955" s="48" t="s">
        <v>706</v>
      </c>
      <c r="N955" s="54"/>
      <c r="O955" s="30"/>
      <c r="P955" s="30" t="s">
        <v>3658</v>
      </c>
    </row>
    <row r="956" spans="1:16" ht="75" customHeight="1">
      <c r="A956" s="30" t="s">
        <v>2052</v>
      </c>
      <c r="B956" s="47" t="s">
        <v>2051</v>
      </c>
      <c r="C956" s="48" t="s">
        <v>3824</v>
      </c>
      <c r="D956" s="30"/>
      <c r="E956" s="30"/>
      <c r="F956" s="30"/>
      <c r="H956" s="30" t="s">
        <v>149</v>
      </c>
      <c r="I956" s="30" t="s">
        <v>30</v>
      </c>
      <c r="J956" s="30" t="s">
        <v>144</v>
      </c>
      <c r="K956" s="30" t="s">
        <v>117</v>
      </c>
      <c r="L956" s="30" t="s">
        <v>3664</v>
      </c>
      <c r="M956" s="51" t="s">
        <v>4044</v>
      </c>
      <c r="N956" s="54"/>
      <c r="O956" s="30"/>
      <c r="P956" s="30"/>
    </row>
    <row r="957" spans="1:16" ht="45" customHeight="1">
      <c r="A957" s="30" t="s">
        <v>2053</v>
      </c>
      <c r="B957" s="47" t="s">
        <v>2054</v>
      </c>
      <c r="C957" s="49" t="s">
        <v>2055</v>
      </c>
      <c r="D957" s="30"/>
      <c r="E957" s="30"/>
      <c r="F957" s="30"/>
      <c r="G957" s="30"/>
      <c r="H957" s="30" t="s">
        <v>141</v>
      </c>
      <c r="I957" s="30" t="s">
        <v>22</v>
      </c>
      <c r="J957" s="30" t="s">
        <v>144</v>
      </c>
      <c r="K957" s="30" t="s">
        <v>117</v>
      </c>
      <c r="L957" s="30" t="s">
        <v>122</v>
      </c>
      <c r="M957" s="48"/>
      <c r="N957" s="30"/>
      <c r="O957" s="30"/>
      <c r="P957" s="30"/>
    </row>
    <row r="958" spans="1:16" ht="30" customHeight="1">
      <c r="A958" s="30" t="s">
        <v>2056</v>
      </c>
      <c r="B958" s="47" t="s">
        <v>2057</v>
      </c>
      <c r="C958" s="48" t="s">
        <v>3825</v>
      </c>
      <c r="D958" s="30"/>
      <c r="E958" s="30"/>
      <c r="F958" s="30"/>
      <c r="G958" s="30"/>
      <c r="H958" s="30" t="s">
        <v>141</v>
      </c>
      <c r="I958" s="30" t="s">
        <v>22</v>
      </c>
      <c r="J958" s="30" t="s">
        <v>144</v>
      </c>
      <c r="K958" s="30" t="s">
        <v>117</v>
      </c>
      <c r="L958" s="30" t="s">
        <v>122</v>
      </c>
      <c r="M958" s="48"/>
      <c r="N958" s="30"/>
      <c r="O958" s="30"/>
      <c r="P958" s="30"/>
    </row>
    <row r="959" spans="1:16" ht="45" customHeight="1">
      <c r="A959" s="30" t="s">
        <v>2058</v>
      </c>
      <c r="B959" s="47">
        <v>3</v>
      </c>
      <c r="C959" s="48" t="s">
        <v>2059</v>
      </c>
      <c r="D959" s="30"/>
      <c r="E959" s="30"/>
      <c r="F959" s="30"/>
      <c r="G959" s="30" t="s">
        <v>4033</v>
      </c>
      <c r="H959" s="30" t="s">
        <v>141</v>
      </c>
      <c r="I959" s="30" t="s">
        <v>22</v>
      </c>
      <c r="J959" s="30" t="s">
        <v>142</v>
      </c>
      <c r="K959" s="30" t="s">
        <v>116</v>
      </c>
      <c r="L959" s="30" t="s">
        <v>146</v>
      </c>
      <c r="M959" s="48"/>
      <c r="N959" s="30"/>
      <c r="O959" s="30"/>
      <c r="P959" s="30"/>
    </row>
    <row r="960" spans="1:16" ht="45" customHeight="1">
      <c r="A960" s="30" t="s">
        <v>2060</v>
      </c>
      <c r="B960" s="47" t="s">
        <v>2061</v>
      </c>
      <c r="C960" s="48" t="s">
        <v>2062</v>
      </c>
      <c r="D960" s="30"/>
      <c r="E960" s="30"/>
      <c r="F960" s="30"/>
      <c r="G960" s="30"/>
      <c r="H960" s="30" t="s">
        <v>141</v>
      </c>
      <c r="I960" s="30" t="s">
        <v>22</v>
      </c>
      <c r="J960" s="30" t="s">
        <v>144</v>
      </c>
      <c r="K960" s="30" t="s">
        <v>117</v>
      </c>
      <c r="L960" s="30" t="s">
        <v>122</v>
      </c>
      <c r="M960" s="48"/>
      <c r="N960" s="30"/>
      <c r="O960" s="30"/>
      <c r="P960" s="30"/>
    </row>
    <row r="961" spans="1:16" ht="30" customHeight="1">
      <c r="A961" s="30" t="s">
        <v>2063</v>
      </c>
      <c r="B961" s="47" t="s">
        <v>2061</v>
      </c>
      <c r="C961" s="48" t="s">
        <v>2064</v>
      </c>
      <c r="D961" s="30"/>
      <c r="E961" s="30"/>
      <c r="F961" s="30"/>
      <c r="G961" s="30"/>
      <c r="H961" s="30" t="s">
        <v>141</v>
      </c>
      <c r="I961" s="30" t="s">
        <v>22</v>
      </c>
      <c r="J961" s="30" t="s">
        <v>144</v>
      </c>
      <c r="K961" s="30" t="s">
        <v>117</v>
      </c>
      <c r="L961" s="30" t="s">
        <v>122</v>
      </c>
      <c r="M961" s="48"/>
      <c r="N961" s="30"/>
      <c r="O961" s="30"/>
      <c r="P961" s="30"/>
    </row>
    <row r="962" spans="1:16" ht="60" customHeight="1">
      <c r="A962" s="30" t="s">
        <v>2065</v>
      </c>
      <c r="B962" s="47" t="s">
        <v>2061</v>
      </c>
      <c r="C962" s="48" t="s">
        <v>2066</v>
      </c>
      <c r="D962" s="30"/>
      <c r="E962" s="30"/>
      <c r="F962" s="30"/>
      <c r="G962" s="30"/>
      <c r="H962" s="30" t="s">
        <v>141</v>
      </c>
      <c r="I962" s="30" t="s">
        <v>22</v>
      </c>
      <c r="J962" s="30" t="s">
        <v>144</v>
      </c>
      <c r="K962" s="30" t="s">
        <v>117</v>
      </c>
      <c r="L962" s="30" t="s">
        <v>122</v>
      </c>
      <c r="M962" s="48"/>
      <c r="N962" s="30"/>
      <c r="O962" s="30"/>
      <c r="P962" s="30"/>
    </row>
    <row r="963" spans="1:16" ht="45" customHeight="1">
      <c r="A963" s="30" t="s">
        <v>2067</v>
      </c>
      <c r="B963" s="47" t="s">
        <v>2061</v>
      </c>
      <c r="C963" s="48" t="s">
        <v>2068</v>
      </c>
      <c r="D963" s="30"/>
      <c r="E963" s="30"/>
      <c r="F963" s="30"/>
      <c r="G963" s="30"/>
      <c r="H963" s="30" t="s">
        <v>141</v>
      </c>
      <c r="I963" s="30" t="s">
        <v>22</v>
      </c>
      <c r="J963" s="30" t="s">
        <v>144</v>
      </c>
      <c r="K963" s="30" t="s">
        <v>117</v>
      </c>
      <c r="L963" s="30" t="s">
        <v>122</v>
      </c>
      <c r="M963" s="48"/>
      <c r="N963" s="30"/>
      <c r="O963" s="30"/>
      <c r="P963" s="30"/>
    </row>
    <row r="964" spans="1:16" ht="30" customHeight="1">
      <c r="A964" s="30" t="s">
        <v>2069</v>
      </c>
      <c r="B964" s="47" t="s">
        <v>2070</v>
      </c>
      <c r="C964" s="48" t="s">
        <v>2071</v>
      </c>
      <c r="D964" s="30"/>
      <c r="E964" s="30"/>
      <c r="F964" s="30"/>
      <c r="G964" s="30"/>
      <c r="H964" s="30" t="s">
        <v>141</v>
      </c>
      <c r="I964" s="30" t="s">
        <v>22</v>
      </c>
      <c r="J964" s="30" t="s">
        <v>144</v>
      </c>
      <c r="K964" s="30" t="s">
        <v>117</v>
      </c>
      <c r="L964" s="30" t="s">
        <v>122</v>
      </c>
      <c r="M964" s="48"/>
      <c r="N964" s="30"/>
      <c r="O964" s="30"/>
      <c r="P964" s="30"/>
    </row>
    <row r="965" spans="1:16" ht="330" customHeight="1">
      <c r="A965" s="30" t="s">
        <v>2072</v>
      </c>
      <c r="B965" s="47" t="s">
        <v>2073</v>
      </c>
      <c r="C965" s="48" t="s">
        <v>3842</v>
      </c>
      <c r="D965" s="30"/>
      <c r="E965" s="30"/>
      <c r="F965" s="30"/>
      <c r="G965" s="30"/>
      <c r="H965" s="30" t="s">
        <v>141</v>
      </c>
      <c r="I965" s="30" t="s">
        <v>22</v>
      </c>
      <c r="J965" s="30" t="s">
        <v>142</v>
      </c>
      <c r="K965" s="30" t="s">
        <v>116</v>
      </c>
      <c r="L965" s="30" t="s">
        <v>121</v>
      </c>
      <c r="M965" s="48" t="s">
        <v>2074</v>
      </c>
      <c r="N965" s="30"/>
      <c r="O965" s="30"/>
      <c r="P965" s="30"/>
    </row>
    <row r="966" spans="1:16" ht="45" customHeight="1">
      <c r="A966" s="30" t="s">
        <v>2075</v>
      </c>
      <c r="B966" s="47" t="s">
        <v>2073</v>
      </c>
      <c r="C966" s="48" t="s">
        <v>2076</v>
      </c>
      <c r="D966" s="30"/>
      <c r="E966" s="30"/>
      <c r="F966" s="30"/>
      <c r="G966" s="30"/>
      <c r="H966" s="30" t="s">
        <v>141</v>
      </c>
      <c r="I966" s="30" t="s">
        <v>22</v>
      </c>
      <c r="J966" s="30" t="s">
        <v>142</v>
      </c>
      <c r="K966" s="30" t="s">
        <v>116</v>
      </c>
      <c r="L966" s="30" t="s">
        <v>121</v>
      </c>
      <c r="M966" s="48" t="s">
        <v>2077</v>
      </c>
      <c r="N966" s="30"/>
      <c r="O966" s="30"/>
      <c r="P966" s="30"/>
    </row>
    <row r="967" spans="1:16" ht="300" customHeight="1">
      <c r="A967" s="30" t="s">
        <v>2078</v>
      </c>
      <c r="B967" s="47" t="s">
        <v>2079</v>
      </c>
      <c r="C967" s="48" t="s">
        <v>3845</v>
      </c>
      <c r="D967" s="30"/>
      <c r="E967" s="30"/>
      <c r="F967" s="30"/>
      <c r="G967" s="30"/>
      <c r="H967" s="30" t="s">
        <v>141</v>
      </c>
      <c r="I967" s="30" t="s">
        <v>22</v>
      </c>
      <c r="J967" s="30" t="s">
        <v>145</v>
      </c>
      <c r="K967" s="30" t="s">
        <v>116</v>
      </c>
      <c r="L967" s="30" t="s">
        <v>121</v>
      </c>
      <c r="M967" s="48" t="s">
        <v>706</v>
      </c>
      <c r="N967" s="30"/>
      <c r="O967" s="30"/>
      <c r="P967" s="30"/>
    </row>
    <row r="968" spans="1:16" ht="45" customHeight="1">
      <c r="A968" s="30" t="s">
        <v>2080</v>
      </c>
      <c r="B968" s="47" t="s">
        <v>2079</v>
      </c>
      <c r="C968" s="48" t="s">
        <v>2081</v>
      </c>
      <c r="D968" s="30"/>
      <c r="E968" s="30"/>
      <c r="F968" s="30"/>
      <c r="G968" s="30"/>
      <c r="H968" s="30" t="s">
        <v>141</v>
      </c>
      <c r="I968" s="30" t="s">
        <v>22</v>
      </c>
      <c r="J968" s="30" t="s">
        <v>142</v>
      </c>
      <c r="K968" s="30" t="s">
        <v>116</v>
      </c>
      <c r="L968" s="30" t="s">
        <v>121</v>
      </c>
      <c r="M968" s="48" t="s">
        <v>706</v>
      </c>
      <c r="N968" s="30"/>
      <c r="O968" s="30"/>
      <c r="P968" s="30"/>
    </row>
    <row r="969" spans="1:16" ht="45" customHeight="1">
      <c r="A969" s="30" t="s">
        <v>2082</v>
      </c>
      <c r="B969" s="47" t="s">
        <v>2079</v>
      </c>
      <c r="C969" s="48" t="s">
        <v>2083</v>
      </c>
      <c r="D969" s="30"/>
      <c r="E969" s="30"/>
      <c r="F969" s="30"/>
      <c r="G969" s="30"/>
      <c r="H969" s="30" t="s">
        <v>141</v>
      </c>
      <c r="I969" s="30" t="s">
        <v>22</v>
      </c>
      <c r="J969" s="30" t="s">
        <v>142</v>
      </c>
      <c r="K969" s="30" t="s">
        <v>116</v>
      </c>
      <c r="L969" s="30" t="s">
        <v>121</v>
      </c>
      <c r="M969" s="48" t="s">
        <v>2084</v>
      </c>
      <c r="N969" s="30"/>
      <c r="O969" s="30"/>
      <c r="P969" s="30"/>
    </row>
    <row r="970" spans="1:16" ht="45" customHeight="1">
      <c r="A970" s="30" t="s">
        <v>2085</v>
      </c>
      <c r="B970" s="47" t="s">
        <v>2079</v>
      </c>
      <c r="C970" s="48" t="s">
        <v>2086</v>
      </c>
      <c r="D970" s="30"/>
      <c r="E970" s="30"/>
      <c r="F970" s="30"/>
      <c r="G970" s="30"/>
      <c r="H970" s="30" t="s">
        <v>141</v>
      </c>
      <c r="I970" s="30" t="s">
        <v>22</v>
      </c>
      <c r="J970" s="30" t="s">
        <v>144</v>
      </c>
      <c r="K970" s="30" t="s">
        <v>117</v>
      </c>
      <c r="L970" s="30" t="s">
        <v>122</v>
      </c>
      <c r="M970" s="48"/>
      <c r="N970" s="30"/>
      <c r="O970" s="30"/>
      <c r="P970" s="30"/>
    </row>
    <row r="971" spans="1:16" s="31" customFormat="1" ht="30">
      <c r="A971" s="30" t="s">
        <v>2087</v>
      </c>
      <c r="B971" s="47" t="s">
        <v>2079</v>
      </c>
      <c r="C971" s="48" t="s">
        <v>2088</v>
      </c>
      <c r="D971" s="30"/>
      <c r="E971" s="30"/>
      <c r="F971" s="30"/>
      <c r="G971" s="30"/>
      <c r="H971" s="30" t="s">
        <v>141</v>
      </c>
      <c r="I971" s="30" t="s">
        <v>22</v>
      </c>
      <c r="J971" s="30" t="s">
        <v>144</v>
      </c>
      <c r="K971" s="30" t="s">
        <v>116</v>
      </c>
      <c r="L971" s="30" t="s">
        <v>121</v>
      </c>
      <c r="M971" s="48" t="s">
        <v>706</v>
      </c>
      <c r="N971" s="30"/>
      <c r="O971" s="30"/>
      <c r="P971" s="30"/>
    </row>
    <row r="972" spans="1:16" s="31" customFormat="1" ht="30">
      <c r="A972" s="30" t="s">
        <v>2089</v>
      </c>
      <c r="B972" s="47" t="s">
        <v>2079</v>
      </c>
      <c r="C972" s="48" t="s">
        <v>2090</v>
      </c>
      <c r="D972" s="30"/>
      <c r="E972" s="30"/>
      <c r="F972" s="30"/>
      <c r="G972" s="30"/>
      <c r="H972" s="30" t="s">
        <v>149</v>
      </c>
      <c r="I972" s="30" t="s">
        <v>22</v>
      </c>
      <c r="J972" s="30" t="s">
        <v>144</v>
      </c>
      <c r="K972" s="30" t="s">
        <v>116</v>
      </c>
      <c r="L972" s="30" t="s">
        <v>3664</v>
      </c>
      <c r="M972" s="48" t="s">
        <v>4212</v>
      </c>
      <c r="N972" s="30"/>
      <c r="O972" s="30"/>
      <c r="P972" s="30"/>
    </row>
    <row r="973" spans="1:16" ht="30" customHeight="1">
      <c r="A973" s="30" t="s">
        <v>2091</v>
      </c>
      <c r="B973" s="47" t="s">
        <v>2092</v>
      </c>
      <c r="C973" s="48" t="s">
        <v>2093</v>
      </c>
      <c r="D973" s="30"/>
      <c r="E973" s="30"/>
      <c r="F973" s="30"/>
      <c r="G973" s="30"/>
      <c r="H973" s="30" t="s">
        <v>141</v>
      </c>
      <c r="I973" s="30" t="s">
        <v>22</v>
      </c>
      <c r="J973" s="30" t="s">
        <v>144</v>
      </c>
      <c r="K973" s="30" t="s">
        <v>117</v>
      </c>
      <c r="L973" s="30" t="s">
        <v>122</v>
      </c>
      <c r="M973" s="48"/>
      <c r="N973" s="30"/>
      <c r="O973" s="30"/>
      <c r="P973" s="30"/>
    </row>
    <row r="974" spans="1:16" ht="30" customHeight="1">
      <c r="A974" s="30" t="s">
        <v>2094</v>
      </c>
      <c r="B974" s="47" t="s">
        <v>2095</v>
      </c>
      <c r="C974" s="48" t="s">
        <v>2096</v>
      </c>
      <c r="D974" s="30"/>
      <c r="E974" s="30"/>
      <c r="F974" s="30"/>
      <c r="G974" s="30"/>
      <c r="H974" s="30" t="s">
        <v>141</v>
      </c>
      <c r="I974" s="30" t="s">
        <v>22</v>
      </c>
      <c r="J974" s="30" t="s">
        <v>144</v>
      </c>
      <c r="K974" s="30" t="s">
        <v>117</v>
      </c>
      <c r="L974" s="30" t="s">
        <v>122</v>
      </c>
      <c r="M974" s="48"/>
      <c r="N974" s="30"/>
      <c r="O974" s="30"/>
      <c r="P974" s="30"/>
    </row>
    <row r="975" spans="1:16" ht="45" customHeight="1">
      <c r="A975" s="30" t="s">
        <v>2097</v>
      </c>
      <c r="B975" s="47" t="s">
        <v>147</v>
      </c>
      <c r="C975" s="48" t="s">
        <v>2062</v>
      </c>
      <c r="D975" s="30"/>
      <c r="E975" s="30"/>
      <c r="F975" s="30"/>
      <c r="G975" s="30"/>
      <c r="H975" s="30" t="s">
        <v>141</v>
      </c>
      <c r="I975" s="30" t="s">
        <v>31</v>
      </c>
      <c r="J975" s="30" t="s">
        <v>144</v>
      </c>
      <c r="K975" s="30" t="s">
        <v>117</v>
      </c>
      <c r="L975" s="30" t="s">
        <v>122</v>
      </c>
      <c r="M975" s="48"/>
      <c r="N975" s="30"/>
      <c r="O975" s="30"/>
      <c r="P975" s="30"/>
    </row>
    <row r="976" spans="1:16" ht="30" customHeight="1">
      <c r="A976" s="30" t="s">
        <v>2098</v>
      </c>
      <c r="B976" s="47" t="s">
        <v>147</v>
      </c>
      <c r="C976" s="48" t="s">
        <v>2099</v>
      </c>
      <c r="D976" s="30"/>
      <c r="E976" s="30"/>
      <c r="F976" s="30"/>
      <c r="G976" s="30"/>
      <c r="H976" s="30" t="s">
        <v>141</v>
      </c>
      <c r="I976" s="30" t="s">
        <v>31</v>
      </c>
      <c r="J976" s="30" t="s">
        <v>144</v>
      </c>
      <c r="K976" s="30" t="s">
        <v>117</v>
      </c>
      <c r="L976" s="30" t="s">
        <v>122</v>
      </c>
      <c r="M976" s="48"/>
      <c r="N976" s="30"/>
      <c r="O976" s="30"/>
      <c r="P976" s="30"/>
    </row>
    <row r="977" spans="1:16" ht="60" customHeight="1">
      <c r="A977" s="30" t="s">
        <v>2100</v>
      </c>
      <c r="B977" s="47" t="s">
        <v>147</v>
      </c>
      <c r="C977" s="48" t="s">
        <v>2066</v>
      </c>
      <c r="D977" s="30"/>
      <c r="E977" s="30"/>
      <c r="F977" s="30"/>
      <c r="G977" s="30"/>
      <c r="H977" s="30" t="s">
        <v>141</v>
      </c>
      <c r="I977" s="30" t="s">
        <v>31</v>
      </c>
      <c r="J977" s="30" t="s">
        <v>144</v>
      </c>
      <c r="K977" s="30" t="s">
        <v>117</v>
      </c>
      <c r="L977" s="30" t="s">
        <v>122</v>
      </c>
      <c r="M977" s="48"/>
      <c r="N977" s="30"/>
      <c r="O977" s="30"/>
      <c r="P977" s="30"/>
    </row>
    <row r="978" spans="1:16" ht="45" customHeight="1">
      <c r="A978" s="30" t="s">
        <v>2101</v>
      </c>
      <c r="B978" s="47" t="s">
        <v>147</v>
      </c>
      <c r="C978" s="48" t="s">
        <v>2102</v>
      </c>
      <c r="D978" s="30"/>
      <c r="E978" s="30"/>
      <c r="F978" s="30"/>
      <c r="G978" s="30"/>
      <c r="H978" s="30" t="s">
        <v>141</v>
      </c>
      <c r="I978" s="30" t="s">
        <v>31</v>
      </c>
      <c r="J978" s="30" t="s">
        <v>144</v>
      </c>
      <c r="K978" s="30" t="s">
        <v>117</v>
      </c>
      <c r="L978" s="30" t="s">
        <v>122</v>
      </c>
      <c r="M978" s="48"/>
      <c r="N978" s="30"/>
      <c r="O978" s="30"/>
      <c r="P978" s="30"/>
    </row>
    <row r="979" spans="1:16" ht="30" customHeight="1">
      <c r="A979" s="30" t="s">
        <v>2103</v>
      </c>
      <c r="B979" s="47" t="s">
        <v>2104</v>
      </c>
      <c r="C979" s="48" t="s">
        <v>2105</v>
      </c>
      <c r="D979" s="30"/>
      <c r="E979" s="30"/>
      <c r="F979" s="30"/>
      <c r="G979" s="30"/>
      <c r="H979" s="30" t="s">
        <v>141</v>
      </c>
      <c r="I979" s="30" t="s">
        <v>31</v>
      </c>
      <c r="J979" s="30" t="s">
        <v>144</v>
      </c>
      <c r="K979" s="30" t="s">
        <v>117</v>
      </c>
      <c r="L979" s="30" t="s">
        <v>122</v>
      </c>
      <c r="M979" s="48"/>
      <c r="N979" s="30"/>
      <c r="O979" s="30"/>
      <c r="P979" s="30"/>
    </row>
    <row r="980" spans="1:16" ht="45" customHeight="1">
      <c r="A980" s="30" t="s">
        <v>2106</v>
      </c>
      <c r="B980" s="47" t="s">
        <v>2104</v>
      </c>
      <c r="C980" s="48" t="s">
        <v>2107</v>
      </c>
      <c r="D980" s="30"/>
      <c r="E980" s="30"/>
      <c r="F980" s="30"/>
      <c r="G980" s="30"/>
      <c r="H980" s="30" t="s">
        <v>141</v>
      </c>
      <c r="I980" s="30" t="s">
        <v>31</v>
      </c>
      <c r="J980" s="30" t="s">
        <v>142</v>
      </c>
      <c r="K980" s="30" t="s">
        <v>116</v>
      </c>
      <c r="L980" s="30" t="s">
        <v>122</v>
      </c>
      <c r="M980" s="48" t="s">
        <v>184</v>
      </c>
      <c r="N980" s="30"/>
      <c r="O980" s="30"/>
      <c r="P980" s="30"/>
    </row>
    <row r="981" spans="1:16" ht="30" customHeight="1">
      <c r="A981" s="30" t="s">
        <v>2108</v>
      </c>
      <c r="B981" s="47" t="s">
        <v>2104</v>
      </c>
      <c r="C981" s="48" t="s">
        <v>2109</v>
      </c>
      <c r="D981" s="30"/>
      <c r="E981" s="30"/>
      <c r="F981" s="30"/>
      <c r="G981" s="30"/>
      <c r="H981" s="30" t="s">
        <v>141</v>
      </c>
      <c r="I981" s="30" t="s">
        <v>31</v>
      </c>
      <c r="J981" s="30" t="s">
        <v>144</v>
      </c>
      <c r="K981" s="30" t="s">
        <v>117</v>
      </c>
      <c r="L981" s="30" t="s">
        <v>122</v>
      </c>
      <c r="M981" s="48"/>
      <c r="N981" s="30"/>
      <c r="O981" s="30"/>
      <c r="P981" s="30"/>
    </row>
    <row r="982" spans="1:16" ht="45" customHeight="1">
      <c r="A982" s="30" t="s">
        <v>2110</v>
      </c>
      <c r="B982" s="47" t="s">
        <v>2104</v>
      </c>
      <c r="C982" s="48" t="s">
        <v>2111</v>
      </c>
      <c r="D982" s="30"/>
      <c r="E982" s="30"/>
      <c r="F982" s="30"/>
      <c r="G982" s="30"/>
      <c r="H982" s="30" t="s">
        <v>141</v>
      </c>
      <c r="I982" s="30" t="s">
        <v>31</v>
      </c>
      <c r="J982" s="30" t="s">
        <v>142</v>
      </c>
      <c r="K982" s="30" t="s">
        <v>116</v>
      </c>
      <c r="L982" s="30" t="s">
        <v>122</v>
      </c>
      <c r="M982" s="48" t="s">
        <v>184</v>
      </c>
      <c r="N982" s="30"/>
      <c r="O982" s="30"/>
      <c r="P982" s="30"/>
    </row>
    <row r="983" spans="1:16" ht="30" customHeight="1">
      <c r="A983" s="30" t="s">
        <v>2112</v>
      </c>
      <c r="B983" s="47" t="s">
        <v>2104</v>
      </c>
      <c r="C983" s="48" t="s">
        <v>2113</v>
      </c>
      <c r="D983" s="30"/>
      <c r="E983" s="30"/>
      <c r="F983" s="30"/>
      <c r="G983" s="30"/>
      <c r="H983" s="30" t="s">
        <v>141</v>
      </c>
      <c r="I983" s="30" t="s">
        <v>31</v>
      </c>
      <c r="J983" s="30" t="s">
        <v>144</v>
      </c>
      <c r="K983" s="30" t="s">
        <v>117</v>
      </c>
      <c r="L983" s="30" t="s">
        <v>122</v>
      </c>
      <c r="M983" s="48"/>
      <c r="N983" s="30"/>
      <c r="O983" s="30"/>
      <c r="P983" s="30"/>
    </row>
    <row r="984" spans="1:16" ht="30" customHeight="1">
      <c r="A984" s="30" t="s">
        <v>2114</v>
      </c>
      <c r="B984" s="47" t="s">
        <v>2104</v>
      </c>
      <c r="C984" s="48" t="s">
        <v>2115</v>
      </c>
      <c r="D984" s="30"/>
      <c r="E984" s="30"/>
      <c r="F984" s="30"/>
      <c r="G984" s="30"/>
      <c r="H984" s="30" t="s">
        <v>141</v>
      </c>
      <c r="I984" s="30" t="s">
        <v>31</v>
      </c>
      <c r="J984" s="30" t="s">
        <v>142</v>
      </c>
      <c r="K984" s="30" t="s">
        <v>116</v>
      </c>
      <c r="L984" s="30" t="s">
        <v>122</v>
      </c>
      <c r="M984" s="48" t="s">
        <v>184</v>
      </c>
      <c r="N984" s="30"/>
      <c r="O984" s="30"/>
      <c r="P984" s="30"/>
    </row>
    <row r="985" spans="1:16" ht="30" customHeight="1">
      <c r="A985" s="30" t="s">
        <v>2116</v>
      </c>
      <c r="B985" s="47" t="s">
        <v>2104</v>
      </c>
      <c r="C985" s="48" t="s">
        <v>2117</v>
      </c>
      <c r="D985" s="30"/>
      <c r="E985" s="30"/>
      <c r="F985" s="30"/>
      <c r="G985" s="30"/>
      <c r="H985" s="30" t="s">
        <v>141</v>
      </c>
      <c r="I985" s="30" t="s">
        <v>31</v>
      </c>
      <c r="J985" s="30" t="s">
        <v>142</v>
      </c>
      <c r="K985" s="30" t="s">
        <v>116</v>
      </c>
      <c r="L985" s="30" t="s">
        <v>122</v>
      </c>
      <c r="M985" s="48" t="s">
        <v>184</v>
      </c>
      <c r="N985" s="30"/>
      <c r="O985" s="30"/>
      <c r="P985" s="30"/>
    </row>
    <row r="986" spans="1:16" ht="45" customHeight="1">
      <c r="A986" s="30" t="s">
        <v>2118</v>
      </c>
      <c r="B986" s="47" t="s">
        <v>2104</v>
      </c>
      <c r="C986" s="48" t="s">
        <v>2119</v>
      </c>
      <c r="D986" s="30"/>
      <c r="E986" s="30"/>
      <c r="F986" s="30"/>
      <c r="G986" s="30"/>
      <c r="H986" s="30" t="s">
        <v>141</v>
      </c>
      <c r="I986" s="30" t="s">
        <v>31</v>
      </c>
      <c r="J986" s="30" t="s">
        <v>144</v>
      </c>
      <c r="K986" s="30" t="s">
        <v>117</v>
      </c>
      <c r="L986" s="30" t="s">
        <v>122</v>
      </c>
      <c r="M986" s="48"/>
      <c r="N986" s="30"/>
      <c r="O986" s="30"/>
      <c r="P986" s="30"/>
    </row>
    <row r="987" spans="1:16" ht="30" customHeight="1">
      <c r="A987" s="30" t="s">
        <v>2120</v>
      </c>
      <c r="B987" s="47" t="s">
        <v>2104</v>
      </c>
      <c r="C987" s="48" t="s">
        <v>2121</v>
      </c>
      <c r="D987" s="30"/>
      <c r="E987" s="30"/>
      <c r="F987" s="30"/>
      <c r="G987" s="30"/>
      <c r="H987" s="30" t="s">
        <v>141</v>
      </c>
      <c r="I987" s="30" t="s">
        <v>31</v>
      </c>
      <c r="J987" s="30" t="s">
        <v>142</v>
      </c>
      <c r="K987" s="30" t="s">
        <v>116</v>
      </c>
      <c r="L987" s="30" t="s">
        <v>122</v>
      </c>
      <c r="M987" s="48" t="s">
        <v>184</v>
      </c>
      <c r="N987" s="30"/>
      <c r="O987" s="30"/>
      <c r="P987" s="30"/>
    </row>
    <row r="988" spans="1:16" ht="45" customHeight="1">
      <c r="A988" s="30" t="s">
        <v>2122</v>
      </c>
      <c r="B988" s="47" t="s">
        <v>2104</v>
      </c>
      <c r="C988" s="48" t="s">
        <v>2123</v>
      </c>
      <c r="D988" s="30"/>
      <c r="E988" s="30"/>
      <c r="F988" s="30"/>
      <c r="G988" s="30"/>
      <c r="H988" s="30" t="s">
        <v>141</v>
      </c>
      <c r="I988" s="30" t="s">
        <v>31</v>
      </c>
      <c r="J988" s="30" t="s">
        <v>142</v>
      </c>
      <c r="K988" s="30" t="s">
        <v>116</v>
      </c>
      <c r="L988" s="30" t="s">
        <v>122</v>
      </c>
      <c r="M988" s="48" t="s">
        <v>184</v>
      </c>
      <c r="N988" s="30"/>
      <c r="O988" s="30"/>
      <c r="P988" s="30"/>
    </row>
    <row r="989" spans="1:16" ht="30" customHeight="1">
      <c r="A989" s="30" t="s">
        <v>2124</v>
      </c>
      <c r="B989" s="47" t="s">
        <v>2104</v>
      </c>
      <c r="C989" s="48" t="s">
        <v>2125</v>
      </c>
      <c r="D989" s="30"/>
      <c r="E989" s="30"/>
      <c r="F989" s="30"/>
      <c r="G989" s="30"/>
      <c r="H989" s="30" t="s">
        <v>141</v>
      </c>
      <c r="I989" s="30" t="s">
        <v>31</v>
      </c>
      <c r="J989" s="30" t="s">
        <v>144</v>
      </c>
      <c r="K989" s="30" t="s">
        <v>117</v>
      </c>
      <c r="L989" s="30" t="s">
        <v>122</v>
      </c>
      <c r="M989" s="48"/>
      <c r="N989" s="30"/>
      <c r="O989" s="30"/>
      <c r="P989" s="30"/>
    </row>
    <row r="990" spans="1:16" ht="30" customHeight="1">
      <c r="A990" s="30" t="s">
        <v>2126</v>
      </c>
      <c r="B990" s="47" t="s">
        <v>2104</v>
      </c>
      <c r="C990" s="48" t="s">
        <v>2127</v>
      </c>
      <c r="D990" s="30"/>
      <c r="E990" s="30"/>
      <c r="F990" s="30"/>
      <c r="G990" s="30"/>
      <c r="H990" s="30" t="s">
        <v>141</v>
      </c>
      <c r="I990" s="30" t="s">
        <v>31</v>
      </c>
      <c r="J990" s="30" t="s">
        <v>142</v>
      </c>
      <c r="K990" s="30" t="s">
        <v>116</v>
      </c>
      <c r="L990" s="30" t="s">
        <v>122</v>
      </c>
      <c r="M990" s="48" t="s">
        <v>184</v>
      </c>
      <c r="N990" s="30"/>
      <c r="O990" s="30"/>
      <c r="P990" s="30"/>
    </row>
    <row r="991" spans="1:16" ht="60" customHeight="1">
      <c r="A991" s="30" t="s">
        <v>2128</v>
      </c>
      <c r="B991" s="47" t="s">
        <v>2104</v>
      </c>
      <c r="C991" s="48" t="s">
        <v>2129</v>
      </c>
      <c r="D991" s="30"/>
      <c r="E991" s="30"/>
      <c r="F991" s="30"/>
      <c r="G991" s="30"/>
      <c r="H991" s="30" t="s">
        <v>141</v>
      </c>
      <c r="I991" s="30" t="s">
        <v>31</v>
      </c>
      <c r="J991" s="30" t="s">
        <v>144</v>
      </c>
      <c r="K991" s="30" t="s">
        <v>117</v>
      </c>
      <c r="L991" s="30" t="s">
        <v>122</v>
      </c>
      <c r="M991" s="48"/>
      <c r="N991" s="30"/>
      <c r="O991" s="30"/>
      <c r="P991" s="30"/>
    </row>
    <row r="992" spans="1:16" ht="60" customHeight="1">
      <c r="A992" s="30" t="s">
        <v>2130</v>
      </c>
      <c r="B992" s="47" t="s">
        <v>2131</v>
      </c>
      <c r="C992" s="48" t="s">
        <v>2132</v>
      </c>
      <c r="D992" s="30"/>
      <c r="E992" s="30"/>
      <c r="F992" s="30"/>
      <c r="G992" s="30"/>
      <c r="H992" s="30" t="s">
        <v>141</v>
      </c>
      <c r="I992" s="30" t="s">
        <v>22</v>
      </c>
      <c r="J992" s="30" t="s">
        <v>144</v>
      </c>
      <c r="K992" s="30" t="s">
        <v>117</v>
      </c>
      <c r="L992" s="30" t="s">
        <v>122</v>
      </c>
      <c r="M992" s="48"/>
      <c r="N992" s="30"/>
      <c r="O992" s="30"/>
      <c r="P992" s="30"/>
    </row>
    <row r="993" spans="1:16" ht="45" customHeight="1">
      <c r="A993" s="30" t="s">
        <v>2133</v>
      </c>
      <c r="B993" s="47" t="s">
        <v>2131</v>
      </c>
      <c r="C993" s="48" t="s">
        <v>3848</v>
      </c>
      <c r="D993" s="30"/>
      <c r="E993" s="30"/>
      <c r="F993" s="30"/>
      <c r="G993" s="30"/>
      <c r="H993" s="30" t="s">
        <v>141</v>
      </c>
      <c r="I993" s="30" t="s">
        <v>31</v>
      </c>
      <c r="J993" s="30" t="s">
        <v>144</v>
      </c>
      <c r="K993" s="30" t="s">
        <v>117</v>
      </c>
      <c r="L993" s="30" t="s">
        <v>122</v>
      </c>
      <c r="M993" s="48"/>
      <c r="N993" s="30"/>
      <c r="O993" s="30"/>
      <c r="P993" s="30"/>
    </row>
    <row r="994" spans="1:16" ht="45" customHeight="1">
      <c r="A994" s="30" t="s">
        <v>2134</v>
      </c>
      <c r="B994" s="47" t="s">
        <v>2135</v>
      </c>
      <c r="C994" s="48" t="s">
        <v>2136</v>
      </c>
      <c r="D994" s="30"/>
      <c r="E994" s="30"/>
      <c r="F994" s="30"/>
      <c r="G994" s="30"/>
      <c r="H994" s="30" t="s">
        <v>141</v>
      </c>
      <c r="I994" s="30" t="s">
        <v>31</v>
      </c>
      <c r="J994" s="30" t="s">
        <v>144</v>
      </c>
      <c r="K994" s="30" t="s">
        <v>117</v>
      </c>
      <c r="L994" s="30" t="s">
        <v>122</v>
      </c>
      <c r="M994" s="48"/>
      <c r="N994" s="30"/>
      <c r="O994" s="30"/>
      <c r="P994" s="30"/>
    </row>
    <row r="995" spans="1:16" ht="60" customHeight="1">
      <c r="A995" s="30" t="s">
        <v>2137</v>
      </c>
      <c r="B995" s="47" t="s">
        <v>2135</v>
      </c>
      <c r="C995" s="48" t="s">
        <v>2138</v>
      </c>
      <c r="D995" s="30"/>
      <c r="E995" s="30"/>
      <c r="F995" s="30"/>
      <c r="G995" s="30"/>
      <c r="H995" s="30" t="s">
        <v>141</v>
      </c>
      <c r="I995" s="30" t="s">
        <v>31</v>
      </c>
      <c r="J995" s="30" t="s">
        <v>144</v>
      </c>
      <c r="K995" s="30" t="s">
        <v>117</v>
      </c>
      <c r="L995" s="30" t="s">
        <v>122</v>
      </c>
      <c r="M995" s="48"/>
      <c r="N995" s="30"/>
      <c r="O995" s="30"/>
      <c r="P995" s="30"/>
    </row>
    <row r="996" spans="1:16" ht="60" customHeight="1">
      <c r="A996" s="30" t="s">
        <v>2139</v>
      </c>
      <c r="B996" s="47" t="s">
        <v>2135</v>
      </c>
      <c r="C996" s="48" t="s">
        <v>2140</v>
      </c>
      <c r="D996" s="30"/>
      <c r="E996" s="30"/>
      <c r="F996" s="30"/>
      <c r="G996" s="30"/>
      <c r="H996" s="30" t="s">
        <v>141</v>
      </c>
      <c r="I996" s="30" t="s">
        <v>31</v>
      </c>
      <c r="J996" s="30" t="s">
        <v>144</v>
      </c>
      <c r="K996" s="30" t="s">
        <v>117</v>
      </c>
      <c r="L996" s="30" t="s">
        <v>122</v>
      </c>
      <c r="M996" s="48"/>
      <c r="N996" s="30"/>
      <c r="O996" s="30"/>
      <c r="P996" s="30"/>
    </row>
    <row r="997" spans="1:16" ht="45" customHeight="1">
      <c r="A997" s="30" t="s">
        <v>2141</v>
      </c>
      <c r="B997" s="47" t="s">
        <v>2135</v>
      </c>
      <c r="C997" s="48" t="s">
        <v>2142</v>
      </c>
      <c r="D997" s="30"/>
      <c r="E997" s="30"/>
      <c r="F997" s="30"/>
      <c r="G997" s="30"/>
      <c r="H997" s="30" t="s">
        <v>141</v>
      </c>
      <c r="I997" s="30" t="s">
        <v>31</v>
      </c>
      <c r="J997" s="30" t="s">
        <v>144</v>
      </c>
      <c r="K997" s="30" t="s">
        <v>117</v>
      </c>
      <c r="L997" s="30" t="s">
        <v>122</v>
      </c>
      <c r="M997" s="48"/>
      <c r="N997" s="30"/>
      <c r="O997" s="30"/>
      <c r="P997" s="30"/>
    </row>
    <row r="998" spans="1:16" ht="30" customHeight="1">
      <c r="A998" s="30" t="s">
        <v>2143</v>
      </c>
      <c r="B998" s="47" t="s">
        <v>2135</v>
      </c>
      <c r="C998" s="48" t="s">
        <v>2144</v>
      </c>
      <c r="D998" s="30"/>
      <c r="E998" s="30"/>
      <c r="F998" s="30"/>
      <c r="G998" s="30"/>
      <c r="H998" s="30" t="s">
        <v>141</v>
      </c>
      <c r="I998" s="30" t="s">
        <v>31</v>
      </c>
      <c r="J998" s="30" t="s">
        <v>144</v>
      </c>
      <c r="K998" s="30" t="s">
        <v>117</v>
      </c>
      <c r="L998" s="30" t="s">
        <v>122</v>
      </c>
      <c r="M998" s="48"/>
      <c r="N998" s="30"/>
      <c r="O998" s="30"/>
      <c r="P998" s="30"/>
    </row>
    <row r="999" spans="1:16" ht="30" customHeight="1">
      <c r="A999" s="30" t="s">
        <v>2145</v>
      </c>
      <c r="B999" s="47" t="s">
        <v>2135</v>
      </c>
      <c r="C999" s="48" t="s">
        <v>2146</v>
      </c>
      <c r="D999" s="30"/>
      <c r="E999" s="30"/>
      <c r="F999" s="30"/>
      <c r="G999" s="30"/>
      <c r="H999" s="30" t="s">
        <v>141</v>
      </c>
      <c r="I999" s="30" t="s">
        <v>31</v>
      </c>
      <c r="J999" s="30" t="s">
        <v>144</v>
      </c>
      <c r="K999" s="30" t="s">
        <v>117</v>
      </c>
      <c r="L999" s="30" t="s">
        <v>122</v>
      </c>
      <c r="M999" s="48"/>
      <c r="N999" s="30"/>
      <c r="O999" s="30"/>
      <c r="P999" s="30"/>
    </row>
    <row r="1000" spans="1:16" ht="45" customHeight="1">
      <c r="A1000" s="30" t="s">
        <v>2147</v>
      </c>
      <c r="B1000" s="47" t="s">
        <v>2135</v>
      </c>
      <c r="C1000" s="48" t="s">
        <v>2148</v>
      </c>
      <c r="D1000" s="30"/>
      <c r="E1000" s="30"/>
      <c r="F1000" s="30"/>
      <c r="G1000" s="30"/>
      <c r="H1000" s="30" t="s">
        <v>141</v>
      </c>
      <c r="I1000" s="30" t="s">
        <v>31</v>
      </c>
      <c r="J1000" s="30" t="s">
        <v>144</v>
      </c>
      <c r="K1000" s="30" t="s">
        <v>117</v>
      </c>
      <c r="L1000" s="30" t="s">
        <v>122</v>
      </c>
      <c r="M1000" s="48"/>
      <c r="N1000" s="30"/>
      <c r="O1000" s="30"/>
      <c r="P1000" s="30"/>
    </row>
    <row r="1001" spans="1:16" ht="75" customHeight="1">
      <c r="A1001" s="30" t="s">
        <v>2149</v>
      </c>
      <c r="B1001" s="47" t="s">
        <v>2150</v>
      </c>
      <c r="C1001" s="48" t="s">
        <v>2151</v>
      </c>
      <c r="D1001" s="30"/>
      <c r="E1001" s="30"/>
      <c r="F1001" s="30"/>
      <c r="G1001" s="30"/>
      <c r="H1001" s="30" t="s">
        <v>141</v>
      </c>
      <c r="I1001" s="30" t="s">
        <v>31</v>
      </c>
      <c r="J1001" s="30" t="s">
        <v>144</v>
      </c>
      <c r="K1001" s="30" t="s">
        <v>117</v>
      </c>
      <c r="L1001" s="30" t="s">
        <v>122</v>
      </c>
      <c r="M1001" s="48"/>
      <c r="N1001" s="30"/>
      <c r="O1001" s="30"/>
      <c r="P1001" s="30"/>
    </row>
    <row r="1002" spans="1:16" ht="75" customHeight="1">
      <c r="A1002" s="30" t="s">
        <v>2152</v>
      </c>
      <c r="B1002" s="47" t="s">
        <v>2150</v>
      </c>
      <c r="C1002" s="48" t="s">
        <v>2153</v>
      </c>
      <c r="D1002" s="30"/>
      <c r="E1002" s="30"/>
      <c r="F1002" s="30"/>
      <c r="G1002" s="30"/>
      <c r="H1002" s="30" t="s">
        <v>141</v>
      </c>
      <c r="I1002" s="30" t="s">
        <v>31</v>
      </c>
      <c r="J1002" s="30" t="s">
        <v>144</v>
      </c>
      <c r="K1002" s="30" t="s">
        <v>117</v>
      </c>
      <c r="L1002" s="30" t="s">
        <v>122</v>
      </c>
      <c r="M1002" s="48"/>
      <c r="N1002" s="30"/>
      <c r="O1002" s="30"/>
      <c r="P1002" s="30"/>
    </row>
    <row r="1003" spans="1:16" ht="30" customHeight="1">
      <c r="A1003" s="30" t="s">
        <v>2154</v>
      </c>
      <c r="B1003" s="47" t="s">
        <v>150</v>
      </c>
      <c r="C1003" s="48" t="s">
        <v>2155</v>
      </c>
      <c r="D1003" s="30"/>
      <c r="E1003" s="30"/>
      <c r="F1003" s="30"/>
      <c r="G1003" s="30"/>
      <c r="H1003" s="30" t="s">
        <v>141</v>
      </c>
      <c r="I1003" s="30" t="s">
        <v>31</v>
      </c>
      <c r="J1003" s="30" t="s">
        <v>144</v>
      </c>
      <c r="K1003" s="30" t="s">
        <v>117</v>
      </c>
      <c r="L1003" s="30" t="s">
        <v>122</v>
      </c>
      <c r="M1003" s="48"/>
      <c r="N1003" s="30"/>
      <c r="O1003" s="30"/>
      <c r="P1003" s="30"/>
    </row>
    <row r="1004" spans="1:16" ht="135" customHeight="1">
      <c r="A1004" s="30" t="s">
        <v>2156</v>
      </c>
      <c r="B1004" s="47" t="s">
        <v>2157</v>
      </c>
      <c r="C1004" s="48" t="s">
        <v>2158</v>
      </c>
      <c r="D1004" s="30"/>
      <c r="E1004" s="30"/>
      <c r="F1004" s="30"/>
      <c r="G1004" s="30"/>
      <c r="H1004" s="30" t="s">
        <v>141</v>
      </c>
      <c r="I1004" s="30" t="s">
        <v>31</v>
      </c>
      <c r="J1004" s="30" t="s">
        <v>144</v>
      </c>
      <c r="K1004" s="30" t="s">
        <v>117</v>
      </c>
      <c r="L1004" s="30" t="s">
        <v>122</v>
      </c>
      <c r="M1004" s="48"/>
      <c r="N1004" s="30"/>
      <c r="O1004" s="30"/>
      <c r="P1004" s="30"/>
    </row>
    <row r="1005" spans="1:16" ht="75" customHeight="1">
      <c r="A1005" s="30" t="s">
        <v>2159</v>
      </c>
      <c r="B1005" s="47" t="s">
        <v>2157</v>
      </c>
      <c r="C1005" s="48" t="s">
        <v>3849</v>
      </c>
      <c r="D1005" s="30"/>
      <c r="E1005" s="30"/>
      <c r="F1005" s="30"/>
      <c r="G1005" s="30"/>
      <c r="H1005" s="30" t="s">
        <v>141</v>
      </c>
      <c r="I1005" s="30" t="s">
        <v>31</v>
      </c>
      <c r="J1005" s="30" t="s">
        <v>142</v>
      </c>
      <c r="K1005" s="30" t="s">
        <v>116</v>
      </c>
      <c r="L1005" s="30" t="s">
        <v>122</v>
      </c>
      <c r="M1005" s="48" t="s">
        <v>184</v>
      </c>
      <c r="N1005" s="30"/>
      <c r="O1005" s="30"/>
      <c r="P1005" s="30"/>
    </row>
    <row r="1006" spans="1:16" ht="105" customHeight="1">
      <c r="A1006" s="30" t="s">
        <v>2160</v>
      </c>
      <c r="B1006" s="47" t="s">
        <v>2157</v>
      </c>
      <c r="C1006" s="48" t="s">
        <v>2161</v>
      </c>
      <c r="D1006" s="30"/>
      <c r="E1006" s="30"/>
      <c r="F1006" s="30"/>
      <c r="G1006" s="30"/>
      <c r="H1006" s="30" t="s">
        <v>141</v>
      </c>
      <c r="I1006" s="30" t="s">
        <v>31</v>
      </c>
      <c r="J1006" s="30" t="s">
        <v>144</v>
      </c>
      <c r="K1006" s="30" t="s">
        <v>117</v>
      </c>
      <c r="L1006" s="30" t="s">
        <v>122</v>
      </c>
      <c r="M1006" s="48" t="s">
        <v>4123</v>
      </c>
      <c r="N1006" s="30"/>
      <c r="O1006" s="30"/>
      <c r="P1006" s="30"/>
    </row>
    <row r="1007" spans="1:16" ht="60" customHeight="1">
      <c r="A1007" s="30" t="s">
        <v>2162</v>
      </c>
      <c r="B1007" s="47" t="s">
        <v>2157</v>
      </c>
      <c r="C1007" s="48" t="s">
        <v>2163</v>
      </c>
      <c r="D1007" s="30"/>
      <c r="E1007" s="30"/>
      <c r="F1007" s="30"/>
      <c r="G1007" s="30"/>
      <c r="H1007" s="30" t="s">
        <v>141</v>
      </c>
      <c r="I1007" s="30" t="s">
        <v>31</v>
      </c>
      <c r="J1007" s="30" t="s">
        <v>142</v>
      </c>
      <c r="K1007" s="30" t="s">
        <v>116</v>
      </c>
      <c r="L1007" s="30" t="s">
        <v>122</v>
      </c>
      <c r="M1007" s="48" t="s">
        <v>184</v>
      </c>
      <c r="N1007" s="30"/>
      <c r="O1007" s="30"/>
      <c r="P1007" s="30"/>
    </row>
    <row r="1008" spans="1:16" ht="60" customHeight="1">
      <c r="A1008" s="30" t="s">
        <v>2164</v>
      </c>
      <c r="B1008" s="47" t="s">
        <v>2157</v>
      </c>
      <c r="C1008" s="48" t="s">
        <v>2165</v>
      </c>
      <c r="D1008" s="30"/>
      <c r="E1008" s="30"/>
      <c r="F1008" s="30"/>
      <c r="G1008" s="30"/>
      <c r="H1008" s="30" t="s">
        <v>141</v>
      </c>
      <c r="I1008" s="30" t="s">
        <v>31</v>
      </c>
      <c r="J1008" s="30" t="s">
        <v>142</v>
      </c>
      <c r="K1008" s="30" t="s">
        <v>116</v>
      </c>
      <c r="L1008" s="30" t="s">
        <v>122</v>
      </c>
      <c r="M1008" s="48" t="s">
        <v>184</v>
      </c>
      <c r="N1008" s="30"/>
      <c r="O1008" s="30"/>
      <c r="P1008" s="30"/>
    </row>
    <row r="1009" spans="1:16" ht="60" customHeight="1">
      <c r="A1009" s="30" t="s">
        <v>2166</v>
      </c>
      <c r="B1009" s="47" t="s">
        <v>2157</v>
      </c>
      <c r="C1009" s="48" t="s">
        <v>2167</v>
      </c>
      <c r="D1009" s="30"/>
      <c r="E1009" s="30"/>
      <c r="F1009" s="30"/>
      <c r="G1009" s="30"/>
      <c r="H1009" s="30" t="s">
        <v>141</v>
      </c>
      <c r="I1009" s="30" t="s">
        <v>31</v>
      </c>
      <c r="J1009" s="30" t="s">
        <v>142</v>
      </c>
      <c r="K1009" s="30" t="s">
        <v>116</v>
      </c>
      <c r="L1009" s="30" t="s">
        <v>122</v>
      </c>
      <c r="M1009" s="48" t="s">
        <v>184</v>
      </c>
      <c r="N1009" s="30"/>
      <c r="O1009" s="30"/>
      <c r="P1009" s="30"/>
    </row>
    <row r="1010" spans="1:16" ht="45" customHeight="1">
      <c r="A1010" s="30" t="s">
        <v>2168</v>
      </c>
      <c r="B1010" s="47" t="s">
        <v>2157</v>
      </c>
      <c r="C1010" s="48" t="s">
        <v>2169</v>
      </c>
      <c r="D1010" s="30"/>
      <c r="E1010" s="30"/>
      <c r="F1010" s="30"/>
      <c r="G1010" s="30"/>
      <c r="H1010" s="30" t="s">
        <v>141</v>
      </c>
      <c r="I1010" s="30" t="s">
        <v>31</v>
      </c>
      <c r="J1010" s="30" t="s">
        <v>142</v>
      </c>
      <c r="K1010" s="30" t="s">
        <v>116</v>
      </c>
      <c r="L1010" s="30" t="s">
        <v>122</v>
      </c>
      <c r="M1010" s="48" t="s">
        <v>184</v>
      </c>
      <c r="N1010" s="30"/>
      <c r="O1010" s="30"/>
      <c r="P1010" s="30"/>
    </row>
    <row r="1011" spans="1:16" ht="45" customHeight="1">
      <c r="A1011" s="30" t="s">
        <v>2170</v>
      </c>
      <c r="B1011" s="47" t="s">
        <v>2157</v>
      </c>
      <c r="C1011" s="48" t="s">
        <v>2171</v>
      </c>
      <c r="D1011" s="30"/>
      <c r="E1011" s="30"/>
      <c r="F1011" s="30"/>
      <c r="G1011" s="30"/>
      <c r="H1011" s="30" t="s">
        <v>141</v>
      </c>
      <c r="I1011" s="30" t="s">
        <v>31</v>
      </c>
      <c r="J1011" s="30" t="s">
        <v>142</v>
      </c>
      <c r="K1011" s="30" t="s">
        <v>116</v>
      </c>
      <c r="L1011" s="30" t="s">
        <v>122</v>
      </c>
      <c r="M1011" s="48" t="s">
        <v>184</v>
      </c>
      <c r="N1011" s="30"/>
      <c r="O1011" s="30"/>
      <c r="P1011" s="30"/>
    </row>
    <row r="1012" spans="1:16" ht="30" customHeight="1">
      <c r="A1012" s="30" t="s">
        <v>2172</v>
      </c>
      <c r="B1012" s="47" t="s">
        <v>2157</v>
      </c>
      <c r="C1012" s="48" t="s">
        <v>2173</v>
      </c>
      <c r="D1012" s="30"/>
      <c r="E1012" s="30"/>
      <c r="F1012" s="30"/>
      <c r="G1012" s="30"/>
      <c r="H1012" s="30" t="s">
        <v>141</v>
      </c>
      <c r="I1012" s="30" t="s">
        <v>31</v>
      </c>
      <c r="J1012" s="30" t="s">
        <v>142</v>
      </c>
      <c r="K1012" s="30" t="s">
        <v>116</v>
      </c>
      <c r="L1012" s="30" t="s">
        <v>122</v>
      </c>
      <c r="M1012" s="48" t="s">
        <v>184</v>
      </c>
      <c r="N1012" s="30"/>
      <c r="O1012" s="30"/>
      <c r="P1012" s="30"/>
    </row>
    <row r="1013" spans="1:16" ht="45" customHeight="1">
      <c r="A1013" s="30" t="s">
        <v>2174</v>
      </c>
      <c r="B1013" s="47" t="s">
        <v>2175</v>
      </c>
      <c r="C1013" s="48" t="s">
        <v>2176</v>
      </c>
      <c r="D1013" s="30"/>
      <c r="E1013" s="30"/>
      <c r="F1013" s="30"/>
      <c r="G1013" s="30"/>
      <c r="H1013" s="30" t="s">
        <v>141</v>
      </c>
      <c r="I1013" s="30" t="s">
        <v>31</v>
      </c>
      <c r="J1013" s="30" t="s">
        <v>142</v>
      </c>
      <c r="K1013" s="30" t="s">
        <v>116</v>
      </c>
      <c r="L1013" s="30" t="s">
        <v>122</v>
      </c>
      <c r="M1013" s="48" t="s">
        <v>184</v>
      </c>
      <c r="N1013" s="30"/>
      <c r="O1013" s="30"/>
      <c r="P1013" s="30"/>
    </row>
    <row r="1014" spans="1:16" ht="60" customHeight="1">
      <c r="A1014" s="30" t="s">
        <v>2177</v>
      </c>
      <c r="B1014" s="47" t="s">
        <v>2178</v>
      </c>
      <c r="C1014" s="48" t="s">
        <v>2179</v>
      </c>
      <c r="D1014" s="30"/>
      <c r="E1014" s="30"/>
      <c r="F1014" s="30"/>
      <c r="G1014" s="30"/>
      <c r="H1014" s="30" t="s">
        <v>141</v>
      </c>
      <c r="I1014" s="30" t="s">
        <v>31</v>
      </c>
      <c r="J1014" s="30" t="s">
        <v>144</v>
      </c>
      <c r="K1014" s="30" t="s">
        <v>117</v>
      </c>
      <c r="L1014" s="30" t="s">
        <v>122</v>
      </c>
      <c r="M1014" s="48"/>
      <c r="N1014" s="30"/>
      <c r="O1014" s="30"/>
      <c r="P1014" s="30"/>
    </row>
    <row r="1015" spans="1:16" ht="75" customHeight="1">
      <c r="A1015" s="30" t="s">
        <v>2180</v>
      </c>
      <c r="B1015" s="47" t="s">
        <v>2178</v>
      </c>
      <c r="C1015" s="48" t="s">
        <v>2181</v>
      </c>
      <c r="D1015" s="30"/>
      <c r="E1015" s="30"/>
      <c r="F1015" s="30"/>
      <c r="G1015" s="30"/>
      <c r="H1015" s="30" t="s">
        <v>141</v>
      </c>
      <c r="I1015" s="30" t="s">
        <v>31</v>
      </c>
      <c r="J1015" s="30" t="s">
        <v>145</v>
      </c>
      <c r="K1015" s="30" t="s">
        <v>116</v>
      </c>
      <c r="L1015" s="30" t="s">
        <v>122</v>
      </c>
      <c r="M1015" s="48" t="s">
        <v>184</v>
      </c>
      <c r="N1015" s="30"/>
      <c r="O1015" s="30"/>
      <c r="P1015" s="30"/>
    </row>
    <row r="1016" spans="1:16" ht="75" customHeight="1">
      <c r="A1016" s="30" t="s">
        <v>2182</v>
      </c>
      <c r="B1016" s="47" t="s">
        <v>2178</v>
      </c>
      <c r="C1016" s="48" t="s">
        <v>3851</v>
      </c>
      <c r="D1016" s="30"/>
      <c r="E1016" s="30"/>
      <c r="F1016" s="30"/>
      <c r="G1016" s="30"/>
      <c r="H1016" s="30" t="s">
        <v>141</v>
      </c>
      <c r="I1016" s="30" t="s">
        <v>31</v>
      </c>
      <c r="J1016" s="30" t="s">
        <v>145</v>
      </c>
      <c r="K1016" s="30" t="s">
        <v>116</v>
      </c>
      <c r="L1016" s="30" t="s">
        <v>122</v>
      </c>
      <c r="M1016" s="48" t="s">
        <v>184</v>
      </c>
      <c r="N1016" s="30"/>
      <c r="O1016" s="30"/>
      <c r="P1016" s="30"/>
    </row>
    <row r="1017" spans="1:16" ht="30" customHeight="1">
      <c r="A1017" s="30" t="s">
        <v>2183</v>
      </c>
      <c r="B1017" s="47" t="s">
        <v>2184</v>
      </c>
      <c r="C1017" s="48" t="s">
        <v>2185</v>
      </c>
      <c r="D1017" s="30"/>
      <c r="E1017" s="30"/>
      <c r="F1017" s="30"/>
      <c r="G1017" s="30"/>
      <c r="H1017" s="30" t="s">
        <v>141</v>
      </c>
      <c r="I1017" s="30" t="s">
        <v>31</v>
      </c>
      <c r="J1017" s="30" t="s">
        <v>142</v>
      </c>
      <c r="K1017" s="30" t="s">
        <v>116</v>
      </c>
      <c r="L1017" s="30" t="s">
        <v>122</v>
      </c>
      <c r="M1017" s="48" t="s">
        <v>184</v>
      </c>
      <c r="N1017" s="30"/>
      <c r="O1017" s="30"/>
      <c r="P1017" s="30"/>
    </row>
    <row r="1018" spans="1:16" ht="150" customHeight="1">
      <c r="A1018" s="30" t="s">
        <v>2186</v>
      </c>
      <c r="B1018" s="47" t="s">
        <v>2187</v>
      </c>
      <c r="C1018" s="48" t="s">
        <v>3853</v>
      </c>
      <c r="D1018" s="30"/>
      <c r="E1018" s="30"/>
      <c r="F1018" s="30"/>
      <c r="G1018" s="30"/>
      <c r="H1018" s="30" t="s">
        <v>141</v>
      </c>
      <c r="I1018" s="30" t="s">
        <v>31</v>
      </c>
      <c r="J1018" s="30" t="s">
        <v>142</v>
      </c>
      <c r="K1018" s="30" t="s">
        <v>116</v>
      </c>
      <c r="L1018" s="30" t="s">
        <v>122</v>
      </c>
      <c r="M1018" s="48" t="s">
        <v>184</v>
      </c>
      <c r="N1018" s="30"/>
      <c r="O1018" s="30"/>
      <c r="P1018" s="30"/>
    </row>
    <row r="1019" spans="1:16" ht="75" customHeight="1">
      <c r="A1019" s="30" t="s">
        <v>2188</v>
      </c>
      <c r="B1019" s="47" t="s">
        <v>2189</v>
      </c>
      <c r="C1019" s="48" t="s">
        <v>2190</v>
      </c>
      <c r="D1019" s="30"/>
      <c r="E1019" s="30"/>
      <c r="F1019" s="30"/>
      <c r="G1019" s="30"/>
      <c r="H1019" s="30" t="s">
        <v>141</v>
      </c>
      <c r="I1019" s="30" t="s">
        <v>31</v>
      </c>
      <c r="J1019" s="30" t="s">
        <v>142</v>
      </c>
      <c r="K1019" s="30" t="s">
        <v>116</v>
      </c>
      <c r="L1019" s="30" t="s">
        <v>122</v>
      </c>
      <c r="M1019" s="48" t="s">
        <v>184</v>
      </c>
      <c r="N1019" s="30"/>
      <c r="O1019" s="30"/>
      <c r="P1019" s="30"/>
    </row>
    <row r="1020" spans="1:16" ht="105" customHeight="1">
      <c r="A1020" s="30" t="s">
        <v>2191</v>
      </c>
      <c r="B1020" s="47" t="s">
        <v>2192</v>
      </c>
      <c r="C1020" s="48" t="s">
        <v>2193</v>
      </c>
      <c r="D1020" s="30"/>
      <c r="E1020" s="30"/>
      <c r="F1020" s="30"/>
      <c r="G1020" s="30"/>
      <c r="H1020" s="30" t="s">
        <v>141</v>
      </c>
      <c r="I1020" s="30" t="s">
        <v>31</v>
      </c>
      <c r="J1020" s="30" t="s">
        <v>142</v>
      </c>
      <c r="K1020" s="30" t="s">
        <v>116</v>
      </c>
      <c r="L1020" s="30" t="s">
        <v>122</v>
      </c>
      <c r="M1020" s="48" t="s">
        <v>184</v>
      </c>
      <c r="N1020" s="30"/>
      <c r="O1020" s="30"/>
      <c r="P1020" s="30"/>
    </row>
    <row r="1021" spans="1:16" ht="135" customHeight="1">
      <c r="A1021" s="30" t="s">
        <v>2194</v>
      </c>
      <c r="B1021" s="47" t="s">
        <v>2192</v>
      </c>
      <c r="C1021" s="48" t="s">
        <v>2195</v>
      </c>
      <c r="D1021" s="30"/>
      <c r="E1021" s="30"/>
      <c r="F1021" s="30"/>
      <c r="G1021" s="30"/>
      <c r="H1021" s="30" t="s">
        <v>141</v>
      </c>
      <c r="I1021" s="30" t="s">
        <v>31</v>
      </c>
      <c r="J1021" s="30" t="s">
        <v>142</v>
      </c>
      <c r="K1021" s="30" t="s">
        <v>116</v>
      </c>
      <c r="L1021" s="30" t="s">
        <v>122</v>
      </c>
      <c r="M1021" s="48" t="s">
        <v>184</v>
      </c>
      <c r="N1021" s="30"/>
      <c r="O1021" s="30"/>
      <c r="P1021" s="30"/>
    </row>
    <row r="1022" spans="1:16" ht="90" customHeight="1">
      <c r="A1022" s="30" t="s">
        <v>2196</v>
      </c>
      <c r="B1022" s="47" t="s">
        <v>2192</v>
      </c>
      <c r="C1022" s="48" t="s">
        <v>2197</v>
      </c>
      <c r="D1022" s="30"/>
      <c r="E1022" s="30"/>
      <c r="F1022" s="30"/>
      <c r="G1022" s="30"/>
      <c r="H1022" s="30" t="s">
        <v>141</v>
      </c>
      <c r="I1022" s="30" t="s">
        <v>31</v>
      </c>
      <c r="J1022" s="30" t="s">
        <v>142</v>
      </c>
      <c r="K1022" s="30" t="s">
        <v>116</v>
      </c>
      <c r="L1022" s="30" t="s">
        <v>122</v>
      </c>
      <c r="M1022" s="48" t="s">
        <v>184</v>
      </c>
      <c r="N1022" s="30"/>
      <c r="O1022" s="30"/>
      <c r="P1022" s="30"/>
    </row>
    <row r="1023" spans="1:16" ht="135" customHeight="1">
      <c r="A1023" s="30" t="s">
        <v>2198</v>
      </c>
      <c r="B1023" s="47" t="s">
        <v>2192</v>
      </c>
      <c r="C1023" s="48" t="s">
        <v>2199</v>
      </c>
      <c r="D1023" s="30"/>
      <c r="E1023" s="30"/>
      <c r="F1023" s="30"/>
      <c r="G1023" s="30"/>
      <c r="H1023" s="30" t="s">
        <v>141</v>
      </c>
      <c r="I1023" s="30" t="s">
        <v>31</v>
      </c>
      <c r="J1023" s="30" t="s">
        <v>142</v>
      </c>
      <c r="K1023" s="30" t="s">
        <v>116</v>
      </c>
      <c r="L1023" s="30" t="s">
        <v>122</v>
      </c>
      <c r="M1023" s="48" t="s">
        <v>184</v>
      </c>
      <c r="N1023" s="30"/>
      <c r="O1023" s="30"/>
      <c r="P1023" s="30"/>
    </row>
    <row r="1024" spans="1:16" ht="120" customHeight="1">
      <c r="A1024" s="30" t="s">
        <v>2200</v>
      </c>
      <c r="B1024" s="47" t="s">
        <v>2192</v>
      </c>
      <c r="C1024" s="48" t="s">
        <v>3857</v>
      </c>
      <c r="D1024" s="30"/>
      <c r="E1024" s="30"/>
      <c r="F1024" s="30"/>
      <c r="G1024" s="30"/>
      <c r="H1024" s="30" t="s">
        <v>141</v>
      </c>
      <c r="I1024" s="30" t="s">
        <v>31</v>
      </c>
      <c r="J1024" s="30" t="s">
        <v>144</v>
      </c>
      <c r="K1024" s="30" t="s">
        <v>116</v>
      </c>
      <c r="L1024" s="30" t="s">
        <v>122</v>
      </c>
      <c r="M1024" s="48" t="s">
        <v>184</v>
      </c>
      <c r="N1024" s="30"/>
      <c r="O1024" s="30"/>
      <c r="P1024" s="30"/>
    </row>
    <row r="1025" spans="1:16" ht="30" customHeight="1">
      <c r="A1025" s="30" t="s">
        <v>2201</v>
      </c>
      <c r="B1025" s="47" t="s">
        <v>2192</v>
      </c>
      <c r="C1025" s="48" t="s">
        <v>2202</v>
      </c>
      <c r="D1025" s="30"/>
      <c r="E1025" s="30"/>
      <c r="F1025" s="30"/>
      <c r="G1025" s="30"/>
      <c r="H1025" s="30" t="s">
        <v>141</v>
      </c>
      <c r="I1025" s="30" t="s">
        <v>31</v>
      </c>
      <c r="J1025" s="30" t="s">
        <v>142</v>
      </c>
      <c r="K1025" s="30" t="s">
        <v>116</v>
      </c>
      <c r="L1025" s="30" t="s">
        <v>122</v>
      </c>
      <c r="M1025" s="48" t="s">
        <v>184</v>
      </c>
      <c r="N1025" s="30"/>
      <c r="O1025" s="30"/>
      <c r="P1025" s="30"/>
    </row>
    <row r="1026" spans="1:16" ht="45" customHeight="1">
      <c r="A1026" s="30" t="s">
        <v>2203</v>
      </c>
      <c r="B1026" s="47" t="s">
        <v>2192</v>
      </c>
      <c r="C1026" s="48" t="s">
        <v>2204</v>
      </c>
      <c r="D1026" s="30"/>
      <c r="E1026" s="30"/>
      <c r="F1026" s="30"/>
      <c r="G1026" s="30"/>
      <c r="H1026" s="30" t="s">
        <v>141</v>
      </c>
      <c r="I1026" s="30" t="s">
        <v>31</v>
      </c>
      <c r="J1026" s="30" t="s">
        <v>142</v>
      </c>
      <c r="K1026" s="30" t="s">
        <v>116</v>
      </c>
      <c r="L1026" s="30" t="s">
        <v>122</v>
      </c>
      <c r="M1026" s="48" t="s">
        <v>184</v>
      </c>
      <c r="N1026" s="30"/>
      <c r="O1026" s="30"/>
      <c r="P1026" s="30"/>
    </row>
    <row r="1027" spans="1:16" ht="45" customHeight="1">
      <c r="A1027" s="30" t="s">
        <v>2205</v>
      </c>
      <c r="B1027" s="47" t="s">
        <v>2192</v>
      </c>
      <c r="C1027" s="48" t="s">
        <v>2206</v>
      </c>
      <c r="D1027" s="30"/>
      <c r="E1027" s="30"/>
      <c r="F1027" s="30"/>
      <c r="G1027" s="30"/>
      <c r="H1027" s="30" t="s">
        <v>141</v>
      </c>
      <c r="I1027" s="30" t="s">
        <v>31</v>
      </c>
      <c r="J1027" s="30" t="s">
        <v>142</v>
      </c>
      <c r="K1027" s="30" t="s">
        <v>116</v>
      </c>
      <c r="L1027" s="30" t="s">
        <v>122</v>
      </c>
      <c r="M1027" s="48" t="s">
        <v>184</v>
      </c>
      <c r="N1027" s="30"/>
      <c r="O1027" s="30"/>
      <c r="P1027" s="30"/>
    </row>
    <row r="1028" spans="1:16" ht="45" customHeight="1">
      <c r="A1028" s="30" t="s">
        <v>2207</v>
      </c>
      <c r="B1028" s="47" t="s">
        <v>2192</v>
      </c>
      <c r="C1028" s="48" t="s">
        <v>2208</v>
      </c>
      <c r="D1028" s="30"/>
      <c r="E1028" s="30"/>
      <c r="F1028" s="30"/>
      <c r="G1028" s="30"/>
      <c r="H1028" s="30" t="s">
        <v>141</v>
      </c>
      <c r="I1028" s="30" t="s">
        <v>31</v>
      </c>
      <c r="J1028" s="30" t="s">
        <v>142</v>
      </c>
      <c r="K1028" s="30" t="s">
        <v>116</v>
      </c>
      <c r="L1028" s="30" t="s">
        <v>122</v>
      </c>
      <c r="M1028" s="48" t="s">
        <v>184</v>
      </c>
      <c r="N1028" s="30"/>
      <c r="O1028" s="30"/>
      <c r="P1028" s="30"/>
    </row>
    <row r="1029" spans="1:16" ht="60" customHeight="1">
      <c r="A1029" s="30" t="s">
        <v>2209</v>
      </c>
      <c r="B1029" s="47" t="s">
        <v>2192</v>
      </c>
      <c r="C1029" s="48" t="s">
        <v>2210</v>
      </c>
      <c r="D1029" s="30"/>
      <c r="E1029" s="30"/>
      <c r="F1029" s="30"/>
      <c r="G1029" s="30"/>
      <c r="H1029" s="30" t="s">
        <v>141</v>
      </c>
      <c r="I1029" s="30" t="s">
        <v>31</v>
      </c>
      <c r="J1029" s="30" t="s">
        <v>142</v>
      </c>
      <c r="K1029" s="30" t="s">
        <v>116</v>
      </c>
      <c r="L1029" s="30" t="s">
        <v>122</v>
      </c>
      <c r="M1029" s="48" t="s">
        <v>184</v>
      </c>
      <c r="N1029" s="30"/>
      <c r="O1029" s="30"/>
      <c r="P1029" s="30"/>
    </row>
    <row r="1030" spans="1:16" ht="90" customHeight="1">
      <c r="A1030" s="30" t="s">
        <v>2211</v>
      </c>
      <c r="B1030" s="47" t="s">
        <v>2192</v>
      </c>
      <c r="C1030" s="48" t="s">
        <v>3858</v>
      </c>
      <c r="D1030" s="30"/>
      <c r="E1030" s="30"/>
      <c r="F1030" s="30"/>
      <c r="G1030" s="30"/>
      <c r="H1030" s="30" t="s">
        <v>141</v>
      </c>
      <c r="I1030" s="30" t="s">
        <v>31</v>
      </c>
      <c r="J1030" s="30" t="s">
        <v>142</v>
      </c>
      <c r="K1030" s="30" t="s">
        <v>116</v>
      </c>
      <c r="L1030" s="30" t="s">
        <v>122</v>
      </c>
      <c r="M1030" s="48" t="s">
        <v>184</v>
      </c>
      <c r="N1030" s="30"/>
      <c r="O1030" s="30"/>
      <c r="P1030" s="30"/>
    </row>
    <row r="1031" spans="1:16" ht="30" customHeight="1">
      <c r="A1031" s="30" t="s">
        <v>2212</v>
      </c>
      <c r="B1031" s="47" t="s">
        <v>2192</v>
      </c>
      <c r="C1031" s="48" t="s">
        <v>3859</v>
      </c>
      <c r="D1031" s="30"/>
      <c r="E1031" s="30"/>
      <c r="F1031" s="30"/>
      <c r="G1031" s="30"/>
      <c r="H1031" s="30" t="s">
        <v>141</v>
      </c>
      <c r="I1031" s="30" t="s">
        <v>31</v>
      </c>
      <c r="J1031" s="30" t="s">
        <v>142</v>
      </c>
      <c r="K1031" s="30" t="s">
        <v>116</v>
      </c>
      <c r="L1031" s="30" t="s">
        <v>122</v>
      </c>
      <c r="M1031" s="48" t="s">
        <v>184</v>
      </c>
      <c r="N1031" s="30"/>
      <c r="O1031" s="30"/>
      <c r="P1031" s="30"/>
    </row>
    <row r="1032" spans="1:16" ht="90" customHeight="1">
      <c r="A1032" s="30" t="s">
        <v>2213</v>
      </c>
      <c r="B1032" s="47" t="s">
        <v>2192</v>
      </c>
      <c r="C1032" s="48" t="s">
        <v>2214</v>
      </c>
      <c r="D1032" s="30"/>
      <c r="E1032" s="30"/>
      <c r="F1032" s="30"/>
      <c r="G1032" s="30"/>
      <c r="H1032" s="30" t="s">
        <v>141</v>
      </c>
      <c r="I1032" s="30" t="s">
        <v>31</v>
      </c>
      <c r="J1032" s="30" t="s">
        <v>142</v>
      </c>
      <c r="K1032" s="30" t="s">
        <v>116</v>
      </c>
      <c r="L1032" s="30" t="s">
        <v>122</v>
      </c>
      <c r="M1032" s="48" t="s">
        <v>184</v>
      </c>
      <c r="N1032" s="30"/>
      <c r="O1032" s="30"/>
      <c r="P1032" s="30"/>
    </row>
    <row r="1033" spans="1:16" ht="150" customHeight="1">
      <c r="A1033" s="30" t="s">
        <v>2215</v>
      </c>
      <c r="B1033" s="47" t="s">
        <v>2192</v>
      </c>
      <c r="C1033" s="48" t="s">
        <v>3865</v>
      </c>
      <c r="D1033" s="30"/>
      <c r="E1033" s="30"/>
      <c r="F1033" s="30"/>
      <c r="G1033" s="30"/>
      <c r="H1033" s="30" t="s">
        <v>141</v>
      </c>
      <c r="I1033" s="30" t="s">
        <v>31</v>
      </c>
      <c r="J1033" s="30" t="s">
        <v>142</v>
      </c>
      <c r="K1033" s="30" t="s">
        <v>116</v>
      </c>
      <c r="L1033" s="30" t="s">
        <v>122</v>
      </c>
      <c r="M1033" s="48" t="s">
        <v>184</v>
      </c>
      <c r="N1033" s="30"/>
      <c r="O1033" s="30"/>
      <c r="P1033" s="30"/>
    </row>
    <row r="1034" spans="1:16" ht="120" customHeight="1">
      <c r="A1034" s="30" t="s">
        <v>2216</v>
      </c>
      <c r="B1034" s="47" t="s">
        <v>2192</v>
      </c>
      <c r="C1034" s="48" t="s">
        <v>2217</v>
      </c>
      <c r="D1034" s="30"/>
      <c r="E1034" s="30"/>
      <c r="F1034" s="30"/>
      <c r="G1034" s="30"/>
      <c r="H1034" s="30" t="s">
        <v>141</v>
      </c>
      <c r="I1034" s="30" t="s">
        <v>31</v>
      </c>
      <c r="J1034" s="30" t="s">
        <v>142</v>
      </c>
      <c r="K1034" s="30" t="s">
        <v>116</v>
      </c>
      <c r="L1034" s="30" t="s">
        <v>122</v>
      </c>
      <c r="M1034" s="48" t="s">
        <v>184</v>
      </c>
      <c r="N1034" s="30"/>
      <c r="O1034" s="30"/>
      <c r="P1034" s="30"/>
    </row>
    <row r="1035" spans="1:16" ht="45" customHeight="1">
      <c r="A1035" s="30" t="s">
        <v>2218</v>
      </c>
      <c r="B1035" s="47" t="s">
        <v>2192</v>
      </c>
      <c r="C1035" s="48" t="s">
        <v>3867</v>
      </c>
      <c r="D1035" s="30"/>
      <c r="E1035" s="30"/>
      <c r="F1035" s="30"/>
      <c r="G1035" s="30"/>
      <c r="H1035" s="30" t="s">
        <v>141</v>
      </c>
      <c r="I1035" s="30" t="s">
        <v>31</v>
      </c>
      <c r="J1035" s="30" t="s">
        <v>142</v>
      </c>
      <c r="K1035" s="30" t="s">
        <v>116</v>
      </c>
      <c r="L1035" s="30" t="s">
        <v>122</v>
      </c>
      <c r="M1035" s="48" t="s">
        <v>184</v>
      </c>
      <c r="N1035" s="30"/>
      <c r="O1035" s="30"/>
      <c r="P1035" s="30"/>
    </row>
    <row r="1036" spans="1:16" ht="45" customHeight="1">
      <c r="A1036" s="30" t="s">
        <v>2219</v>
      </c>
      <c r="B1036" s="47" t="s">
        <v>2192</v>
      </c>
      <c r="C1036" s="48" t="s">
        <v>2220</v>
      </c>
      <c r="D1036" s="30"/>
      <c r="E1036" s="30"/>
      <c r="F1036" s="30"/>
      <c r="G1036" s="30"/>
      <c r="H1036" s="30" t="s">
        <v>141</v>
      </c>
      <c r="I1036" s="30" t="s">
        <v>31</v>
      </c>
      <c r="J1036" s="30" t="s">
        <v>142</v>
      </c>
      <c r="K1036" s="30" t="s">
        <v>116</v>
      </c>
      <c r="L1036" s="30" t="s">
        <v>122</v>
      </c>
      <c r="M1036" s="48" t="s">
        <v>184</v>
      </c>
      <c r="N1036" s="30"/>
      <c r="O1036" s="30"/>
      <c r="P1036" s="30"/>
    </row>
    <row r="1037" spans="1:16" ht="30" customHeight="1">
      <c r="A1037" s="30" t="s">
        <v>2221</v>
      </c>
      <c r="B1037" s="47" t="s">
        <v>2192</v>
      </c>
      <c r="C1037" s="48" t="s">
        <v>2222</v>
      </c>
      <c r="D1037" s="30"/>
      <c r="E1037" s="30"/>
      <c r="F1037" s="30"/>
      <c r="G1037" s="30"/>
      <c r="H1037" s="30" t="s">
        <v>141</v>
      </c>
      <c r="I1037" s="30" t="s">
        <v>31</v>
      </c>
      <c r="J1037" s="30" t="s">
        <v>142</v>
      </c>
      <c r="K1037" s="30" t="s">
        <v>116</v>
      </c>
      <c r="L1037" s="30" t="s">
        <v>122</v>
      </c>
      <c r="M1037" s="48" t="s">
        <v>184</v>
      </c>
      <c r="N1037" s="30"/>
      <c r="O1037" s="30"/>
      <c r="P1037" s="30"/>
    </row>
    <row r="1038" spans="1:16" ht="45" customHeight="1">
      <c r="A1038" s="30" t="s">
        <v>2223</v>
      </c>
      <c r="B1038" s="47" t="s">
        <v>2192</v>
      </c>
      <c r="C1038" s="48" t="s">
        <v>2224</v>
      </c>
      <c r="D1038" s="30"/>
      <c r="E1038" s="30"/>
      <c r="F1038" s="30"/>
      <c r="G1038" s="30"/>
      <c r="H1038" s="30" t="s">
        <v>141</v>
      </c>
      <c r="I1038" s="30" t="s">
        <v>31</v>
      </c>
      <c r="J1038" s="30" t="s">
        <v>142</v>
      </c>
      <c r="K1038" s="30" t="s">
        <v>116</v>
      </c>
      <c r="L1038" s="30" t="s">
        <v>122</v>
      </c>
      <c r="M1038" s="48" t="s">
        <v>184</v>
      </c>
      <c r="N1038" s="30"/>
      <c r="O1038" s="30"/>
      <c r="P1038" s="30"/>
    </row>
    <row r="1039" spans="1:16" ht="45" customHeight="1">
      <c r="A1039" s="30" t="s">
        <v>2225</v>
      </c>
      <c r="B1039" s="47" t="s">
        <v>2192</v>
      </c>
      <c r="C1039" s="48" t="s">
        <v>2226</v>
      </c>
      <c r="D1039" s="30"/>
      <c r="E1039" s="30"/>
      <c r="F1039" s="30"/>
      <c r="G1039" s="30"/>
      <c r="H1039" s="30" t="s">
        <v>141</v>
      </c>
      <c r="I1039" s="30" t="s">
        <v>31</v>
      </c>
      <c r="J1039" s="30" t="s">
        <v>142</v>
      </c>
      <c r="K1039" s="30" t="s">
        <v>116</v>
      </c>
      <c r="L1039" s="30" t="s">
        <v>122</v>
      </c>
      <c r="M1039" s="48" t="s">
        <v>184</v>
      </c>
      <c r="N1039" s="30"/>
      <c r="O1039" s="30"/>
      <c r="P1039" s="30"/>
    </row>
    <row r="1040" spans="1:16" ht="45" customHeight="1">
      <c r="A1040" s="30" t="s">
        <v>2227</v>
      </c>
      <c r="B1040" s="47" t="s">
        <v>2192</v>
      </c>
      <c r="C1040" s="48" t="s">
        <v>2228</v>
      </c>
      <c r="D1040" s="30"/>
      <c r="E1040" s="30"/>
      <c r="F1040" s="30"/>
      <c r="G1040" s="30"/>
      <c r="H1040" s="30" t="s">
        <v>141</v>
      </c>
      <c r="I1040" s="30" t="s">
        <v>31</v>
      </c>
      <c r="J1040" s="30" t="s">
        <v>142</v>
      </c>
      <c r="K1040" s="30" t="s">
        <v>116</v>
      </c>
      <c r="L1040" s="30" t="s">
        <v>122</v>
      </c>
      <c r="M1040" s="48" t="s">
        <v>184</v>
      </c>
      <c r="N1040" s="30"/>
      <c r="O1040" s="30"/>
      <c r="P1040" s="30"/>
    </row>
    <row r="1041" spans="1:16" ht="30" customHeight="1">
      <c r="A1041" s="30" t="s">
        <v>2229</v>
      </c>
      <c r="B1041" s="47" t="s">
        <v>2192</v>
      </c>
      <c r="C1041" s="48" t="s">
        <v>2230</v>
      </c>
      <c r="D1041" s="30"/>
      <c r="E1041" s="30"/>
      <c r="F1041" s="30"/>
      <c r="G1041" s="30"/>
      <c r="H1041" s="30" t="s">
        <v>141</v>
      </c>
      <c r="I1041" s="30" t="s">
        <v>31</v>
      </c>
      <c r="J1041" s="30" t="s">
        <v>142</v>
      </c>
      <c r="K1041" s="30" t="s">
        <v>116</v>
      </c>
      <c r="L1041" s="30" t="s">
        <v>122</v>
      </c>
      <c r="M1041" s="48" t="s">
        <v>184</v>
      </c>
      <c r="N1041" s="30"/>
      <c r="O1041" s="30"/>
      <c r="P1041" s="30"/>
    </row>
    <row r="1042" spans="1:16" ht="75" customHeight="1">
      <c r="A1042" s="30" t="s">
        <v>2231</v>
      </c>
      <c r="B1042" s="47" t="s">
        <v>2232</v>
      </c>
      <c r="C1042" s="48" t="s">
        <v>2233</v>
      </c>
      <c r="D1042" s="30"/>
      <c r="E1042" s="30"/>
      <c r="F1042" s="30"/>
      <c r="G1042" s="30"/>
      <c r="H1042" s="30" t="s">
        <v>141</v>
      </c>
      <c r="I1042" s="30" t="s">
        <v>31</v>
      </c>
      <c r="J1042" s="30" t="s">
        <v>142</v>
      </c>
      <c r="K1042" s="30" t="s">
        <v>116</v>
      </c>
      <c r="L1042" s="30" t="s">
        <v>122</v>
      </c>
      <c r="M1042" s="48" t="s">
        <v>184</v>
      </c>
      <c r="N1042" s="30"/>
      <c r="O1042" s="30"/>
      <c r="P1042" s="30"/>
    </row>
    <row r="1043" spans="1:16" ht="30" customHeight="1">
      <c r="A1043" s="30" t="s">
        <v>2234</v>
      </c>
      <c r="B1043" s="47" t="s">
        <v>2232</v>
      </c>
      <c r="C1043" s="49" t="s">
        <v>2235</v>
      </c>
      <c r="D1043" s="30"/>
      <c r="E1043" s="30"/>
      <c r="F1043" s="30"/>
      <c r="G1043" s="30"/>
      <c r="H1043" s="30" t="s">
        <v>141</v>
      </c>
      <c r="I1043" s="30" t="s">
        <v>22</v>
      </c>
      <c r="J1043" s="30" t="s">
        <v>144</v>
      </c>
      <c r="K1043" s="30" t="s">
        <v>117</v>
      </c>
      <c r="L1043" s="30" t="s">
        <v>122</v>
      </c>
      <c r="M1043" s="48"/>
      <c r="N1043" s="30"/>
      <c r="O1043" s="30"/>
      <c r="P1043" s="30"/>
    </row>
    <row r="1044" spans="1:16" ht="60" customHeight="1">
      <c r="A1044" s="30" t="s">
        <v>2236</v>
      </c>
      <c r="B1044" s="47" t="s">
        <v>2232</v>
      </c>
      <c r="C1044" s="48" t="s">
        <v>2237</v>
      </c>
      <c r="D1044" s="30"/>
      <c r="E1044" s="30"/>
      <c r="F1044" s="30"/>
      <c r="G1044" s="30" t="s">
        <v>132</v>
      </c>
      <c r="H1044" s="30" t="s">
        <v>141</v>
      </c>
      <c r="I1044" s="30" t="s">
        <v>22</v>
      </c>
      <c r="J1044" s="30" t="s">
        <v>142</v>
      </c>
      <c r="K1044" s="30" t="s">
        <v>116</v>
      </c>
      <c r="L1044" s="30" t="s">
        <v>143</v>
      </c>
      <c r="M1044" s="48"/>
      <c r="N1044" s="30"/>
      <c r="O1044" s="30"/>
      <c r="P1044" s="30"/>
    </row>
    <row r="1045" spans="1:16" ht="45" customHeight="1">
      <c r="A1045" s="30" t="s">
        <v>2238</v>
      </c>
      <c r="B1045" s="47" t="s">
        <v>2232</v>
      </c>
      <c r="C1045" s="48" t="s">
        <v>2239</v>
      </c>
      <c r="D1045" s="30"/>
      <c r="E1045" s="30"/>
      <c r="F1045" s="30"/>
      <c r="G1045" s="30"/>
      <c r="H1045" s="30" t="s">
        <v>141</v>
      </c>
      <c r="I1045" s="30" t="s">
        <v>31</v>
      </c>
      <c r="J1045" s="30" t="s">
        <v>142</v>
      </c>
      <c r="K1045" s="30" t="s">
        <v>116</v>
      </c>
      <c r="L1045" s="30" t="s">
        <v>122</v>
      </c>
      <c r="M1045" s="48" t="s">
        <v>184</v>
      </c>
      <c r="N1045" s="30"/>
      <c r="O1045" s="30"/>
      <c r="P1045" s="30"/>
    </row>
    <row r="1046" spans="1:16" ht="60" customHeight="1">
      <c r="A1046" s="30" t="s">
        <v>2240</v>
      </c>
      <c r="B1046" s="47" t="s">
        <v>2232</v>
      </c>
      <c r="C1046" s="48" t="s">
        <v>2241</v>
      </c>
      <c r="D1046" s="30"/>
      <c r="E1046" s="30"/>
      <c r="F1046" s="30"/>
      <c r="G1046" s="30"/>
      <c r="H1046" s="30" t="s">
        <v>141</v>
      </c>
      <c r="I1046" s="30" t="s">
        <v>22</v>
      </c>
      <c r="J1046" s="30" t="s">
        <v>144</v>
      </c>
      <c r="K1046" s="30" t="s">
        <v>117</v>
      </c>
      <c r="L1046" s="30" t="s">
        <v>122</v>
      </c>
      <c r="M1046" s="48"/>
      <c r="N1046" s="30"/>
      <c r="O1046" s="30"/>
      <c r="P1046" s="30"/>
    </row>
    <row r="1047" spans="1:16" ht="60" customHeight="1">
      <c r="A1047" s="30" t="s">
        <v>2242</v>
      </c>
      <c r="B1047" s="47" t="s">
        <v>2232</v>
      </c>
      <c r="C1047" s="48" t="s">
        <v>2243</v>
      </c>
      <c r="D1047" s="30"/>
      <c r="E1047" s="30"/>
      <c r="F1047" s="30"/>
      <c r="G1047" s="30"/>
      <c r="H1047" s="30" t="s">
        <v>141</v>
      </c>
      <c r="I1047" s="30" t="s">
        <v>31</v>
      </c>
      <c r="J1047" s="30" t="s">
        <v>142</v>
      </c>
      <c r="K1047" s="30" t="s">
        <v>116</v>
      </c>
      <c r="L1047" s="30" t="s">
        <v>122</v>
      </c>
      <c r="M1047" s="48" t="s">
        <v>184</v>
      </c>
      <c r="N1047" s="30"/>
      <c r="O1047" s="30"/>
      <c r="P1047" s="30"/>
    </row>
    <row r="1048" spans="1:16" ht="30" customHeight="1">
      <c r="A1048" s="30" t="s">
        <v>2244</v>
      </c>
      <c r="B1048" s="47" t="s">
        <v>2232</v>
      </c>
      <c r="C1048" s="49" t="s">
        <v>2245</v>
      </c>
      <c r="D1048" s="30"/>
      <c r="E1048" s="30"/>
      <c r="F1048" s="30"/>
      <c r="G1048" s="30"/>
      <c r="H1048" s="30" t="s">
        <v>141</v>
      </c>
      <c r="I1048" s="30" t="s">
        <v>31</v>
      </c>
      <c r="J1048" s="30" t="s">
        <v>144</v>
      </c>
      <c r="K1048" s="30" t="s">
        <v>117</v>
      </c>
      <c r="L1048" s="30" t="s">
        <v>122</v>
      </c>
      <c r="M1048" s="48"/>
      <c r="N1048" s="30"/>
      <c r="O1048" s="30"/>
      <c r="P1048" s="30"/>
    </row>
    <row r="1049" spans="1:16" ht="30" customHeight="1">
      <c r="A1049" s="30" t="s">
        <v>2246</v>
      </c>
      <c r="B1049" s="47" t="s">
        <v>2232</v>
      </c>
      <c r="C1049" s="48" t="s">
        <v>2247</v>
      </c>
      <c r="D1049" s="30"/>
      <c r="E1049" s="30"/>
      <c r="F1049" s="30"/>
      <c r="G1049" s="30" t="s">
        <v>132</v>
      </c>
      <c r="H1049" s="30" t="s">
        <v>141</v>
      </c>
      <c r="I1049" s="30" t="s">
        <v>30</v>
      </c>
      <c r="J1049" s="30" t="s">
        <v>142</v>
      </c>
      <c r="K1049" s="30" t="s">
        <v>116</v>
      </c>
      <c r="L1049" s="30" t="s">
        <v>143</v>
      </c>
      <c r="M1049" s="48"/>
      <c r="N1049" s="30"/>
      <c r="O1049" s="30"/>
      <c r="P1049" s="30"/>
    </row>
    <row r="1050" spans="1:16" ht="60" customHeight="1">
      <c r="A1050" s="30" t="s">
        <v>2248</v>
      </c>
      <c r="B1050" s="47" t="s">
        <v>2232</v>
      </c>
      <c r="C1050" s="48" t="s">
        <v>2249</v>
      </c>
      <c r="D1050" s="30"/>
      <c r="E1050" s="30"/>
      <c r="F1050" s="30"/>
      <c r="G1050" s="30"/>
      <c r="H1050" s="30" t="s">
        <v>141</v>
      </c>
      <c r="I1050" s="30" t="s">
        <v>31</v>
      </c>
      <c r="J1050" s="30" t="s">
        <v>144</v>
      </c>
      <c r="K1050" s="30" t="s">
        <v>117</v>
      </c>
      <c r="L1050" s="30" t="s">
        <v>122</v>
      </c>
      <c r="M1050" s="48"/>
      <c r="N1050" s="30"/>
      <c r="O1050" s="30"/>
      <c r="P1050" s="30"/>
    </row>
    <row r="1051" spans="1:16" ht="60" customHeight="1">
      <c r="A1051" s="30" t="s">
        <v>2250</v>
      </c>
      <c r="B1051" s="47" t="s">
        <v>2232</v>
      </c>
      <c r="C1051" s="48" t="s">
        <v>2251</v>
      </c>
      <c r="D1051" s="30"/>
      <c r="E1051" s="30"/>
      <c r="F1051" s="30"/>
      <c r="G1051" s="30"/>
      <c r="H1051" s="30" t="s">
        <v>141</v>
      </c>
      <c r="I1051" s="30" t="s">
        <v>31</v>
      </c>
      <c r="J1051" s="30" t="s">
        <v>142</v>
      </c>
      <c r="K1051" s="30" t="s">
        <v>116</v>
      </c>
      <c r="L1051" s="30" t="s">
        <v>122</v>
      </c>
      <c r="M1051" s="48" t="s">
        <v>184</v>
      </c>
      <c r="N1051" s="30"/>
      <c r="O1051" s="30"/>
      <c r="P1051" s="30"/>
    </row>
    <row r="1052" spans="1:16" ht="45" customHeight="1">
      <c r="A1052" s="30" t="s">
        <v>2252</v>
      </c>
      <c r="B1052" s="47" t="s">
        <v>2232</v>
      </c>
      <c r="C1052" s="48" t="s">
        <v>2253</v>
      </c>
      <c r="D1052" s="30"/>
      <c r="E1052" s="30"/>
      <c r="F1052" s="30"/>
      <c r="G1052" s="30"/>
      <c r="H1052" s="30" t="s">
        <v>141</v>
      </c>
      <c r="I1052" s="30" t="s">
        <v>31</v>
      </c>
      <c r="J1052" s="30" t="s">
        <v>142</v>
      </c>
      <c r="K1052" s="30" t="s">
        <v>116</v>
      </c>
      <c r="L1052" s="30" t="s">
        <v>122</v>
      </c>
      <c r="M1052" s="48" t="s">
        <v>184</v>
      </c>
      <c r="N1052" s="30"/>
      <c r="O1052" s="30"/>
      <c r="P1052" s="30"/>
    </row>
    <row r="1053" spans="1:16" ht="45" customHeight="1">
      <c r="A1053" s="30" t="s">
        <v>2254</v>
      </c>
      <c r="B1053" s="47" t="s">
        <v>2232</v>
      </c>
      <c r="C1053" s="48" t="s">
        <v>2255</v>
      </c>
      <c r="D1053" s="30"/>
      <c r="E1053" s="30"/>
      <c r="F1053" s="30"/>
      <c r="G1053" s="30"/>
      <c r="H1053" s="30" t="s">
        <v>141</v>
      </c>
      <c r="I1053" s="30" t="s">
        <v>30</v>
      </c>
      <c r="J1053" s="30" t="s">
        <v>144</v>
      </c>
      <c r="K1053" s="30" t="s">
        <v>117</v>
      </c>
      <c r="L1053" s="30" t="s">
        <v>122</v>
      </c>
      <c r="M1053" s="48"/>
      <c r="N1053" s="30"/>
      <c r="O1053" s="30"/>
      <c r="P1053" s="30"/>
    </row>
    <row r="1054" spans="1:16" ht="60" customHeight="1">
      <c r="A1054" s="30" t="s">
        <v>2256</v>
      </c>
      <c r="B1054" s="47" t="s">
        <v>2232</v>
      </c>
      <c r="C1054" s="48" t="s">
        <v>2257</v>
      </c>
      <c r="D1054" s="30"/>
      <c r="E1054" s="30"/>
      <c r="F1054" s="30"/>
      <c r="G1054" s="30"/>
      <c r="H1054" s="30" t="s">
        <v>141</v>
      </c>
      <c r="I1054" s="30" t="s">
        <v>22</v>
      </c>
      <c r="J1054" s="30" t="s">
        <v>144</v>
      </c>
      <c r="K1054" s="30" t="s">
        <v>117</v>
      </c>
      <c r="L1054" s="30" t="s">
        <v>122</v>
      </c>
      <c r="M1054" s="48"/>
      <c r="N1054" s="30"/>
      <c r="O1054" s="30"/>
      <c r="P1054" s="30"/>
    </row>
    <row r="1055" spans="1:16" ht="60" customHeight="1">
      <c r="A1055" s="30" t="s">
        <v>2258</v>
      </c>
      <c r="B1055" s="47" t="s">
        <v>2232</v>
      </c>
      <c r="C1055" s="48" t="s">
        <v>2259</v>
      </c>
      <c r="D1055" s="30"/>
      <c r="E1055" s="30"/>
      <c r="F1055" s="30"/>
      <c r="G1055" s="30"/>
      <c r="H1055" s="30" t="s">
        <v>141</v>
      </c>
      <c r="I1055" s="30" t="s">
        <v>31</v>
      </c>
      <c r="J1055" s="30" t="s">
        <v>144</v>
      </c>
      <c r="K1055" s="30" t="s">
        <v>117</v>
      </c>
      <c r="L1055" s="30" t="s">
        <v>122</v>
      </c>
      <c r="M1055" s="48"/>
      <c r="N1055" s="30"/>
      <c r="O1055" s="30"/>
      <c r="P1055" s="30"/>
    </row>
    <row r="1056" spans="1:16" ht="45" customHeight="1">
      <c r="A1056" s="30" t="s">
        <v>2260</v>
      </c>
      <c r="B1056" s="47" t="s">
        <v>2232</v>
      </c>
      <c r="C1056" s="48" t="s">
        <v>2261</v>
      </c>
      <c r="D1056" s="30"/>
      <c r="E1056" s="30"/>
      <c r="F1056" s="30"/>
      <c r="G1056" s="30" t="s">
        <v>132</v>
      </c>
      <c r="H1056" s="30" t="s">
        <v>141</v>
      </c>
      <c r="I1056" s="30" t="s">
        <v>30</v>
      </c>
      <c r="J1056" s="30" t="s">
        <v>142</v>
      </c>
      <c r="K1056" s="30" t="s">
        <v>116</v>
      </c>
      <c r="L1056" s="30" t="s">
        <v>143</v>
      </c>
      <c r="M1056" s="48"/>
      <c r="N1056" s="30"/>
      <c r="O1056" s="30"/>
      <c r="P1056" s="30"/>
    </row>
    <row r="1057" spans="1:16" ht="45" customHeight="1">
      <c r="A1057" s="30" t="s">
        <v>2262</v>
      </c>
      <c r="B1057" s="47" t="s">
        <v>2232</v>
      </c>
      <c r="C1057" s="48" t="s">
        <v>2263</v>
      </c>
      <c r="D1057" s="30"/>
      <c r="E1057" s="30"/>
      <c r="F1057" s="30"/>
      <c r="G1057" s="30"/>
      <c r="H1057" s="30" t="s">
        <v>141</v>
      </c>
      <c r="I1057" s="30" t="s">
        <v>31</v>
      </c>
      <c r="J1057" s="30" t="s">
        <v>142</v>
      </c>
      <c r="K1057" s="30" t="s">
        <v>116</v>
      </c>
      <c r="L1057" s="30" t="s">
        <v>122</v>
      </c>
      <c r="M1057" s="48" t="s">
        <v>184</v>
      </c>
      <c r="N1057" s="30"/>
      <c r="O1057" s="30"/>
      <c r="P1057" s="30"/>
    </row>
    <row r="1058" spans="1:16" ht="45" customHeight="1">
      <c r="A1058" s="30" t="s">
        <v>2264</v>
      </c>
      <c r="B1058" s="47" t="s">
        <v>2232</v>
      </c>
      <c r="C1058" s="48" t="s">
        <v>2265</v>
      </c>
      <c r="D1058" s="30"/>
      <c r="E1058" s="30"/>
      <c r="F1058" s="30"/>
      <c r="G1058" s="30"/>
      <c r="H1058" s="30" t="s">
        <v>141</v>
      </c>
      <c r="I1058" s="30" t="s">
        <v>31</v>
      </c>
      <c r="J1058" s="30" t="s">
        <v>142</v>
      </c>
      <c r="K1058" s="30" t="s">
        <v>116</v>
      </c>
      <c r="L1058" s="30" t="s">
        <v>122</v>
      </c>
      <c r="M1058" s="48" t="s">
        <v>184</v>
      </c>
      <c r="N1058" s="30"/>
      <c r="O1058" s="30"/>
      <c r="P1058" s="30"/>
    </row>
    <row r="1059" spans="1:16" ht="45" customHeight="1">
      <c r="A1059" s="30" t="s">
        <v>2266</v>
      </c>
      <c r="B1059" s="47" t="s">
        <v>2232</v>
      </c>
      <c r="C1059" s="48" t="s">
        <v>2267</v>
      </c>
      <c r="D1059" s="30"/>
      <c r="E1059" s="30"/>
      <c r="F1059" s="30"/>
      <c r="G1059" s="30"/>
      <c r="H1059" s="30" t="s">
        <v>141</v>
      </c>
      <c r="I1059" s="30" t="s">
        <v>30</v>
      </c>
      <c r="J1059" s="30" t="s">
        <v>144</v>
      </c>
      <c r="K1059" s="30" t="s">
        <v>117</v>
      </c>
      <c r="L1059" s="30" t="s">
        <v>122</v>
      </c>
      <c r="M1059" s="48"/>
      <c r="N1059" s="30"/>
      <c r="O1059" s="30"/>
      <c r="P1059" s="30"/>
    </row>
    <row r="1060" spans="1:16" ht="45" customHeight="1">
      <c r="A1060" s="30" t="s">
        <v>2268</v>
      </c>
      <c r="B1060" s="47" t="s">
        <v>2232</v>
      </c>
      <c r="C1060" s="48" t="s">
        <v>2269</v>
      </c>
      <c r="D1060" s="30"/>
      <c r="E1060" s="30"/>
      <c r="F1060" s="30"/>
      <c r="G1060" s="30" t="s">
        <v>132</v>
      </c>
      <c r="H1060" s="30" t="s">
        <v>141</v>
      </c>
      <c r="I1060" s="30" t="s">
        <v>30</v>
      </c>
      <c r="J1060" s="30" t="s">
        <v>142</v>
      </c>
      <c r="K1060" s="30" t="s">
        <v>116</v>
      </c>
      <c r="L1060" s="30" t="s">
        <v>143</v>
      </c>
      <c r="M1060" s="48"/>
      <c r="N1060" s="30"/>
      <c r="O1060" s="30"/>
      <c r="P1060" s="30"/>
    </row>
    <row r="1061" spans="1:16" ht="60" customHeight="1">
      <c r="A1061" s="30" t="s">
        <v>2270</v>
      </c>
      <c r="B1061" s="47" t="s">
        <v>2232</v>
      </c>
      <c r="C1061" s="48" t="s">
        <v>2271</v>
      </c>
      <c r="D1061" s="30"/>
      <c r="E1061" s="30"/>
      <c r="F1061" s="30"/>
      <c r="G1061" s="30"/>
      <c r="H1061" s="30" t="s">
        <v>141</v>
      </c>
      <c r="I1061" s="30" t="s">
        <v>31</v>
      </c>
      <c r="J1061" s="30" t="s">
        <v>142</v>
      </c>
      <c r="K1061" s="30" t="s">
        <v>116</v>
      </c>
      <c r="L1061" s="30" t="s">
        <v>122</v>
      </c>
      <c r="M1061" s="48" t="s">
        <v>184</v>
      </c>
      <c r="N1061" s="30"/>
      <c r="O1061" s="30"/>
      <c r="P1061" s="30"/>
    </row>
    <row r="1062" spans="1:16" ht="60" customHeight="1">
      <c r="A1062" s="30" t="s">
        <v>2272</v>
      </c>
      <c r="B1062" s="47" t="s">
        <v>2232</v>
      </c>
      <c r="C1062" s="48" t="s">
        <v>2273</v>
      </c>
      <c r="D1062" s="30"/>
      <c r="E1062" s="30"/>
      <c r="F1062" s="30"/>
      <c r="G1062" s="30" t="s">
        <v>132</v>
      </c>
      <c r="H1062" s="30" t="s">
        <v>141</v>
      </c>
      <c r="I1062" s="30" t="s">
        <v>22</v>
      </c>
      <c r="J1062" s="30" t="s">
        <v>142</v>
      </c>
      <c r="K1062" s="30" t="s">
        <v>116</v>
      </c>
      <c r="L1062" s="30" t="s">
        <v>143</v>
      </c>
      <c r="M1062" s="48"/>
      <c r="N1062" s="30"/>
      <c r="O1062" s="30"/>
      <c r="P1062" s="30"/>
    </row>
    <row r="1063" spans="1:16" ht="45" customHeight="1">
      <c r="A1063" s="30" t="s">
        <v>2274</v>
      </c>
      <c r="B1063" s="47" t="s">
        <v>2232</v>
      </c>
      <c r="C1063" s="48" t="s">
        <v>2275</v>
      </c>
      <c r="D1063" s="30"/>
      <c r="E1063" s="30"/>
      <c r="F1063" s="30"/>
      <c r="G1063" s="30" t="s">
        <v>132</v>
      </c>
      <c r="H1063" s="30" t="s">
        <v>141</v>
      </c>
      <c r="I1063" s="30" t="s">
        <v>30</v>
      </c>
      <c r="J1063" s="30" t="s">
        <v>142</v>
      </c>
      <c r="K1063" s="30" t="s">
        <v>116</v>
      </c>
      <c r="L1063" s="30" t="s">
        <v>146</v>
      </c>
      <c r="M1063" s="48"/>
      <c r="N1063" s="30"/>
      <c r="O1063" s="30"/>
      <c r="P1063" s="30"/>
    </row>
    <row r="1064" spans="1:16" ht="90" customHeight="1">
      <c r="A1064" s="30" t="s">
        <v>2276</v>
      </c>
      <c r="B1064" s="47" t="s">
        <v>2232</v>
      </c>
      <c r="C1064" s="48" t="s">
        <v>2277</v>
      </c>
      <c r="D1064" s="30"/>
      <c r="E1064" s="30"/>
      <c r="F1064" s="30"/>
      <c r="G1064" s="30"/>
      <c r="H1064" s="30" t="s">
        <v>141</v>
      </c>
      <c r="I1064" s="30" t="s">
        <v>31</v>
      </c>
      <c r="J1064" s="30" t="s">
        <v>145</v>
      </c>
      <c r="K1064" s="30" t="s">
        <v>116</v>
      </c>
      <c r="L1064" s="30" t="s">
        <v>122</v>
      </c>
      <c r="M1064" s="48" t="s">
        <v>184</v>
      </c>
      <c r="N1064" s="30"/>
      <c r="O1064" s="30"/>
      <c r="P1064" s="30"/>
    </row>
    <row r="1065" spans="1:16" ht="45" customHeight="1">
      <c r="A1065" s="30" t="s">
        <v>2278</v>
      </c>
      <c r="B1065" s="47" t="s">
        <v>2232</v>
      </c>
      <c r="C1065" s="48" t="s">
        <v>2279</v>
      </c>
      <c r="D1065" s="30"/>
      <c r="E1065" s="30"/>
      <c r="F1065" s="30"/>
      <c r="G1065" s="30"/>
      <c r="H1065" s="30" t="s">
        <v>141</v>
      </c>
      <c r="I1065" s="30" t="s">
        <v>30</v>
      </c>
      <c r="J1065" s="30" t="s">
        <v>144</v>
      </c>
      <c r="K1065" s="30" t="s">
        <v>117</v>
      </c>
      <c r="L1065" s="30" t="s">
        <v>122</v>
      </c>
      <c r="M1065" s="48"/>
      <c r="N1065" s="30"/>
      <c r="O1065" s="30"/>
      <c r="P1065" s="30"/>
    </row>
    <row r="1066" spans="1:16" ht="60" customHeight="1">
      <c r="A1066" s="30" t="s">
        <v>2280</v>
      </c>
      <c r="B1066" s="47" t="s">
        <v>2232</v>
      </c>
      <c r="C1066" s="48" t="s">
        <v>2281</v>
      </c>
      <c r="D1066" s="30"/>
      <c r="E1066" s="30"/>
      <c r="F1066" s="30"/>
      <c r="G1066" s="30"/>
      <c r="H1066" s="30" t="s">
        <v>141</v>
      </c>
      <c r="I1066" s="30" t="s">
        <v>30</v>
      </c>
      <c r="J1066" s="30" t="s">
        <v>144</v>
      </c>
      <c r="K1066" s="30" t="s">
        <v>117</v>
      </c>
      <c r="L1066" s="30" t="s">
        <v>122</v>
      </c>
      <c r="M1066" s="48"/>
      <c r="N1066" s="30"/>
      <c r="O1066" s="30"/>
      <c r="P1066" s="30"/>
    </row>
    <row r="1067" spans="1:16" ht="60" customHeight="1">
      <c r="A1067" s="30" t="s">
        <v>2282</v>
      </c>
      <c r="B1067" s="47" t="s">
        <v>2232</v>
      </c>
      <c r="C1067" s="48" t="s">
        <v>2283</v>
      </c>
      <c r="D1067" s="30"/>
      <c r="E1067" s="30"/>
      <c r="F1067" s="30"/>
      <c r="G1067" s="30" t="s">
        <v>132</v>
      </c>
      <c r="H1067" s="30" t="s">
        <v>141</v>
      </c>
      <c r="I1067" s="30" t="s">
        <v>22</v>
      </c>
      <c r="J1067" s="30" t="s">
        <v>142</v>
      </c>
      <c r="K1067" s="30" t="s">
        <v>116</v>
      </c>
      <c r="L1067" s="30" t="s">
        <v>143</v>
      </c>
      <c r="M1067" s="48"/>
      <c r="N1067" s="30"/>
      <c r="O1067" s="30"/>
      <c r="P1067" s="30"/>
    </row>
    <row r="1068" spans="1:16" ht="90" customHeight="1">
      <c r="A1068" s="30" t="s">
        <v>2284</v>
      </c>
      <c r="B1068" s="47" t="s">
        <v>2232</v>
      </c>
      <c r="C1068" s="48" t="s">
        <v>2285</v>
      </c>
      <c r="D1068" s="30"/>
      <c r="E1068" s="30"/>
      <c r="F1068" s="30"/>
      <c r="G1068" s="30" t="s">
        <v>132</v>
      </c>
      <c r="H1068" s="30" t="s">
        <v>141</v>
      </c>
      <c r="I1068" s="30" t="s">
        <v>22</v>
      </c>
      <c r="J1068" s="30" t="s">
        <v>142</v>
      </c>
      <c r="K1068" s="30" t="s">
        <v>116</v>
      </c>
      <c r="L1068" s="30" t="s">
        <v>143</v>
      </c>
      <c r="M1068" s="48"/>
      <c r="N1068" s="30"/>
      <c r="O1068" s="30"/>
      <c r="P1068" s="30"/>
    </row>
    <row r="1069" spans="1:16" ht="75" customHeight="1">
      <c r="A1069" s="30" t="s">
        <v>2286</v>
      </c>
      <c r="B1069" s="47" t="s">
        <v>2232</v>
      </c>
      <c r="C1069" s="48" t="s">
        <v>2287</v>
      </c>
      <c r="D1069" s="30"/>
      <c r="E1069" s="30"/>
      <c r="F1069" s="30"/>
      <c r="G1069" s="30"/>
      <c r="H1069" s="30" t="s">
        <v>141</v>
      </c>
      <c r="I1069" s="30" t="s">
        <v>22</v>
      </c>
      <c r="J1069" s="30" t="s">
        <v>144</v>
      </c>
      <c r="K1069" s="30" t="s">
        <v>117</v>
      </c>
      <c r="L1069" s="30" t="s">
        <v>122</v>
      </c>
      <c r="M1069" s="48"/>
      <c r="N1069" s="30"/>
      <c r="O1069" s="30"/>
      <c r="P1069" s="30"/>
    </row>
    <row r="1070" spans="1:16" s="31" customFormat="1" ht="45" customHeight="1">
      <c r="A1070" s="30" t="s">
        <v>4179</v>
      </c>
      <c r="B1070" s="47" t="s">
        <v>2232</v>
      </c>
      <c r="C1070" s="48" t="s">
        <v>4180</v>
      </c>
      <c r="D1070" s="30"/>
      <c r="E1070" s="30"/>
      <c r="F1070" s="30"/>
      <c r="G1070" s="30" t="s">
        <v>132</v>
      </c>
      <c r="H1070" s="30" t="s">
        <v>141</v>
      </c>
      <c r="I1070" s="30" t="s">
        <v>22</v>
      </c>
      <c r="J1070" s="30" t="s">
        <v>142</v>
      </c>
      <c r="K1070" s="30" t="s">
        <v>116</v>
      </c>
      <c r="L1070" s="30" t="s">
        <v>143</v>
      </c>
      <c r="M1070" s="48"/>
      <c r="N1070" s="66"/>
      <c r="O1070" s="30"/>
      <c r="P1070" s="30"/>
    </row>
    <row r="1071" spans="1:16" s="31" customFormat="1" ht="45" customHeight="1">
      <c r="A1071" s="30" t="s">
        <v>4181</v>
      </c>
      <c r="B1071" s="47" t="s">
        <v>2232</v>
      </c>
      <c r="C1071" s="48" t="s">
        <v>4182</v>
      </c>
      <c r="D1071" s="30"/>
      <c r="E1071" s="30"/>
      <c r="F1071" s="30"/>
      <c r="G1071" s="30" t="s">
        <v>132</v>
      </c>
      <c r="H1071" s="30" t="s">
        <v>141</v>
      </c>
      <c r="I1071" s="30" t="s">
        <v>22</v>
      </c>
      <c r="J1071" s="30" t="s">
        <v>142</v>
      </c>
      <c r="K1071" s="30" t="s">
        <v>116</v>
      </c>
      <c r="L1071" s="30" t="s">
        <v>143</v>
      </c>
      <c r="M1071" s="48"/>
      <c r="N1071" s="66"/>
      <c r="O1071" s="30"/>
      <c r="P1071" s="30"/>
    </row>
    <row r="1072" spans="1:16" s="31" customFormat="1" ht="45" customHeight="1">
      <c r="A1072" s="30" t="s">
        <v>2288</v>
      </c>
      <c r="B1072" s="47" t="s">
        <v>2232</v>
      </c>
      <c r="C1072" s="48" t="s">
        <v>2289</v>
      </c>
      <c r="D1072" s="30"/>
      <c r="E1072" s="30"/>
      <c r="F1072" s="30"/>
      <c r="G1072" s="30"/>
      <c r="H1072" s="30" t="s">
        <v>141</v>
      </c>
      <c r="I1072" s="30" t="s">
        <v>22</v>
      </c>
      <c r="J1072" s="30" t="s">
        <v>144</v>
      </c>
      <c r="K1072" s="30" t="s">
        <v>117</v>
      </c>
      <c r="L1072" s="30" t="s">
        <v>3664</v>
      </c>
      <c r="M1072" s="51" t="s">
        <v>4201</v>
      </c>
      <c r="N1072" s="66"/>
      <c r="O1072" s="30"/>
      <c r="P1072" s="30"/>
    </row>
    <row r="1073" spans="1:16" s="31" customFormat="1" ht="45" customHeight="1">
      <c r="A1073" s="30" t="s">
        <v>2290</v>
      </c>
      <c r="B1073" s="47" t="s">
        <v>2232</v>
      </c>
      <c r="C1073" s="48" t="s">
        <v>2291</v>
      </c>
      <c r="D1073" s="30"/>
      <c r="E1073" s="30"/>
      <c r="F1073" s="30"/>
      <c r="G1073" s="30"/>
      <c r="H1073" s="30" t="s">
        <v>141</v>
      </c>
      <c r="I1073" s="30" t="s">
        <v>22</v>
      </c>
      <c r="J1073" s="30" t="s">
        <v>144</v>
      </c>
      <c r="K1073" s="30" t="s">
        <v>117</v>
      </c>
      <c r="L1073" s="30" t="s">
        <v>3664</v>
      </c>
      <c r="M1073" s="51" t="s">
        <v>4201</v>
      </c>
      <c r="N1073" s="66"/>
      <c r="O1073" s="30"/>
      <c r="P1073" s="30"/>
    </row>
    <row r="1074" spans="1:16" s="31" customFormat="1" ht="60" customHeight="1">
      <c r="A1074" s="30" t="s">
        <v>2292</v>
      </c>
      <c r="B1074" s="47" t="s">
        <v>2232</v>
      </c>
      <c r="C1074" s="48" t="s">
        <v>4183</v>
      </c>
      <c r="D1074" s="30"/>
      <c r="E1074" s="30"/>
      <c r="F1074" s="30"/>
      <c r="G1074" s="30" t="s">
        <v>132</v>
      </c>
      <c r="H1074" s="30" t="s">
        <v>141</v>
      </c>
      <c r="I1074" s="30" t="s">
        <v>22</v>
      </c>
      <c r="J1074" s="30" t="s">
        <v>142</v>
      </c>
      <c r="K1074" s="30" t="s">
        <v>116</v>
      </c>
      <c r="L1074" s="30" t="s">
        <v>143</v>
      </c>
      <c r="M1074" s="48"/>
      <c r="N1074" s="66"/>
      <c r="O1074" s="30"/>
      <c r="P1074" s="30"/>
    </row>
    <row r="1075" spans="1:16" ht="135" customHeight="1">
      <c r="A1075" s="30" t="s">
        <v>2293</v>
      </c>
      <c r="B1075" s="47" t="s">
        <v>2232</v>
      </c>
      <c r="C1075" s="48" t="s">
        <v>4118</v>
      </c>
      <c r="D1075" s="30"/>
      <c r="E1075" s="30"/>
      <c r="F1075" s="30"/>
      <c r="G1075" s="30"/>
      <c r="H1075" s="30" t="s">
        <v>141</v>
      </c>
      <c r="I1075" s="30" t="s">
        <v>22</v>
      </c>
      <c r="J1075" s="30" t="s">
        <v>144</v>
      </c>
      <c r="K1075" s="30" t="s">
        <v>117</v>
      </c>
      <c r="L1075" s="30" t="s">
        <v>122</v>
      </c>
      <c r="M1075" s="48"/>
      <c r="N1075" s="30"/>
      <c r="O1075" s="30"/>
      <c r="P1075" s="30"/>
    </row>
    <row r="1076" spans="1:16" ht="60" customHeight="1">
      <c r="A1076" s="30" t="s">
        <v>2294</v>
      </c>
      <c r="B1076" s="47" t="s">
        <v>2232</v>
      </c>
      <c r="C1076" s="48" t="s">
        <v>3870</v>
      </c>
      <c r="D1076" s="30"/>
      <c r="E1076" s="30"/>
      <c r="F1076" s="30"/>
      <c r="G1076" s="30" t="s">
        <v>132</v>
      </c>
      <c r="H1076" s="30" t="s">
        <v>141</v>
      </c>
      <c r="I1076" s="30" t="s">
        <v>22</v>
      </c>
      <c r="J1076" s="30" t="s">
        <v>142</v>
      </c>
      <c r="K1076" s="30" t="s">
        <v>116</v>
      </c>
      <c r="L1076" s="30" t="s">
        <v>143</v>
      </c>
      <c r="M1076" s="48"/>
      <c r="N1076" s="30"/>
      <c r="O1076" s="30"/>
      <c r="P1076" s="30"/>
    </row>
    <row r="1077" spans="1:16" ht="90" customHeight="1">
      <c r="A1077" s="30" t="s">
        <v>2295</v>
      </c>
      <c r="B1077" s="47" t="s">
        <v>2296</v>
      </c>
      <c r="C1077" s="48" t="s">
        <v>3873</v>
      </c>
      <c r="D1077" s="30"/>
      <c r="E1077" s="30"/>
      <c r="F1077" s="30"/>
      <c r="G1077" s="30"/>
      <c r="H1077" s="30" t="s">
        <v>141</v>
      </c>
      <c r="I1077" s="30" t="s">
        <v>31</v>
      </c>
      <c r="J1077" s="30" t="s">
        <v>145</v>
      </c>
      <c r="K1077" s="30" t="s">
        <v>116</v>
      </c>
      <c r="L1077" s="30" t="s">
        <v>122</v>
      </c>
      <c r="M1077" s="48" t="s">
        <v>184</v>
      </c>
      <c r="N1077" s="30"/>
      <c r="O1077" s="30"/>
      <c r="P1077" s="30"/>
    </row>
    <row r="1078" spans="1:16" ht="105" customHeight="1">
      <c r="A1078" s="30" t="s">
        <v>2297</v>
      </c>
      <c r="B1078" s="47" t="s">
        <v>2296</v>
      </c>
      <c r="C1078" s="48" t="s">
        <v>2298</v>
      </c>
      <c r="D1078" s="30"/>
      <c r="E1078" s="30"/>
      <c r="F1078" s="30"/>
      <c r="G1078" s="30"/>
      <c r="H1078" s="30" t="s">
        <v>141</v>
      </c>
      <c r="I1078" s="30" t="s">
        <v>31</v>
      </c>
      <c r="J1078" s="30" t="s">
        <v>142</v>
      </c>
      <c r="K1078" s="30" t="s">
        <v>116</v>
      </c>
      <c r="L1078" s="30" t="s">
        <v>122</v>
      </c>
      <c r="M1078" s="48" t="s">
        <v>184</v>
      </c>
      <c r="N1078" s="30"/>
      <c r="O1078" s="30"/>
      <c r="P1078" s="30"/>
    </row>
    <row r="1079" spans="1:16" ht="90" customHeight="1">
      <c r="A1079" s="30" t="s">
        <v>2299</v>
      </c>
      <c r="B1079" s="47" t="s">
        <v>2296</v>
      </c>
      <c r="C1079" s="48" t="s">
        <v>3875</v>
      </c>
      <c r="D1079" s="30"/>
      <c r="E1079" s="30"/>
      <c r="F1079" s="30"/>
      <c r="G1079" s="30"/>
      <c r="H1079" s="30" t="s">
        <v>141</v>
      </c>
      <c r="I1079" s="30" t="s">
        <v>31</v>
      </c>
      <c r="J1079" s="30" t="s">
        <v>142</v>
      </c>
      <c r="K1079" s="30" t="s">
        <v>116</v>
      </c>
      <c r="L1079" s="30" t="s">
        <v>122</v>
      </c>
      <c r="M1079" s="48" t="s">
        <v>184</v>
      </c>
      <c r="N1079" s="30"/>
      <c r="O1079" s="30"/>
      <c r="P1079" s="30"/>
    </row>
    <row r="1080" spans="1:16" ht="90" customHeight="1">
      <c r="A1080" s="30" t="s">
        <v>2300</v>
      </c>
      <c r="B1080" s="47" t="s">
        <v>2296</v>
      </c>
      <c r="C1080" s="48" t="s">
        <v>3878</v>
      </c>
      <c r="D1080" s="30"/>
      <c r="E1080" s="30"/>
      <c r="F1080" s="30"/>
      <c r="G1080" s="30"/>
      <c r="H1080" s="30" t="s">
        <v>141</v>
      </c>
      <c r="I1080" s="30" t="s">
        <v>31</v>
      </c>
      <c r="J1080" s="30" t="s">
        <v>145</v>
      </c>
      <c r="K1080" s="30" t="s">
        <v>116</v>
      </c>
      <c r="L1080" s="30" t="s">
        <v>122</v>
      </c>
      <c r="M1080" s="48" t="s">
        <v>184</v>
      </c>
      <c r="N1080" s="30"/>
      <c r="O1080" s="30"/>
      <c r="P1080" s="30"/>
    </row>
    <row r="1081" spans="1:16" ht="60" customHeight="1">
      <c r="A1081" s="30" t="s">
        <v>2301</v>
      </c>
      <c r="B1081" s="47" t="s">
        <v>2296</v>
      </c>
      <c r="C1081" s="48" t="s">
        <v>2302</v>
      </c>
      <c r="D1081" s="30"/>
      <c r="E1081" s="30"/>
      <c r="F1081" s="30"/>
      <c r="G1081" s="30"/>
      <c r="H1081" s="30" t="s">
        <v>141</v>
      </c>
      <c r="I1081" s="30" t="s">
        <v>31</v>
      </c>
      <c r="J1081" s="30" t="s">
        <v>142</v>
      </c>
      <c r="K1081" s="30" t="s">
        <v>116</v>
      </c>
      <c r="L1081" s="30" t="s">
        <v>122</v>
      </c>
      <c r="M1081" s="48" t="s">
        <v>184</v>
      </c>
      <c r="N1081" s="30"/>
      <c r="O1081" s="30"/>
      <c r="P1081" s="30"/>
    </row>
    <row r="1082" spans="1:16" ht="90" customHeight="1">
      <c r="A1082" s="30" t="s">
        <v>2303</v>
      </c>
      <c r="B1082" s="47" t="s">
        <v>2304</v>
      </c>
      <c r="C1082" s="48" t="s">
        <v>2305</v>
      </c>
      <c r="D1082" s="30"/>
      <c r="E1082" s="30"/>
      <c r="F1082" s="30"/>
      <c r="G1082" s="30"/>
      <c r="H1082" s="30" t="s">
        <v>141</v>
      </c>
      <c r="I1082" s="30" t="s">
        <v>31</v>
      </c>
      <c r="J1082" s="30" t="s">
        <v>144</v>
      </c>
      <c r="K1082" s="30" t="s">
        <v>117</v>
      </c>
      <c r="L1082" s="30" t="s">
        <v>122</v>
      </c>
      <c r="M1082" s="48"/>
      <c r="N1082" s="30"/>
      <c r="O1082" s="30"/>
      <c r="P1082" s="30"/>
    </row>
    <row r="1083" spans="1:16" ht="90" customHeight="1">
      <c r="A1083" s="30" t="s">
        <v>2306</v>
      </c>
      <c r="B1083" s="47" t="s">
        <v>2304</v>
      </c>
      <c r="C1083" s="48" t="s">
        <v>3879</v>
      </c>
      <c r="D1083" s="30"/>
      <c r="E1083" s="30"/>
      <c r="F1083" s="30"/>
      <c r="G1083" s="30"/>
      <c r="H1083" s="30" t="s">
        <v>141</v>
      </c>
      <c r="I1083" s="30" t="s">
        <v>31</v>
      </c>
      <c r="J1083" s="30" t="s">
        <v>142</v>
      </c>
      <c r="K1083" s="30" t="s">
        <v>116</v>
      </c>
      <c r="L1083" s="30" t="s">
        <v>122</v>
      </c>
      <c r="M1083" s="48" t="s">
        <v>184</v>
      </c>
      <c r="N1083" s="30"/>
      <c r="O1083" s="30"/>
      <c r="P1083" s="30"/>
    </row>
    <row r="1084" spans="1:16" ht="45" customHeight="1">
      <c r="A1084" s="30" t="s">
        <v>2307</v>
      </c>
      <c r="B1084" s="47" t="s">
        <v>2308</v>
      </c>
      <c r="C1084" s="48" t="s">
        <v>2309</v>
      </c>
      <c r="D1084" s="30"/>
      <c r="E1084" s="30"/>
      <c r="F1084" s="30"/>
      <c r="G1084" s="30"/>
      <c r="H1084" s="30" t="s">
        <v>141</v>
      </c>
      <c r="I1084" s="30" t="s">
        <v>31</v>
      </c>
      <c r="J1084" s="30" t="s">
        <v>144</v>
      </c>
      <c r="K1084" s="30" t="s">
        <v>117</v>
      </c>
      <c r="L1084" s="30" t="s">
        <v>122</v>
      </c>
      <c r="M1084" s="48"/>
      <c r="N1084" s="30"/>
      <c r="O1084" s="30"/>
      <c r="P1084" s="30"/>
    </row>
    <row r="1085" spans="1:16" ht="75" customHeight="1">
      <c r="A1085" s="30" t="s">
        <v>2310</v>
      </c>
      <c r="B1085" s="47" t="s">
        <v>2308</v>
      </c>
      <c r="C1085" s="48" t="s">
        <v>2311</v>
      </c>
      <c r="D1085" s="30"/>
      <c r="E1085" s="30"/>
      <c r="F1085" s="30"/>
      <c r="G1085" s="30"/>
      <c r="H1085" s="30" t="s">
        <v>141</v>
      </c>
      <c r="I1085" s="30" t="s">
        <v>31</v>
      </c>
      <c r="J1085" s="30" t="s">
        <v>144</v>
      </c>
      <c r="K1085" s="30" t="s">
        <v>117</v>
      </c>
      <c r="L1085" s="30" t="s">
        <v>122</v>
      </c>
      <c r="M1085" s="48"/>
      <c r="N1085" s="30"/>
      <c r="O1085" s="30"/>
      <c r="P1085" s="30"/>
    </row>
    <row r="1086" spans="1:16" ht="60" customHeight="1">
      <c r="A1086" s="30" t="s">
        <v>2312</v>
      </c>
      <c r="B1086" s="47" t="s">
        <v>2308</v>
      </c>
      <c r="C1086" s="48" t="s">
        <v>2313</v>
      </c>
      <c r="D1086" s="30"/>
      <c r="E1086" s="30"/>
      <c r="F1086" s="30"/>
      <c r="G1086" s="30"/>
      <c r="H1086" s="30" t="s">
        <v>141</v>
      </c>
      <c r="I1086" s="30" t="s">
        <v>31</v>
      </c>
      <c r="J1086" s="30" t="s">
        <v>142</v>
      </c>
      <c r="K1086" s="30" t="s">
        <v>116</v>
      </c>
      <c r="L1086" s="30" t="s">
        <v>122</v>
      </c>
      <c r="M1086" s="48" t="s">
        <v>184</v>
      </c>
      <c r="N1086" s="30"/>
      <c r="O1086" s="30"/>
      <c r="P1086" s="30"/>
    </row>
    <row r="1087" spans="1:16" ht="45" customHeight="1">
      <c r="A1087" s="30" t="s">
        <v>2314</v>
      </c>
      <c r="B1087" s="47" t="s">
        <v>2315</v>
      </c>
      <c r="C1087" s="48" t="s">
        <v>2316</v>
      </c>
      <c r="D1087" s="30"/>
      <c r="E1087" s="30"/>
      <c r="F1087" s="30"/>
      <c r="G1087" s="30"/>
      <c r="H1087" s="30" t="s">
        <v>141</v>
      </c>
      <c r="I1087" s="30" t="s">
        <v>31</v>
      </c>
      <c r="J1087" s="30" t="s">
        <v>144</v>
      </c>
      <c r="K1087" s="30" t="s">
        <v>117</v>
      </c>
      <c r="L1087" s="30" t="s">
        <v>122</v>
      </c>
      <c r="M1087" s="48"/>
      <c r="N1087" s="30"/>
      <c r="O1087" s="30"/>
      <c r="P1087" s="30"/>
    </row>
    <row r="1088" spans="1:16" ht="60" customHeight="1">
      <c r="A1088" s="30" t="s">
        <v>2317</v>
      </c>
      <c r="B1088" s="47" t="s">
        <v>2315</v>
      </c>
      <c r="C1088" s="48" t="s">
        <v>2318</v>
      </c>
      <c r="D1088" s="30"/>
      <c r="E1088" s="30"/>
      <c r="F1088" s="30"/>
      <c r="G1088" s="30"/>
      <c r="H1088" s="30" t="s">
        <v>141</v>
      </c>
      <c r="I1088" s="30" t="s">
        <v>31</v>
      </c>
      <c r="J1088" s="30" t="s">
        <v>144</v>
      </c>
      <c r="K1088" s="30" t="s">
        <v>117</v>
      </c>
      <c r="L1088" s="30" t="s">
        <v>122</v>
      </c>
      <c r="M1088" s="48"/>
      <c r="N1088" s="30"/>
      <c r="O1088" s="30"/>
      <c r="P1088" s="30"/>
    </row>
    <row r="1089" spans="1:16" ht="75" customHeight="1">
      <c r="A1089" s="30" t="s">
        <v>2319</v>
      </c>
      <c r="B1089" s="47" t="s">
        <v>2315</v>
      </c>
      <c r="C1089" s="48" t="s">
        <v>3882</v>
      </c>
      <c r="D1089" s="30"/>
      <c r="E1089" s="30"/>
      <c r="F1089" s="30"/>
      <c r="G1089" s="30"/>
      <c r="H1089" s="30" t="s">
        <v>141</v>
      </c>
      <c r="I1089" s="30" t="s">
        <v>31</v>
      </c>
      <c r="J1089" s="30" t="s">
        <v>145</v>
      </c>
      <c r="K1089" s="30" t="s">
        <v>116</v>
      </c>
      <c r="L1089" s="30" t="s">
        <v>122</v>
      </c>
      <c r="M1089" s="48" t="s">
        <v>184</v>
      </c>
      <c r="N1089" s="30"/>
      <c r="O1089" s="30"/>
      <c r="P1089" s="30"/>
    </row>
    <row r="1090" spans="1:16" ht="135" customHeight="1">
      <c r="A1090" s="30" t="s">
        <v>2320</v>
      </c>
      <c r="B1090" s="47" t="s">
        <v>2321</v>
      </c>
      <c r="C1090" s="48" t="s">
        <v>2322</v>
      </c>
      <c r="D1090" s="30"/>
      <c r="E1090" s="30"/>
      <c r="F1090" s="30"/>
      <c r="G1090" s="30"/>
      <c r="H1090" s="30" t="s">
        <v>141</v>
      </c>
      <c r="I1090" s="30" t="s">
        <v>31</v>
      </c>
      <c r="J1090" s="30" t="s">
        <v>142</v>
      </c>
      <c r="K1090" s="30" t="s">
        <v>116</v>
      </c>
      <c r="L1090" s="30" t="s">
        <v>122</v>
      </c>
      <c r="M1090" s="48" t="s">
        <v>184</v>
      </c>
      <c r="N1090" s="30"/>
      <c r="O1090" s="30"/>
      <c r="P1090" s="30"/>
    </row>
    <row r="1091" spans="1:16" ht="120" customHeight="1">
      <c r="A1091" s="30" t="s">
        <v>2323</v>
      </c>
      <c r="B1091" s="47" t="s">
        <v>2321</v>
      </c>
      <c r="C1091" s="48" t="s">
        <v>2324</v>
      </c>
      <c r="D1091" s="30"/>
      <c r="E1091" s="30"/>
      <c r="F1091" s="30"/>
      <c r="G1091" s="30"/>
      <c r="H1091" s="30" t="s">
        <v>141</v>
      </c>
      <c r="I1091" s="30" t="s">
        <v>31</v>
      </c>
      <c r="J1091" s="30" t="s">
        <v>144</v>
      </c>
      <c r="K1091" s="30" t="s">
        <v>117</v>
      </c>
      <c r="L1091" s="30" t="s">
        <v>122</v>
      </c>
      <c r="M1091" s="48"/>
      <c r="N1091" s="30"/>
      <c r="O1091" s="30"/>
      <c r="P1091" s="30"/>
    </row>
    <row r="1092" spans="1:16" ht="105" customHeight="1">
      <c r="A1092" s="30" t="s">
        <v>2325</v>
      </c>
      <c r="B1092" s="47" t="s">
        <v>2321</v>
      </c>
      <c r="C1092" s="48" t="s">
        <v>2326</v>
      </c>
      <c r="D1092" s="30"/>
      <c r="E1092" s="30"/>
      <c r="F1092" s="30"/>
      <c r="G1092" s="30"/>
      <c r="H1092" s="30" t="s">
        <v>141</v>
      </c>
      <c r="I1092" s="30" t="s">
        <v>31</v>
      </c>
      <c r="J1092" s="30" t="s">
        <v>142</v>
      </c>
      <c r="K1092" s="30" t="s">
        <v>116</v>
      </c>
      <c r="L1092" s="30" t="s">
        <v>122</v>
      </c>
      <c r="M1092" s="48" t="s">
        <v>184</v>
      </c>
      <c r="N1092" s="30"/>
      <c r="O1092" s="30"/>
      <c r="P1092" s="30"/>
    </row>
    <row r="1093" spans="1:16" ht="120" customHeight="1">
      <c r="A1093" s="30" t="s">
        <v>2327</v>
      </c>
      <c r="B1093" s="47" t="s">
        <v>2321</v>
      </c>
      <c r="C1093" s="48" t="s">
        <v>3883</v>
      </c>
      <c r="D1093" s="30"/>
      <c r="E1093" s="30"/>
      <c r="F1093" s="30"/>
      <c r="G1093" s="30"/>
      <c r="H1093" s="30" t="s">
        <v>141</v>
      </c>
      <c r="I1093" s="30" t="s">
        <v>31</v>
      </c>
      <c r="J1093" s="30" t="s">
        <v>142</v>
      </c>
      <c r="K1093" s="30" t="s">
        <v>116</v>
      </c>
      <c r="L1093" s="30" t="s">
        <v>122</v>
      </c>
      <c r="M1093" s="48" t="s">
        <v>184</v>
      </c>
      <c r="N1093" s="30"/>
      <c r="O1093" s="30"/>
      <c r="P1093" s="30"/>
    </row>
    <row r="1094" spans="1:16" ht="105" customHeight="1">
      <c r="A1094" s="30" t="s">
        <v>2328</v>
      </c>
      <c r="B1094" s="47" t="s">
        <v>2321</v>
      </c>
      <c r="C1094" s="48" t="s">
        <v>2329</v>
      </c>
      <c r="D1094" s="30"/>
      <c r="E1094" s="30"/>
      <c r="F1094" s="30"/>
      <c r="G1094" s="30"/>
      <c r="H1094" s="30" t="s">
        <v>141</v>
      </c>
      <c r="I1094" s="30" t="s">
        <v>31</v>
      </c>
      <c r="J1094" s="30" t="s">
        <v>142</v>
      </c>
      <c r="K1094" s="30" t="s">
        <v>116</v>
      </c>
      <c r="L1094" s="30" t="s">
        <v>122</v>
      </c>
      <c r="M1094" s="48" t="s">
        <v>184</v>
      </c>
      <c r="N1094" s="30"/>
      <c r="O1094" s="30"/>
      <c r="P1094" s="30"/>
    </row>
    <row r="1095" spans="1:16" ht="105" customHeight="1">
      <c r="A1095" s="30" t="s">
        <v>2330</v>
      </c>
      <c r="B1095" s="47" t="s">
        <v>2321</v>
      </c>
      <c r="C1095" s="48" t="s">
        <v>2331</v>
      </c>
      <c r="D1095" s="30"/>
      <c r="E1095" s="30"/>
      <c r="F1095" s="30"/>
      <c r="G1095" s="30"/>
      <c r="H1095" s="30" t="s">
        <v>141</v>
      </c>
      <c r="I1095" s="30" t="s">
        <v>31</v>
      </c>
      <c r="J1095" s="30" t="s">
        <v>142</v>
      </c>
      <c r="K1095" s="30" t="s">
        <v>116</v>
      </c>
      <c r="L1095" s="30" t="s">
        <v>122</v>
      </c>
      <c r="M1095" s="48" t="s">
        <v>184</v>
      </c>
      <c r="N1095" s="30"/>
      <c r="O1095" s="30"/>
      <c r="P1095" s="30"/>
    </row>
    <row r="1096" spans="1:16" ht="135" customHeight="1">
      <c r="A1096" s="30" t="s">
        <v>2332</v>
      </c>
      <c r="B1096" s="47" t="s">
        <v>2321</v>
      </c>
      <c r="C1096" s="48" t="s">
        <v>2333</v>
      </c>
      <c r="D1096" s="30"/>
      <c r="E1096" s="30"/>
      <c r="F1096" s="30"/>
      <c r="G1096" s="30"/>
      <c r="H1096" s="30" t="s">
        <v>141</v>
      </c>
      <c r="I1096" s="30" t="s">
        <v>31</v>
      </c>
      <c r="J1096" s="30" t="s">
        <v>142</v>
      </c>
      <c r="K1096" s="30" t="s">
        <v>116</v>
      </c>
      <c r="L1096" s="30" t="s">
        <v>122</v>
      </c>
      <c r="M1096" s="48" t="s">
        <v>184</v>
      </c>
      <c r="N1096" s="30"/>
      <c r="O1096" s="30"/>
      <c r="P1096" s="30"/>
    </row>
    <row r="1097" spans="1:16" ht="120" customHeight="1">
      <c r="A1097" s="30" t="s">
        <v>2334</v>
      </c>
      <c r="B1097" s="47" t="s">
        <v>2321</v>
      </c>
      <c r="C1097" s="48" t="s">
        <v>2335</v>
      </c>
      <c r="D1097" s="30"/>
      <c r="E1097" s="30"/>
      <c r="F1097" s="30"/>
      <c r="G1097" s="30"/>
      <c r="H1097" s="30" t="s">
        <v>141</v>
      </c>
      <c r="I1097" s="30" t="s">
        <v>31</v>
      </c>
      <c r="J1097" s="30" t="s">
        <v>142</v>
      </c>
      <c r="K1097" s="30" t="s">
        <v>116</v>
      </c>
      <c r="L1097" s="30" t="s">
        <v>122</v>
      </c>
      <c r="M1097" s="48" t="s">
        <v>184</v>
      </c>
      <c r="N1097" s="30"/>
      <c r="O1097" s="30"/>
      <c r="P1097" s="30"/>
    </row>
    <row r="1098" spans="1:16" ht="75" customHeight="1">
      <c r="A1098" s="30" t="s">
        <v>2336</v>
      </c>
      <c r="B1098" s="47" t="s">
        <v>2337</v>
      </c>
      <c r="C1098" s="48" t="s">
        <v>2338</v>
      </c>
      <c r="D1098" s="30"/>
      <c r="E1098" s="30"/>
      <c r="F1098" s="30"/>
      <c r="G1098" s="30"/>
      <c r="H1098" s="30" t="s">
        <v>141</v>
      </c>
      <c r="I1098" s="30" t="s">
        <v>31</v>
      </c>
      <c r="J1098" s="30" t="s">
        <v>142</v>
      </c>
      <c r="K1098" s="30" t="s">
        <v>116</v>
      </c>
      <c r="L1098" s="30" t="s">
        <v>122</v>
      </c>
      <c r="M1098" s="48" t="s">
        <v>184</v>
      </c>
      <c r="N1098" s="30"/>
      <c r="O1098" s="30"/>
      <c r="P1098" s="30"/>
    </row>
    <row r="1099" spans="1:16" ht="75" customHeight="1">
      <c r="A1099" s="30" t="s">
        <v>2339</v>
      </c>
      <c r="B1099" s="47" t="s">
        <v>2337</v>
      </c>
      <c r="C1099" s="48" t="s">
        <v>3886</v>
      </c>
      <c r="D1099" s="30"/>
      <c r="E1099" s="30"/>
      <c r="F1099" s="30"/>
      <c r="G1099" s="30"/>
      <c r="H1099" s="30" t="s">
        <v>141</v>
      </c>
      <c r="I1099" s="30" t="s">
        <v>31</v>
      </c>
      <c r="J1099" s="30" t="s">
        <v>142</v>
      </c>
      <c r="K1099" s="30" t="s">
        <v>116</v>
      </c>
      <c r="L1099" s="30" t="s">
        <v>122</v>
      </c>
      <c r="M1099" s="48" t="s">
        <v>184</v>
      </c>
      <c r="N1099" s="30"/>
      <c r="O1099" s="30"/>
      <c r="P1099" s="30"/>
    </row>
    <row r="1100" spans="1:16" ht="120" customHeight="1">
      <c r="A1100" s="30" t="s">
        <v>2340</v>
      </c>
      <c r="B1100" s="47" t="s">
        <v>2337</v>
      </c>
      <c r="C1100" s="48" t="s">
        <v>2341</v>
      </c>
      <c r="D1100" s="30"/>
      <c r="E1100" s="30"/>
      <c r="F1100" s="30"/>
      <c r="G1100" s="30"/>
      <c r="H1100" s="30" t="s">
        <v>141</v>
      </c>
      <c r="I1100" s="30" t="s">
        <v>31</v>
      </c>
      <c r="J1100" s="30" t="s">
        <v>142</v>
      </c>
      <c r="K1100" s="30" t="s">
        <v>116</v>
      </c>
      <c r="L1100" s="30" t="s">
        <v>122</v>
      </c>
      <c r="M1100" s="48" t="s">
        <v>184</v>
      </c>
      <c r="N1100" s="30"/>
      <c r="O1100" s="30"/>
      <c r="P1100" s="30"/>
    </row>
    <row r="1101" spans="1:16" ht="120" customHeight="1">
      <c r="A1101" s="30" t="s">
        <v>2342</v>
      </c>
      <c r="B1101" s="47" t="s">
        <v>2337</v>
      </c>
      <c r="C1101" s="48" t="s">
        <v>2343</v>
      </c>
      <c r="D1101" s="30"/>
      <c r="E1101" s="30"/>
      <c r="F1101" s="30"/>
      <c r="G1101" s="30"/>
      <c r="H1101" s="30" t="s">
        <v>141</v>
      </c>
      <c r="I1101" s="30" t="s">
        <v>31</v>
      </c>
      <c r="J1101" s="30" t="s">
        <v>142</v>
      </c>
      <c r="K1101" s="30" t="s">
        <v>116</v>
      </c>
      <c r="L1101" s="30" t="s">
        <v>122</v>
      </c>
      <c r="M1101" s="48" t="s">
        <v>184</v>
      </c>
      <c r="N1101" s="30"/>
      <c r="O1101" s="30"/>
      <c r="P1101" s="30"/>
    </row>
    <row r="1102" spans="1:16" ht="120" customHeight="1">
      <c r="A1102" s="30" t="s">
        <v>2344</v>
      </c>
      <c r="B1102" s="47" t="s">
        <v>2337</v>
      </c>
      <c r="C1102" s="48" t="s">
        <v>2345</v>
      </c>
      <c r="D1102" s="30"/>
      <c r="E1102" s="30"/>
      <c r="F1102" s="30"/>
      <c r="G1102" s="30"/>
      <c r="H1102" s="30" t="s">
        <v>141</v>
      </c>
      <c r="I1102" s="30" t="s">
        <v>31</v>
      </c>
      <c r="J1102" s="30" t="s">
        <v>142</v>
      </c>
      <c r="K1102" s="30" t="s">
        <v>116</v>
      </c>
      <c r="L1102" s="30" t="s">
        <v>122</v>
      </c>
      <c r="M1102" s="48" t="s">
        <v>184</v>
      </c>
      <c r="N1102" s="30"/>
      <c r="O1102" s="30"/>
      <c r="P1102" s="30"/>
    </row>
    <row r="1103" spans="1:16" ht="120" customHeight="1">
      <c r="A1103" s="30" t="s">
        <v>2346</v>
      </c>
      <c r="B1103" s="47" t="s">
        <v>2337</v>
      </c>
      <c r="C1103" s="48" t="s">
        <v>2347</v>
      </c>
      <c r="D1103" s="30"/>
      <c r="E1103" s="30"/>
      <c r="F1103" s="30"/>
      <c r="G1103" s="30"/>
      <c r="H1103" s="30" t="s">
        <v>141</v>
      </c>
      <c r="I1103" s="30" t="s">
        <v>31</v>
      </c>
      <c r="J1103" s="30" t="s">
        <v>142</v>
      </c>
      <c r="K1103" s="30" t="s">
        <v>116</v>
      </c>
      <c r="L1103" s="30" t="s">
        <v>122</v>
      </c>
      <c r="M1103" s="48" t="s">
        <v>184</v>
      </c>
      <c r="N1103" s="30"/>
      <c r="O1103" s="30"/>
      <c r="P1103" s="30"/>
    </row>
    <row r="1104" spans="1:16" ht="75" customHeight="1">
      <c r="A1104" s="30" t="s">
        <v>2348</v>
      </c>
      <c r="B1104" s="47" t="s">
        <v>2349</v>
      </c>
      <c r="C1104" s="48" t="s">
        <v>2350</v>
      </c>
      <c r="D1104" s="30"/>
      <c r="E1104" s="30"/>
      <c r="F1104" s="30"/>
      <c r="G1104" s="30"/>
      <c r="H1104" s="30" t="s">
        <v>141</v>
      </c>
      <c r="I1104" s="30" t="s">
        <v>31</v>
      </c>
      <c r="J1104" s="30" t="s">
        <v>144</v>
      </c>
      <c r="K1104" s="30" t="s">
        <v>117</v>
      </c>
      <c r="L1104" s="30" t="s">
        <v>122</v>
      </c>
      <c r="M1104" s="48"/>
      <c r="N1104" s="30"/>
      <c r="O1104" s="30"/>
      <c r="P1104" s="30"/>
    </row>
    <row r="1105" spans="1:16" ht="120" customHeight="1">
      <c r="A1105" s="30" t="s">
        <v>2351</v>
      </c>
      <c r="B1105" s="47" t="s">
        <v>2349</v>
      </c>
      <c r="C1105" s="48" t="s">
        <v>2352</v>
      </c>
      <c r="D1105" s="30"/>
      <c r="E1105" s="30"/>
      <c r="F1105" s="30"/>
      <c r="G1105" s="30"/>
      <c r="H1105" s="30" t="s">
        <v>141</v>
      </c>
      <c r="I1105" s="30" t="s">
        <v>31</v>
      </c>
      <c r="J1105" s="30" t="s">
        <v>142</v>
      </c>
      <c r="K1105" s="30" t="s">
        <v>116</v>
      </c>
      <c r="L1105" s="30" t="s">
        <v>122</v>
      </c>
      <c r="M1105" s="48" t="s">
        <v>184</v>
      </c>
      <c r="N1105" s="30"/>
      <c r="O1105" s="30"/>
      <c r="P1105" s="30"/>
    </row>
    <row r="1106" spans="1:16" ht="120" customHeight="1">
      <c r="A1106" s="30" t="s">
        <v>2353</v>
      </c>
      <c r="B1106" s="47" t="s">
        <v>2349</v>
      </c>
      <c r="C1106" s="48" t="s">
        <v>2354</v>
      </c>
      <c r="D1106" s="30"/>
      <c r="E1106" s="30"/>
      <c r="F1106" s="30"/>
      <c r="G1106" s="30"/>
      <c r="H1106" s="30" t="s">
        <v>141</v>
      </c>
      <c r="I1106" s="30" t="s">
        <v>31</v>
      </c>
      <c r="J1106" s="30" t="s">
        <v>142</v>
      </c>
      <c r="K1106" s="30" t="s">
        <v>116</v>
      </c>
      <c r="L1106" s="30" t="s">
        <v>122</v>
      </c>
      <c r="M1106" s="48" t="s">
        <v>184</v>
      </c>
      <c r="N1106" s="30"/>
      <c r="O1106" s="30"/>
      <c r="P1106" s="30"/>
    </row>
    <row r="1107" spans="1:16" ht="75" customHeight="1">
      <c r="A1107" s="30" t="s">
        <v>2355</v>
      </c>
      <c r="B1107" s="47" t="s">
        <v>2356</v>
      </c>
      <c r="C1107" s="48" t="s">
        <v>2357</v>
      </c>
      <c r="D1107" s="30"/>
      <c r="E1107" s="30"/>
      <c r="F1107" s="30"/>
      <c r="G1107" s="30"/>
      <c r="H1107" s="30" t="s">
        <v>141</v>
      </c>
      <c r="I1107" s="30" t="s">
        <v>31</v>
      </c>
      <c r="J1107" s="30" t="s">
        <v>144</v>
      </c>
      <c r="K1107" s="30" t="s">
        <v>117</v>
      </c>
      <c r="L1107" s="30" t="s">
        <v>122</v>
      </c>
      <c r="M1107" s="48"/>
      <c r="N1107" s="30"/>
      <c r="O1107" s="30"/>
      <c r="P1107" s="30"/>
    </row>
    <row r="1108" spans="1:16" ht="75" customHeight="1">
      <c r="A1108" s="30" t="s">
        <v>2358</v>
      </c>
      <c r="B1108" s="47" t="s">
        <v>2356</v>
      </c>
      <c r="C1108" s="48" t="s">
        <v>2359</v>
      </c>
      <c r="D1108" s="30"/>
      <c r="E1108" s="30"/>
      <c r="F1108" s="30"/>
      <c r="G1108" s="30"/>
      <c r="H1108" s="30" t="s">
        <v>141</v>
      </c>
      <c r="I1108" s="30" t="s">
        <v>31</v>
      </c>
      <c r="J1108" s="30" t="s">
        <v>142</v>
      </c>
      <c r="K1108" s="30" t="s">
        <v>116</v>
      </c>
      <c r="L1108" s="30" t="s">
        <v>122</v>
      </c>
      <c r="M1108" s="48" t="s">
        <v>184</v>
      </c>
      <c r="N1108" s="30"/>
      <c r="O1108" s="30"/>
      <c r="P1108" s="30"/>
    </row>
    <row r="1109" spans="1:16" ht="75" customHeight="1">
      <c r="A1109" s="30" t="s">
        <v>2360</v>
      </c>
      <c r="B1109" s="47" t="s">
        <v>2356</v>
      </c>
      <c r="C1109" s="48" t="s">
        <v>2361</v>
      </c>
      <c r="D1109" s="30"/>
      <c r="E1109" s="30"/>
      <c r="F1109" s="30"/>
      <c r="G1109" s="30"/>
      <c r="H1109" s="30" t="s">
        <v>141</v>
      </c>
      <c r="I1109" s="30" t="s">
        <v>31</v>
      </c>
      <c r="J1109" s="30" t="s">
        <v>144</v>
      </c>
      <c r="K1109" s="30" t="s">
        <v>117</v>
      </c>
      <c r="L1109" s="30" t="s">
        <v>122</v>
      </c>
      <c r="M1109" s="48"/>
      <c r="N1109" s="30"/>
      <c r="O1109" s="30"/>
      <c r="P1109" s="30"/>
    </row>
    <row r="1110" spans="1:16" ht="105" customHeight="1">
      <c r="A1110" s="30" t="s">
        <v>2362</v>
      </c>
      <c r="B1110" s="47" t="s">
        <v>2356</v>
      </c>
      <c r="C1110" s="48" t="s">
        <v>2363</v>
      </c>
      <c r="D1110" s="30"/>
      <c r="E1110" s="30"/>
      <c r="F1110" s="30"/>
      <c r="G1110" s="30"/>
      <c r="H1110" s="30" t="s">
        <v>141</v>
      </c>
      <c r="I1110" s="30" t="s">
        <v>31</v>
      </c>
      <c r="J1110" s="30" t="s">
        <v>142</v>
      </c>
      <c r="K1110" s="30" t="s">
        <v>116</v>
      </c>
      <c r="L1110" s="30" t="s">
        <v>122</v>
      </c>
      <c r="M1110" s="48" t="s">
        <v>184</v>
      </c>
      <c r="N1110" s="30"/>
      <c r="O1110" s="30"/>
      <c r="P1110" s="30"/>
    </row>
    <row r="1111" spans="1:16" ht="105" customHeight="1">
      <c r="A1111" s="30" t="s">
        <v>2364</v>
      </c>
      <c r="B1111" s="47" t="s">
        <v>2356</v>
      </c>
      <c r="C1111" s="48" t="s">
        <v>2365</v>
      </c>
      <c r="D1111" s="30"/>
      <c r="E1111" s="30"/>
      <c r="F1111" s="30"/>
      <c r="G1111" s="30"/>
      <c r="H1111" s="30" t="s">
        <v>141</v>
      </c>
      <c r="I1111" s="30" t="s">
        <v>31</v>
      </c>
      <c r="J1111" s="30" t="s">
        <v>142</v>
      </c>
      <c r="K1111" s="30" t="s">
        <v>116</v>
      </c>
      <c r="L1111" s="30" t="s">
        <v>122</v>
      </c>
      <c r="M1111" s="48" t="s">
        <v>184</v>
      </c>
      <c r="N1111" s="30"/>
      <c r="O1111" s="30"/>
      <c r="P1111" s="30"/>
    </row>
    <row r="1112" spans="1:16" ht="60" customHeight="1">
      <c r="A1112" s="30" t="s">
        <v>2366</v>
      </c>
      <c r="B1112" s="47" t="s">
        <v>2356</v>
      </c>
      <c r="C1112" s="48" t="s">
        <v>2367</v>
      </c>
      <c r="D1112" s="30"/>
      <c r="E1112" s="30"/>
      <c r="F1112" s="30"/>
      <c r="G1112" s="30"/>
      <c r="H1112" s="30" t="s">
        <v>141</v>
      </c>
      <c r="I1112" s="30" t="s">
        <v>31</v>
      </c>
      <c r="J1112" s="30" t="s">
        <v>144</v>
      </c>
      <c r="K1112" s="30" t="s">
        <v>117</v>
      </c>
      <c r="L1112" s="30" t="s">
        <v>122</v>
      </c>
      <c r="M1112" s="48"/>
      <c r="N1112" s="30"/>
      <c r="O1112" s="30"/>
      <c r="P1112" s="30"/>
    </row>
    <row r="1113" spans="1:16" ht="60" customHeight="1">
      <c r="A1113" s="30" t="s">
        <v>2368</v>
      </c>
      <c r="B1113" s="47" t="s">
        <v>2356</v>
      </c>
      <c r="C1113" s="48" t="s">
        <v>3887</v>
      </c>
      <c r="D1113" s="30"/>
      <c r="E1113" s="30"/>
      <c r="F1113" s="30"/>
      <c r="G1113" s="30"/>
      <c r="H1113" s="30" t="s">
        <v>141</v>
      </c>
      <c r="I1113" s="30" t="s">
        <v>31</v>
      </c>
      <c r="J1113" s="30" t="s">
        <v>144</v>
      </c>
      <c r="K1113" s="30" t="s">
        <v>116</v>
      </c>
      <c r="L1113" s="30" t="s">
        <v>122</v>
      </c>
      <c r="M1113" s="48" t="s">
        <v>184</v>
      </c>
      <c r="N1113" s="30"/>
      <c r="O1113" s="30"/>
      <c r="P1113" s="30"/>
    </row>
    <row r="1114" spans="1:16" ht="60" customHeight="1">
      <c r="A1114" s="30" t="s">
        <v>2369</v>
      </c>
      <c r="B1114" s="47" t="s">
        <v>2356</v>
      </c>
      <c r="C1114" s="48" t="s">
        <v>2370</v>
      </c>
      <c r="D1114" s="30"/>
      <c r="E1114" s="30"/>
      <c r="F1114" s="30"/>
      <c r="G1114" s="30"/>
      <c r="H1114" s="30" t="s">
        <v>141</v>
      </c>
      <c r="I1114" s="30" t="s">
        <v>31</v>
      </c>
      <c r="J1114" s="30" t="s">
        <v>142</v>
      </c>
      <c r="K1114" s="30" t="s">
        <v>116</v>
      </c>
      <c r="L1114" s="30" t="s">
        <v>122</v>
      </c>
      <c r="M1114" s="48" t="s">
        <v>184</v>
      </c>
      <c r="N1114" s="30"/>
      <c r="O1114" s="30"/>
      <c r="P1114" s="30"/>
    </row>
    <row r="1115" spans="1:16" ht="45" customHeight="1">
      <c r="A1115" s="30" t="s">
        <v>2371</v>
      </c>
      <c r="B1115" s="47" t="s">
        <v>2356</v>
      </c>
      <c r="C1115" s="49" t="s">
        <v>2372</v>
      </c>
      <c r="D1115" s="30"/>
      <c r="E1115" s="30"/>
      <c r="F1115" s="30"/>
      <c r="G1115" s="30"/>
      <c r="H1115" s="30" t="s">
        <v>141</v>
      </c>
      <c r="I1115" s="30" t="s">
        <v>31</v>
      </c>
      <c r="J1115" s="30" t="s">
        <v>142</v>
      </c>
      <c r="K1115" s="30" t="s">
        <v>116</v>
      </c>
      <c r="L1115" s="30" t="s">
        <v>122</v>
      </c>
      <c r="M1115" s="48" t="s">
        <v>184</v>
      </c>
      <c r="N1115" s="30"/>
      <c r="O1115" s="30"/>
      <c r="P1115" s="30"/>
    </row>
    <row r="1116" spans="1:16" ht="60" customHeight="1">
      <c r="A1116" s="30" t="s">
        <v>2373</v>
      </c>
      <c r="B1116" s="47" t="s">
        <v>2374</v>
      </c>
      <c r="C1116" s="48" t="s">
        <v>2375</v>
      </c>
      <c r="D1116" s="30"/>
      <c r="E1116" s="30"/>
      <c r="F1116" s="30"/>
      <c r="G1116" s="30"/>
      <c r="H1116" s="30" t="s">
        <v>141</v>
      </c>
      <c r="I1116" s="30" t="s">
        <v>31</v>
      </c>
      <c r="J1116" s="30" t="s">
        <v>142</v>
      </c>
      <c r="K1116" s="30" t="s">
        <v>116</v>
      </c>
      <c r="L1116" s="30" t="s">
        <v>122</v>
      </c>
      <c r="M1116" s="48" t="s">
        <v>184</v>
      </c>
      <c r="N1116" s="30"/>
      <c r="O1116" s="30"/>
      <c r="P1116" s="30"/>
    </row>
    <row r="1117" spans="1:16" ht="60" customHeight="1">
      <c r="A1117" s="30" t="s">
        <v>2376</v>
      </c>
      <c r="B1117" s="47" t="s">
        <v>2374</v>
      </c>
      <c r="C1117" s="48" t="s">
        <v>2377</v>
      </c>
      <c r="D1117" s="30"/>
      <c r="E1117" s="30"/>
      <c r="F1117" s="30"/>
      <c r="G1117" s="30"/>
      <c r="H1117" s="30" t="s">
        <v>141</v>
      </c>
      <c r="I1117" s="30" t="s">
        <v>31</v>
      </c>
      <c r="J1117" s="30" t="s">
        <v>144</v>
      </c>
      <c r="K1117" s="30" t="s">
        <v>117</v>
      </c>
      <c r="L1117" s="30" t="s">
        <v>122</v>
      </c>
      <c r="M1117" s="48"/>
      <c r="N1117" s="30"/>
      <c r="O1117" s="30"/>
      <c r="P1117" s="30"/>
    </row>
    <row r="1118" spans="1:16" ht="120" customHeight="1">
      <c r="A1118" s="30" t="s">
        <v>2378</v>
      </c>
      <c r="B1118" s="47" t="s">
        <v>2374</v>
      </c>
      <c r="C1118" s="48" t="s">
        <v>3889</v>
      </c>
      <c r="D1118" s="30"/>
      <c r="E1118" s="30"/>
      <c r="F1118" s="30"/>
      <c r="G1118" s="30"/>
      <c r="H1118" s="30" t="s">
        <v>141</v>
      </c>
      <c r="I1118" s="30" t="s">
        <v>31</v>
      </c>
      <c r="J1118" s="30" t="s">
        <v>144</v>
      </c>
      <c r="K1118" s="30" t="s">
        <v>116</v>
      </c>
      <c r="L1118" s="30" t="s">
        <v>122</v>
      </c>
      <c r="M1118" s="48" t="s">
        <v>184</v>
      </c>
      <c r="N1118" s="30"/>
      <c r="O1118" s="30"/>
      <c r="P1118" s="30"/>
    </row>
    <row r="1119" spans="1:16" ht="150" customHeight="1">
      <c r="A1119" s="30" t="s">
        <v>2379</v>
      </c>
      <c r="B1119" s="47" t="s">
        <v>2374</v>
      </c>
      <c r="C1119" s="48" t="s">
        <v>2380</v>
      </c>
      <c r="D1119" s="30"/>
      <c r="E1119" s="30"/>
      <c r="F1119" s="30"/>
      <c r="G1119" s="30"/>
      <c r="H1119" s="30" t="s">
        <v>141</v>
      </c>
      <c r="I1119" s="30" t="s">
        <v>31</v>
      </c>
      <c r="J1119" s="30" t="s">
        <v>144</v>
      </c>
      <c r="K1119" s="30" t="s">
        <v>116</v>
      </c>
      <c r="L1119" s="30" t="s">
        <v>122</v>
      </c>
      <c r="M1119" s="48" t="s">
        <v>184</v>
      </c>
      <c r="N1119" s="30"/>
      <c r="O1119" s="30"/>
      <c r="P1119" s="30"/>
    </row>
    <row r="1120" spans="1:16" ht="105" customHeight="1">
      <c r="A1120" s="30" t="s">
        <v>2381</v>
      </c>
      <c r="B1120" s="47" t="s">
        <v>2374</v>
      </c>
      <c r="C1120" s="48" t="s">
        <v>3890</v>
      </c>
      <c r="D1120" s="30"/>
      <c r="E1120" s="30"/>
      <c r="F1120" s="30"/>
      <c r="G1120" s="30"/>
      <c r="H1120" s="30" t="s">
        <v>141</v>
      </c>
      <c r="I1120" s="30" t="s">
        <v>31</v>
      </c>
      <c r="J1120" s="30" t="s">
        <v>142</v>
      </c>
      <c r="K1120" s="30" t="s">
        <v>116</v>
      </c>
      <c r="L1120" s="30" t="s">
        <v>122</v>
      </c>
      <c r="M1120" s="48" t="s">
        <v>184</v>
      </c>
      <c r="N1120" s="30"/>
      <c r="O1120" s="30"/>
      <c r="P1120" s="30"/>
    </row>
    <row r="1121" spans="1:16" ht="105" customHeight="1">
      <c r="A1121" s="30" t="s">
        <v>2382</v>
      </c>
      <c r="B1121" s="47" t="s">
        <v>2374</v>
      </c>
      <c r="C1121" s="48" t="s">
        <v>3891</v>
      </c>
      <c r="D1121" s="30"/>
      <c r="E1121" s="30"/>
      <c r="F1121" s="30"/>
      <c r="G1121" s="30"/>
      <c r="H1121" s="30" t="s">
        <v>141</v>
      </c>
      <c r="I1121" s="30" t="s">
        <v>31</v>
      </c>
      <c r="J1121" s="30" t="s">
        <v>142</v>
      </c>
      <c r="K1121" s="30" t="s">
        <v>116</v>
      </c>
      <c r="L1121" s="30" t="s">
        <v>122</v>
      </c>
      <c r="M1121" s="48" t="s">
        <v>184</v>
      </c>
      <c r="N1121" s="30"/>
      <c r="O1121" s="30"/>
      <c r="P1121" s="30"/>
    </row>
    <row r="1122" spans="1:16" ht="60" customHeight="1">
      <c r="A1122" s="30" t="s">
        <v>2383</v>
      </c>
      <c r="B1122" s="47" t="s">
        <v>2374</v>
      </c>
      <c r="C1122" s="48" t="s">
        <v>2384</v>
      </c>
      <c r="D1122" s="30"/>
      <c r="E1122" s="30"/>
      <c r="F1122" s="30"/>
      <c r="G1122" t="s">
        <v>4028</v>
      </c>
      <c r="H1122" s="30" t="s">
        <v>141</v>
      </c>
      <c r="I1122" s="30" t="s">
        <v>30</v>
      </c>
      <c r="J1122" s="30" t="s">
        <v>142</v>
      </c>
      <c r="K1122" s="30" t="s">
        <v>116</v>
      </c>
      <c r="L1122" s="30" t="s">
        <v>143</v>
      </c>
      <c r="M1122" s="48" t="s">
        <v>4139</v>
      </c>
      <c r="N1122" s="30"/>
      <c r="O1122" s="30"/>
      <c r="P1122" s="30"/>
    </row>
    <row r="1123" spans="1:16" s="31" customFormat="1" ht="105" customHeight="1">
      <c r="A1123" s="30" t="s">
        <v>2385</v>
      </c>
      <c r="B1123" s="47" t="s">
        <v>2374</v>
      </c>
      <c r="C1123" s="48" t="s">
        <v>4195</v>
      </c>
      <c r="D1123" s="30"/>
      <c r="E1123" s="30"/>
      <c r="F1123" s="30"/>
      <c r="G1123" s="30"/>
      <c r="H1123" s="30" t="s">
        <v>141</v>
      </c>
      <c r="I1123" s="30" t="s">
        <v>31</v>
      </c>
      <c r="J1123" s="30" t="s">
        <v>142</v>
      </c>
      <c r="K1123" s="30" t="s">
        <v>116</v>
      </c>
      <c r="L1123" s="30" t="s">
        <v>122</v>
      </c>
      <c r="M1123" s="48" t="s">
        <v>184</v>
      </c>
      <c r="N1123" s="30"/>
      <c r="O1123" s="30"/>
      <c r="P1123" s="30"/>
    </row>
    <row r="1124" spans="1:16" s="31" customFormat="1" ht="75" customHeight="1">
      <c r="A1124" s="30" t="s">
        <v>2386</v>
      </c>
      <c r="B1124" s="50" t="s">
        <v>2374</v>
      </c>
      <c r="C1124" s="52" t="s">
        <v>4196</v>
      </c>
      <c r="D1124" s="30"/>
      <c r="E1124" s="30"/>
      <c r="F1124" s="30"/>
      <c r="G1124" s="31" t="s">
        <v>4028</v>
      </c>
      <c r="H1124" s="30" t="s">
        <v>141</v>
      </c>
      <c r="I1124" s="30" t="s">
        <v>30</v>
      </c>
      <c r="J1124" s="30" t="s">
        <v>142</v>
      </c>
      <c r="K1124" s="30" t="s">
        <v>116</v>
      </c>
      <c r="L1124" s="30" t="s">
        <v>143</v>
      </c>
      <c r="M1124" s="48"/>
      <c r="N1124" s="66"/>
      <c r="O1124" s="30"/>
      <c r="P1124" s="30"/>
    </row>
    <row r="1125" spans="1:16" s="31" customFormat="1" ht="90" customHeight="1">
      <c r="A1125" s="30" t="s">
        <v>2387</v>
      </c>
      <c r="B1125" s="47" t="s">
        <v>2374</v>
      </c>
      <c r="C1125" s="48" t="s">
        <v>4197</v>
      </c>
      <c r="D1125" s="30"/>
      <c r="E1125" s="30"/>
      <c r="F1125" s="30"/>
      <c r="G1125" s="30"/>
      <c r="H1125" s="30" t="s">
        <v>141</v>
      </c>
      <c r="I1125" s="30" t="s">
        <v>31</v>
      </c>
      <c r="J1125" s="30" t="s">
        <v>142</v>
      </c>
      <c r="K1125" s="30" t="s">
        <v>116</v>
      </c>
      <c r="L1125" s="30" t="s">
        <v>122</v>
      </c>
      <c r="M1125" s="48" t="s">
        <v>184</v>
      </c>
      <c r="N1125" s="66"/>
      <c r="O1125" s="30"/>
      <c r="P1125" s="30"/>
    </row>
    <row r="1126" spans="1:16" s="31" customFormat="1" ht="75" customHeight="1">
      <c r="A1126" s="30" t="s">
        <v>2388</v>
      </c>
      <c r="B1126" s="55" t="s">
        <v>2374</v>
      </c>
      <c r="C1126" s="51" t="s">
        <v>4198</v>
      </c>
      <c r="D1126" s="30"/>
      <c r="E1126" s="30"/>
      <c r="F1126" s="30"/>
      <c r="G1126" s="31" t="s">
        <v>4028</v>
      </c>
      <c r="H1126" s="30" t="s">
        <v>141</v>
      </c>
      <c r="I1126" s="30" t="s">
        <v>30</v>
      </c>
      <c r="J1126" s="30" t="s">
        <v>142</v>
      </c>
      <c r="K1126" s="30" t="s">
        <v>116</v>
      </c>
      <c r="L1126" s="30" t="s">
        <v>143</v>
      </c>
      <c r="M1126" s="48"/>
      <c r="N1126" s="66"/>
      <c r="O1126" s="30"/>
      <c r="P1126" s="30"/>
    </row>
    <row r="1127" spans="1:16" ht="90" customHeight="1">
      <c r="A1127" s="30" t="s">
        <v>2389</v>
      </c>
      <c r="B1127" s="47" t="s">
        <v>2374</v>
      </c>
      <c r="C1127" s="48" t="s">
        <v>2390</v>
      </c>
      <c r="D1127" s="30"/>
      <c r="E1127" s="30"/>
      <c r="F1127" s="30"/>
      <c r="G1127" s="30"/>
      <c r="H1127" s="30" t="s">
        <v>141</v>
      </c>
      <c r="I1127" s="30" t="s">
        <v>31</v>
      </c>
      <c r="J1127" s="30" t="s">
        <v>145</v>
      </c>
      <c r="K1127" s="30" t="s">
        <v>116</v>
      </c>
      <c r="L1127" s="30" t="s">
        <v>122</v>
      </c>
      <c r="M1127" s="48" t="s">
        <v>184</v>
      </c>
      <c r="N1127" s="30"/>
      <c r="O1127" s="30"/>
      <c r="P1127" s="30"/>
    </row>
    <row r="1128" spans="1:16" ht="60" customHeight="1">
      <c r="A1128" s="30" t="s">
        <v>2391</v>
      </c>
      <c r="B1128" s="47" t="s">
        <v>2392</v>
      </c>
      <c r="C1128" s="48" t="s">
        <v>2393</v>
      </c>
      <c r="D1128" s="30"/>
      <c r="E1128" s="30"/>
      <c r="F1128" s="30"/>
      <c r="G1128" s="30"/>
      <c r="H1128" s="30" t="s">
        <v>141</v>
      </c>
      <c r="I1128" s="30" t="s">
        <v>31</v>
      </c>
      <c r="J1128" s="30" t="s">
        <v>142</v>
      </c>
      <c r="K1128" s="30" t="s">
        <v>116</v>
      </c>
      <c r="L1128" s="30" t="s">
        <v>122</v>
      </c>
      <c r="M1128" s="48" t="s">
        <v>184</v>
      </c>
      <c r="N1128" s="30"/>
      <c r="O1128" s="30"/>
      <c r="P1128" s="30"/>
    </row>
    <row r="1129" spans="1:16" ht="60" customHeight="1">
      <c r="A1129" s="30" t="s">
        <v>2394</v>
      </c>
      <c r="B1129" s="47" t="s">
        <v>2392</v>
      </c>
      <c r="C1129" s="48" t="s">
        <v>2395</v>
      </c>
      <c r="D1129" s="30"/>
      <c r="E1129" s="30"/>
      <c r="F1129" s="30"/>
      <c r="G1129" s="30"/>
      <c r="H1129" s="30" t="s">
        <v>141</v>
      </c>
      <c r="I1129" s="30" t="s">
        <v>31</v>
      </c>
      <c r="J1129" s="30" t="s">
        <v>144</v>
      </c>
      <c r="K1129" s="30" t="s">
        <v>117</v>
      </c>
      <c r="L1129" s="30" t="s">
        <v>122</v>
      </c>
      <c r="M1129" s="48"/>
      <c r="N1129" s="30"/>
      <c r="O1129" s="30"/>
      <c r="P1129" s="30"/>
    </row>
    <row r="1130" spans="1:16" ht="120" customHeight="1">
      <c r="A1130" s="30" t="s">
        <v>2396</v>
      </c>
      <c r="B1130" s="47" t="s">
        <v>2392</v>
      </c>
      <c r="C1130" s="48" t="s">
        <v>3895</v>
      </c>
      <c r="D1130" s="30"/>
      <c r="E1130" s="30"/>
      <c r="F1130" s="30"/>
      <c r="G1130" s="30"/>
      <c r="H1130" s="30" t="s">
        <v>141</v>
      </c>
      <c r="I1130" s="30" t="s">
        <v>31</v>
      </c>
      <c r="J1130" s="30" t="s">
        <v>144</v>
      </c>
      <c r="K1130" s="30" t="s">
        <v>116</v>
      </c>
      <c r="L1130" s="30" t="s">
        <v>122</v>
      </c>
      <c r="M1130" s="48" t="s">
        <v>184</v>
      </c>
      <c r="N1130" s="30"/>
      <c r="O1130" s="30"/>
      <c r="P1130" s="30"/>
    </row>
    <row r="1131" spans="1:16" ht="150" customHeight="1">
      <c r="A1131" s="30" t="s">
        <v>2397</v>
      </c>
      <c r="B1131" s="47" t="s">
        <v>2392</v>
      </c>
      <c r="C1131" s="48" t="s">
        <v>2398</v>
      </c>
      <c r="D1131" s="30"/>
      <c r="E1131" s="30"/>
      <c r="F1131" s="30"/>
      <c r="G1131" s="30"/>
      <c r="H1131" s="30" t="s">
        <v>141</v>
      </c>
      <c r="I1131" s="30" t="s">
        <v>31</v>
      </c>
      <c r="J1131" s="30" t="s">
        <v>144</v>
      </c>
      <c r="K1131" s="30" t="s">
        <v>116</v>
      </c>
      <c r="L1131" s="30" t="s">
        <v>122</v>
      </c>
      <c r="M1131" s="48" t="s">
        <v>184</v>
      </c>
      <c r="N1131" s="30"/>
      <c r="O1131" s="30"/>
      <c r="P1131" s="30"/>
    </row>
    <row r="1132" spans="1:16" ht="75" customHeight="1">
      <c r="A1132" s="30" t="s">
        <v>2399</v>
      </c>
      <c r="B1132" s="47" t="s">
        <v>2392</v>
      </c>
      <c r="C1132" s="48" t="s">
        <v>2400</v>
      </c>
      <c r="D1132" s="30"/>
      <c r="E1132" s="30"/>
      <c r="F1132" s="30"/>
      <c r="G1132" s="30"/>
      <c r="H1132" s="30" t="s">
        <v>141</v>
      </c>
      <c r="I1132" s="30" t="s">
        <v>31</v>
      </c>
      <c r="J1132" s="30" t="s">
        <v>142</v>
      </c>
      <c r="K1132" s="30" t="s">
        <v>116</v>
      </c>
      <c r="L1132" s="30" t="s">
        <v>122</v>
      </c>
      <c r="M1132" s="48" t="s">
        <v>184</v>
      </c>
      <c r="N1132" s="30"/>
      <c r="O1132" s="30"/>
      <c r="P1132" s="30"/>
    </row>
    <row r="1133" spans="1:16" ht="90" customHeight="1">
      <c r="A1133" s="30" t="s">
        <v>2401</v>
      </c>
      <c r="B1133" s="47" t="s">
        <v>2392</v>
      </c>
      <c r="C1133" s="48" t="s">
        <v>2402</v>
      </c>
      <c r="D1133" s="30"/>
      <c r="E1133" s="30"/>
      <c r="F1133" s="30"/>
      <c r="G1133" s="30"/>
      <c r="H1133" s="30" t="s">
        <v>141</v>
      </c>
      <c r="I1133" s="30" t="s">
        <v>31</v>
      </c>
      <c r="J1133" s="30" t="s">
        <v>142</v>
      </c>
      <c r="K1133" s="30" t="s">
        <v>116</v>
      </c>
      <c r="L1133" s="30" t="s">
        <v>122</v>
      </c>
      <c r="M1133" s="48" t="s">
        <v>184</v>
      </c>
      <c r="N1133" s="30"/>
      <c r="O1133" s="30"/>
      <c r="P1133" s="30"/>
    </row>
    <row r="1134" spans="1:16" ht="90" customHeight="1">
      <c r="A1134" s="30" t="s">
        <v>2403</v>
      </c>
      <c r="B1134" s="47" t="s">
        <v>2392</v>
      </c>
      <c r="C1134" s="48" t="s">
        <v>3896</v>
      </c>
      <c r="D1134" s="30"/>
      <c r="E1134" s="30"/>
      <c r="F1134" s="30"/>
      <c r="G1134" s="30"/>
      <c r="H1134" s="30" t="s">
        <v>141</v>
      </c>
      <c r="I1134" s="30" t="s">
        <v>31</v>
      </c>
      <c r="J1134" s="30" t="s">
        <v>142</v>
      </c>
      <c r="K1134" s="30" t="s">
        <v>116</v>
      </c>
      <c r="L1134" s="30" t="s">
        <v>122</v>
      </c>
      <c r="M1134" s="48" t="s">
        <v>184</v>
      </c>
      <c r="N1134" s="30"/>
      <c r="O1134" s="30"/>
      <c r="P1134" s="30"/>
    </row>
    <row r="1135" spans="1:16" ht="90" customHeight="1">
      <c r="A1135" s="30" t="s">
        <v>2404</v>
      </c>
      <c r="B1135" s="47" t="s">
        <v>2392</v>
      </c>
      <c r="C1135" s="48" t="s">
        <v>2405</v>
      </c>
      <c r="D1135" s="30"/>
      <c r="E1135" s="30"/>
      <c r="F1135" s="30"/>
      <c r="G1135" s="30"/>
      <c r="H1135" s="30" t="s">
        <v>141</v>
      </c>
      <c r="I1135" s="30" t="s">
        <v>31</v>
      </c>
      <c r="J1135" s="30" t="s">
        <v>142</v>
      </c>
      <c r="K1135" s="30" t="s">
        <v>116</v>
      </c>
      <c r="L1135" s="30" t="s">
        <v>122</v>
      </c>
      <c r="M1135" s="48" t="s">
        <v>184</v>
      </c>
      <c r="N1135" s="30"/>
      <c r="O1135" s="30"/>
      <c r="P1135" s="30"/>
    </row>
    <row r="1136" spans="1:16" ht="90" customHeight="1">
      <c r="A1136" s="30" t="s">
        <v>2406</v>
      </c>
      <c r="B1136" s="47" t="s">
        <v>2392</v>
      </c>
      <c r="C1136" s="48" t="s">
        <v>3897</v>
      </c>
      <c r="D1136" s="30"/>
      <c r="E1136" s="30"/>
      <c r="F1136" s="30"/>
      <c r="G1136" s="30"/>
      <c r="H1136" s="30" t="s">
        <v>141</v>
      </c>
      <c r="I1136" s="30" t="s">
        <v>31</v>
      </c>
      <c r="J1136" s="30" t="s">
        <v>142</v>
      </c>
      <c r="K1136" s="30" t="s">
        <v>116</v>
      </c>
      <c r="L1136" s="30" t="s">
        <v>122</v>
      </c>
      <c r="M1136" s="48" t="s">
        <v>184</v>
      </c>
      <c r="N1136" s="30"/>
      <c r="O1136" s="30"/>
      <c r="P1136" s="30"/>
    </row>
    <row r="1137" spans="1:16" ht="60" customHeight="1">
      <c r="A1137" s="30" t="s">
        <v>2407</v>
      </c>
      <c r="B1137" s="47" t="s">
        <v>2392</v>
      </c>
      <c r="C1137" s="48" t="s">
        <v>2408</v>
      </c>
      <c r="D1137" s="30"/>
      <c r="E1137" s="30"/>
      <c r="F1137" s="30"/>
      <c r="G1137" t="s">
        <v>4028</v>
      </c>
      <c r="H1137" s="30" t="s">
        <v>141</v>
      </c>
      <c r="I1137" s="30" t="s">
        <v>30</v>
      </c>
      <c r="J1137" s="30" t="s">
        <v>142</v>
      </c>
      <c r="K1137" s="30" t="s">
        <v>116</v>
      </c>
      <c r="L1137" s="30" t="s">
        <v>143</v>
      </c>
      <c r="M1137" s="48"/>
      <c r="N1137" s="30"/>
      <c r="O1137" s="30"/>
      <c r="P1137" s="30"/>
    </row>
    <row r="1138" spans="1:16" ht="90" customHeight="1">
      <c r="A1138" s="30" t="s">
        <v>2409</v>
      </c>
      <c r="B1138" s="47" t="s">
        <v>2392</v>
      </c>
      <c r="C1138" s="48" t="s">
        <v>2410</v>
      </c>
      <c r="D1138" s="30"/>
      <c r="E1138" s="30"/>
      <c r="F1138" s="30"/>
      <c r="G1138" s="30"/>
      <c r="H1138" s="30" t="s">
        <v>141</v>
      </c>
      <c r="I1138" s="30" t="s">
        <v>31</v>
      </c>
      <c r="J1138" s="30" t="s">
        <v>145</v>
      </c>
      <c r="K1138" s="30" t="s">
        <v>116</v>
      </c>
      <c r="L1138" s="30" t="s">
        <v>122</v>
      </c>
      <c r="M1138" s="48" t="s">
        <v>184</v>
      </c>
      <c r="N1138" s="30"/>
      <c r="O1138" s="30"/>
      <c r="P1138" s="30"/>
    </row>
    <row r="1139" spans="1:16" ht="105" customHeight="1">
      <c r="A1139" s="30" t="s">
        <v>2411</v>
      </c>
      <c r="B1139" s="47" t="s">
        <v>2412</v>
      </c>
      <c r="C1139" s="48" t="s">
        <v>2413</v>
      </c>
      <c r="D1139" s="30"/>
      <c r="E1139" s="30"/>
      <c r="F1139" s="30"/>
      <c r="G1139" s="30"/>
      <c r="H1139" s="30" t="s">
        <v>141</v>
      </c>
      <c r="I1139" s="30" t="s">
        <v>31</v>
      </c>
      <c r="J1139" s="30" t="s">
        <v>144</v>
      </c>
      <c r="K1139" s="30" t="s">
        <v>117</v>
      </c>
      <c r="L1139" s="30" t="s">
        <v>122</v>
      </c>
      <c r="M1139" s="48"/>
      <c r="N1139" s="30"/>
      <c r="O1139" s="30"/>
      <c r="P1139" s="30"/>
    </row>
    <row r="1140" spans="1:16" ht="135" customHeight="1">
      <c r="A1140" s="30" t="s">
        <v>2414</v>
      </c>
      <c r="B1140" s="47" t="s">
        <v>2412</v>
      </c>
      <c r="C1140" s="48" t="s">
        <v>3899</v>
      </c>
      <c r="D1140" s="30"/>
      <c r="E1140" s="30"/>
      <c r="F1140" s="30"/>
      <c r="G1140" s="30"/>
      <c r="H1140" s="30" t="s">
        <v>141</v>
      </c>
      <c r="I1140" s="30" t="s">
        <v>31</v>
      </c>
      <c r="J1140" s="30" t="s">
        <v>144</v>
      </c>
      <c r="K1140" s="30" t="s">
        <v>116</v>
      </c>
      <c r="L1140" s="30" t="s">
        <v>122</v>
      </c>
      <c r="M1140" s="48" t="s">
        <v>184</v>
      </c>
      <c r="N1140" s="30"/>
      <c r="O1140" s="30"/>
      <c r="P1140" s="30"/>
    </row>
    <row r="1141" spans="1:16" ht="150" customHeight="1">
      <c r="A1141" s="30" t="s">
        <v>2415</v>
      </c>
      <c r="B1141" s="47" t="s">
        <v>2412</v>
      </c>
      <c r="C1141" s="48" t="s">
        <v>2416</v>
      </c>
      <c r="D1141" s="30"/>
      <c r="E1141" s="30"/>
      <c r="F1141" s="30"/>
      <c r="G1141" s="30"/>
      <c r="H1141" s="30" t="s">
        <v>141</v>
      </c>
      <c r="I1141" s="30" t="s">
        <v>31</v>
      </c>
      <c r="J1141" s="30" t="s">
        <v>144</v>
      </c>
      <c r="K1141" s="30" t="s">
        <v>116</v>
      </c>
      <c r="L1141" s="30" t="s">
        <v>122</v>
      </c>
      <c r="M1141" s="48" t="s">
        <v>184</v>
      </c>
      <c r="N1141" s="30"/>
      <c r="O1141" s="30"/>
      <c r="P1141" s="30"/>
    </row>
    <row r="1142" spans="1:16" ht="90" customHeight="1">
      <c r="A1142" s="30" t="s">
        <v>2417</v>
      </c>
      <c r="B1142" s="47" t="s">
        <v>2412</v>
      </c>
      <c r="C1142" s="48" t="s">
        <v>2418</v>
      </c>
      <c r="D1142" s="30"/>
      <c r="E1142" s="30"/>
      <c r="F1142" s="30"/>
      <c r="G1142" s="30"/>
      <c r="H1142" s="30" t="s">
        <v>141</v>
      </c>
      <c r="I1142" s="30" t="s">
        <v>31</v>
      </c>
      <c r="J1142" s="30" t="s">
        <v>142</v>
      </c>
      <c r="K1142" s="30" t="s">
        <v>116</v>
      </c>
      <c r="L1142" s="30" t="s">
        <v>122</v>
      </c>
      <c r="M1142" s="48" t="s">
        <v>184</v>
      </c>
      <c r="N1142" s="30"/>
      <c r="O1142" s="30"/>
      <c r="P1142" s="30"/>
    </row>
    <row r="1143" spans="1:16" ht="105" customHeight="1">
      <c r="A1143" s="30" t="s">
        <v>2419</v>
      </c>
      <c r="B1143" s="47" t="s">
        <v>2412</v>
      </c>
      <c r="C1143" s="48" t="s">
        <v>3900</v>
      </c>
      <c r="D1143" s="30"/>
      <c r="E1143" s="30"/>
      <c r="F1143" s="30"/>
      <c r="G1143" s="30"/>
      <c r="H1143" s="30" t="s">
        <v>141</v>
      </c>
      <c r="I1143" s="30" t="s">
        <v>31</v>
      </c>
      <c r="J1143" s="30" t="s">
        <v>142</v>
      </c>
      <c r="K1143" s="30" t="s">
        <v>116</v>
      </c>
      <c r="L1143" s="30" t="s">
        <v>122</v>
      </c>
      <c r="M1143" s="48" t="s">
        <v>184</v>
      </c>
      <c r="N1143" s="30"/>
      <c r="O1143" s="30"/>
      <c r="P1143" s="30"/>
    </row>
    <row r="1144" spans="1:16" ht="105" customHeight="1">
      <c r="A1144" s="30" t="s">
        <v>2420</v>
      </c>
      <c r="B1144" s="47" t="s">
        <v>2412</v>
      </c>
      <c r="C1144" s="48" t="s">
        <v>2421</v>
      </c>
      <c r="D1144" s="30"/>
      <c r="E1144" s="30"/>
      <c r="F1144" s="30"/>
      <c r="G1144" s="30"/>
      <c r="H1144" s="30" t="s">
        <v>141</v>
      </c>
      <c r="I1144" s="30" t="s">
        <v>31</v>
      </c>
      <c r="J1144" s="30" t="s">
        <v>142</v>
      </c>
      <c r="K1144" s="30" t="s">
        <v>116</v>
      </c>
      <c r="L1144" s="30" t="s">
        <v>122</v>
      </c>
      <c r="M1144" s="48" t="s">
        <v>184</v>
      </c>
      <c r="N1144" s="30"/>
      <c r="O1144" s="30"/>
      <c r="P1144" s="30"/>
    </row>
    <row r="1145" spans="1:16" ht="120" customHeight="1">
      <c r="A1145" s="30" t="s">
        <v>2422</v>
      </c>
      <c r="B1145" s="47" t="s">
        <v>2412</v>
      </c>
      <c r="C1145" s="48" t="s">
        <v>3901</v>
      </c>
      <c r="D1145" s="30"/>
      <c r="E1145" s="30"/>
      <c r="F1145" s="30"/>
      <c r="G1145" s="30"/>
      <c r="H1145" s="30" t="s">
        <v>141</v>
      </c>
      <c r="I1145" s="30" t="s">
        <v>31</v>
      </c>
      <c r="J1145" s="30" t="s">
        <v>142</v>
      </c>
      <c r="K1145" s="30" t="s">
        <v>116</v>
      </c>
      <c r="L1145" s="30" t="s">
        <v>122</v>
      </c>
      <c r="M1145" s="48" t="s">
        <v>184</v>
      </c>
      <c r="N1145" s="30"/>
      <c r="O1145" s="30"/>
      <c r="P1145" s="30"/>
    </row>
    <row r="1146" spans="1:16" ht="90" customHeight="1">
      <c r="A1146" s="30" t="s">
        <v>2423</v>
      </c>
      <c r="B1146" s="47" t="s">
        <v>2412</v>
      </c>
      <c r="C1146" s="48" t="s">
        <v>2424</v>
      </c>
      <c r="D1146" s="30"/>
      <c r="E1146" s="30"/>
      <c r="F1146" s="30"/>
      <c r="G1146" t="s">
        <v>4028</v>
      </c>
      <c r="H1146" s="30" t="s">
        <v>141</v>
      </c>
      <c r="I1146" s="30" t="s">
        <v>30</v>
      </c>
      <c r="J1146" s="30" t="s">
        <v>142</v>
      </c>
      <c r="K1146" s="30" t="s">
        <v>116</v>
      </c>
      <c r="L1146" s="30" t="s">
        <v>143</v>
      </c>
      <c r="M1146" s="48" t="s">
        <v>4139</v>
      </c>
      <c r="N1146" s="30"/>
      <c r="O1146" s="30"/>
      <c r="P1146" s="30"/>
    </row>
    <row r="1147" spans="1:16" ht="60" customHeight="1">
      <c r="A1147" s="30" t="s">
        <v>2425</v>
      </c>
      <c r="B1147" s="47" t="s">
        <v>2426</v>
      </c>
      <c r="C1147" s="48" t="s">
        <v>2427</v>
      </c>
      <c r="D1147" s="30"/>
      <c r="E1147" s="30"/>
      <c r="F1147" s="30"/>
      <c r="G1147" s="30"/>
      <c r="H1147" s="30" t="s">
        <v>141</v>
      </c>
      <c r="I1147" s="30" t="s">
        <v>31</v>
      </c>
      <c r="J1147" s="30" t="s">
        <v>142</v>
      </c>
      <c r="K1147" s="30" t="s">
        <v>116</v>
      </c>
      <c r="L1147" s="30" t="s">
        <v>122</v>
      </c>
      <c r="M1147" s="48" t="s">
        <v>184</v>
      </c>
      <c r="N1147" s="30"/>
      <c r="O1147" s="30"/>
      <c r="P1147" s="30"/>
    </row>
    <row r="1148" spans="1:16" ht="60" customHeight="1">
      <c r="A1148" s="30" t="s">
        <v>2428</v>
      </c>
      <c r="B1148" s="47" t="s">
        <v>2426</v>
      </c>
      <c r="C1148" s="48" t="s">
        <v>2429</v>
      </c>
      <c r="D1148" s="30"/>
      <c r="E1148" s="30"/>
      <c r="F1148" s="30"/>
      <c r="G1148" s="30"/>
      <c r="H1148" s="30" t="s">
        <v>141</v>
      </c>
      <c r="I1148" s="30" t="s">
        <v>31</v>
      </c>
      <c r="J1148" s="30" t="s">
        <v>142</v>
      </c>
      <c r="K1148" s="30" t="s">
        <v>116</v>
      </c>
      <c r="L1148" s="30" t="s">
        <v>122</v>
      </c>
      <c r="M1148" s="48" t="s">
        <v>184</v>
      </c>
      <c r="N1148" s="30"/>
      <c r="O1148" s="30"/>
      <c r="P1148" s="30"/>
    </row>
    <row r="1149" spans="1:16" ht="45" customHeight="1">
      <c r="A1149" s="30" t="s">
        <v>2430</v>
      </c>
      <c r="B1149" s="47" t="s">
        <v>2426</v>
      </c>
      <c r="C1149" s="48" t="s">
        <v>2431</v>
      </c>
      <c r="D1149" s="30"/>
      <c r="E1149" s="30"/>
      <c r="F1149" s="30"/>
      <c r="G1149" s="30"/>
      <c r="H1149" s="30" t="s">
        <v>141</v>
      </c>
      <c r="I1149" s="30" t="s">
        <v>31</v>
      </c>
      <c r="J1149" s="30" t="s">
        <v>142</v>
      </c>
      <c r="K1149" s="30" t="s">
        <v>116</v>
      </c>
      <c r="L1149" s="30" t="s">
        <v>122</v>
      </c>
      <c r="M1149" s="48" t="s">
        <v>184</v>
      </c>
      <c r="N1149" s="30"/>
      <c r="O1149" s="30"/>
      <c r="P1149" s="30"/>
    </row>
    <row r="1150" spans="1:16" ht="75" customHeight="1">
      <c r="A1150" s="30" t="s">
        <v>2432</v>
      </c>
      <c r="B1150" s="47" t="s">
        <v>2426</v>
      </c>
      <c r="C1150" s="48" t="s">
        <v>2433</v>
      </c>
      <c r="D1150" s="30"/>
      <c r="E1150" s="30"/>
      <c r="F1150" s="30"/>
      <c r="G1150" s="30"/>
      <c r="H1150" s="30" t="s">
        <v>141</v>
      </c>
      <c r="I1150" s="30" t="s">
        <v>31</v>
      </c>
      <c r="J1150" s="30" t="s">
        <v>142</v>
      </c>
      <c r="K1150" s="30" t="s">
        <v>116</v>
      </c>
      <c r="L1150" s="30" t="s">
        <v>122</v>
      </c>
      <c r="M1150" s="48" t="s">
        <v>184</v>
      </c>
      <c r="N1150" s="30"/>
      <c r="O1150" s="30"/>
      <c r="P1150" s="30"/>
    </row>
    <row r="1151" spans="1:16" ht="45" customHeight="1">
      <c r="A1151" s="30" t="s">
        <v>2434</v>
      </c>
      <c r="B1151" s="47" t="s">
        <v>2426</v>
      </c>
      <c r="C1151" s="48" t="s">
        <v>2435</v>
      </c>
      <c r="D1151" s="30"/>
      <c r="E1151" s="30"/>
      <c r="F1151" s="30"/>
      <c r="G1151" s="30"/>
      <c r="H1151" s="30" t="s">
        <v>141</v>
      </c>
      <c r="I1151" s="30" t="s">
        <v>31</v>
      </c>
      <c r="J1151" s="30" t="s">
        <v>144</v>
      </c>
      <c r="K1151" s="30" t="s">
        <v>117</v>
      </c>
      <c r="L1151" s="30" t="s">
        <v>122</v>
      </c>
      <c r="M1151" s="48"/>
      <c r="N1151" s="30"/>
      <c r="O1151" s="30"/>
      <c r="P1151" s="30"/>
    </row>
    <row r="1152" spans="1:16" ht="60" customHeight="1">
      <c r="A1152" s="30" t="s">
        <v>2436</v>
      </c>
      <c r="B1152" s="47" t="s">
        <v>2426</v>
      </c>
      <c r="C1152" s="48" t="s">
        <v>2437</v>
      </c>
      <c r="D1152" s="30"/>
      <c r="E1152" s="30"/>
      <c r="F1152" s="30"/>
      <c r="H1152" s="30" t="s">
        <v>141</v>
      </c>
      <c r="I1152" s="30" t="s">
        <v>31</v>
      </c>
      <c r="J1152" s="30" t="s">
        <v>142</v>
      </c>
      <c r="K1152" s="30" t="s">
        <v>116</v>
      </c>
      <c r="L1152" s="30" t="s">
        <v>122</v>
      </c>
      <c r="M1152" s="48" t="s">
        <v>184</v>
      </c>
      <c r="N1152" s="30"/>
      <c r="O1152" s="30"/>
      <c r="P1152" s="30"/>
    </row>
    <row r="1153" spans="1:16" ht="45" customHeight="1">
      <c r="A1153" s="30" t="s">
        <v>2438</v>
      </c>
      <c r="B1153" s="47" t="s">
        <v>2426</v>
      </c>
      <c r="C1153" s="48" t="s">
        <v>2439</v>
      </c>
      <c r="D1153" s="30"/>
      <c r="E1153" s="30"/>
      <c r="F1153" s="30"/>
      <c r="G1153" s="30"/>
      <c r="H1153" s="30" t="s">
        <v>141</v>
      </c>
      <c r="I1153" s="30" t="s">
        <v>31</v>
      </c>
      <c r="J1153" s="30" t="s">
        <v>142</v>
      </c>
      <c r="K1153" s="30" t="s">
        <v>116</v>
      </c>
      <c r="L1153" s="30" t="s">
        <v>122</v>
      </c>
      <c r="M1153" s="48" t="s">
        <v>184</v>
      </c>
      <c r="N1153" s="30"/>
      <c r="O1153" s="30"/>
      <c r="P1153" s="30"/>
    </row>
    <row r="1154" spans="1:16" ht="45" customHeight="1">
      <c r="A1154" s="30" t="s">
        <v>2440</v>
      </c>
      <c r="B1154" s="47" t="s">
        <v>2426</v>
      </c>
      <c r="C1154" s="48" t="s">
        <v>2441</v>
      </c>
      <c r="D1154" s="30"/>
      <c r="E1154" s="30"/>
      <c r="F1154" s="30"/>
      <c r="G1154" s="30"/>
      <c r="H1154" s="30" t="s">
        <v>141</v>
      </c>
      <c r="I1154" s="30" t="s">
        <v>31</v>
      </c>
      <c r="J1154" s="30" t="s">
        <v>142</v>
      </c>
      <c r="K1154" s="30" t="s">
        <v>116</v>
      </c>
      <c r="L1154" s="30" t="s">
        <v>122</v>
      </c>
      <c r="M1154" s="48" t="s">
        <v>184</v>
      </c>
      <c r="N1154" s="30"/>
      <c r="O1154" s="30"/>
      <c r="P1154" s="30"/>
    </row>
    <row r="1155" spans="1:16" ht="45" customHeight="1">
      <c r="A1155" s="30" t="s">
        <v>2442</v>
      </c>
      <c r="B1155" s="47" t="s">
        <v>2426</v>
      </c>
      <c r="C1155" s="48" t="s">
        <v>2443</v>
      </c>
      <c r="D1155" s="30"/>
      <c r="E1155" s="30"/>
      <c r="F1155" s="30"/>
      <c r="G1155" s="30"/>
      <c r="H1155" s="30" t="s">
        <v>141</v>
      </c>
      <c r="I1155" s="30" t="s">
        <v>31</v>
      </c>
      <c r="J1155" s="30" t="s">
        <v>142</v>
      </c>
      <c r="K1155" s="30" t="s">
        <v>116</v>
      </c>
      <c r="L1155" s="30" t="s">
        <v>122</v>
      </c>
      <c r="M1155" s="48" t="s">
        <v>184</v>
      </c>
      <c r="N1155" s="30"/>
      <c r="O1155" s="30"/>
      <c r="P1155" s="30"/>
    </row>
    <row r="1156" spans="1:16" ht="60" customHeight="1">
      <c r="A1156" s="30" t="s">
        <v>2444</v>
      </c>
      <c r="B1156" s="47" t="s">
        <v>2445</v>
      </c>
      <c r="C1156" s="48" t="s">
        <v>3903</v>
      </c>
      <c r="D1156" s="30"/>
      <c r="E1156" s="30"/>
      <c r="F1156" s="30"/>
      <c r="G1156" s="30"/>
      <c r="H1156" s="30" t="s">
        <v>141</v>
      </c>
      <c r="I1156" s="30" t="s">
        <v>22</v>
      </c>
      <c r="J1156" s="30" t="s">
        <v>144</v>
      </c>
      <c r="K1156" s="30" t="s">
        <v>117</v>
      </c>
      <c r="L1156" s="30" t="s">
        <v>122</v>
      </c>
      <c r="M1156" s="48"/>
      <c r="N1156" s="30"/>
      <c r="O1156" s="30"/>
      <c r="P1156" s="30"/>
    </row>
    <row r="1157" spans="1:16" ht="75" customHeight="1">
      <c r="A1157" s="30" t="s">
        <v>2446</v>
      </c>
      <c r="B1157" s="47" t="s">
        <v>2445</v>
      </c>
      <c r="C1157" s="48" t="s">
        <v>2447</v>
      </c>
      <c r="D1157" s="30"/>
      <c r="E1157" s="30"/>
      <c r="F1157" s="30"/>
      <c r="G1157" s="30"/>
      <c r="H1157" s="30" t="s">
        <v>141</v>
      </c>
      <c r="I1157" s="30" t="s">
        <v>31</v>
      </c>
      <c r="J1157" s="30" t="s">
        <v>144</v>
      </c>
      <c r="K1157" s="30" t="s">
        <v>117</v>
      </c>
      <c r="L1157" s="30" t="s">
        <v>122</v>
      </c>
      <c r="M1157" s="48"/>
      <c r="N1157" s="30"/>
      <c r="O1157" s="30"/>
      <c r="P1157" s="30"/>
    </row>
    <row r="1158" spans="1:16" ht="75" customHeight="1">
      <c r="A1158" s="30" t="s">
        <v>2448</v>
      </c>
      <c r="B1158" s="47" t="s">
        <v>2449</v>
      </c>
      <c r="C1158" s="48" t="s">
        <v>3904</v>
      </c>
      <c r="D1158" s="30"/>
      <c r="E1158" s="30"/>
      <c r="F1158" s="30"/>
      <c r="G1158" s="30"/>
      <c r="H1158" s="30" t="s">
        <v>141</v>
      </c>
      <c r="I1158" s="30" t="s">
        <v>31</v>
      </c>
      <c r="J1158" s="30" t="s">
        <v>142</v>
      </c>
      <c r="K1158" s="30" t="s">
        <v>116</v>
      </c>
      <c r="L1158" s="30" t="s">
        <v>122</v>
      </c>
      <c r="M1158" s="48" t="s">
        <v>184</v>
      </c>
      <c r="N1158" s="30"/>
      <c r="O1158" s="30"/>
      <c r="P1158" s="30"/>
    </row>
    <row r="1159" spans="1:16" ht="30" customHeight="1">
      <c r="A1159" s="30" t="s">
        <v>2450</v>
      </c>
      <c r="B1159" s="47" t="s">
        <v>2449</v>
      </c>
      <c r="C1159" s="48" t="s">
        <v>2451</v>
      </c>
      <c r="D1159" s="30"/>
      <c r="E1159" s="30"/>
      <c r="F1159" s="30"/>
      <c r="G1159" s="30"/>
      <c r="H1159" s="30" t="s">
        <v>141</v>
      </c>
      <c r="I1159" s="30" t="s">
        <v>31</v>
      </c>
      <c r="J1159" s="30" t="s">
        <v>142</v>
      </c>
      <c r="K1159" s="30" t="s">
        <v>116</v>
      </c>
      <c r="L1159" s="30" t="s">
        <v>122</v>
      </c>
      <c r="M1159" s="48" t="s">
        <v>184</v>
      </c>
      <c r="N1159" s="30"/>
      <c r="O1159" s="30"/>
      <c r="P1159" s="30"/>
    </row>
    <row r="1160" spans="1:16" ht="45" customHeight="1">
      <c r="A1160" s="30" t="s">
        <v>2452</v>
      </c>
      <c r="B1160" s="47" t="s">
        <v>2453</v>
      </c>
      <c r="C1160" s="48" t="s">
        <v>2454</v>
      </c>
      <c r="D1160" s="30"/>
      <c r="E1160" s="30"/>
      <c r="F1160" s="30"/>
      <c r="G1160" s="30"/>
      <c r="H1160" s="30" t="s">
        <v>141</v>
      </c>
      <c r="I1160" s="30" t="s">
        <v>31</v>
      </c>
      <c r="J1160" s="30" t="s">
        <v>144</v>
      </c>
      <c r="K1160" s="30" t="s">
        <v>117</v>
      </c>
      <c r="L1160" s="30" t="s">
        <v>122</v>
      </c>
      <c r="M1160" s="48"/>
      <c r="N1160" s="30"/>
      <c r="O1160" s="30"/>
      <c r="P1160" s="30"/>
    </row>
    <row r="1161" spans="1:16" ht="30" customHeight="1">
      <c r="A1161" s="30" t="s">
        <v>2455</v>
      </c>
      <c r="B1161" s="47" t="s">
        <v>2453</v>
      </c>
      <c r="C1161" s="49" t="s">
        <v>2456</v>
      </c>
      <c r="D1161" s="30"/>
      <c r="E1161" s="30"/>
      <c r="F1161" s="30"/>
      <c r="G1161" s="30"/>
      <c r="H1161" s="30" t="s">
        <v>141</v>
      </c>
      <c r="I1161" s="30" t="s">
        <v>31</v>
      </c>
      <c r="J1161" s="30" t="s">
        <v>144</v>
      </c>
      <c r="K1161" s="30" t="s">
        <v>117</v>
      </c>
      <c r="L1161" s="30" t="s">
        <v>122</v>
      </c>
      <c r="M1161" s="48"/>
      <c r="N1161" s="30"/>
      <c r="O1161" s="30"/>
      <c r="P1161" s="30"/>
    </row>
    <row r="1162" spans="1:16" ht="30" customHeight="1">
      <c r="A1162" s="30" t="s">
        <v>2457</v>
      </c>
      <c r="B1162" s="47" t="s">
        <v>2453</v>
      </c>
      <c r="C1162" s="49" t="s">
        <v>2458</v>
      </c>
      <c r="D1162" s="30"/>
      <c r="E1162" s="30"/>
      <c r="F1162" s="30"/>
      <c r="G1162" s="30"/>
      <c r="H1162" s="30" t="s">
        <v>141</v>
      </c>
      <c r="I1162" s="30" t="s">
        <v>31</v>
      </c>
      <c r="J1162" s="30" t="s">
        <v>142</v>
      </c>
      <c r="K1162" s="30" t="s">
        <v>116</v>
      </c>
      <c r="L1162" s="30" t="s">
        <v>122</v>
      </c>
      <c r="M1162" s="48" t="s">
        <v>184</v>
      </c>
      <c r="N1162" s="30"/>
      <c r="O1162" s="30"/>
      <c r="P1162" s="30"/>
    </row>
    <row r="1163" spans="1:16" ht="45" customHeight="1">
      <c r="A1163" s="30" t="s">
        <v>2459</v>
      </c>
      <c r="B1163" s="47" t="s">
        <v>2453</v>
      </c>
      <c r="C1163" s="48" t="s">
        <v>2460</v>
      </c>
      <c r="D1163" s="30"/>
      <c r="E1163" s="30"/>
      <c r="F1163" s="30"/>
      <c r="G1163" s="30"/>
      <c r="H1163" s="30" t="s">
        <v>141</v>
      </c>
      <c r="I1163" s="30" t="s">
        <v>31</v>
      </c>
      <c r="J1163" s="30" t="s">
        <v>142</v>
      </c>
      <c r="K1163" s="30" t="s">
        <v>116</v>
      </c>
      <c r="L1163" s="30" t="s">
        <v>122</v>
      </c>
      <c r="M1163" s="48" t="s">
        <v>184</v>
      </c>
      <c r="N1163" s="30"/>
      <c r="O1163" s="30"/>
      <c r="P1163" s="30"/>
    </row>
    <row r="1164" spans="1:16" ht="45" customHeight="1">
      <c r="A1164" s="30" t="s">
        <v>2461</v>
      </c>
      <c r="B1164" s="47" t="s">
        <v>2453</v>
      </c>
      <c r="C1164" s="48" t="s">
        <v>2462</v>
      </c>
      <c r="D1164" s="30"/>
      <c r="E1164" s="30"/>
      <c r="F1164" s="30"/>
      <c r="G1164" s="30"/>
      <c r="H1164" s="30" t="s">
        <v>141</v>
      </c>
      <c r="I1164" s="30" t="s">
        <v>31</v>
      </c>
      <c r="J1164" s="30" t="s">
        <v>142</v>
      </c>
      <c r="K1164" s="30" t="s">
        <v>116</v>
      </c>
      <c r="L1164" s="30" t="s">
        <v>122</v>
      </c>
      <c r="M1164" s="48" t="s">
        <v>184</v>
      </c>
      <c r="N1164" s="30"/>
      <c r="O1164" s="30"/>
      <c r="P1164" s="30"/>
    </row>
    <row r="1165" spans="1:16" ht="75" customHeight="1">
      <c r="A1165" s="30" t="s">
        <v>2463</v>
      </c>
      <c r="B1165" s="47" t="s">
        <v>2464</v>
      </c>
      <c r="C1165" s="56" t="s">
        <v>2465</v>
      </c>
      <c r="D1165" s="30"/>
      <c r="E1165" s="30"/>
      <c r="F1165" s="30"/>
      <c r="G1165" s="30"/>
      <c r="H1165" s="30" t="s">
        <v>141</v>
      </c>
      <c r="I1165" s="30" t="s">
        <v>31</v>
      </c>
      <c r="J1165" s="30" t="s">
        <v>142</v>
      </c>
      <c r="K1165" s="30" t="s">
        <v>116</v>
      </c>
      <c r="L1165" s="30" t="s">
        <v>122</v>
      </c>
      <c r="M1165" s="48" t="s">
        <v>184</v>
      </c>
      <c r="N1165" s="30"/>
      <c r="O1165" s="30"/>
      <c r="P1165" s="30"/>
    </row>
    <row r="1166" spans="1:16" ht="60" customHeight="1">
      <c r="A1166" s="30" t="s">
        <v>2466</v>
      </c>
      <c r="B1166" s="47" t="s">
        <v>2464</v>
      </c>
      <c r="C1166" s="56" t="s">
        <v>2467</v>
      </c>
      <c r="D1166" s="30"/>
      <c r="E1166" s="30"/>
      <c r="F1166" s="30"/>
      <c r="G1166" s="30"/>
      <c r="H1166" s="30" t="s">
        <v>141</v>
      </c>
      <c r="I1166" s="30" t="s">
        <v>31</v>
      </c>
      <c r="J1166" s="30" t="s">
        <v>142</v>
      </c>
      <c r="K1166" s="30" t="s">
        <v>116</v>
      </c>
      <c r="L1166" s="30" t="s">
        <v>122</v>
      </c>
      <c r="M1166" s="48" t="s">
        <v>184</v>
      </c>
      <c r="N1166" s="30"/>
      <c r="O1166" s="30"/>
      <c r="P1166" s="30"/>
    </row>
    <row r="1167" spans="1:16" ht="30" customHeight="1">
      <c r="A1167" s="30" t="s">
        <v>2468</v>
      </c>
      <c r="B1167" s="47" t="s">
        <v>2464</v>
      </c>
      <c r="C1167" s="56" t="s">
        <v>2469</v>
      </c>
      <c r="D1167" s="30"/>
      <c r="E1167" s="30"/>
      <c r="F1167" s="30"/>
      <c r="G1167" s="30"/>
      <c r="H1167" s="30" t="s">
        <v>141</v>
      </c>
      <c r="I1167" s="30" t="s">
        <v>31</v>
      </c>
      <c r="J1167" s="30" t="s">
        <v>144</v>
      </c>
      <c r="K1167" s="30" t="s">
        <v>117</v>
      </c>
      <c r="L1167" s="30" t="s">
        <v>122</v>
      </c>
      <c r="M1167" s="48"/>
      <c r="N1167" s="30"/>
      <c r="O1167" s="30"/>
      <c r="P1167" s="30"/>
    </row>
    <row r="1168" spans="1:16" ht="30" customHeight="1">
      <c r="A1168" s="30" t="s">
        <v>2470</v>
      </c>
      <c r="B1168" s="47" t="s">
        <v>2464</v>
      </c>
      <c r="C1168" s="56" t="s">
        <v>2471</v>
      </c>
      <c r="D1168" s="30"/>
      <c r="E1168" s="30"/>
      <c r="F1168" s="30"/>
      <c r="G1168" s="30"/>
      <c r="H1168" s="30" t="s">
        <v>141</v>
      </c>
      <c r="I1168" s="30" t="s">
        <v>31</v>
      </c>
      <c r="J1168" s="30" t="s">
        <v>142</v>
      </c>
      <c r="K1168" s="30" t="s">
        <v>116</v>
      </c>
      <c r="L1168" s="30" t="s">
        <v>122</v>
      </c>
      <c r="M1168" s="48" t="s">
        <v>184</v>
      </c>
      <c r="N1168" s="30"/>
      <c r="O1168" s="30"/>
      <c r="P1168" s="30"/>
    </row>
    <row r="1169" spans="1:16" ht="75" customHeight="1">
      <c r="A1169" s="30" t="s">
        <v>2472</v>
      </c>
      <c r="B1169" s="47" t="s">
        <v>2473</v>
      </c>
      <c r="C1169" s="48" t="s">
        <v>2474</v>
      </c>
      <c r="D1169" s="30"/>
      <c r="E1169" s="30"/>
      <c r="F1169" s="30"/>
      <c r="G1169" s="30"/>
      <c r="H1169" s="30" t="s">
        <v>141</v>
      </c>
      <c r="I1169" s="30" t="s">
        <v>31</v>
      </c>
      <c r="J1169" s="30" t="s">
        <v>142</v>
      </c>
      <c r="K1169" s="30" t="s">
        <v>116</v>
      </c>
      <c r="L1169" s="30" t="s">
        <v>122</v>
      </c>
      <c r="M1169" s="48" t="s">
        <v>184</v>
      </c>
      <c r="N1169" s="30"/>
      <c r="O1169" s="30"/>
      <c r="P1169" s="30"/>
    </row>
    <row r="1170" spans="1:16" ht="90" customHeight="1">
      <c r="A1170" s="30" t="s">
        <v>2475</v>
      </c>
      <c r="B1170" s="47" t="s">
        <v>2473</v>
      </c>
      <c r="C1170" s="48" t="s">
        <v>2476</v>
      </c>
      <c r="D1170" s="30"/>
      <c r="E1170" s="30"/>
      <c r="F1170" s="30"/>
      <c r="G1170" s="30"/>
      <c r="H1170" s="30" t="s">
        <v>141</v>
      </c>
      <c r="I1170" s="30" t="s">
        <v>31</v>
      </c>
      <c r="J1170" s="30" t="s">
        <v>142</v>
      </c>
      <c r="K1170" s="30" t="s">
        <v>116</v>
      </c>
      <c r="L1170" s="30" t="s">
        <v>122</v>
      </c>
      <c r="M1170" s="48" t="s">
        <v>184</v>
      </c>
      <c r="N1170" s="30"/>
      <c r="O1170" s="30"/>
      <c r="P1170" s="30"/>
    </row>
    <row r="1171" spans="1:16" ht="75" customHeight="1">
      <c r="A1171" s="30" t="s">
        <v>2477</v>
      </c>
      <c r="B1171" s="47" t="s">
        <v>2473</v>
      </c>
      <c r="C1171" s="48" t="s">
        <v>2478</v>
      </c>
      <c r="D1171" s="30"/>
      <c r="E1171" s="30"/>
      <c r="F1171" s="30"/>
      <c r="G1171" s="30"/>
      <c r="H1171" s="30" t="s">
        <v>141</v>
      </c>
      <c r="I1171" s="30" t="s">
        <v>31</v>
      </c>
      <c r="J1171" s="30" t="s">
        <v>142</v>
      </c>
      <c r="K1171" s="30" t="s">
        <v>116</v>
      </c>
      <c r="L1171" s="30" t="s">
        <v>122</v>
      </c>
      <c r="M1171" s="48" t="s">
        <v>184</v>
      </c>
      <c r="N1171" s="30"/>
      <c r="O1171" s="30"/>
      <c r="P1171" s="30"/>
    </row>
    <row r="1172" spans="1:16" ht="60" customHeight="1">
      <c r="A1172" s="30" t="s">
        <v>2479</v>
      </c>
      <c r="B1172" s="47" t="s">
        <v>2473</v>
      </c>
      <c r="C1172" s="48" t="s">
        <v>2480</v>
      </c>
      <c r="D1172" s="30"/>
      <c r="E1172" s="30"/>
      <c r="F1172" s="30"/>
      <c r="G1172" s="30"/>
      <c r="H1172" s="30" t="s">
        <v>141</v>
      </c>
      <c r="I1172" s="30" t="s">
        <v>31</v>
      </c>
      <c r="J1172" s="30" t="s">
        <v>144</v>
      </c>
      <c r="K1172" s="30" t="s">
        <v>117</v>
      </c>
      <c r="L1172" s="30" t="s">
        <v>122</v>
      </c>
      <c r="M1172" s="48"/>
      <c r="N1172" s="30"/>
      <c r="O1172" s="30"/>
      <c r="P1172" s="30"/>
    </row>
    <row r="1173" spans="1:16" ht="45" customHeight="1">
      <c r="A1173" s="30" t="s">
        <v>2481</v>
      </c>
      <c r="B1173" s="47" t="s">
        <v>2482</v>
      </c>
      <c r="C1173" s="48" t="s">
        <v>3907</v>
      </c>
      <c r="D1173" s="30"/>
      <c r="E1173" s="30"/>
      <c r="F1173" s="30"/>
      <c r="G1173" s="30"/>
      <c r="H1173" s="30" t="s">
        <v>141</v>
      </c>
      <c r="I1173" s="30" t="s">
        <v>31</v>
      </c>
      <c r="J1173" s="30" t="s">
        <v>142</v>
      </c>
      <c r="K1173" s="30" t="s">
        <v>116</v>
      </c>
      <c r="L1173" s="30" t="s">
        <v>122</v>
      </c>
      <c r="M1173" s="48" t="s">
        <v>184</v>
      </c>
      <c r="N1173" s="30"/>
      <c r="O1173" s="30"/>
      <c r="P1173" s="30"/>
    </row>
    <row r="1174" spans="1:16" ht="45" customHeight="1">
      <c r="A1174" s="30" t="s">
        <v>2483</v>
      </c>
      <c r="B1174" s="47" t="s">
        <v>2484</v>
      </c>
      <c r="C1174" s="48" t="s">
        <v>2485</v>
      </c>
      <c r="D1174" s="30"/>
      <c r="E1174" s="30"/>
      <c r="F1174" s="30"/>
      <c r="G1174" s="30"/>
      <c r="H1174" s="30" t="s">
        <v>141</v>
      </c>
      <c r="I1174" s="30" t="s">
        <v>31</v>
      </c>
      <c r="J1174" s="30" t="s">
        <v>142</v>
      </c>
      <c r="K1174" s="30" t="s">
        <v>116</v>
      </c>
      <c r="L1174" s="30" t="s">
        <v>122</v>
      </c>
      <c r="M1174" s="48" t="s">
        <v>184</v>
      </c>
      <c r="N1174" s="30"/>
      <c r="O1174" s="30"/>
      <c r="P1174" s="30"/>
    </row>
    <row r="1175" spans="1:16" ht="60" customHeight="1">
      <c r="A1175" s="30" t="s">
        <v>2486</v>
      </c>
      <c r="B1175" s="47" t="s">
        <v>2484</v>
      </c>
      <c r="C1175" s="48" t="s">
        <v>2487</v>
      </c>
      <c r="D1175" s="30"/>
      <c r="E1175" s="30"/>
      <c r="F1175" s="30"/>
      <c r="G1175" s="30"/>
      <c r="H1175" s="30" t="s">
        <v>141</v>
      </c>
      <c r="I1175" s="30" t="s">
        <v>31</v>
      </c>
      <c r="J1175" s="30" t="s">
        <v>142</v>
      </c>
      <c r="K1175" s="30" t="s">
        <v>116</v>
      </c>
      <c r="L1175" s="30" t="s">
        <v>122</v>
      </c>
      <c r="M1175" s="48" t="s">
        <v>184</v>
      </c>
      <c r="N1175" s="30"/>
      <c r="O1175" s="30"/>
      <c r="P1175" s="30"/>
    </row>
    <row r="1176" spans="1:16" ht="45" customHeight="1">
      <c r="A1176" s="30" t="s">
        <v>2488</v>
      </c>
      <c r="B1176" s="47" t="s">
        <v>2484</v>
      </c>
      <c r="C1176" s="48" t="s">
        <v>2489</v>
      </c>
      <c r="D1176" s="30"/>
      <c r="E1176" s="30"/>
      <c r="F1176" s="30"/>
      <c r="G1176" s="30"/>
      <c r="H1176" s="30" t="s">
        <v>141</v>
      </c>
      <c r="I1176" s="30" t="s">
        <v>31</v>
      </c>
      <c r="J1176" s="30" t="s">
        <v>142</v>
      </c>
      <c r="K1176" s="30" t="s">
        <v>116</v>
      </c>
      <c r="L1176" s="30" t="s">
        <v>122</v>
      </c>
      <c r="M1176" s="48" t="s">
        <v>184</v>
      </c>
      <c r="N1176" s="30"/>
      <c r="O1176" s="30"/>
      <c r="P1176" s="30"/>
    </row>
    <row r="1177" spans="1:16" ht="60" customHeight="1">
      <c r="A1177" s="30" t="s">
        <v>2490</v>
      </c>
      <c r="B1177" s="47" t="s">
        <v>2484</v>
      </c>
      <c r="C1177" s="48" t="s">
        <v>2491</v>
      </c>
      <c r="D1177" s="30"/>
      <c r="E1177" s="30"/>
      <c r="F1177" s="30"/>
      <c r="G1177" s="30"/>
      <c r="H1177" s="30" t="s">
        <v>141</v>
      </c>
      <c r="I1177" s="30" t="s">
        <v>31</v>
      </c>
      <c r="J1177" s="30" t="s">
        <v>142</v>
      </c>
      <c r="K1177" s="30" t="s">
        <v>116</v>
      </c>
      <c r="L1177" s="30" t="s">
        <v>122</v>
      </c>
      <c r="M1177" s="48" t="s">
        <v>184</v>
      </c>
      <c r="N1177" s="30"/>
      <c r="O1177" s="30"/>
      <c r="P1177" s="30"/>
    </row>
    <row r="1178" spans="1:16" ht="30" customHeight="1">
      <c r="A1178" s="30" t="s">
        <v>2492</v>
      </c>
      <c r="B1178" s="47" t="s">
        <v>2484</v>
      </c>
      <c r="C1178" s="48" t="s">
        <v>2493</v>
      </c>
      <c r="D1178" s="30"/>
      <c r="E1178" s="30"/>
      <c r="F1178" s="30"/>
      <c r="G1178" s="30"/>
      <c r="H1178" s="30" t="s">
        <v>141</v>
      </c>
      <c r="I1178" s="30" t="s">
        <v>31</v>
      </c>
      <c r="J1178" s="30" t="s">
        <v>142</v>
      </c>
      <c r="K1178" s="30" t="s">
        <v>116</v>
      </c>
      <c r="L1178" s="30" t="s">
        <v>122</v>
      </c>
      <c r="M1178" s="48" t="s">
        <v>184</v>
      </c>
      <c r="N1178" s="30"/>
      <c r="O1178" s="30"/>
      <c r="P1178" s="30"/>
    </row>
    <row r="1179" spans="1:16" ht="60" customHeight="1">
      <c r="A1179" s="30" t="s">
        <v>2494</v>
      </c>
      <c r="B1179" s="47" t="s">
        <v>2484</v>
      </c>
      <c r="C1179" s="48" t="s">
        <v>2495</v>
      </c>
      <c r="D1179" s="30"/>
      <c r="E1179" s="30"/>
      <c r="F1179" s="30"/>
      <c r="G1179" s="30" t="s">
        <v>136</v>
      </c>
      <c r="H1179" s="30" t="s">
        <v>141</v>
      </c>
      <c r="I1179" s="30" t="s">
        <v>30</v>
      </c>
      <c r="J1179" s="30" t="s">
        <v>142</v>
      </c>
      <c r="K1179" s="30" t="s">
        <v>116</v>
      </c>
      <c r="L1179" s="30" t="s">
        <v>146</v>
      </c>
      <c r="M1179" s="48"/>
      <c r="N1179" s="30"/>
      <c r="O1179" s="30"/>
      <c r="P1179" s="30"/>
    </row>
    <row r="1180" spans="1:16" ht="45" customHeight="1">
      <c r="A1180" s="30" t="s">
        <v>2496</v>
      </c>
      <c r="B1180" s="47" t="s">
        <v>2484</v>
      </c>
      <c r="C1180" s="48" t="s">
        <v>2497</v>
      </c>
      <c r="D1180" s="30"/>
      <c r="E1180" s="30"/>
      <c r="F1180" s="30"/>
      <c r="G1180" s="30"/>
      <c r="H1180" s="30" t="s">
        <v>141</v>
      </c>
      <c r="I1180" s="30" t="s">
        <v>31</v>
      </c>
      <c r="J1180" s="30" t="s">
        <v>142</v>
      </c>
      <c r="K1180" s="30" t="s">
        <v>116</v>
      </c>
      <c r="L1180" s="30" t="s">
        <v>122</v>
      </c>
      <c r="M1180" s="48" t="s">
        <v>184</v>
      </c>
      <c r="N1180" s="30"/>
      <c r="O1180" s="30"/>
      <c r="P1180" s="30"/>
    </row>
    <row r="1181" spans="1:16" ht="60" customHeight="1">
      <c r="A1181" s="30" t="s">
        <v>2498</v>
      </c>
      <c r="B1181" s="47" t="s">
        <v>2484</v>
      </c>
      <c r="C1181" s="56" t="s">
        <v>2499</v>
      </c>
      <c r="D1181" s="30"/>
      <c r="E1181" s="30"/>
      <c r="F1181" s="30"/>
      <c r="G1181" s="30"/>
      <c r="H1181" s="30" t="s">
        <v>141</v>
      </c>
      <c r="I1181" s="30" t="s">
        <v>31</v>
      </c>
      <c r="J1181" s="30" t="s">
        <v>142</v>
      </c>
      <c r="K1181" s="30" t="s">
        <v>116</v>
      </c>
      <c r="L1181" s="30" t="s">
        <v>122</v>
      </c>
      <c r="M1181" s="48" t="s">
        <v>184</v>
      </c>
      <c r="N1181" s="30"/>
      <c r="O1181" s="30"/>
      <c r="P1181" s="30"/>
    </row>
    <row r="1182" spans="1:16" ht="90" customHeight="1">
      <c r="A1182" s="30" t="s">
        <v>2500</v>
      </c>
      <c r="B1182" s="47" t="s">
        <v>2484</v>
      </c>
      <c r="C1182" s="56" t="s">
        <v>2501</v>
      </c>
      <c r="D1182" s="30"/>
      <c r="E1182" s="30"/>
      <c r="F1182" s="30"/>
      <c r="G1182" s="30"/>
      <c r="H1182" s="30" t="s">
        <v>141</v>
      </c>
      <c r="I1182" s="30" t="s">
        <v>31</v>
      </c>
      <c r="J1182" s="30" t="s">
        <v>142</v>
      </c>
      <c r="K1182" s="30" t="s">
        <v>116</v>
      </c>
      <c r="L1182" s="30" t="s">
        <v>122</v>
      </c>
      <c r="M1182" s="48" t="s">
        <v>184</v>
      </c>
      <c r="N1182" s="30"/>
      <c r="O1182" s="30"/>
      <c r="P1182" s="30"/>
    </row>
    <row r="1183" spans="1:16" ht="105" customHeight="1">
      <c r="A1183" s="30" t="s">
        <v>2502</v>
      </c>
      <c r="B1183" s="47" t="s">
        <v>2484</v>
      </c>
      <c r="C1183" s="56" t="s">
        <v>2503</v>
      </c>
      <c r="D1183" s="30"/>
      <c r="E1183" s="30"/>
      <c r="F1183" s="30"/>
      <c r="G1183" s="30"/>
      <c r="H1183" s="30" t="s">
        <v>141</v>
      </c>
      <c r="I1183" s="30" t="s">
        <v>31</v>
      </c>
      <c r="J1183" s="30" t="s">
        <v>142</v>
      </c>
      <c r="K1183" s="30" t="s">
        <v>116</v>
      </c>
      <c r="L1183" s="30" t="s">
        <v>122</v>
      </c>
      <c r="M1183" s="48" t="s">
        <v>184</v>
      </c>
      <c r="N1183" s="30"/>
      <c r="O1183" s="30"/>
      <c r="P1183" s="30"/>
    </row>
    <row r="1184" spans="1:16" ht="90" customHeight="1">
      <c r="A1184" s="30" t="s">
        <v>2504</v>
      </c>
      <c r="B1184" s="47" t="s">
        <v>2484</v>
      </c>
      <c r="C1184" s="56" t="s">
        <v>2505</v>
      </c>
      <c r="D1184" s="30"/>
      <c r="E1184" s="30"/>
      <c r="F1184" s="30"/>
      <c r="G1184" s="30"/>
      <c r="H1184" s="30" t="s">
        <v>141</v>
      </c>
      <c r="I1184" s="30" t="s">
        <v>31</v>
      </c>
      <c r="J1184" s="30" t="s">
        <v>142</v>
      </c>
      <c r="K1184" s="30" t="s">
        <v>116</v>
      </c>
      <c r="L1184" s="30" t="s">
        <v>122</v>
      </c>
      <c r="M1184" s="48" t="s">
        <v>184</v>
      </c>
      <c r="N1184" s="30"/>
      <c r="O1184" s="30"/>
      <c r="P1184" s="30"/>
    </row>
    <row r="1185" spans="1:16" ht="90" customHeight="1">
      <c r="A1185" s="30" t="s">
        <v>2506</v>
      </c>
      <c r="B1185" s="47" t="s">
        <v>2484</v>
      </c>
      <c r="C1185" s="56" t="s">
        <v>2507</v>
      </c>
      <c r="D1185" s="30"/>
      <c r="E1185" s="30"/>
      <c r="F1185" s="30"/>
      <c r="G1185" s="30"/>
      <c r="H1185" s="30" t="s">
        <v>141</v>
      </c>
      <c r="I1185" s="30" t="s">
        <v>31</v>
      </c>
      <c r="J1185" s="30" t="s">
        <v>142</v>
      </c>
      <c r="K1185" s="30" t="s">
        <v>116</v>
      </c>
      <c r="L1185" s="30" t="s">
        <v>122</v>
      </c>
      <c r="M1185" s="48" t="s">
        <v>184</v>
      </c>
      <c r="N1185" s="30"/>
      <c r="O1185" s="30"/>
      <c r="P1185" s="30"/>
    </row>
    <row r="1186" spans="1:16" ht="90" customHeight="1">
      <c r="A1186" s="30" t="s">
        <v>2508</v>
      </c>
      <c r="B1186" s="47" t="s">
        <v>2484</v>
      </c>
      <c r="C1186" s="48" t="s">
        <v>2509</v>
      </c>
      <c r="D1186" s="30"/>
      <c r="E1186" s="30"/>
      <c r="F1186" s="30"/>
      <c r="G1186" s="30"/>
      <c r="H1186" s="30" t="s">
        <v>141</v>
      </c>
      <c r="I1186" s="30" t="s">
        <v>31</v>
      </c>
      <c r="J1186" s="30" t="s">
        <v>142</v>
      </c>
      <c r="K1186" s="30" t="s">
        <v>116</v>
      </c>
      <c r="L1186" s="30" t="s">
        <v>122</v>
      </c>
      <c r="M1186" s="48" t="s">
        <v>184</v>
      </c>
      <c r="N1186" s="30"/>
      <c r="O1186" s="30"/>
      <c r="P1186" s="30"/>
    </row>
    <row r="1187" spans="1:16" ht="165" customHeight="1">
      <c r="A1187" s="30" t="s">
        <v>2510</v>
      </c>
      <c r="B1187" s="47" t="s">
        <v>2484</v>
      </c>
      <c r="C1187" s="56" t="s">
        <v>2511</v>
      </c>
      <c r="D1187" s="30"/>
      <c r="E1187" s="30"/>
      <c r="F1187" s="30"/>
      <c r="G1187" s="30"/>
      <c r="H1187" s="30" t="s">
        <v>141</v>
      </c>
      <c r="I1187" s="30" t="s">
        <v>31</v>
      </c>
      <c r="J1187" s="30" t="s">
        <v>142</v>
      </c>
      <c r="K1187" s="30" t="s">
        <v>116</v>
      </c>
      <c r="L1187" s="30" t="s">
        <v>122</v>
      </c>
      <c r="M1187" s="48" t="s">
        <v>184</v>
      </c>
      <c r="N1187" s="30"/>
      <c r="O1187" s="30"/>
      <c r="P1187" s="30"/>
    </row>
    <row r="1188" spans="1:16" ht="165" customHeight="1">
      <c r="A1188" s="30" t="s">
        <v>2512</v>
      </c>
      <c r="B1188" s="47" t="s">
        <v>2484</v>
      </c>
      <c r="C1188" s="56" t="s">
        <v>2513</v>
      </c>
      <c r="D1188" s="30"/>
      <c r="E1188" s="30"/>
      <c r="F1188" s="30"/>
      <c r="G1188" s="30"/>
      <c r="H1188" s="30" t="s">
        <v>141</v>
      </c>
      <c r="I1188" s="30" t="s">
        <v>31</v>
      </c>
      <c r="J1188" s="30" t="s">
        <v>142</v>
      </c>
      <c r="K1188" s="30" t="s">
        <v>116</v>
      </c>
      <c r="L1188" s="30" t="s">
        <v>122</v>
      </c>
      <c r="M1188" s="48" t="s">
        <v>184</v>
      </c>
      <c r="N1188" s="30"/>
      <c r="O1188" s="30"/>
      <c r="P1188" s="30"/>
    </row>
    <row r="1189" spans="1:16" ht="150" customHeight="1">
      <c r="A1189" s="30" t="s">
        <v>2514</v>
      </c>
      <c r="B1189" s="47" t="s">
        <v>2484</v>
      </c>
      <c r="C1189" s="56" t="s">
        <v>2515</v>
      </c>
      <c r="D1189" s="30"/>
      <c r="E1189" s="30"/>
      <c r="F1189" s="30"/>
      <c r="G1189" s="30"/>
      <c r="H1189" s="30" t="s">
        <v>141</v>
      </c>
      <c r="I1189" s="30" t="s">
        <v>31</v>
      </c>
      <c r="J1189" s="30" t="s">
        <v>142</v>
      </c>
      <c r="K1189" s="30" t="s">
        <v>116</v>
      </c>
      <c r="L1189" s="30" t="s">
        <v>122</v>
      </c>
      <c r="M1189" s="48" t="s">
        <v>184</v>
      </c>
      <c r="N1189" s="30"/>
      <c r="O1189" s="30"/>
      <c r="P1189" s="30"/>
    </row>
    <row r="1190" spans="1:16" ht="150" customHeight="1">
      <c r="A1190" s="30" t="s">
        <v>2516</v>
      </c>
      <c r="B1190" s="47" t="s">
        <v>2484</v>
      </c>
      <c r="C1190" s="56" t="s">
        <v>2517</v>
      </c>
      <c r="D1190" s="30"/>
      <c r="E1190" s="30"/>
      <c r="F1190" s="30"/>
      <c r="G1190" s="30"/>
      <c r="H1190" s="30" t="s">
        <v>141</v>
      </c>
      <c r="I1190" s="30" t="s">
        <v>31</v>
      </c>
      <c r="J1190" s="30" t="s">
        <v>142</v>
      </c>
      <c r="K1190" s="30" t="s">
        <v>116</v>
      </c>
      <c r="L1190" s="30" t="s">
        <v>122</v>
      </c>
      <c r="M1190" s="48" t="s">
        <v>184</v>
      </c>
      <c r="N1190" s="30"/>
      <c r="O1190" s="30"/>
      <c r="P1190" s="30"/>
    </row>
    <row r="1191" spans="1:16" ht="180" customHeight="1">
      <c r="A1191" s="30" t="s">
        <v>2518</v>
      </c>
      <c r="B1191" s="47" t="s">
        <v>2484</v>
      </c>
      <c r="C1191" s="56" t="s">
        <v>2519</v>
      </c>
      <c r="D1191" s="30"/>
      <c r="E1191" s="30"/>
      <c r="F1191" s="30"/>
      <c r="G1191" s="30"/>
      <c r="H1191" s="30" t="s">
        <v>141</v>
      </c>
      <c r="I1191" s="30" t="s">
        <v>31</v>
      </c>
      <c r="J1191" s="30" t="s">
        <v>142</v>
      </c>
      <c r="K1191" s="30" t="s">
        <v>116</v>
      </c>
      <c r="L1191" s="30" t="s">
        <v>122</v>
      </c>
      <c r="M1191" s="48" t="s">
        <v>184</v>
      </c>
      <c r="N1191" s="30"/>
      <c r="O1191" s="30"/>
      <c r="P1191" s="30"/>
    </row>
    <row r="1192" spans="1:16" ht="165" customHeight="1">
      <c r="A1192" s="30" t="s">
        <v>2520</v>
      </c>
      <c r="B1192" s="47" t="s">
        <v>2484</v>
      </c>
      <c r="C1192" s="56" t="s">
        <v>2521</v>
      </c>
      <c r="D1192" s="30"/>
      <c r="E1192" s="30"/>
      <c r="F1192" s="30"/>
      <c r="G1192" s="30"/>
      <c r="H1192" s="30" t="s">
        <v>141</v>
      </c>
      <c r="I1192" s="30" t="s">
        <v>31</v>
      </c>
      <c r="J1192" s="30" t="s">
        <v>142</v>
      </c>
      <c r="K1192" s="30" t="s">
        <v>116</v>
      </c>
      <c r="L1192" s="30" t="s">
        <v>122</v>
      </c>
      <c r="M1192" s="48" t="s">
        <v>184</v>
      </c>
      <c r="N1192" s="30"/>
      <c r="O1192" s="30"/>
      <c r="P1192" s="30"/>
    </row>
    <row r="1193" spans="1:16" ht="135" customHeight="1">
      <c r="A1193" s="30" t="s">
        <v>2522</v>
      </c>
      <c r="B1193" s="47" t="s">
        <v>2484</v>
      </c>
      <c r="C1193" s="56" t="s">
        <v>2523</v>
      </c>
      <c r="D1193" s="30"/>
      <c r="E1193" s="30"/>
      <c r="F1193" s="30"/>
      <c r="G1193" s="30"/>
      <c r="H1193" s="30" t="s">
        <v>141</v>
      </c>
      <c r="I1193" s="30" t="s">
        <v>31</v>
      </c>
      <c r="J1193" s="30" t="s">
        <v>142</v>
      </c>
      <c r="K1193" s="30" t="s">
        <v>116</v>
      </c>
      <c r="L1193" s="30" t="s">
        <v>122</v>
      </c>
      <c r="M1193" s="48" t="s">
        <v>184</v>
      </c>
      <c r="N1193" s="30"/>
      <c r="O1193" s="30"/>
      <c r="P1193" s="30"/>
    </row>
    <row r="1194" spans="1:16" ht="135" customHeight="1">
      <c r="A1194" s="30" t="s">
        <v>2524</v>
      </c>
      <c r="B1194" s="47" t="s">
        <v>2484</v>
      </c>
      <c r="C1194" s="56" t="s">
        <v>2525</v>
      </c>
      <c r="D1194" s="30"/>
      <c r="E1194" s="30"/>
      <c r="F1194" s="30"/>
      <c r="G1194" s="30"/>
      <c r="H1194" s="30" t="s">
        <v>141</v>
      </c>
      <c r="I1194" s="30" t="s">
        <v>31</v>
      </c>
      <c r="J1194" s="30" t="s">
        <v>142</v>
      </c>
      <c r="K1194" s="30" t="s">
        <v>116</v>
      </c>
      <c r="L1194" s="30" t="s">
        <v>122</v>
      </c>
      <c r="M1194" s="48" t="s">
        <v>184</v>
      </c>
      <c r="N1194" s="30"/>
      <c r="O1194" s="30"/>
      <c r="P1194" s="30"/>
    </row>
    <row r="1195" spans="1:16" ht="135" customHeight="1">
      <c r="A1195" s="30" t="s">
        <v>2526</v>
      </c>
      <c r="B1195" s="47" t="s">
        <v>2484</v>
      </c>
      <c r="C1195" s="48" t="s">
        <v>2527</v>
      </c>
      <c r="D1195" s="30"/>
      <c r="E1195" s="30"/>
      <c r="F1195" s="30"/>
      <c r="G1195" s="30"/>
      <c r="H1195" s="30" t="s">
        <v>141</v>
      </c>
      <c r="I1195" s="30" t="s">
        <v>31</v>
      </c>
      <c r="J1195" s="30" t="s">
        <v>142</v>
      </c>
      <c r="K1195" s="30" t="s">
        <v>116</v>
      </c>
      <c r="L1195" s="30" t="s">
        <v>122</v>
      </c>
      <c r="M1195" s="48" t="s">
        <v>184</v>
      </c>
      <c r="N1195" s="30"/>
      <c r="O1195" s="30"/>
      <c r="P1195" s="30"/>
    </row>
    <row r="1196" spans="1:16" ht="45" customHeight="1">
      <c r="A1196" s="30" t="s">
        <v>2528</v>
      </c>
      <c r="B1196" s="47" t="s">
        <v>2484</v>
      </c>
      <c r="C1196" s="48" t="s">
        <v>2529</v>
      </c>
      <c r="D1196" s="30"/>
      <c r="E1196" s="30"/>
      <c r="F1196" s="30"/>
      <c r="G1196" s="30"/>
      <c r="H1196" s="30" t="s">
        <v>141</v>
      </c>
      <c r="I1196" s="30" t="s">
        <v>31</v>
      </c>
      <c r="J1196" s="30" t="s">
        <v>144</v>
      </c>
      <c r="K1196" s="30" t="s">
        <v>117</v>
      </c>
      <c r="L1196" s="30" t="s">
        <v>122</v>
      </c>
      <c r="M1196" s="48"/>
      <c r="N1196" s="30"/>
      <c r="O1196" s="30"/>
      <c r="P1196" s="30"/>
    </row>
    <row r="1197" spans="1:16" ht="45" customHeight="1">
      <c r="A1197" s="30" t="s">
        <v>2530</v>
      </c>
      <c r="B1197" s="47" t="s">
        <v>2531</v>
      </c>
      <c r="C1197" s="48" t="s">
        <v>2532</v>
      </c>
      <c r="D1197" s="30"/>
      <c r="E1197" s="30"/>
      <c r="F1197" s="30"/>
      <c r="G1197" s="30"/>
      <c r="H1197" s="30" t="s">
        <v>141</v>
      </c>
      <c r="I1197" s="30" t="s">
        <v>31</v>
      </c>
      <c r="J1197" s="30" t="s">
        <v>142</v>
      </c>
      <c r="K1197" s="30" t="s">
        <v>116</v>
      </c>
      <c r="L1197" s="30" t="s">
        <v>122</v>
      </c>
      <c r="M1197" s="48" t="s">
        <v>184</v>
      </c>
      <c r="N1197" s="30"/>
      <c r="O1197" s="30"/>
      <c r="P1197" s="30"/>
    </row>
    <row r="1198" spans="1:16" ht="60" customHeight="1">
      <c r="A1198" s="30" t="s">
        <v>2533</v>
      </c>
      <c r="B1198" s="47" t="s">
        <v>2531</v>
      </c>
      <c r="C1198" s="48" t="s">
        <v>2534</v>
      </c>
      <c r="D1198" s="30"/>
      <c r="E1198" s="30"/>
      <c r="F1198" s="30"/>
      <c r="G1198" s="30"/>
      <c r="H1198" s="30" t="s">
        <v>141</v>
      </c>
      <c r="I1198" s="30" t="s">
        <v>31</v>
      </c>
      <c r="J1198" s="30" t="s">
        <v>142</v>
      </c>
      <c r="K1198" s="30" t="s">
        <v>116</v>
      </c>
      <c r="L1198" s="30" t="s">
        <v>122</v>
      </c>
      <c r="M1198" s="48" t="s">
        <v>184</v>
      </c>
      <c r="N1198" s="30"/>
      <c r="O1198" s="30"/>
      <c r="P1198" s="30"/>
    </row>
    <row r="1199" spans="1:16" ht="60" customHeight="1">
      <c r="A1199" s="30" t="s">
        <v>2535</v>
      </c>
      <c r="B1199" s="47" t="s">
        <v>2531</v>
      </c>
      <c r="C1199" s="48" t="s">
        <v>2536</v>
      </c>
      <c r="D1199" s="30"/>
      <c r="E1199" s="30"/>
      <c r="F1199" s="30"/>
      <c r="G1199" s="30"/>
      <c r="H1199" s="30" t="s">
        <v>141</v>
      </c>
      <c r="I1199" s="30" t="s">
        <v>31</v>
      </c>
      <c r="J1199" s="30" t="s">
        <v>142</v>
      </c>
      <c r="K1199" s="30" t="s">
        <v>116</v>
      </c>
      <c r="L1199" s="30" t="s">
        <v>122</v>
      </c>
      <c r="M1199" s="48" t="s">
        <v>184</v>
      </c>
      <c r="N1199" s="30"/>
      <c r="O1199" s="30"/>
      <c r="P1199" s="30"/>
    </row>
    <row r="1200" spans="1:16" ht="90" customHeight="1">
      <c r="A1200" s="30" t="s">
        <v>2537</v>
      </c>
      <c r="B1200" s="47" t="s">
        <v>2531</v>
      </c>
      <c r="C1200" s="48" t="s">
        <v>2538</v>
      </c>
      <c r="D1200" s="30"/>
      <c r="E1200" s="30"/>
      <c r="F1200" s="30"/>
      <c r="G1200" s="30"/>
      <c r="H1200" s="30" t="s">
        <v>141</v>
      </c>
      <c r="I1200" s="30" t="s">
        <v>31</v>
      </c>
      <c r="J1200" s="30" t="s">
        <v>142</v>
      </c>
      <c r="K1200" s="30" t="s">
        <v>116</v>
      </c>
      <c r="L1200" s="30" t="s">
        <v>122</v>
      </c>
      <c r="M1200" s="48" t="s">
        <v>184</v>
      </c>
      <c r="N1200" s="30"/>
      <c r="O1200" s="30"/>
      <c r="P1200" s="30"/>
    </row>
    <row r="1201" spans="1:16" ht="105" customHeight="1">
      <c r="A1201" s="30" t="s">
        <v>2539</v>
      </c>
      <c r="B1201" s="47" t="s">
        <v>2531</v>
      </c>
      <c r="C1201" s="48" t="s">
        <v>2540</v>
      </c>
      <c r="D1201" s="30"/>
      <c r="E1201" s="30"/>
      <c r="F1201" s="30"/>
      <c r="G1201" s="30"/>
      <c r="H1201" s="30" t="s">
        <v>141</v>
      </c>
      <c r="I1201" s="30" t="s">
        <v>31</v>
      </c>
      <c r="J1201" s="30" t="s">
        <v>142</v>
      </c>
      <c r="K1201" s="30" t="s">
        <v>116</v>
      </c>
      <c r="L1201" s="30" t="s">
        <v>122</v>
      </c>
      <c r="M1201" s="48" t="s">
        <v>184</v>
      </c>
      <c r="N1201" s="30"/>
      <c r="O1201" s="30"/>
      <c r="P1201" s="30"/>
    </row>
    <row r="1202" spans="1:16" ht="30" customHeight="1">
      <c r="A1202" s="30" t="s">
        <v>2541</v>
      </c>
      <c r="B1202" s="47" t="s">
        <v>2531</v>
      </c>
      <c r="C1202" s="48" t="s">
        <v>2542</v>
      </c>
      <c r="D1202" s="30"/>
      <c r="E1202" s="30"/>
      <c r="F1202" s="30"/>
      <c r="G1202" s="30"/>
      <c r="H1202" s="30" t="s">
        <v>141</v>
      </c>
      <c r="I1202" s="30" t="s">
        <v>31</v>
      </c>
      <c r="J1202" s="30" t="s">
        <v>142</v>
      </c>
      <c r="K1202" s="30" t="s">
        <v>116</v>
      </c>
      <c r="L1202" s="30" t="s">
        <v>122</v>
      </c>
      <c r="M1202" s="48" t="s">
        <v>184</v>
      </c>
      <c r="N1202" s="30"/>
      <c r="O1202" s="30"/>
      <c r="P1202" s="30"/>
    </row>
    <row r="1203" spans="1:16" ht="60" customHeight="1">
      <c r="A1203" s="30" t="s">
        <v>2543</v>
      </c>
      <c r="B1203" s="47" t="s">
        <v>2544</v>
      </c>
      <c r="C1203" s="56" t="s">
        <v>2545</v>
      </c>
      <c r="D1203" s="30"/>
      <c r="E1203" s="30"/>
      <c r="F1203" s="30"/>
      <c r="G1203" s="30"/>
      <c r="H1203" s="30" t="s">
        <v>141</v>
      </c>
      <c r="I1203" s="30" t="s">
        <v>31</v>
      </c>
      <c r="J1203" s="30" t="s">
        <v>144</v>
      </c>
      <c r="K1203" s="30" t="s">
        <v>117</v>
      </c>
      <c r="L1203" s="30" t="s">
        <v>122</v>
      </c>
      <c r="M1203" s="48"/>
      <c r="N1203" s="30"/>
      <c r="O1203" s="30"/>
      <c r="P1203" s="30"/>
    </row>
    <row r="1204" spans="1:16" ht="75" customHeight="1">
      <c r="A1204" s="30" t="s">
        <v>2546</v>
      </c>
      <c r="B1204" s="47" t="s">
        <v>2544</v>
      </c>
      <c r="C1204" s="56" t="s">
        <v>2547</v>
      </c>
      <c r="D1204" s="30"/>
      <c r="E1204" s="30"/>
      <c r="F1204" s="30"/>
      <c r="G1204" s="30"/>
      <c r="H1204" s="30" t="s">
        <v>141</v>
      </c>
      <c r="I1204" s="30" t="s">
        <v>31</v>
      </c>
      <c r="J1204" s="30" t="s">
        <v>144</v>
      </c>
      <c r="K1204" s="30" t="s">
        <v>117</v>
      </c>
      <c r="L1204" s="30" t="s">
        <v>122</v>
      </c>
      <c r="M1204" s="48"/>
      <c r="N1204" s="30"/>
      <c r="O1204" s="30"/>
      <c r="P1204" s="30"/>
    </row>
    <row r="1205" spans="1:16" ht="45" customHeight="1">
      <c r="A1205" s="30" t="s">
        <v>2548</v>
      </c>
      <c r="B1205" s="47" t="s">
        <v>2544</v>
      </c>
      <c r="C1205" s="56" t="s">
        <v>2549</v>
      </c>
      <c r="D1205" s="30"/>
      <c r="E1205" s="30"/>
      <c r="F1205" s="30"/>
      <c r="G1205" s="30"/>
      <c r="H1205" s="30" t="s">
        <v>141</v>
      </c>
      <c r="I1205" s="30" t="s">
        <v>31</v>
      </c>
      <c r="J1205" s="30" t="s">
        <v>142</v>
      </c>
      <c r="K1205" s="30" t="s">
        <v>116</v>
      </c>
      <c r="L1205" s="30" t="s">
        <v>122</v>
      </c>
      <c r="M1205" s="48" t="s">
        <v>184</v>
      </c>
      <c r="N1205" s="30"/>
      <c r="O1205" s="30"/>
      <c r="P1205" s="30"/>
    </row>
    <row r="1206" spans="1:16" ht="120" customHeight="1">
      <c r="A1206" s="30" t="s">
        <v>2550</v>
      </c>
      <c r="B1206" s="47" t="s">
        <v>2544</v>
      </c>
      <c r="C1206" s="56" t="s">
        <v>2551</v>
      </c>
      <c r="D1206" s="30"/>
      <c r="E1206" s="30"/>
      <c r="F1206" s="30"/>
      <c r="G1206" s="30"/>
      <c r="H1206" s="30" t="s">
        <v>141</v>
      </c>
      <c r="I1206" s="30" t="s">
        <v>30</v>
      </c>
      <c r="J1206" s="30" t="s">
        <v>142</v>
      </c>
      <c r="K1206" s="30" t="s">
        <v>116</v>
      </c>
      <c r="L1206" s="30" t="s">
        <v>121</v>
      </c>
      <c r="M1206" s="48" t="s">
        <v>2552</v>
      </c>
      <c r="N1206" s="30"/>
      <c r="O1206" s="30"/>
      <c r="P1206" s="30"/>
    </row>
    <row r="1207" spans="1:16" ht="120" customHeight="1">
      <c r="A1207" s="30" t="s">
        <v>2553</v>
      </c>
      <c r="B1207" s="47" t="s">
        <v>2544</v>
      </c>
      <c r="C1207" s="48" t="s">
        <v>2554</v>
      </c>
      <c r="D1207" s="30"/>
      <c r="E1207" s="30"/>
      <c r="F1207" s="30"/>
      <c r="G1207" s="30"/>
      <c r="H1207" s="30" t="s">
        <v>141</v>
      </c>
      <c r="I1207" s="30" t="s">
        <v>30</v>
      </c>
      <c r="J1207" s="30" t="s">
        <v>142</v>
      </c>
      <c r="K1207" s="30" t="s">
        <v>116</v>
      </c>
      <c r="L1207" s="30" t="s">
        <v>121</v>
      </c>
      <c r="M1207" s="48" t="s">
        <v>2552</v>
      </c>
      <c r="N1207" s="30"/>
      <c r="O1207" s="30"/>
      <c r="P1207" s="30"/>
    </row>
    <row r="1208" spans="1:16" ht="120" customHeight="1">
      <c r="A1208" s="30" t="s">
        <v>2555</v>
      </c>
      <c r="B1208" s="47" t="s">
        <v>2544</v>
      </c>
      <c r="C1208" s="48" t="s">
        <v>2556</v>
      </c>
      <c r="D1208" s="30"/>
      <c r="E1208" s="30"/>
      <c r="F1208" s="30"/>
      <c r="G1208" s="30"/>
      <c r="H1208" s="30" t="s">
        <v>141</v>
      </c>
      <c r="I1208" s="30" t="s">
        <v>30</v>
      </c>
      <c r="J1208" s="30" t="s">
        <v>142</v>
      </c>
      <c r="K1208" s="30" t="s">
        <v>116</v>
      </c>
      <c r="L1208" s="30" t="s">
        <v>121</v>
      </c>
      <c r="M1208" s="48" t="s">
        <v>2552</v>
      </c>
      <c r="N1208" s="30"/>
      <c r="O1208" s="30"/>
      <c r="P1208" s="30"/>
    </row>
    <row r="1209" spans="1:16" ht="90" customHeight="1">
      <c r="A1209" s="30" t="s">
        <v>2557</v>
      </c>
      <c r="B1209" s="47" t="s">
        <v>2558</v>
      </c>
      <c r="C1209" s="48" t="s">
        <v>2559</v>
      </c>
      <c r="D1209" s="30"/>
      <c r="E1209" s="30"/>
      <c r="F1209" s="30"/>
      <c r="G1209" s="30"/>
      <c r="H1209" s="30" t="s">
        <v>141</v>
      </c>
      <c r="I1209" s="30" t="s">
        <v>31</v>
      </c>
      <c r="J1209" s="30" t="s">
        <v>142</v>
      </c>
      <c r="K1209" s="30" t="s">
        <v>116</v>
      </c>
      <c r="L1209" s="30" t="s">
        <v>122</v>
      </c>
      <c r="M1209" s="48" t="s">
        <v>184</v>
      </c>
      <c r="N1209" s="30"/>
      <c r="O1209" s="30"/>
      <c r="P1209" s="30"/>
    </row>
    <row r="1210" spans="1:16" ht="75" customHeight="1">
      <c r="A1210" s="30" t="s">
        <v>2560</v>
      </c>
      <c r="B1210" s="47" t="s">
        <v>2558</v>
      </c>
      <c r="C1210" s="48" t="s">
        <v>2561</v>
      </c>
      <c r="D1210" s="30"/>
      <c r="E1210" s="30"/>
      <c r="F1210" s="30"/>
      <c r="G1210" s="30"/>
      <c r="H1210" s="30" t="s">
        <v>141</v>
      </c>
      <c r="I1210" s="30" t="s">
        <v>31</v>
      </c>
      <c r="J1210" s="30" t="s">
        <v>142</v>
      </c>
      <c r="K1210" s="30" t="s">
        <v>116</v>
      </c>
      <c r="L1210" s="30" t="s">
        <v>122</v>
      </c>
      <c r="M1210" s="48" t="s">
        <v>184</v>
      </c>
      <c r="N1210" s="30"/>
      <c r="O1210" s="30"/>
      <c r="P1210" s="30"/>
    </row>
    <row r="1211" spans="1:16" ht="45" customHeight="1">
      <c r="A1211" s="30" t="s">
        <v>2562</v>
      </c>
      <c r="B1211" s="47" t="s">
        <v>2558</v>
      </c>
      <c r="C1211" s="49" t="s">
        <v>2563</v>
      </c>
      <c r="D1211" s="30"/>
      <c r="E1211" s="30"/>
      <c r="F1211" s="30"/>
      <c r="G1211" s="30"/>
      <c r="H1211" s="30" t="s">
        <v>141</v>
      </c>
      <c r="I1211" s="30" t="s">
        <v>31</v>
      </c>
      <c r="J1211" s="30" t="s">
        <v>144</v>
      </c>
      <c r="K1211" s="30" t="s">
        <v>117</v>
      </c>
      <c r="L1211" s="30" t="s">
        <v>122</v>
      </c>
      <c r="M1211" s="48"/>
      <c r="N1211" s="30"/>
      <c r="O1211" s="30"/>
      <c r="P1211" s="30"/>
    </row>
    <row r="1212" spans="1:16" ht="60" customHeight="1">
      <c r="A1212" s="30" t="s">
        <v>2564</v>
      </c>
      <c r="B1212" s="47" t="s">
        <v>2558</v>
      </c>
      <c r="C1212" s="48" t="s">
        <v>2565</v>
      </c>
      <c r="D1212" s="30"/>
      <c r="E1212" s="30"/>
      <c r="F1212" s="30"/>
      <c r="G1212" s="30"/>
      <c r="H1212" s="30" t="s">
        <v>141</v>
      </c>
      <c r="I1212" s="30" t="s">
        <v>31</v>
      </c>
      <c r="J1212" s="30" t="s">
        <v>144</v>
      </c>
      <c r="K1212" s="30" t="s">
        <v>117</v>
      </c>
      <c r="L1212" s="30" t="s">
        <v>122</v>
      </c>
      <c r="M1212" s="48"/>
      <c r="N1212" s="30"/>
      <c r="O1212" s="30"/>
      <c r="P1212" s="30"/>
    </row>
    <row r="1213" spans="1:16" ht="45" customHeight="1">
      <c r="A1213" s="30" t="s">
        <v>2566</v>
      </c>
      <c r="B1213" s="47" t="s">
        <v>2558</v>
      </c>
      <c r="C1213" s="48" t="s">
        <v>2567</v>
      </c>
      <c r="D1213" s="30"/>
      <c r="E1213" s="30"/>
      <c r="F1213" s="30"/>
      <c r="G1213" s="30"/>
      <c r="H1213" s="30" t="s">
        <v>141</v>
      </c>
      <c r="I1213" s="30" t="s">
        <v>31</v>
      </c>
      <c r="J1213" s="30" t="s">
        <v>142</v>
      </c>
      <c r="K1213" s="30" t="s">
        <v>116</v>
      </c>
      <c r="L1213" s="30" t="s">
        <v>122</v>
      </c>
      <c r="M1213" s="48" t="s">
        <v>184</v>
      </c>
      <c r="N1213" s="30"/>
      <c r="O1213" s="30"/>
      <c r="P1213" s="30"/>
    </row>
    <row r="1214" spans="1:16" ht="60" customHeight="1">
      <c r="A1214" s="30" t="s">
        <v>2568</v>
      </c>
      <c r="B1214" s="47" t="s">
        <v>2558</v>
      </c>
      <c r="C1214" s="48" t="s">
        <v>2569</v>
      </c>
      <c r="D1214" s="30"/>
      <c r="E1214" s="30"/>
      <c r="F1214" s="30"/>
      <c r="G1214" s="30"/>
      <c r="H1214" s="30" t="s">
        <v>141</v>
      </c>
      <c r="I1214" s="30" t="s">
        <v>31</v>
      </c>
      <c r="J1214" s="30" t="s">
        <v>142</v>
      </c>
      <c r="K1214" s="30" t="s">
        <v>116</v>
      </c>
      <c r="L1214" s="30" t="s">
        <v>122</v>
      </c>
      <c r="M1214" s="48" t="s">
        <v>184</v>
      </c>
      <c r="N1214" s="30"/>
      <c r="O1214" s="30"/>
      <c r="P1214" s="30"/>
    </row>
    <row r="1215" spans="1:16" ht="45" customHeight="1">
      <c r="A1215" s="30" t="s">
        <v>2570</v>
      </c>
      <c r="B1215" s="47" t="s">
        <v>2558</v>
      </c>
      <c r="C1215" s="48" t="s">
        <v>2571</v>
      </c>
      <c r="D1215" s="30"/>
      <c r="E1215" s="30"/>
      <c r="F1215" s="30"/>
      <c r="G1215" s="30"/>
      <c r="H1215" s="30" t="s">
        <v>141</v>
      </c>
      <c r="I1215" s="30" t="s">
        <v>31</v>
      </c>
      <c r="J1215" s="30" t="s">
        <v>142</v>
      </c>
      <c r="K1215" s="30" t="s">
        <v>116</v>
      </c>
      <c r="L1215" s="30" t="s">
        <v>122</v>
      </c>
      <c r="M1215" s="48" t="s">
        <v>184</v>
      </c>
      <c r="N1215" s="30"/>
      <c r="O1215" s="30"/>
      <c r="P1215" s="30"/>
    </row>
    <row r="1216" spans="1:16" ht="45" customHeight="1">
      <c r="A1216" s="30" t="s">
        <v>2572</v>
      </c>
      <c r="B1216" s="47" t="s">
        <v>2558</v>
      </c>
      <c r="C1216" s="48" t="s">
        <v>3908</v>
      </c>
      <c r="D1216" s="30"/>
      <c r="E1216" s="30"/>
      <c r="F1216" s="30"/>
      <c r="G1216" s="30"/>
      <c r="H1216" s="30" t="s">
        <v>141</v>
      </c>
      <c r="I1216" s="30" t="s">
        <v>31</v>
      </c>
      <c r="J1216" s="30" t="s">
        <v>145</v>
      </c>
      <c r="K1216" s="30" t="s">
        <v>116</v>
      </c>
      <c r="L1216" s="30" t="s">
        <v>122</v>
      </c>
      <c r="M1216" s="48" t="s">
        <v>184</v>
      </c>
      <c r="N1216" s="30"/>
      <c r="O1216" s="30"/>
      <c r="P1216" s="30"/>
    </row>
    <row r="1217" spans="1:16" ht="120" customHeight="1">
      <c r="A1217" s="30" t="s">
        <v>2573</v>
      </c>
      <c r="B1217" s="47" t="s">
        <v>2558</v>
      </c>
      <c r="C1217" s="48" t="s">
        <v>2574</v>
      </c>
      <c r="D1217" s="30"/>
      <c r="E1217" s="30"/>
      <c r="F1217" s="30"/>
      <c r="G1217" s="30"/>
      <c r="H1217" s="30" t="s">
        <v>141</v>
      </c>
      <c r="I1217" s="30" t="s">
        <v>31</v>
      </c>
      <c r="J1217" s="30" t="s">
        <v>142</v>
      </c>
      <c r="K1217" s="30" t="s">
        <v>116</v>
      </c>
      <c r="L1217" s="30" t="s">
        <v>122</v>
      </c>
      <c r="M1217" s="48" t="s">
        <v>184</v>
      </c>
      <c r="N1217" s="30"/>
      <c r="O1217" s="30"/>
      <c r="P1217" s="30"/>
    </row>
    <row r="1218" spans="1:16" ht="90" customHeight="1">
      <c r="A1218" s="30" t="s">
        <v>2575</v>
      </c>
      <c r="B1218" s="47" t="s">
        <v>2558</v>
      </c>
      <c r="C1218" s="48" t="s">
        <v>2576</v>
      </c>
      <c r="D1218" s="30"/>
      <c r="E1218" s="30"/>
      <c r="F1218" s="30"/>
      <c r="G1218" s="30"/>
      <c r="H1218" s="30" t="s">
        <v>141</v>
      </c>
      <c r="I1218" s="30" t="s">
        <v>31</v>
      </c>
      <c r="J1218" s="30" t="s">
        <v>142</v>
      </c>
      <c r="K1218" s="30" t="s">
        <v>116</v>
      </c>
      <c r="L1218" s="30" t="s">
        <v>122</v>
      </c>
      <c r="M1218" s="48" t="s">
        <v>184</v>
      </c>
      <c r="N1218" s="30"/>
      <c r="O1218" s="30"/>
      <c r="P1218" s="30"/>
    </row>
    <row r="1219" spans="1:16" ht="60" customHeight="1">
      <c r="A1219" s="30" t="s">
        <v>2577</v>
      </c>
      <c r="B1219" s="47" t="s">
        <v>2558</v>
      </c>
      <c r="C1219" s="48" t="s">
        <v>2578</v>
      </c>
      <c r="D1219" s="30"/>
      <c r="E1219" s="30"/>
      <c r="F1219" s="30"/>
      <c r="G1219" s="30"/>
      <c r="H1219" s="30" t="s">
        <v>141</v>
      </c>
      <c r="I1219" s="30" t="s">
        <v>31</v>
      </c>
      <c r="J1219" s="30" t="s">
        <v>142</v>
      </c>
      <c r="K1219" s="30" t="s">
        <v>116</v>
      </c>
      <c r="L1219" s="30" t="s">
        <v>122</v>
      </c>
      <c r="M1219" s="48" t="s">
        <v>184</v>
      </c>
      <c r="N1219" s="30"/>
      <c r="O1219" s="30"/>
      <c r="P1219" s="30"/>
    </row>
    <row r="1220" spans="1:16" ht="60" customHeight="1">
      <c r="A1220" s="30" t="s">
        <v>2579</v>
      </c>
      <c r="B1220" s="47" t="s">
        <v>2558</v>
      </c>
      <c r="C1220" s="48" t="s">
        <v>2580</v>
      </c>
      <c r="D1220" s="30"/>
      <c r="E1220" s="30"/>
      <c r="F1220" s="30"/>
      <c r="G1220" s="30"/>
      <c r="H1220" s="30" t="s">
        <v>141</v>
      </c>
      <c r="I1220" s="30" t="s">
        <v>31</v>
      </c>
      <c r="J1220" s="30" t="s">
        <v>142</v>
      </c>
      <c r="K1220" s="30" t="s">
        <v>116</v>
      </c>
      <c r="L1220" s="30" t="s">
        <v>122</v>
      </c>
      <c r="M1220" s="48" t="s">
        <v>184</v>
      </c>
      <c r="N1220" s="30"/>
      <c r="O1220" s="30"/>
      <c r="P1220" s="30"/>
    </row>
    <row r="1221" spans="1:16" ht="60" customHeight="1">
      <c r="A1221" s="30" t="s">
        <v>2581</v>
      </c>
      <c r="B1221" s="47" t="s">
        <v>2558</v>
      </c>
      <c r="C1221" s="48" t="s">
        <v>2582</v>
      </c>
      <c r="D1221" s="30"/>
      <c r="E1221" s="30"/>
      <c r="F1221" s="30"/>
      <c r="G1221" s="30"/>
      <c r="H1221" s="30" t="s">
        <v>141</v>
      </c>
      <c r="I1221" s="30" t="s">
        <v>31</v>
      </c>
      <c r="J1221" s="30" t="s">
        <v>142</v>
      </c>
      <c r="K1221" s="30" t="s">
        <v>116</v>
      </c>
      <c r="L1221" s="30" t="s">
        <v>122</v>
      </c>
      <c r="M1221" s="48" t="s">
        <v>184</v>
      </c>
      <c r="N1221" s="30"/>
      <c r="O1221" s="30"/>
      <c r="P1221" s="30"/>
    </row>
    <row r="1222" spans="1:16" ht="45" customHeight="1">
      <c r="A1222" s="30" t="s">
        <v>2583</v>
      </c>
      <c r="B1222" s="47" t="s">
        <v>2558</v>
      </c>
      <c r="C1222" s="48" t="s">
        <v>2584</v>
      </c>
      <c r="D1222" s="30"/>
      <c r="E1222" s="30"/>
      <c r="F1222" s="30"/>
      <c r="G1222" s="30"/>
      <c r="H1222" s="30" t="s">
        <v>141</v>
      </c>
      <c r="I1222" s="30" t="s">
        <v>31</v>
      </c>
      <c r="J1222" s="30" t="s">
        <v>142</v>
      </c>
      <c r="K1222" s="30" t="s">
        <v>116</v>
      </c>
      <c r="L1222" s="30" t="s">
        <v>122</v>
      </c>
      <c r="M1222" s="48" t="s">
        <v>184</v>
      </c>
      <c r="N1222" s="30"/>
      <c r="O1222" s="30"/>
      <c r="P1222" s="30"/>
    </row>
    <row r="1223" spans="1:16" ht="60" customHeight="1">
      <c r="A1223" s="30" t="s">
        <v>2585</v>
      </c>
      <c r="B1223" s="47" t="s">
        <v>2558</v>
      </c>
      <c r="C1223" s="48" t="s">
        <v>2586</v>
      </c>
      <c r="D1223" s="30"/>
      <c r="E1223" s="30"/>
      <c r="F1223" s="30"/>
      <c r="G1223" s="30"/>
      <c r="H1223" s="30" t="s">
        <v>141</v>
      </c>
      <c r="I1223" s="30" t="s">
        <v>31</v>
      </c>
      <c r="J1223" s="30" t="s">
        <v>142</v>
      </c>
      <c r="K1223" s="30" t="s">
        <v>116</v>
      </c>
      <c r="L1223" s="30" t="s">
        <v>122</v>
      </c>
      <c r="M1223" s="48" t="s">
        <v>184</v>
      </c>
      <c r="N1223" s="30"/>
      <c r="O1223" s="30"/>
      <c r="P1223" s="30"/>
    </row>
    <row r="1224" spans="1:16" ht="60" customHeight="1">
      <c r="A1224" s="30" t="s">
        <v>2587</v>
      </c>
      <c r="B1224" s="47" t="s">
        <v>2588</v>
      </c>
      <c r="C1224" s="48" t="s">
        <v>2589</v>
      </c>
      <c r="D1224" s="30"/>
      <c r="E1224" s="30"/>
      <c r="F1224" s="30"/>
      <c r="G1224" s="30"/>
      <c r="H1224" s="30" t="s">
        <v>141</v>
      </c>
      <c r="I1224" s="30" t="s">
        <v>31</v>
      </c>
      <c r="J1224" s="30" t="s">
        <v>144</v>
      </c>
      <c r="K1224" s="30" t="s">
        <v>117</v>
      </c>
      <c r="L1224" s="30" t="s">
        <v>122</v>
      </c>
      <c r="M1224" s="48"/>
      <c r="N1224" s="30"/>
      <c r="O1224" s="30"/>
      <c r="P1224" s="30"/>
    </row>
    <row r="1225" spans="1:16" ht="75" customHeight="1">
      <c r="A1225" s="30" t="s">
        <v>2590</v>
      </c>
      <c r="B1225" s="47" t="s">
        <v>2588</v>
      </c>
      <c r="C1225" s="48" t="s">
        <v>2591</v>
      </c>
      <c r="D1225" s="30"/>
      <c r="E1225" s="30"/>
      <c r="F1225" s="30"/>
      <c r="G1225" s="30" t="s">
        <v>133</v>
      </c>
      <c r="H1225" s="30" t="s">
        <v>141</v>
      </c>
      <c r="I1225" s="30" t="s">
        <v>30</v>
      </c>
      <c r="J1225" s="30" t="s">
        <v>142</v>
      </c>
      <c r="K1225" s="30" t="s">
        <v>116</v>
      </c>
      <c r="L1225" s="30" t="s">
        <v>146</v>
      </c>
      <c r="M1225" s="48"/>
      <c r="N1225" s="30"/>
      <c r="O1225" s="30"/>
      <c r="P1225" s="30"/>
    </row>
    <row r="1226" spans="1:16" ht="105" customHeight="1">
      <c r="A1226" s="30" t="s">
        <v>2592</v>
      </c>
      <c r="B1226" s="47" t="s">
        <v>2588</v>
      </c>
      <c r="C1226" s="48" t="s">
        <v>3914</v>
      </c>
      <c r="D1226" s="30"/>
      <c r="E1226" s="30"/>
      <c r="F1226" s="30"/>
      <c r="G1226" s="30"/>
      <c r="H1226" s="30" t="s">
        <v>141</v>
      </c>
      <c r="I1226" s="30" t="s">
        <v>31</v>
      </c>
      <c r="J1226" s="30" t="s">
        <v>142</v>
      </c>
      <c r="K1226" s="30" t="s">
        <v>116</v>
      </c>
      <c r="L1226" s="30" t="s">
        <v>122</v>
      </c>
      <c r="M1226" s="48" t="s">
        <v>184</v>
      </c>
      <c r="N1226" s="30"/>
      <c r="O1226" s="30"/>
      <c r="P1226" s="30"/>
    </row>
    <row r="1227" spans="1:16" ht="90" customHeight="1">
      <c r="A1227" s="30" t="s">
        <v>2593</v>
      </c>
      <c r="B1227" s="47" t="s">
        <v>2594</v>
      </c>
      <c r="C1227" s="48" t="s">
        <v>2595</v>
      </c>
      <c r="D1227" s="30"/>
      <c r="E1227" s="30"/>
      <c r="F1227" s="30"/>
      <c r="G1227" s="30"/>
      <c r="H1227" s="30" t="s">
        <v>141</v>
      </c>
      <c r="I1227" s="30" t="s">
        <v>31</v>
      </c>
      <c r="J1227" s="30" t="s">
        <v>144</v>
      </c>
      <c r="K1227" s="30" t="s">
        <v>117</v>
      </c>
      <c r="L1227" s="30" t="s">
        <v>122</v>
      </c>
      <c r="M1227" s="48"/>
      <c r="N1227" s="30"/>
      <c r="O1227" s="30"/>
      <c r="P1227" s="30"/>
    </row>
    <row r="1228" spans="1:16" ht="90" customHeight="1">
      <c r="A1228" s="30" t="s">
        <v>2596</v>
      </c>
      <c r="B1228" s="47" t="s">
        <v>2594</v>
      </c>
      <c r="C1228" s="48" t="s">
        <v>2597</v>
      </c>
      <c r="D1228" s="30"/>
      <c r="E1228" s="30"/>
      <c r="F1228" s="30"/>
      <c r="G1228" s="30"/>
      <c r="H1228" s="30" t="s">
        <v>141</v>
      </c>
      <c r="I1228" s="30" t="s">
        <v>31</v>
      </c>
      <c r="J1228" s="30" t="s">
        <v>142</v>
      </c>
      <c r="K1228" s="30" t="s">
        <v>116</v>
      </c>
      <c r="L1228" s="30" t="s">
        <v>122</v>
      </c>
      <c r="M1228" s="48" t="s">
        <v>184</v>
      </c>
      <c r="N1228" s="30"/>
      <c r="O1228" s="30"/>
      <c r="P1228" s="30"/>
    </row>
    <row r="1229" spans="1:16" ht="105" customHeight="1">
      <c r="A1229" s="30" t="s">
        <v>2598</v>
      </c>
      <c r="B1229" s="47" t="s">
        <v>2594</v>
      </c>
      <c r="C1229" s="48" t="s">
        <v>2599</v>
      </c>
      <c r="D1229" s="30"/>
      <c r="E1229" s="30"/>
      <c r="F1229" s="30"/>
      <c r="G1229" s="30"/>
      <c r="H1229" s="30" t="s">
        <v>141</v>
      </c>
      <c r="I1229" s="30" t="s">
        <v>31</v>
      </c>
      <c r="J1229" s="30" t="s">
        <v>142</v>
      </c>
      <c r="K1229" s="30" t="s">
        <v>116</v>
      </c>
      <c r="L1229" s="30" t="s">
        <v>122</v>
      </c>
      <c r="M1229" s="48" t="s">
        <v>184</v>
      </c>
      <c r="N1229" s="30"/>
      <c r="O1229" s="30"/>
      <c r="P1229" s="30"/>
    </row>
    <row r="1230" spans="1:16" ht="120" customHeight="1">
      <c r="A1230" s="30" t="s">
        <v>2600</v>
      </c>
      <c r="B1230" s="47" t="s">
        <v>2594</v>
      </c>
      <c r="C1230" s="48" t="s">
        <v>2601</v>
      </c>
      <c r="D1230" s="30"/>
      <c r="E1230" s="30"/>
      <c r="F1230" s="30"/>
      <c r="G1230" s="30"/>
      <c r="H1230" s="30" t="s">
        <v>141</v>
      </c>
      <c r="I1230" s="30" t="s">
        <v>31</v>
      </c>
      <c r="J1230" s="30" t="s">
        <v>142</v>
      </c>
      <c r="K1230" s="30" t="s">
        <v>116</v>
      </c>
      <c r="L1230" s="30" t="s">
        <v>122</v>
      </c>
      <c r="M1230" s="48" t="s">
        <v>184</v>
      </c>
      <c r="N1230" s="30"/>
      <c r="O1230" s="30"/>
      <c r="P1230" s="30"/>
    </row>
    <row r="1231" spans="1:16" ht="135" customHeight="1">
      <c r="A1231" s="30" t="s">
        <v>2602</v>
      </c>
      <c r="B1231" s="47" t="s">
        <v>2594</v>
      </c>
      <c r="C1231" s="48" t="s">
        <v>2603</v>
      </c>
      <c r="D1231" s="30"/>
      <c r="E1231" s="30"/>
      <c r="F1231" s="30"/>
      <c r="G1231" s="30"/>
      <c r="H1231" s="30" t="s">
        <v>141</v>
      </c>
      <c r="I1231" s="30" t="s">
        <v>31</v>
      </c>
      <c r="J1231" s="30" t="s">
        <v>142</v>
      </c>
      <c r="K1231" s="30" t="s">
        <v>116</v>
      </c>
      <c r="L1231" s="30" t="s">
        <v>122</v>
      </c>
      <c r="M1231" s="48" t="s">
        <v>184</v>
      </c>
      <c r="N1231" s="30"/>
      <c r="O1231" s="30"/>
      <c r="P1231" s="30"/>
    </row>
    <row r="1232" spans="1:16" ht="120" customHeight="1">
      <c r="A1232" s="30" t="s">
        <v>2604</v>
      </c>
      <c r="B1232" s="47" t="s">
        <v>2594</v>
      </c>
      <c r="C1232" s="48" t="s">
        <v>2605</v>
      </c>
      <c r="D1232" s="30"/>
      <c r="E1232" s="30"/>
      <c r="F1232" s="30"/>
      <c r="G1232" s="30"/>
      <c r="H1232" s="30" t="s">
        <v>141</v>
      </c>
      <c r="I1232" s="30" t="s">
        <v>31</v>
      </c>
      <c r="J1232" s="30" t="s">
        <v>142</v>
      </c>
      <c r="K1232" s="30" t="s">
        <v>116</v>
      </c>
      <c r="L1232" s="30" t="s">
        <v>122</v>
      </c>
      <c r="M1232" s="48" t="s">
        <v>184</v>
      </c>
      <c r="N1232" s="30"/>
      <c r="O1232" s="30"/>
      <c r="P1232" s="30"/>
    </row>
    <row r="1233" spans="1:16" ht="135" customHeight="1">
      <c r="A1233" s="30" t="s">
        <v>2606</v>
      </c>
      <c r="B1233" s="47" t="s">
        <v>2594</v>
      </c>
      <c r="C1233" s="48" t="s">
        <v>2607</v>
      </c>
      <c r="D1233" s="30"/>
      <c r="E1233" s="30"/>
      <c r="F1233" s="30"/>
      <c r="G1233" s="30"/>
      <c r="H1233" s="30" t="s">
        <v>141</v>
      </c>
      <c r="I1233" s="30" t="s">
        <v>31</v>
      </c>
      <c r="J1233" s="30" t="s">
        <v>142</v>
      </c>
      <c r="K1233" s="30" t="s">
        <v>116</v>
      </c>
      <c r="L1233" s="30" t="s">
        <v>122</v>
      </c>
      <c r="M1233" s="48" t="s">
        <v>184</v>
      </c>
      <c r="N1233" s="30"/>
      <c r="O1233" s="30"/>
      <c r="P1233" s="30"/>
    </row>
    <row r="1234" spans="1:16" ht="135" customHeight="1">
      <c r="A1234" s="30" t="s">
        <v>2608</v>
      </c>
      <c r="B1234" s="47" t="s">
        <v>2594</v>
      </c>
      <c r="C1234" s="48" t="s">
        <v>2609</v>
      </c>
      <c r="D1234" s="30"/>
      <c r="E1234" s="30"/>
      <c r="F1234" s="30"/>
      <c r="G1234" s="30"/>
      <c r="H1234" s="30" t="s">
        <v>141</v>
      </c>
      <c r="I1234" s="30" t="s">
        <v>31</v>
      </c>
      <c r="J1234" s="30" t="s">
        <v>142</v>
      </c>
      <c r="K1234" s="30" t="s">
        <v>116</v>
      </c>
      <c r="L1234" s="30" t="s">
        <v>122</v>
      </c>
      <c r="M1234" s="48" t="s">
        <v>184</v>
      </c>
      <c r="N1234" s="30"/>
      <c r="O1234" s="30"/>
      <c r="P1234" s="30"/>
    </row>
    <row r="1235" spans="1:16" ht="135" customHeight="1">
      <c r="A1235" s="30" t="s">
        <v>2610</v>
      </c>
      <c r="B1235" s="47" t="s">
        <v>2594</v>
      </c>
      <c r="C1235" s="48" t="s">
        <v>2611</v>
      </c>
      <c r="D1235" s="30"/>
      <c r="E1235" s="30"/>
      <c r="F1235" s="30"/>
      <c r="G1235" s="30"/>
      <c r="H1235" s="30" t="s">
        <v>141</v>
      </c>
      <c r="I1235" s="30" t="s">
        <v>31</v>
      </c>
      <c r="J1235" s="30" t="s">
        <v>142</v>
      </c>
      <c r="K1235" s="30" t="s">
        <v>116</v>
      </c>
      <c r="L1235" s="30" t="s">
        <v>122</v>
      </c>
      <c r="M1235" s="48" t="s">
        <v>184</v>
      </c>
      <c r="N1235" s="30"/>
      <c r="O1235" s="30"/>
      <c r="P1235" s="30"/>
    </row>
    <row r="1236" spans="1:16" ht="120" customHeight="1">
      <c r="A1236" s="30" t="s">
        <v>2612</v>
      </c>
      <c r="B1236" s="47" t="s">
        <v>2594</v>
      </c>
      <c r="C1236" s="48" t="s">
        <v>2613</v>
      </c>
      <c r="D1236" s="30"/>
      <c r="E1236" s="30"/>
      <c r="F1236" s="30"/>
      <c r="G1236" s="30"/>
      <c r="H1236" s="30" t="s">
        <v>141</v>
      </c>
      <c r="I1236" s="30" t="s">
        <v>31</v>
      </c>
      <c r="J1236" s="30" t="s">
        <v>142</v>
      </c>
      <c r="K1236" s="30" t="s">
        <v>116</v>
      </c>
      <c r="L1236" s="30" t="s">
        <v>122</v>
      </c>
      <c r="M1236" s="48" t="s">
        <v>184</v>
      </c>
      <c r="N1236" s="30"/>
      <c r="O1236" s="30"/>
      <c r="P1236" s="30"/>
    </row>
    <row r="1237" spans="1:16" ht="120" customHeight="1">
      <c r="A1237" s="30" t="s">
        <v>2614</v>
      </c>
      <c r="B1237" s="47" t="s">
        <v>2594</v>
      </c>
      <c r="C1237" s="48" t="s">
        <v>2615</v>
      </c>
      <c r="D1237" s="30"/>
      <c r="E1237" s="30"/>
      <c r="F1237" s="30"/>
      <c r="G1237" s="30"/>
      <c r="H1237" s="30" t="s">
        <v>141</v>
      </c>
      <c r="I1237" s="30" t="s">
        <v>31</v>
      </c>
      <c r="J1237" s="30" t="s">
        <v>142</v>
      </c>
      <c r="K1237" s="30" t="s">
        <v>116</v>
      </c>
      <c r="L1237" s="30" t="s">
        <v>122</v>
      </c>
      <c r="M1237" s="48" t="s">
        <v>184</v>
      </c>
      <c r="N1237" s="30"/>
      <c r="O1237" s="30"/>
      <c r="P1237" s="30"/>
    </row>
    <row r="1238" spans="1:16" ht="105" customHeight="1">
      <c r="A1238" s="30" t="s">
        <v>2616</v>
      </c>
      <c r="B1238" s="47" t="s">
        <v>2594</v>
      </c>
      <c r="C1238" s="48" t="s">
        <v>2617</v>
      </c>
      <c r="D1238" s="30"/>
      <c r="E1238" s="30"/>
      <c r="F1238" s="30"/>
      <c r="G1238" s="30"/>
      <c r="H1238" s="30" t="s">
        <v>141</v>
      </c>
      <c r="I1238" s="30" t="s">
        <v>31</v>
      </c>
      <c r="J1238" s="30" t="s">
        <v>142</v>
      </c>
      <c r="K1238" s="30" t="s">
        <v>116</v>
      </c>
      <c r="L1238" s="30" t="s">
        <v>122</v>
      </c>
      <c r="M1238" s="48" t="s">
        <v>184</v>
      </c>
      <c r="N1238" s="30"/>
      <c r="O1238" s="30"/>
      <c r="P1238" s="30"/>
    </row>
    <row r="1239" spans="1:16" ht="120" customHeight="1">
      <c r="A1239" s="30" t="s">
        <v>2618</v>
      </c>
      <c r="B1239" s="47" t="s">
        <v>2594</v>
      </c>
      <c r="C1239" s="48" t="s">
        <v>2619</v>
      </c>
      <c r="D1239" s="30"/>
      <c r="E1239" s="30"/>
      <c r="F1239" s="30"/>
      <c r="G1239" s="30"/>
      <c r="H1239" s="30" t="s">
        <v>141</v>
      </c>
      <c r="I1239" s="30" t="s">
        <v>31</v>
      </c>
      <c r="J1239" s="30" t="s">
        <v>142</v>
      </c>
      <c r="K1239" s="30" t="s">
        <v>116</v>
      </c>
      <c r="L1239" s="30" t="s">
        <v>122</v>
      </c>
      <c r="M1239" s="48" t="s">
        <v>184</v>
      </c>
      <c r="N1239" s="30"/>
      <c r="O1239" s="30"/>
      <c r="P1239" s="30"/>
    </row>
    <row r="1240" spans="1:16" ht="75" customHeight="1">
      <c r="A1240" s="30" t="s">
        <v>2620</v>
      </c>
      <c r="B1240" s="47" t="s">
        <v>2594</v>
      </c>
      <c r="C1240" s="48" t="s">
        <v>2621</v>
      </c>
      <c r="D1240" s="30"/>
      <c r="E1240" s="30"/>
      <c r="F1240" s="30"/>
      <c r="G1240" s="30"/>
      <c r="H1240" s="30" t="s">
        <v>141</v>
      </c>
      <c r="I1240" s="30" t="s">
        <v>31</v>
      </c>
      <c r="J1240" s="30" t="s">
        <v>142</v>
      </c>
      <c r="K1240" s="30" t="s">
        <v>116</v>
      </c>
      <c r="L1240" s="30" t="s">
        <v>122</v>
      </c>
      <c r="M1240" s="48" t="s">
        <v>184</v>
      </c>
      <c r="N1240" s="30"/>
      <c r="O1240" s="30"/>
      <c r="P1240" s="30"/>
    </row>
    <row r="1241" spans="1:16" ht="75" customHeight="1">
      <c r="A1241" s="30" t="s">
        <v>2622</v>
      </c>
      <c r="B1241" s="47" t="s">
        <v>2594</v>
      </c>
      <c r="C1241" s="48" t="s">
        <v>2623</v>
      </c>
      <c r="D1241" s="30"/>
      <c r="E1241" s="30"/>
      <c r="F1241" s="30"/>
      <c r="G1241" s="30"/>
      <c r="H1241" s="30" t="s">
        <v>141</v>
      </c>
      <c r="I1241" s="30" t="s">
        <v>31</v>
      </c>
      <c r="J1241" s="30" t="s">
        <v>142</v>
      </c>
      <c r="K1241" s="30" t="s">
        <v>116</v>
      </c>
      <c r="L1241" s="30" t="s">
        <v>122</v>
      </c>
      <c r="M1241" s="48" t="s">
        <v>184</v>
      </c>
      <c r="N1241" s="30"/>
      <c r="O1241" s="30"/>
      <c r="P1241" s="30"/>
    </row>
    <row r="1242" spans="1:16" ht="75" customHeight="1">
      <c r="A1242" s="30" t="s">
        <v>2624</v>
      </c>
      <c r="B1242" s="47" t="s">
        <v>2594</v>
      </c>
      <c r="C1242" s="49" t="s">
        <v>2625</v>
      </c>
      <c r="D1242" s="30"/>
      <c r="E1242" s="30"/>
      <c r="F1242" s="30"/>
      <c r="G1242" s="30"/>
      <c r="H1242" s="30" t="s">
        <v>141</v>
      </c>
      <c r="I1242" s="30" t="s">
        <v>31</v>
      </c>
      <c r="J1242" s="30" t="s">
        <v>142</v>
      </c>
      <c r="K1242" s="30" t="s">
        <v>116</v>
      </c>
      <c r="L1242" s="30" t="s">
        <v>122</v>
      </c>
      <c r="M1242" s="48" t="s">
        <v>184</v>
      </c>
      <c r="N1242" s="30"/>
      <c r="O1242" s="30"/>
      <c r="P1242" s="30"/>
    </row>
    <row r="1243" spans="1:16" ht="105" customHeight="1">
      <c r="A1243" s="30" t="s">
        <v>2626</v>
      </c>
      <c r="B1243" s="47" t="s">
        <v>2594</v>
      </c>
      <c r="C1243" s="48" t="s">
        <v>2627</v>
      </c>
      <c r="D1243" s="30"/>
      <c r="E1243" s="30"/>
      <c r="F1243" s="30"/>
      <c r="G1243" s="30"/>
      <c r="H1243" s="30" t="s">
        <v>141</v>
      </c>
      <c r="I1243" s="30" t="s">
        <v>31</v>
      </c>
      <c r="J1243" s="30" t="s">
        <v>142</v>
      </c>
      <c r="K1243" s="30" t="s">
        <v>116</v>
      </c>
      <c r="L1243" s="30" t="s">
        <v>122</v>
      </c>
      <c r="M1243" s="48" t="s">
        <v>184</v>
      </c>
      <c r="N1243" s="30"/>
      <c r="O1243" s="30"/>
      <c r="P1243" s="30"/>
    </row>
    <row r="1244" spans="1:16" ht="90" customHeight="1">
      <c r="A1244" s="30" t="s">
        <v>2628</v>
      </c>
      <c r="B1244" s="47" t="s">
        <v>2594</v>
      </c>
      <c r="C1244" s="48" t="s">
        <v>2629</v>
      </c>
      <c r="D1244" s="30"/>
      <c r="E1244" s="30"/>
      <c r="F1244" s="30"/>
      <c r="G1244" s="30"/>
      <c r="H1244" s="30" t="s">
        <v>141</v>
      </c>
      <c r="I1244" s="30" t="s">
        <v>31</v>
      </c>
      <c r="J1244" s="30" t="s">
        <v>142</v>
      </c>
      <c r="K1244" s="30" t="s">
        <v>116</v>
      </c>
      <c r="L1244" s="30" t="s">
        <v>122</v>
      </c>
      <c r="M1244" s="48" t="s">
        <v>184</v>
      </c>
      <c r="N1244" s="30"/>
      <c r="O1244" s="30"/>
      <c r="P1244" s="30"/>
    </row>
    <row r="1245" spans="1:16" ht="105" customHeight="1">
      <c r="A1245" s="30" t="s">
        <v>2630</v>
      </c>
      <c r="B1245" s="47" t="s">
        <v>2594</v>
      </c>
      <c r="C1245" s="48" t="s">
        <v>2631</v>
      </c>
      <c r="D1245" s="30"/>
      <c r="E1245" s="30"/>
      <c r="F1245" s="30"/>
      <c r="G1245" s="30"/>
      <c r="H1245" s="30" t="s">
        <v>141</v>
      </c>
      <c r="I1245" s="30" t="s">
        <v>31</v>
      </c>
      <c r="J1245" s="30" t="s">
        <v>142</v>
      </c>
      <c r="K1245" s="30" t="s">
        <v>116</v>
      </c>
      <c r="L1245" s="30" t="s">
        <v>122</v>
      </c>
      <c r="M1245" s="48" t="s">
        <v>184</v>
      </c>
      <c r="N1245" s="30"/>
      <c r="O1245" s="30"/>
      <c r="P1245" s="30"/>
    </row>
    <row r="1246" spans="1:16" ht="120" customHeight="1">
      <c r="A1246" s="30" t="s">
        <v>2632</v>
      </c>
      <c r="B1246" s="47" t="s">
        <v>2594</v>
      </c>
      <c r="C1246" s="48" t="s">
        <v>2633</v>
      </c>
      <c r="D1246" s="30"/>
      <c r="E1246" s="30"/>
      <c r="F1246" s="30"/>
      <c r="G1246" s="30"/>
      <c r="H1246" s="30" t="s">
        <v>141</v>
      </c>
      <c r="I1246" s="30" t="s">
        <v>31</v>
      </c>
      <c r="J1246" s="30" t="s">
        <v>142</v>
      </c>
      <c r="K1246" s="30" t="s">
        <v>116</v>
      </c>
      <c r="L1246" s="30" t="s">
        <v>122</v>
      </c>
      <c r="M1246" s="48" t="s">
        <v>184</v>
      </c>
      <c r="N1246" s="30"/>
      <c r="O1246" s="30"/>
      <c r="P1246" s="30"/>
    </row>
    <row r="1247" spans="1:16" ht="195" customHeight="1">
      <c r="A1247" s="30" t="s">
        <v>2634</v>
      </c>
      <c r="B1247" s="47" t="s">
        <v>2594</v>
      </c>
      <c r="C1247" s="48" t="s">
        <v>2635</v>
      </c>
      <c r="D1247" s="30"/>
      <c r="E1247" s="30"/>
      <c r="F1247" s="30"/>
      <c r="G1247" s="30"/>
      <c r="H1247" s="30" t="s">
        <v>141</v>
      </c>
      <c r="I1247" s="30" t="s">
        <v>31</v>
      </c>
      <c r="J1247" s="30" t="s">
        <v>142</v>
      </c>
      <c r="K1247" s="30" t="s">
        <v>116</v>
      </c>
      <c r="L1247" s="30" t="s">
        <v>122</v>
      </c>
      <c r="M1247" s="48" t="s">
        <v>184</v>
      </c>
      <c r="N1247" s="30"/>
      <c r="O1247" s="30"/>
      <c r="P1247" s="30"/>
    </row>
    <row r="1248" spans="1:16" ht="75" customHeight="1">
      <c r="A1248" s="30" t="s">
        <v>2636</v>
      </c>
      <c r="B1248" s="47" t="s">
        <v>2594</v>
      </c>
      <c r="C1248" s="48" t="s">
        <v>2637</v>
      </c>
      <c r="D1248" s="30"/>
      <c r="E1248" s="30"/>
      <c r="F1248" s="30"/>
      <c r="G1248" s="30"/>
      <c r="H1248" s="30" t="s">
        <v>141</v>
      </c>
      <c r="I1248" s="30" t="s">
        <v>31</v>
      </c>
      <c r="J1248" s="30" t="s">
        <v>142</v>
      </c>
      <c r="K1248" s="30" t="s">
        <v>116</v>
      </c>
      <c r="L1248" s="30" t="s">
        <v>122</v>
      </c>
      <c r="M1248" s="48" t="s">
        <v>184</v>
      </c>
      <c r="N1248" s="30"/>
      <c r="O1248" s="30"/>
      <c r="P1248" s="30"/>
    </row>
    <row r="1249" spans="1:16" ht="90" customHeight="1">
      <c r="A1249" s="30" t="s">
        <v>2638</v>
      </c>
      <c r="B1249" s="47" t="s">
        <v>2594</v>
      </c>
      <c r="C1249" s="48" t="s">
        <v>2639</v>
      </c>
      <c r="D1249" s="30"/>
      <c r="E1249" s="30"/>
      <c r="F1249" s="30"/>
      <c r="G1249" s="30"/>
      <c r="H1249" s="30" t="s">
        <v>141</v>
      </c>
      <c r="I1249" s="30" t="s">
        <v>31</v>
      </c>
      <c r="J1249" s="30" t="s">
        <v>142</v>
      </c>
      <c r="K1249" s="30" t="s">
        <v>116</v>
      </c>
      <c r="L1249" s="30" t="s">
        <v>122</v>
      </c>
      <c r="M1249" s="48" t="s">
        <v>184</v>
      </c>
      <c r="N1249" s="30"/>
      <c r="O1249" s="30"/>
      <c r="P1249" s="30"/>
    </row>
    <row r="1250" spans="1:16" ht="90" customHeight="1">
      <c r="A1250" s="30" t="s">
        <v>2640</v>
      </c>
      <c r="B1250" s="47" t="s">
        <v>2594</v>
      </c>
      <c r="C1250" s="48" t="s">
        <v>2641</v>
      </c>
      <c r="D1250" s="30"/>
      <c r="E1250" s="30"/>
      <c r="F1250" s="30"/>
      <c r="G1250" s="30"/>
      <c r="H1250" s="30" t="s">
        <v>141</v>
      </c>
      <c r="I1250" s="30" t="s">
        <v>31</v>
      </c>
      <c r="J1250" s="30" t="s">
        <v>142</v>
      </c>
      <c r="K1250" s="30" t="s">
        <v>116</v>
      </c>
      <c r="L1250" s="30" t="s">
        <v>122</v>
      </c>
      <c r="M1250" s="48" t="s">
        <v>184</v>
      </c>
      <c r="N1250" s="30"/>
      <c r="O1250" s="30"/>
      <c r="P1250" s="30"/>
    </row>
    <row r="1251" spans="1:16" ht="90" customHeight="1">
      <c r="A1251" s="30" t="s">
        <v>2642</v>
      </c>
      <c r="B1251" s="47" t="s">
        <v>2594</v>
      </c>
      <c r="C1251" s="48" t="s">
        <v>2643</v>
      </c>
      <c r="D1251" s="30"/>
      <c r="E1251" s="30"/>
      <c r="F1251" s="30"/>
      <c r="G1251" s="30"/>
      <c r="H1251" s="30" t="s">
        <v>141</v>
      </c>
      <c r="I1251" s="30" t="s">
        <v>31</v>
      </c>
      <c r="J1251" s="30" t="s">
        <v>142</v>
      </c>
      <c r="K1251" s="30" t="s">
        <v>116</v>
      </c>
      <c r="L1251" s="30" t="s">
        <v>122</v>
      </c>
      <c r="M1251" s="48" t="s">
        <v>184</v>
      </c>
      <c r="N1251" s="30"/>
      <c r="O1251" s="30"/>
      <c r="P1251" s="30"/>
    </row>
    <row r="1252" spans="1:16" ht="90" customHeight="1">
      <c r="A1252" s="30" t="s">
        <v>2644</v>
      </c>
      <c r="B1252" s="47" t="s">
        <v>2594</v>
      </c>
      <c r="C1252" s="48" t="s">
        <v>2645</v>
      </c>
      <c r="D1252" s="30"/>
      <c r="E1252" s="30"/>
      <c r="F1252" s="30"/>
      <c r="G1252" s="30"/>
      <c r="H1252" s="30" t="s">
        <v>141</v>
      </c>
      <c r="I1252" s="30" t="s">
        <v>31</v>
      </c>
      <c r="J1252" s="30" t="s">
        <v>142</v>
      </c>
      <c r="K1252" s="30" t="s">
        <v>116</v>
      </c>
      <c r="L1252" s="30" t="s">
        <v>122</v>
      </c>
      <c r="M1252" s="48" t="s">
        <v>184</v>
      </c>
      <c r="N1252" s="30"/>
      <c r="O1252" s="30"/>
      <c r="P1252" s="30"/>
    </row>
    <row r="1253" spans="1:16" ht="75" customHeight="1">
      <c r="A1253" s="30" t="s">
        <v>2646</v>
      </c>
      <c r="B1253" s="47" t="s">
        <v>2594</v>
      </c>
      <c r="C1253" s="48" t="s">
        <v>3915</v>
      </c>
      <c r="D1253" s="30"/>
      <c r="E1253" s="30"/>
      <c r="F1253" s="30"/>
      <c r="G1253" s="30"/>
      <c r="H1253" s="30" t="s">
        <v>141</v>
      </c>
      <c r="I1253" s="30" t="s">
        <v>31</v>
      </c>
      <c r="J1253" s="30" t="s">
        <v>142</v>
      </c>
      <c r="K1253" s="30" t="s">
        <v>116</v>
      </c>
      <c r="L1253" s="30" t="s">
        <v>122</v>
      </c>
      <c r="M1253" s="48" t="s">
        <v>184</v>
      </c>
      <c r="N1253" s="30"/>
      <c r="O1253" s="30"/>
      <c r="P1253" s="30"/>
    </row>
    <row r="1254" spans="1:16" ht="75" customHeight="1">
      <c r="A1254" s="30" t="s">
        <v>2647</v>
      </c>
      <c r="B1254" s="47" t="s">
        <v>2594</v>
      </c>
      <c r="C1254" s="48" t="s">
        <v>2648</v>
      </c>
      <c r="D1254" s="30"/>
      <c r="E1254" s="30"/>
      <c r="F1254" s="30"/>
      <c r="G1254" s="30"/>
      <c r="H1254" s="30" t="s">
        <v>141</v>
      </c>
      <c r="I1254" s="30" t="s">
        <v>31</v>
      </c>
      <c r="J1254" s="30" t="s">
        <v>142</v>
      </c>
      <c r="K1254" s="30" t="s">
        <v>116</v>
      </c>
      <c r="L1254" s="30" t="s">
        <v>122</v>
      </c>
      <c r="M1254" s="48" t="s">
        <v>184</v>
      </c>
      <c r="N1254" s="30"/>
      <c r="O1254" s="30"/>
      <c r="P1254" s="30"/>
    </row>
    <row r="1255" spans="1:16" ht="60" customHeight="1">
      <c r="A1255" s="30" t="s">
        <v>2649</v>
      </c>
      <c r="B1255" s="47" t="s">
        <v>2594</v>
      </c>
      <c r="C1255" s="48" t="s">
        <v>2650</v>
      </c>
      <c r="D1255" s="30"/>
      <c r="E1255" s="30"/>
      <c r="F1255" s="30"/>
      <c r="G1255" s="30" t="s">
        <v>133</v>
      </c>
      <c r="H1255" s="30" t="s">
        <v>141</v>
      </c>
      <c r="I1255" s="30" t="s">
        <v>30</v>
      </c>
      <c r="J1255" s="30" t="s">
        <v>142</v>
      </c>
      <c r="K1255" s="30" t="s">
        <v>116</v>
      </c>
      <c r="L1255" s="30" t="s">
        <v>143</v>
      </c>
      <c r="M1255" s="48"/>
      <c r="N1255" s="30"/>
      <c r="O1255" s="30"/>
      <c r="P1255" s="30"/>
    </row>
    <row r="1256" spans="1:16" ht="60" customHeight="1">
      <c r="A1256" s="30" t="s">
        <v>2651</v>
      </c>
      <c r="B1256" s="47" t="s">
        <v>2594</v>
      </c>
      <c r="C1256" s="48" t="s">
        <v>2652</v>
      </c>
      <c r="D1256" s="30"/>
      <c r="E1256" s="30"/>
      <c r="F1256" s="30"/>
      <c r="G1256" s="30"/>
      <c r="H1256" s="30" t="s">
        <v>141</v>
      </c>
      <c r="I1256" s="30" t="s">
        <v>31</v>
      </c>
      <c r="J1256" s="30" t="s">
        <v>142</v>
      </c>
      <c r="K1256" s="30" t="s">
        <v>116</v>
      </c>
      <c r="L1256" s="30" t="s">
        <v>122</v>
      </c>
      <c r="M1256" s="48" t="s">
        <v>184</v>
      </c>
      <c r="N1256" s="30"/>
      <c r="O1256" s="30"/>
      <c r="P1256" s="30"/>
    </row>
    <row r="1257" spans="1:16" ht="60" customHeight="1">
      <c r="A1257" s="30" t="s">
        <v>2653</v>
      </c>
      <c r="B1257" s="47" t="s">
        <v>2594</v>
      </c>
      <c r="C1257" s="48" t="s">
        <v>2654</v>
      </c>
      <c r="D1257" s="30"/>
      <c r="E1257" s="30"/>
      <c r="F1257" s="30"/>
      <c r="G1257" s="30"/>
      <c r="H1257" s="30" t="s">
        <v>141</v>
      </c>
      <c r="I1257" s="30" t="s">
        <v>31</v>
      </c>
      <c r="J1257" s="30" t="s">
        <v>142</v>
      </c>
      <c r="K1257" s="30" t="s">
        <v>116</v>
      </c>
      <c r="L1257" s="30" t="s">
        <v>122</v>
      </c>
      <c r="M1257" s="48" t="s">
        <v>184</v>
      </c>
      <c r="N1257" s="30"/>
      <c r="O1257" s="30"/>
      <c r="P1257" s="30"/>
    </row>
    <row r="1258" spans="1:16" ht="45" customHeight="1">
      <c r="A1258" s="30" t="s">
        <v>2655</v>
      </c>
      <c r="B1258" s="47" t="s">
        <v>2594</v>
      </c>
      <c r="C1258" s="48" t="s">
        <v>2656</v>
      </c>
      <c r="D1258" s="30"/>
      <c r="E1258" s="30"/>
      <c r="F1258" s="30"/>
      <c r="G1258" s="30"/>
      <c r="H1258" s="30" t="s">
        <v>141</v>
      </c>
      <c r="I1258" s="30" t="s">
        <v>31</v>
      </c>
      <c r="J1258" s="30" t="s">
        <v>142</v>
      </c>
      <c r="K1258" s="30" t="s">
        <v>116</v>
      </c>
      <c r="L1258" s="30" t="s">
        <v>122</v>
      </c>
      <c r="M1258" s="48" t="s">
        <v>184</v>
      </c>
      <c r="N1258" s="30"/>
      <c r="O1258" s="30"/>
      <c r="P1258" s="30"/>
    </row>
    <row r="1259" spans="1:16" ht="75" customHeight="1">
      <c r="A1259" s="30" t="s">
        <v>2657</v>
      </c>
      <c r="B1259" s="47" t="s">
        <v>2594</v>
      </c>
      <c r="C1259" s="48" t="s">
        <v>2658</v>
      </c>
      <c r="D1259" s="30"/>
      <c r="E1259" s="30"/>
      <c r="F1259" s="30"/>
      <c r="G1259" s="30"/>
      <c r="H1259" s="30" t="s">
        <v>141</v>
      </c>
      <c r="I1259" s="30" t="s">
        <v>31</v>
      </c>
      <c r="J1259" s="30" t="s">
        <v>142</v>
      </c>
      <c r="K1259" s="30" t="s">
        <v>116</v>
      </c>
      <c r="L1259" s="30" t="s">
        <v>122</v>
      </c>
      <c r="M1259" s="48" t="s">
        <v>184</v>
      </c>
      <c r="N1259" s="30"/>
      <c r="O1259" s="30"/>
      <c r="P1259" s="30"/>
    </row>
    <row r="1260" spans="1:16" ht="60" customHeight="1">
      <c r="A1260" s="30" t="s">
        <v>2659</v>
      </c>
      <c r="B1260" s="47" t="s">
        <v>2594</v>
      </c>
      <c r="C1260" s="48" t="s">
        <v>2660</v>
      </c>
      <c r="D1260" s="30"/>
      <c r="E1260" s="30"/>
      <c r="F1260" s="30"/>
      <c r="G1260" s="30"/>
      <c r="H1260" s="30" t="s">
        <v>141</v>
      </c>
      <c r="I1260" s="30" t="s">
        <v>31</v>
      </c>
      <c r="J1260" s="30" t="s">
        <v>142</v>
      </c>
      <c r="K1260" s="30" t="s">
        <v>116</v>
      </c>
      <c r="L1260" s="30" t="s">
        <v>122</v>
      </c>
      <c r="M1260" s="48" t="s">
        <v>184</v>
      </c>
      <c r="N1260" s="30"/>
      <c r="O1260" s="30"/>
      <c r="P1260" s="30"/>
    </row>
    <row r="1261" spans="1:16" ht="60" customHeight="1">
      <c r="A1261" s="30" t="s">
        <v>2661</v>
      </c>
      <c r="B1261" s="47" t="s">
        <v>2594</v>
      </c>
      <c r="C1261" s="48" t="s">
        <v>2662</v>
      </c>
      <c r="D1261" s="30"/>
      <c r="E1261" s="30"/>
      <c r="F1261" s="30"/>
      <c r="G1261" s="30"/>
      <c r="H1261" s="30" t="s">
        <v>141</v>
      </c>
      <c r="I1261" s="30" t="s">
        <v>31</v>
      </c>
      <c r="J1261" s="30" t="s">
        <v>142</v>
      </c>
      <c r="K1261" s="30" t="s">
        <v>116</v>
      </c>
      <c r="L1261" s="30" t="s">
        <v>122</v>
      </c>
      <c r="M1261" s="48" t="s">
        <v>184</v>
      </c>
      <c r="N1261" s="30"/>
      <c r="O1261" s="30"/>
      <c r="P1261" s="30"/>
    </row>
    <row r="1262" spans="1:16" ht="60" customHeight="1">
      <c r="A1262" s="30" t="s">
        <v>2663</v>
      </c>
      <c r="B1262" s="47" t="s">
        <v>2594</v>
      </c>
      <c r="C1262" s="48" t="s">
        <v>2664</v>
      </c>
      <c r="D1262" s="30"/>
      <c r="E1262" s="30"/>
      <c r="F1262" s="30"/>
      <c r="G1262" s="30"/>
      <c r="H1262" s="30" t="s">
        <v>141</v>
      </c>
      <c r="I1262" s="30" t="s">
        <v>31</v>
      </c>
      <c r="J1262" s="30" t="s">
        <v>142</v>
      </c>
      <c r="K1262" s="30" t="s">
        <v>116</v>
      </c>
      <c r="L1262" s="30" t="s">
        <v>122</v>
      </c>
      <c r="M1262" s="48" t="s">
        <v>184</v>
      </c>
      <c r="N1262" s="30"/>
      <c r="O1262" s="30"/>
      <c r="P1262" s="30"/>
    </row>
    <row r="1263" spans="1:16" ht="75" customHeight="1">
      <c r="A1263" s="30" t="s">
        <v>2665</v>
      </c>
      <c r="B1263" s="47" t="s">
        <v>2594</v>
      </c>
      <c r="C1263" s="48" t="s">
        <v>2666</v>
      </c>
      <c r="D1263" s="30"/>
      <c r="E1263" s="30"/>
      <c r="F1263" s="30"/>
      <c r="G1263" s="30"/>
      <c r="H1263" s="30" t="s">
        <v>141</v>
      </c>
      <c r="I1263" s="30" t="s">
        <v>31</v>
      </c>
      <c r="J1263" s="30" t="s">
        <v>142</v>
      </c>
      <c r="K1263" s="30" t="s">
        <v>116</v>
      </c>
      <c r="L1263" s="30" t="s">
        <v>122</v>
      </c>
      <c r="M1263" s="48" t="s">
        <v>184</v>
      </c>
      <c r="N1263" s="30"/>
      <c r="O1263" s="30"/>
      <c r="P1263" s="30"/>
    </row>
    <row r="1264" spans="1:16" ht="45" customHeight="1">
      <c r="A1264" s="30" t="s">
        <v>2667</v>
      </c>
      <c r="B1264" s="47" t="s">
        <v>2594</v>
      </c>
      <c r="C1264" s="48" t="s">
        <v>2668</v>
      </c>
      <c r="D1264" s="30"/>
      <c r="E1264" s="30"/>
      <c r="F1264" s="30"/>
      <c r="G1264" s="30"/>
      <c r="H1264" s="30" t="s">
        <v>141</v>
      </c>
      <c r="I1264" s="30" t="s">
        <v>31</v>
      </c>
      <c r="J1264" s="30" t="s">
        <v>142</v>
      </c>
      <c r="K1264" s="30" t="s">
        <v>116</v>
      </c>
      <c r="L1264" s="30" t="s">
        <v>122</v>
      </c>
      <c r="M1264" s="48" t="s">
        <v>184</v>
      </c>
      <c r="N1264" s="30"/>
      <c r="O1264" s="30"/>
      <c r="P1264" s="30"/>
    </row>
    <row r="1265" spans="1:16" ht="60" customHeight="1">
      <c r="A1265" s="30" t="s">
        <v>2669</v>
      </c>
      <c r="B1265" s="47" t="s">
        <v>2594</v>
      </c>
      <c r="C1265" s="48" t="s">
        <v>2670</v>
      </c>
      <c r="D1265" s="30"/>
      <c r="E1265" s="30"/>
      <c r="F1265" s="30"/>
      <c r="G1265" s="30"/>
      <c r="H1265" s="30" t="s">
        <v>141</v>
      </c>
      <c r="I1265" s="30" t="s">
        <v>31</v>
      </c>
      <c r="J1265" s="30" t="s">
        <v>142</v>
      </c>
      <c r="K1265" s="30" t="s">
        <v>116</v>
      </c>
      <c r="L1265" s="30" t="s">
        <v>122</v>
      </c>
      <c r="M1265" s="48" t="s">
        <v>184</v>
      </c>
      <c r="N1265" s="30"/>
      <c r="O1265" s="30"/>
      <c r="P1265" s="30"/>
    </row>
    <row r="1266" spans="1:16" ht="45" customHeight="1">
      <c r="A1266" s="30" t="s">
        <v>2671</v>
      </c>
      <c r="B1266" s="47" t="s">
        <v>2594</v>
      </c>
      <c r="C1266" s="48" t="s">
        <v>2672</v>
      </c>
      <c r="D1266" s="30"/>
      <c r="E1266" s="30"/>
      <c r="F1266" s="30"/>
      <c r="G1266" s="30"/>
      <c r="H1266" s="30" t="s">
        <v>141</v>
      </c>
      <c r="I1266" s="30" t="s">
        <v>31</v>
      </c>
      <c r="J1266" s="30" t="s">
        <v>142</v>
      </c>
      <c r="K1266" s="30" t="s">
        <v>116</v>
      </c>
      <c r="L1266" s="30" t="s">
        <v>122</v>
      </c>
      <c r="M1266" s="48" t="s">
        <v>184</v>
      </c>
      <c r="N1266" s="30"/>
      <c r="O1266" s="30"/>
      <c r="P1266" s="30"/>
    </row>
    <row r="1267" spans="1:16" ht="45" customHeight="1">
      <c r="A1267" s="30" t="s">
        <v>2673</v>
      </c>
      <c r="B1267" s="47" t="s">
        <v>2594</v>
      </c>
      <c r="C1267" s="48" t="s">
        <v>2674</v>
      </c>
      <c r="D1267" s="30"/>
      <c r="E1267" s="30"/>
      <c r="F1267" s="30"/>
      <c r="G1267" s="30"/>
      <c r="H1267" s="30" t="s">
        <v>141</v>
      </c>
      <c r="I1267" s="30" t="s">
        <v>31</v>
      </c>
      <c r="J1267" s="30" t="s">
        <v>142</v>
      </c>
      <c r="K1267" s="30" t="s">
        <v>116</v>
      </c>
      <c r="L1267" s="30" t="s">
        <v>122</v>
      </c>
      <c r="M1267" s="48" t="s">
        <v>184</v>
      </c>
      <c r="N1267" s="30"/>
      <c r="O1267" s="30"/>
      <c r="P1267" s="30"/>
    </row>
    <row r="1268" spans="1:16" ht="60" customHeight="1">
      <c r="A1268" s="30" t="s">
        <v>2675</v>
      </c>
      <c r="B1268" s="47" t="s">
        <v>2594</v>
      </c>
      <c r="C1268" s="48" t="s">
        <v>2676</v>
      </c>
      <c r="D1268" s="30"/>
      <c r="E1268" s="30"/>
      <c r="F1268" s="30"/>
      <c r="G1268" s="30"/>
      <c r="H1268" s="30" t="s">
        <v>141</v>
      </c>
      <c r="I1268" s="30" t="s">
        <v>31</v>
      </c>
      <c r="J1268" s="30" t="s">
        <v>144</v>
      </c>
      <c r="K1268" s="30" t="s">
        <v>117</v>
      </c>
      <c r="L1268" s="30" t="s">
        <v>122</v>
      </c>
      <c r="M1268" s="48"/>
      <c r="N1268" s="30"/>
      <c r="O1268" s="30"/>
      <c r="P1268" s="30"/>
    </row>
    <row r="1269" spans="1:16" ht="45" customHeight="1">
      <c r="A1269" s="30" t="s">
        <v>2677</v>
      </c>
      <c r="B1269" s="47" t="s">
        <v>2594</v>
      </c>
      <c r="C1269" s="48" t="s">
        <v>2678</v>
      </c>
      <c r="D1269" s="30"/>
      <c r="E1269" s="30"/>
      <c r="F1269" s="30"/>
      <c r="G1269" s="30"/>
      <c r="H1269" s="30" t="s">
        <v>141</v>
      </c>
      <c r="I1269" s="30" t="s">
        <v>31</v>
      </c>
      <c r="J1269" s="30" t="s">
        <v>144</v>
      </c>
      <c r="K1269" s="30" t="s">
        <v>117</v>
      </c>
      <c r="L1269" s="30" t="s">
        <v>122</v>
      </c>
      <c r="M1269" s="48"/>
      <c r="N1269" s="30"/>
      <c r="O1269" s="30"/>
      <c r="P1269" s="30"/>
    </row>
    <row r="1270" spans="1:16" ht="60" customHeight="1">
      <c r="A1270" s="30" t="s">
        <v>2679</v>
      </c>
      <c r="B1270" s="47" t="s">
        <v>2594</v>
      </c>
      <c r="C1270" s="48" t="s">
        <v>2680</v>
      </c>
      <c r="D1270" s="30"/>
      <c r="E1270" s="30"/>
      <c r="F1270" s="30"/>
      <c r="G1270" s="30"/>
      <c r="H1270" s="30" t="s">
        <v>141</v>
      </c>
      <c r="I1270" s="30" t="s">
        <v>31</v>
      </c>
      <c r="J1270" s="30" t="s">
        <v>142</v>
      </c>
      <c r="K1270" s="30" t="s">
        <v>116</v>
      </c>
      <c r="L1270" s="30" t="s">
        <v>122</v>
      </c>
      <c r="M1270" s="48" t="s">
        <v>184</v>
      </c>
      <c r="N1270" s="30"/>
      <c r="O1270" s="30"/>
      <c r="P1270" s="30"/>
    </row>
    <row r="1271" spans="1:16" ht="105" customHeight="1">
      <c r="A1271" s="30" t="s">
        <v>2681</v>
      </c>
      <c r="B1271" s="47" t="s">
        <v>2594</v>
      </c>
      <c r="C1271" s="48" t="s">
        <v>2682</v>
      </c>
      <c r="D1271" s="30"/>
      <c r="E1271" s="30"/>
      <c r="F1271" s="30"/>
      <c r="G1271" s="30"/>
      <c r="H1271" s="30" t="s">
        <v>141</v>
      </c>
      <c r="I1271" s="30" t="s">
        <v>31</v>
      </c>
      <c r="J1271" s="30" t="s">
        <v>142</v>
      </c>
      <c r="K1271" s="30" t="s">
        <v>116</v>
      </c>
      <c r="L1271" s="30" t="s">
        <v>122</v>
      </c>
      <c r="M1271" s="48" t="s">
        <v>184</v>
      </c>
      <c r="N1271" s="30"/>
      <c r="O1271" s="30"/>
      <c r="P1271" s="30"/>
    </row>
    <row r="1272" spans="1:16" ht="60" customHeight="1">
      <c r="A1272" s="30" t="s">
        <v>2683</v>
      </c>
      <c r="B1272" s="47" t="s">
        <v>2594</v>
      </c>
      <c r="C1272" s="48" t="s">
        <v>2684</v>
      </c>
      <c r="D1272" s="30"/>
      <c r="E1272" s="30"/>
      <c r="F1272" s="30"/>
      <c r="G1272" s="30"/>
      <c r="H1272" s="30" t="s">
        <v>141</v>
      </c>
      <c r="I1272" s="30" t="s">
        <v>31</v>
      </c>
      <c r="J1272" s="30" t="s">
        <v>142</v>
      </c>
      <c r="K1272" s="30" t="s">
        <v>116</v>
      </c>
      <c r="L1272" s="30" t="s">
        <v>122</v>
      </c>
      <c r="M1272" s="48" t="s">
        <v>184</v>
      </c>
      <c r="N1272" s="30"/>
      <c r="O1272" s="30"/>
      <c r="P1272" s="30"/>
    </row>
    <row r="1273" spans="1:16" ht="90" customHeight="1">
      <c r="A1273" s="30" t="s">
        <v>2685</v>
      </c>
      <c r="B1273" s="47" t="s">
        <v>2594</v>
      </c>
      <c r="C1273" s="48" t="s">
        <v>2686</v>
      </c>
      <c r="D1273" s="30"/>
      <c r="E1273" s="30"/>
      <c r="F1273" s="30"/>
      <c r="G1273" s="30"/>
      <c r="H1273" s="30" t="s">
        <v>141</v>
      </c>
      <c r="I1273" s="30" t="s">
        <v>31</v>
      </c>
      <c r="J1273" s="30" t="s">
        <v>142</v>
      </c>
      <c r="K1273" s="30" t="s">
        <v>116</v>
      </c>
      <c r="L1273" s="30" t="s">
        <v>122</v>
      </c>
      <c r="M1273" s="48" t="s">
        <v>184</v>
      </c>
      <c r="N1273" s="30"/>
      <c r="O1273" s="30"/>
      <c r="P1273" s="30"/>
    </row>
    <row r="1274" spans="1:16" ht="60" customHeight="1">
      <c r="A1274" s="30" t="s">
        <v>2687</v>
      </c>
      <c r="B1274" s="47" t="s">
        <v>2594</v>
      </c>
      <c r="C1274" s="48" t="s">
        <v>2688</v>
      </c>
      <c r="D1274" s="30"/>
      <c r="E1274" s="30"/>
      <c r="F1274" s="30"/>
      <c r="G1274" s="30"/>
      <c r="H1274" s="30" t="s">
        <v>141</v>
      </c>
      <c r="I1274" s="30" t="s">
        <v>31</v>
      </c>
      <c r="J1274" s="30" t="s">
        <v>142</v>
      </c>
      <c r="K1274" s="30" t="s">
        <v>116</v>
      </c>
      <c r="L1274" s="30" t="s">
        <v>122</v>
      </c>
      <c r="M1274" s="48" t="s">
        <v>184</v>
      </c>
      <c r="N1274" s="30"/>
      <c r="O1274" s="30"/>
      <c r="P1274" s="30"/>
    </row>
    <row r="1275" spans="1:16" ht="60" customHeight="1">
      <c r="A1275" s="30" t="s">
        <v>2689</v>
      </c>
      <c r="B1275" s="47" t="s">
        <v>2594</v>
      </c>
      <c r="C1275" s="48" t="s">
        <v>2690</v>
      </c>
      <c r="D1275" s="30"/>
      <c r="E1275" s="30"/>
      <c r="F1275" s="30"/>
      <c r="G1275" s="30"/>
      <c r="H1275" s="30" t="s">
        <v>141</v>
      </c>
      <c r="I1275" s="30" t="s">
        <v>31</v>
      </c>
      <c r="J1275" s="30" t="s">
        <v>142</v>
      </c>
      <c r="K1275" s="30" t="s">
        <v>116</v>
      </c>
      <c r="L1275" s="30" t="s">
        <v>122</v>
      </c>
      <c r="M1275" s="48" t="s">
        <v>184</v>
      </c>
      <c r="N1275" s="30"/>
      <c r="O1275" s="30"/>
      <c r="P1275" s="30"/>
    </row>
    <row r="1276" spans="1:16" ht="90" customHeight="1">
      <c r="A1276" s="30" t="s">
        <v>2691</v>
      </c>
      <c r="B1276" s="47" t="s">
        <v>2692</v>
      </c>
      <c r="C1276" s="48" t="s">
        <v>2693</v>
      </c>
      <c r="D1276" s="30"/>
      <c r="E1276" s="30"/>
      <c r="F1276" s="30"/>
      <c r="G1276" s="30"/>
      <c r="H1276" s="30" t="s">
        <v>141</v>
      </c>
      <c r="I1276" s="30" t="s">
        <v>31</v>
      </c>
      <c r="J1276" s="30" t="s">
        <v>142</v>
      </c>
      <c r="K1276" s="30" t="s">
        <v>116</v>
      </c>
      <c r="L1276" s="30" t="s">
        <v>122</v>
      </c>
      <c r="M1276" s="48" t="s">
        <v>184</v>
      </c>
      <c r="N1276" s="30"/>
      <c r="O1276" s="30"/>
      <c r="P1276" s="30"/>
    </row>
    <row r="1277" spans="1:16" ht="60" customHeight="1">
      <c r="A1277" s="30" t="s">
        <v>2694</v>
      </c>
      <c r="B1277" s="47" t="s">
        <v>2692</v>
      </c>
      <c r="C1277" s="48" t="s">
        <v>2695</v>
      </c>
      <c r="D1277" s="30"/>
      <c r="E1277" s="30"/>
      <c r="F1277" s="30"/>
      <c r="G1277" s="30"/>
      <c r="H1277" s="30" t="s">
        <v>141</v>
      </c>
      <c r="I1277" s="30" t="s">
        <v>31</v>
      </c>
      <c r="J1277" s="30" t="s">
        <v>142</v>
      </c>
      <c r="K1277" s="30" t="s">
        <v>116</v>
      </c>
      <c r="L1277" s="30" t="s">
        <v>122</v>
      </c>
      <c r="M1277" s="48" t="s">
        <v>184</v>
      </c>
      <c r="N1277" s="30"/>
      <c r="O1277" s="30"/>
      <c r="P1277" s="30"/>
    </row>
    <row r="1278" spans="1:16" ht="75" customHeight="1">
      <c r="A1278" s="30" t="s">
        <v>2696</v>
      </c>
      <c r="B1278" s="47" t="s">
        <v>2692</v>
      </c>
      <c r="C1278" s="48" t="s">
        <v>2697</v>
      </c>
      <c r="D1278" s="30"/>
      <c r="E1278" s="30"/>
      <c r="F1278" s="30"/>
      <c r="G1278" s="30"/>
      <c r="H1278" s="30" t="s">
        <v>141</v>
      </c>
      <c r="I1278" s="30" t="s">
        <v>31</v>
      </c>
      <c r="J1278" s="30" t="s">
        <v>142</v>
      </c>
      <c r="K1278" s="30" t="s">
        <v>116</v>
      </c>
      <c r="L1278" s="30" t="s">
        <v>122</v>
      </c>
      <c r="M1278" s="48" t="s">
        <v>184</v>
      </c>
      <c r="N1278" s="30"/>
      <c r="O1278" s="30"/>
      <c r="P1278" s="30"/>
    </row>
    <row r="1279" spans="1:16" ht="180" customHeight="1">
      <c r="A1279" s="30" t="s">
        <v>2698</v>
      </c>
      <c r="B1279" s="47" t="s">
        <v>2692</v>
      </c>
      <c r="C1279" s="48" t="s">
        <v>2699</v>
      </c>
      <c r="D1279" s="30"/>
      <c r="E1279" s="30"/>
      <c r="F1279" s="30"/>
      <c r="G1279" s="30"/>
      <c r="H1279" s="30" t="s">
        <v>141</v>
      </c>
      <c r="I1279" s="30" t="s">
        <v>31</v>
      </c>
      <c r="J1279" s="30" t="s">
        <v>142</v>
      </c>
      <c r="K1279" s="30" t="s">
        <v>116</v>
      </c>
      <c r="L1279" s="30" t="s">
        <v>122</v>
      </c>
      <c r="M1279" s="48" t="s">
        <v>184</v>
      </c>
      <c r="N1279" s="30"/>
      <c r="O1279" s="30"/>
      <c r="P1279" s="30"/>
    </row>
    <row r="1280" spans="1:16" ht="90" customHeight="1">
      <c r="A1280" s="30" t="s">
        <v>2700</v>
      </c>
      <c r="B1280" s="47" t="s">
        <v>2692</v>
      </c>
      <c r="C1280" s="48" t="s">
        <v>2701</v>
      </c>
      <c r="D1280" s="30"/>
      <c r="E1280" s="30"/>
      <c r="F1280" s="30"/>
      <c r="G1280" s="30"/>
      <c r="H1280" s="30" t="s">
        <v>141</v>
      </c>
      <c r="I1280" s="30" t="s">
        <v>31</v>
      </c>
      <c r="J1280" s="30" t="s">
        <v>142</v>
      </c>
      <c r="K1280" s="30" t="s">
        <v>116</v>
      </c>
      <c r="L1280" s="30" t="s">
        <v>122</v>
      </c>
      <c r="M1280" s="48" t="s">
        <v>184</v>
      </c>
      <c r="N1280" s="30"/>
      <c r="O1280" s="30"/>
      <c r="P1280" s="30"/>
    </row>
    <row r="1281" spans="1:16" ht="60" customHeight="1">
      <c r="A1281" s="30" t="s">
        <v>2702</v>
      </c>
      <c r="B1281" s="47" t="s">
        <v>2692</v>
      </c>
      <c r="C1281" s="48" t="s">
        <v>2703</v>
      </c>
      <c r="D1281" s="30"/>
      <c r="E1281" s="30"/>
      <c r="F1281" s="30"/>
      <c r="G1281" s="30"/>
      <c r="H1281" s="30" t="s">
        <v>141</v>
      </c>
      <c r="I1281" s="30" t="s">
        <v>31</v>
      </c>
      <c r="J1281" s="30" t="s">
        <v>144</v>
      </c>
      <c r="K1281" s="30" t="s">
        <v>117</v>
      </c>
      <c r="L1281" s="30" t="s">
        <v>122</v>
      </c>
      <c r="M1281" s="48"/>
      <c r="N1281" s="30"/>
      <c r="O1281" s="30"/>
      <c r="P1281" s="30"/>
    </row>
    <row r="1282" spans="1:16" ht="60" customHeight="1">
      <c r="A1282" s="30" t="s">
        <v>2704</v>
      </c>
      <c r="B1282" s="47" t="s">
        <v>2692</v>
      </c>
      <c r="C1282" s="48" t="s">
        <v>2705</v>
      </c>
      <c r="D1282" s="30"/>
      <c r="E1282" s="30"/>
      <c r="F1282" s="30"/>
      <c r="G1282" s="30"/>
      <c r="H1282" s="30" t="s">
        <v>141</v>
      </c>
      <c r="I1282" s="30" t="s">
        <v>31</v>
      </c>
      <c r="J1282" s="30" t="s">
        <v>142</v>
      </c>
      <c r="K1282" s="30" t="s">
        <v>116</v>
      </c>
      <c r="L1282" s="30" t="s">
        <v>122</v>
      </c>
      <c r="M1282" s="48" t="s">
        <v>184</v>
      </c>
      <c r="N1282" s="30"/>
      <c r="O1282" s="30"/>
      <c r="P1282" s="30"/>
    </row>
    <row r="1283" spans="1:16" ht="75" customHeight="1">
      <c r="A1283" s="30" t="s">
        <v>2706</v>
      </c>
      <c r="B1283" s="47" t="s">
        <v>2692</v>
      </c>
      <c r="C1283" s="48" t="s">
        <v>2707</v>
      </c>
      <c r="D1283" s="30"/>
      <c r="E1283" s="30"/>
      <c r="F1283" s="30"/>
      <c r="G1283" s="30"/>
      <c r="H1283" s="30" t="s">
        <v>141</v>
      </c>
      <c r="I1283" s="30" t="s">
        <v>31</v>
      </c>
      <c r="J1283" s="30" t="s">
        <v>142</v>
      </c>
      <c r="K1283" s="30" t="s">
        <v>116</v>
      </c>
      <c r="L1283" s="30" t="s">
        <v>122</v>
      </c>
      <c r="M1283" s="48" t="s">
        <v>184</v>
      </c>
      <c r="N1283" s="30"/>
      <c r="O1283" s="30"/>
      <c r="P1283" s="30"/>
    </row>
    <row r="1284" spans="1:16" ht="75" customHeight="1">
      <c r="A1284" s="30" t="s">
        <v>2708</v>
      </c>
      <c r="B1284" s="47" t="s">
        <v>2692</v>
      </c>
      <c r="C1284" s="48" t="s">
        <v>2709</v>
      </c>
      <c r="D1284" s="30"/>
      <c r="E1284" s="30"/>
      <c r="F1284" s="30"/>
      <c r="G1284" s="30"/>
      <c r="H1284" s="30" t="s">
        <v>141</v>
      </c>
      <c r="I1284" s="30" t="s">
        <v>31</v>
      </c>
      <c r="J1284" s="30" t="s">
        <v>142</v>
      </c>
      <c r="K1284" s="30" t="s">
        <v>116</v>
      </c>
      <c r="L1284" s="30" t="s">
        <v>122</v>
      </c>
      <c r="M1284" s="48" t="s">
        <v>184</v>
      </c>
      <c r="N1284" s="30"/>
      <c r="O1284" s="30"/>
      <c r="P1284" s="30"/>
    </row>
    <row r="1285" spans="1:16" ht="60" customHeight="1">
      <c r="A1285" s="30" t="s">
        <v>2710</v>
      </c>
      <c r="B1285" s="47" t="s">
        <v>2692</v>
      </c>
      <c r="C1285" s="48" t="s">
        <v>2711</v>
      </c>
      <c r="D1285" s="30"/>
      <c r="E1285" s="30"/>
      <c r="F1285" s="30"/>
      <c r="G1285" s="30"/>
      <c r="H1285" s="30" t="s">
        <v>141</v>
      </c>
      <c r="I1285" s="30" t="s">
        <v>31</v>
      </c>
      <c r="J1285" s="30" t="s">
        <v>142</v>
      </c>
      <c r="K1285" s="30" t="s">
        <v>116</v>
      </c>
      <c r="L1285" s="30" t="s">
        <v>122</v>
      </c>
      <c r="M1285" s="48" t="s">
        <v>184</v>
      </c>
      <c r="N1285" s="30"/>
      <c r="O1285" s="30"/>
      <c r="P1285" s="30"/>
    </row>
    <row r="1286" spans="1:16" ht="75" customHeight="1">
      <c r="A1286" s="30" t="s">
        <v>2712</v>
      </c>
      <c r="B1286" s="47" t="s">
        <v>2692</v>
      </c>
      <c r="C1286" s="48" t="s">
        <v>3917</v>
      </c>
      <c r="D1286" s="30"/>
      <c r="E1286" s="30"/>
      <c r="F1286" s="30"/>
      <c r="G1286" s="30"/>
      <c r="H1286" s="30" t="s">
        <v>141</v>
      </c>
      <c r="I1286" s="30" t="s">
        <v>31</v>
      </c>
      <c r="J1286" s="30" t="s">
        <v>142</v>
      </c>
      <c r="K1286" s="30" t="s">
        <v>116</v>
      </c>
      <c r="L1286" s="30" t="s">
        <v>122</v>
      </c>
      <c r="M1286" s="48" t="s">
        <v>184</v>
      </c>
      <c r="N1286" s="30"/>
      <c r="O1286" s="30"/>
      <c r="P1286" s="30"/>
    </row>
    <row r="1287" spans="1:16" ht="45" customHeight="1">
      <c r="A1287" s="30" t="s">
        <v>2713</v>
      </c>
      <c r="B1287" s="47" t="s">
        <v>2692</v>
      </c>
      <c r="C1287" s="48" t="s">
        <v>2714</v>
      </c>
      <c r="D1287" s="30"/>
      <c r="E1287" s="30"/>
      <c r="F1287" s="30"/>
      <c r="G1287" s="30"/>
      <c r="H1287" s="30" t="s">
        <v>141</v>
      </c>
      <c r="I1287" s="30" t="s">
        <v>31</v>
      </c>
      <c r="J1287" s="30" t="s">
        <v>144</v>
      </c>
      <c r="K1287" s="30" t="s">
        <v>117</v>
      </c>
      <c r="L1287" s="30" t="s">
        <v>122</v>
      </c>
      <c r="M1287" s="48"/>
      <c r="N1287" s="30"/>
      <c r="O1287" s="30"/>
      <c r="P1287" s="30"/>
    </row>
    <row r="1288" spans="1:16" ht="75" customHeight="1">
      <c r="A1288" s="30" t="s">
        <v>2715</v>
      </c>
      <c r="B1288" s="47" t="s">
        <v>2692</v>
      </c>
      <c r="C1288" s="48" t="s">
        <v>2716</v>
      </c>
      <c r="D1288" s="30"/>
      <c r="E1288" s="30"/>
      <c r="F1288" s="30"/>
      <c r="G1288" s="30"/>
      <c r="H1288" s="30" t="s">
        <v>141</v>
      </c>
      <c r="I1288" s="30" t="s">
        <v>31</v>
      </c>
      <c r="J1288" s="30" t="s">
        <v>142</v>
      </c>
      <c r="K1288" s="30" t="s">
        <v>116</v>
      </c>
      <c r="L1288" s="30" t="s">
        <v>122</v>
      </c>
      <c r="M1288" s="48" t="s">
        <v>184</v>
      </c>
      <c r="N1288" s="30"/>
      <c r="O1288" s="30"/>
      <c r="P1288" s="30"/>
    </row>
    <row r="1289" spans="1:16" ht="60" customHeight="1">
      <c r="A1289" s="30" t="s">
        <v>2717</v>
      </c>
      <c r="B1289" s="47" t="s">
        <v>2692</v>
      </c>
      <c r="C1289" s="48" t="s">
        <v>2718</v>
      </c>
      <c r="D1289" s="30"/>
      <c r="E1289" s="30"/>
      <c r="F1289" s="30"/>
      <c r="G1289" s="30"/>
      <c r="H1289" s="30" t="s">
        <v>141</v>
      </c>
      <c r="I1289" s="30" t="s">
        <v>31</v>
      </c>
      <c r="J1289" s="30" t="s">
        <v>142</v>
      </c>
      <c r="K1289" s="30" t="s">
        <v>116</v>
      </c>
      <c r="L1289" s="30" t="s">
        <v>122</v>
      </c>
      <c r="M1289" s="48" t="s">
        <v>184</v>
      </c>
      <c r="N1289" s="30"/>
      <c r="O1289" s="30"/>
      <c r="P1289" s="30"/>
    </row>
    <row r="1290" spans="1:16" ht="105" customHeight="1">
      <c r="A1290" s="30" t="s">
        <v>2719</v>
      </c>
      <c r="B1290" s="47" t="s">
        <v>2720</v>
      </c>
      <c r="C1290" s="48" t="s">
        <v>2721</v>
      </c>
      <c r="D1290" s="30"/>
      <c r="E1290" s="30"/>
      <c r="F1290" s="30"/>
      <c r="G1290" s="30"/>
      <c r="H1290" s="30" t="s">
        <v>141</v>
      </c>
      <c r="I1290" s="30" t="s">
        <v>31</v>
      </c>
      <c r="J1290" s="30" t="s">
        <v>142</v>
      </c>
      <c r="K1290" s="30" t="s">
        <v>116</v>
      </c>
      <c r="L1290" s="30" t="s">
        <v>122</v>
      </c>
      <c r="M1290" s="48" t="s">
        <v>184</v>
      </c>
      <c r="N1290" s="30"/>
      <c r="O1290" s="30"/>
      <c r="P1290" s="30"/>
    </row>
    <row r="1291" spans="1:16" ht="105" customHeight="1">
      <c r="A1291" s="30" t="s">
        <v>2722</v>
      </c>
      <c r="B1291" s="47" t="s">
        <v>2720</v>
      </c>
      <c r="C1291" s="48" t="s">
        <v>3918</v>
      </c>
      <c r="D1291" s="30"/>
      <c r="E1291" s="30"/>
      <c r="F1291" s="30"/>
      <c r="G1291" s="30"/>
      <c r="H1291" s="30" t="s">
        <v>141</v>
      </c>
      <c r="I1291" s="30" t="s">
        <v>31</v>
      </c>
      <c r="J1291" s="30" t="s">
        <v>142</v>
      </c>
      <c r="K1291" s="30" t="s">
        <v>116</v>
      </c>
      <c r="L1291" s="30" t="s">
        <v>122</v>
      </c>
      <c r="M1291" s="48" t="s">
        <v>184</v>
      </c>
      <c r="N1291" s="30"/>
      <c r="O1291" s="30"/>
      <c r="P1291" s="30"/>
    </row>
    <row r="1292" spans="1:16" ht="105" customHeight="1">
      <c r="A1292" s="30" t="s">
        <v>2723</v>
      </c>
      <c r="B1292" s="47" t="s">
        <v>2720</v>
      </c>
      <c r="C1292" s="48" t="s">
        <v>2724</v>
      </c>
      <c r="D1292" s="30"/>
      <c r="E1292" s="30"/>
      <c r="F1292" s="30"/>
      <c r="G1292" s="30"/>
      <c r="H1292" s="30" t="s">
        <v>141</v>
      </c>
      <c r="I1292" s="30" t="s">
        <v>31</v>
      </c>
      <c r="J1292" s="30" t="s">
        <v>142</v>
      </c>
      <c r="K1292" s="30" t="s">
        <v>116</v>
      </c>
      <c r="L1292" s="30" t="s">
        <v>122</v>
      </c>
      <c r="M1292" s="48" t="s">
        <v>184</v>
      </c>
      <c r="N1292" s="30"/>
      <c r="O1292" s="30"/>
      <c r="P1292" s="30"/>
    </row>
    <row r="1293" spans="1:16" ht="120" customHeight="1">
      <c r="A1293" s="30" t="s">
        <v>2725</v>
      </c>
      <c r="B1293" s="47" t="s">
        <v>2720</v>
      </c>
      <c r="C1293" s="48" t="s">
        <v>2726</v>
      </c>
      <c r="D1293" s="30"/>
      <c r="E1293" s="30"/>
      <c r="F1293" s="30"/>
      <c r="G1293" s="30"/>
      <c r="H1293" s="30" t="s">
        <v>141</v>
      </c>
      <c r="I1293" s="30" t="s">
        <v>31</v>
      </c>
      <c r="J1293" s="30" t="s">
        <v>142</v>
      </c>
      <c r="K1293" s="30" t="s">
        <v>116</v>
      </c>
      <c r="L1293" s="30" t="s">
        <v>122</v>
      </c>
      <c r="M1293" s="48" t="s">
        <v>184</v>
      </c>
      <c r="N1293" s="30"/>
      <c r="O1293" s="30"/>
      <c r="P1293" s="30"/>
    </row>
    <row r="1294" spans="1:16" ht="90" customHeight="1">
      <c r="A1294" s="30" t="s">
        <v>2727</v>
      </c>
      <c r="B1294" s="47" t="s">
        <v>2728</v>
      </c>
      <c r="C1294" s="48" t="s">
        <v>2729</v>
      </c>
      <c r="D1294" s="30"/>
      <c r="E1294" s="30"/>
      <c r="F1294" s="30"/>
      <c r="G1294" s="30"/>
      <c r="H1294" s="30" t="s">
        <v>141</v>
      </c>
      <c r="I1294" s="30" t="s">
        <v>31</v>
      </c>
      <c r="J1294" s="30" t="s">
        <v>142</v>
      </c>
      <c r="K1294" s="30" t="s">
        <v>116</v>
      </c>
      <c r="L1294" s="30" t="s">
        <v>122</v>
      </c>
      <c r="M1294" s="48" t="s">
        <v>184</v>
      </c>
      <c r="N1294" s="30"/>
      <c r="O1294" s="30"/>
      <c r="P1294" s="30"/>
    </row>
    <row r="1295" spans="1:16" ht="90" customHeight="1">
      <c r="A1295" s="30" t="s">
        <v>2730</v>
      </c>
      <c r="B1295" s="47" t="s">
        <v>2728</v>
      </c>
      <c r="C1295" s="48" t="s">
        <v>2731</v>
      </c>
      <c r="D1295" s="30"/>
      <c r="E1295" s="30"/>
      <c r="F1295" s="30"/>
      <c r="G1295" s="30"/>
      <c r="H1295" s="30" t="s">
        <v>141</v>
      </c>
      <c r="I1295" s="30" t="s">
        <v>31</v>
      </c>
      <c r="J1295" s="30" t="s">
        <v>144</v>
      </c>
      <c r="K1295" s="30" t="s">
        <v>117</v>
      </c>
      <c r="L1295" s="30" t="s">
        <v>122</v>
      </c>
      <c r="M1295" s="48"/>
      <c r="N1295" s="30"/>
      <c r="O1295" s="30"/>
      <c r="P1295" s="30"/>
    </row>
    <row r="1296" spans="1:16" ht="90" customHeight="1">
      <c r="A1296" s="30" t="s">
        <v>2732</v>
      </c>
      <c r="B1296" s="47" t="s">
        <v>2728</v>
      </c>
      <c r="C1296" s="48" t="s">
        <v>2733</v>
      </c>
      <c r="D1296" s="30"/>
      <c r="E1296" s="30"/>
      <c r="F1296" s="30"/>
      <c r="G1296" s="30"/>
      <c r="H1296" s="30" t="s">
        <v>141</v>
      </c>
      <c r="I1296" s="30" t="s">
        <v>31</v>
      </c>
      <c r="J1296" s="30" t="s">
        <v>142</v>
      </c>
      <c r="K1296" s="30" t="s">
        <v>116</v>
      </c>
      <c r="L1296" s="30" t="s">
        <v>122</v>
      </c>
      <c r="M1296" s="48" t="s">
        <v>184</v>
      </c>
      <c r="N1296" s="30"/>
      <c r="O1296" s="30"/>
      <c r="P1296" s="30"/>
    </row>
    <row r="1297" spans="1:16" ht="105" customHeight="1">
      <c r="A1297" s="30" t="s">
        <v>2734</v>
      </c>
      <c r="B1297" s="47" t="s">
        <v>2728</v>
      </c>
      <c r="C1297" s="48" t="s">
        <v>2735</v>
      </c>
      <c r="D1297" s="30"/>
      <c r="E1297" s="30"/>
      <c r="F1297" s="30"/>
      <c r="G1297" s="30"/>
      <c r="H1297" s="30" t="s">
        <v>141</v>
      </c>
      <c r="I1297" s="30" t="s">
        <v>31</v>
      </c>
      <c r="J1297" s="30" t="s">
        <v>142</v>
      </c>
      <c r="K1297" s="30" t="s">
        <v>116</v>
      </c>
      <c r="L1297" s="30" t="s">
        <v>122</v>
      </c>
      <c r="M1297" s="48" t="s">
        <v>184</v>
      </c>
      <c r="N1297" s="30"/>
      <c r="O1297" s="30"/>
      <c r="P1297" s="30"/>
    </row>
    <row r="1298" spans="1:16" ht="105" customHeight="1">
      <c r="A1298" s="30" t="s">
        <v>2736</v>
      </c>
      <c r="B1298" s="47" t="s">
        <v>2737</v>
      </c>
      <c r="C1298" s="48" t="s">
        <v>2738</v>
      </c>
      <c r="D1298" s="30"/>
      <c r="E1298" s="30"/>
      <c r="F1298" s="30"/>
      <c r="G1298" s="30"/>
      <c r="H1298" s="30" t="s">
        <v>141</v>
      </c>
      <c r="I1298" s="30" t="s">
        <v>31</v>
      </c>
      <c r="J1298" s="30" t="s">
        <v>142</v>
      </c>
      <c r="K1298" s="30" t="s">
        <v>116</v>
      </c>
      <c r="L1298" s="30" t="s">
        <v>122</v>
      </c>
      <c r="M1298" s="48" t="s">
        <v>184</v>
      </c>
      <c r="N1298" s="30"/>
      <c r="O1298" s="30"/>
      <c r="P1298" s="30"/>
    </row>
    <row r="1299" spans="1:16" ht="30" customHeight="1">
      <c r="A1299" s="30" t="s">
        <v>2739</v>
      </c>
      <c r="B1299" s="47" t="s">
        <v>2737</v>
      </c>
      <c r="C1299" s="48" t="s">
        <v>2740</v>
      </c>
      <c r="D1299" s="30"/>
      <c r="E1299" s="30"/>
      <c r="F1299" s="30"/>
      <c r="G1299" s="30"/>
      <c r="H1299" s="30" t="s">
        <v>141</v>
      </c>
      <c r="I1299" s="30" t="s">
        <v>31</v>
      </c>
      <c r="J1299" s="30" t="s">
        <v>142</v>
      </c>
      <c r="K1299" s="30" t="s">
        <v>116</v>
      </c>
      <c r="L1299" s="30" t="s">
        <v>122</v>
      </c>
      <c r="M1299" s="48" t="s">
        <v>184</v>
      </c>
      <c r="N1299" s="30"/>
      <c r="O1299" s="30"/>
      <c r="P1299" s="30"/>
    </row>
    <row r="1300" spans="1:16" ht="45" customHeight="1">
      <c r="A1300" s="30" t="s">
        <v>2741</v>
      </c>
      <c r="B1300" s="47" t="s">
        <v>2737</v>
      </c>
      <c r="C1300" s="48" t="s">
        <v>2742</v>
      </c>
      <c r="D1300" s="30"/>
      <c r="E1300" s="30"/>
      <c r="F1300" s="30"/>
      <c r="G1300" s="30"/>
      <c r="H1300" s="30" t="s">
        <v>141</v>
      </c>
      <c r="I1300" s="30" t="s">
        <v>30</v>
      </c>
      <c r="J1300" s="30" t="s">
        <v>142</v>
      </c>
      <c r="K1300" s="30" t="s">
        <v>116</v>
      </c>
      <c r="L1300" s="30" t="s">
        <v>121</v>
      </c>
      <c r="M1300" s="48" t="s">
        <v>2743</v>
      </c>
      <c r="N1300" s="30"/>
      <c r="O1300" s="30"/>
      <c r="P1300" s="30"/>
    </row>
    <row r="1301" spans="1:16" ht="75" customHeight="1">
      <c r="A1301" s="30" t="s">
        <v>2744</v>
      </c>
      <c r="B1301" s="47" t="s">
        <v>2737</v>
      </c>
      <c r="C1301" s="48" t="s">
        <v>2745</v>
      </c>
      <c r="D1301" s="30"/>
      <c r="E1301" s="30"/>
      <c r="F1301" s="30"/>
      <c r="G1301" s="30" t="s">
        <v>139</v>
      </c>
      <c r="H1301" s="30" t="s">
        <v>141</v>
      </c>
      <c r="I1301" s="30" t="s">
        <v>30</v>
      </c>
      <c r="J1301" s="30" t="s">
        <v>142</v>
      </c>
      <c r="K1301" s="30" t="s">
        <v>116</v>
      </c>
      <c r="L1301" s="30" t="s">
        <v>143</v>
      </c>
      <c r="M1301" s="48" t="s">
        <v>4125</v>
      </c>
      <c r="N1301" s="30"/>
      <c r="O1301" s="30"/>
      <c r="P1301" s="30"/>
    </row>
    <row r="1302" spans="1:16" ht="90" customHeight="1">
      <c r="A1302" s="30" t="s">
        <v>2746</v>
      </c>
      <c r="B1302" s="47" t="s">
        <v>2737</v>
      </c>
      <c r="C1302" s="48" t="s">
        <v>2747</v>
      </c>
      <c r="D1302" s="30"/>
      <c r="E1302" s="30"/>
      <c r="F1302" s="30"/>
      <c r="G1302" s="30"/>
      <c r="H1302" s="30" t="s">
        <v>141</v>
      </c>
      <c r="I1302" s="30" t="s">
        <v>31</v>
      </c>
      <c r="J1302" s="30" t="s">
        <v>142</v>
      </c>
      <c r="K1302" s="30" t="s">
        <v>116</v>
      </c>
      <c r="L1302" s="30" t="s">
        <v>122</v>
      </c>
      <c r="M1302" s="48" t="s">
        <v>184</v>
      </c>
      <c r="N1302" s="30"/>
      <c r="O1302" s="30"/>
      <c r="P1302" s="30"/>
    </row>
    <row r="1303" spans="1:16" ht="120" customHeight="1">
      <c r="A1303" s="30" t="s">
        <v>2748</v>
      </c>
      <c r="B1303" s="47" t="s">
        <v>2749</v>
      </c>
      <c r="C1303" s="48" t="s">
        <v>2750</v>
      </c>
      <c r="D1303" s="30"/>
      <c r="E1303" s="30"/>
      <c r="F1303" s="30"/>
      <c r="G1303" s="30"/>
      <c r="H1303" s="30" t="s">
        <v>141</v>
      </c>
      <c r="I1303" s="30" t="s">
        <v>31</v>
      </c>
      <c r="J1303" s="30" t="s">
        <v>142</v>
      </c>
      <c r="K1303" s="30" t="s">
        <v>116</v>
      </c>
      <c r="L1303" s="30" t="s">
        <v>122</v>
      </c>
      <c r="M1303" s="48" t="s">
        <v>184</v>
      </c>
      <c r="N1303" s="30"/>
      <c r="O1303" s="30"/>
      <c r="P1303" s="30"/>
    </row>
    <row r="1304" spans="1:16" ht="90" customHeight="1">
      <c r="A1304" s="30" t="s">
        <v>2751</v>
      </c>
      <c r="B1304" s="47" t="s">
        <v>2749</v>
      </c>
      <c r="C1304" s="48" t="s">
        <v>2752</v>
      </c>
      <c r="D1304" s="30"/>
      <c r="E1304" s="30"/>
      <c r="F1304" s="30"/>
      <c r="G1304" s="30"/>
      <c r="H1304" s="30" t="s">
        <v>141</v>
      </c>
      <c r="I1304" s="30" t="s">
        <v>31</v>
      </c>
      <c r="J1304" s="30" t="s">
        <v>142</v>
      </c>
      <c r="K1304" s="30" t="s">
        <v>116</v>
      </c>
      <c r="L1304" s="30" t="s">
        <v>122</v>
      </c>
      <c r="M1304" s="48" t="s">
        <v>184</v>
      </c>
      <c r="N1304" s="30"/>
      <c r="O1304" s="30"/>
      <c r="P1304" s="30"/>
    </row>
    <row r="1305" spans="1:16" ht="45" customHeight="1">
      <c r="A1305" s="30" t="s">
        <v>2753</v>
      </c>
      <c r="B1305" s="47" t="s">
        <v>2754</v>
      </c>
      <c r="C1305" s="48" t="s">
        <v>2755</v>
      </c>
      <c r="D1305" s="30"/>
      <c r="E1305" s="30"/>
      <c r="F1305" s="30"/>
      <c r="G1305" s="30"/>
      <c r="H1305" s="30" t="s">
        <v>141</v>
      </c>
      <c r="I1305" s="30" t="s">
        <v>31</v>
      </c>
      <c r="J1305" s="30" t="s">
        <v>142</v>
      </c>
      <c r="K1305" s="30" t="s">
        <v>116</v>
      </c>
      <c r="L1305" s="30" t="s">
        <v>122</v>
      </c>
      <c r="M1305" s="48" t="s">
        <v>184</v>
      </c>
      <c r="N1305" s="30"/>
      <c r="O1305" s="30"/>
      <c r="P1305" s="30"/>
    </row>
    <row r="1306" spans="1:16" ht="60" customHeight="1">
      <c r="A1306" s="30" t="s">
        <v>2756</v>
      </c>
      <c r="B1306" s="47" t="s">
        <v>2757</v>
      </c>
      <c r="C1306" s="48" t="s">
        <v>2758</v>
      </c>
      <c r="D1306" s="30"/>
      <c r="E1306" s="30"/>
      <c r="F1306" s="30"/>
      <c r="G1306" s="30"/>
      <c r="H1306" s="30" t="s">
        <v>141</v>
      </c>
      <c r="I1306" s="30" t="s">
        <v>31</v>
      </c>
      <c r="J1306" s="30" t="s">
        <v>142</v>
      </c>
      <c r="K1306" s="30" t="s">
        <v>116</v>
      </c>
      <c r="L1306" s="30" t="s">
        <v>122</v>
      </c>
      <c r="M1306" s="48" t="s">
        <v>184</v>
      </c>
      <c r="N1306" s="30"/>
      <c r="O1306" s="30"/>
      <c r="P1306" s="30"/>
    </row>
    <row r="1307" spans="1:16" ht="60" customHeight="1">
      <c r="A1307" s="30" t="s">
        <v>2759</v>
      </c>
      <c r="B1307" s="47" t="s">
        <v>2760</v>
      </c>
      <c r="C1307" s="48" t="s">
        <v>2761</v>
      </c>
      <c r="D1307" s="30"/>
      <c r="E1307" s="30"/>
      <c r="F1307" s="30"/>
      <c r="G1307" s="30"/>
      <c r="H1307" s="30" t="s">
        <v>141</v>
      </c>
      <c r="I1307" s="30" t="s">
        <v>31</v>
      </c>
      <c r="J1307" s="30" t="s">
        <v>142</v>
      </c>
      <c r="K1307" s="30" t="s">
        <v>116</v>
      </c>
      <c r="L1307" s="30" t="s">
        <v>122</v>
      </c>
      <c r="M1307" s="48" t="s">
        <v>184</v>
      </c>
      <c r="N1307" s="30"/>
      <c r="O1307" s="30"/>
      <c r="P1307" s="30"/>
    </row>
    <row r="1308" spans="1:16" ht="75" customHeight="1">
      <c r="A1308" s="30" t="s">
        <v>2762</v>
      </c>
      <c r="B1308" s="47" t="s">
        <v>2760</v>
      </c>
      <c r="C1308" s="48" t="s">
        <v>2763</v>
      </c>
      <c r="D1308" s="30"/>
      <c r="E1308" s="30"/>
      <c r="F1308" s="30"/>
      <c r="G1308" s="30"/>
      <c r="H1308" s="30" t="s">
        <v>141</v>
      </c>
      <c r="I1308" s="30" t="s">
        <v>31</v>
      </c>
      <c r="J1308" s="30" t="s">
        <v>142</v>
      </c>
      <c r="K1308" s="30" t="s">
        <v>116</v>
      </c>
      <c r="L1308" s="30" t="s">
        <v>122</v>
      </c>
      <c r="M1308" s="48" t="s">
        <v>184</v>
      </c>
      <c r="N1308" s="30"/>
      <c r="O1308" s="30"/>
      <c r="P1308" s="30"/>
    </row>
    <row r="1309" spans="1:16" ht="60" customHeight="1">
      <c r="A1309" s="30" t="s">
        <v>2764</v>
      </c>
      <c r="B1309" s="47" t="s">
        <v>2760</v>
      </c>
      <c r="C1309" s="48" t="s">
        <v>2765</v>
      </c>
      <c r="D1309" s="30"/>
      <c r="E1309" s="30"/>
      <c r="F1309" s="30"/>
      <c r="G1309" s="30"/>
      <c r="H1309" s="30" t="s">
        <v>141</v>
      </c>
      <c r="I1309" s="30" t="s">
        <v>31</v>
      </c>
      <c r="J1309" s="30" t="s">
        <v>142</v>
      </c>
      <c r="K1309" s="30" t="s">
        <v>116</v>
      </c>
      <c r="L1309" s="30" t="s">
        <v>122</v>
      </c>
      <c r="M1309" s="48" t="s">
        <v>184</v>
      </c>
      <c r="N1309" s="30"/>
      <c r="O1309" s="30"/>
      <c r="P1309" s="30"/>
    </row>
    <row r="1310" spans="1:16" ht="45" customHeight="1">
      <c r="A1310" s="30" t="s">
        <v>2766</v>
      </c>
      <c r="B1310" s="47" t="s">
        <v>2767</v>
      </c>
      <c r="C1310" s="48" t="s">
        <v>2768</v>
      </c>
      <c r="D1310" s="30"/>
      <c r="E1310" s="30"/>
      <c r="F1310" s="30"/>
      <c r="G1310" s="30"/>
      <c r="H1310" s="30" t="s">
        <v>141</v>
      </c>
      <c r="I1310" s="30" t="s">
        <v>31</v>
      </c>
      <c r="J1310" s="30" t="s">
        <v>142</v>
      </c>
      <c r="K1310" s="30" t="s">
        <v>116</v>
      </c>
      <c r="L1310" s="30" t="s">
        <v>122</v>
      </c>
      <c r="M1310" s="48" t="s">
        <v>184</v>
      </c>
      <c r="N1310" s="30"/>
      <c r="O1310" s="30"/>
      <c r="P1310" s="30"/>
    </row>
    <row r="1311" spans="1:16" ht="60" customHeight="1">
      <c r="A1311" s="30" t="s">
        <v>2769</v>
      </c>
      <c r="B1311" s="47" t="s">
        <v>2767</v>
      </c>
      <c r="C1311" s="48" t="s">
        <v>2770</v>
      </c>
      <c r="D1311" s="30"/>
      <c r="E1311" s="30"/>
      <c r="F1311" s="30"/>
      <c r="G1311" s="30"/>
      <c r="H1311" s="30" t="s">
        <v>141</v>
      </c>
      <c r="I1311" s="30" t="s">
        <v>31</v>
      </c>
      <c r="J1311" s="30" t="s">
        <v>142</v>
      </c>
      <c r="K1311" s="30" t="s">
        <v>116</v>
      </c>
      <c r="L1311" s="30" t="s">
        <v>122</v>
      </c>
      <c r="M1311" s="48" t="s">
        <v>184</v>
      </c>
      <c r="N1311" s="30"/>
      <c r="O1311" s="30"/>
      <c r="P1311" s="30"/>
    </row>
    <row r="1312" spans="1:16" ht="45" customHeight="1">
      <c r="A1312" s="30" t="s">
        <v>2771</v>
      </c>
      <c r="B1312" s="47" t="s">
        <v>2767</v>
      </c>
      <c r="C1312" s="48" t="s">
        <v>2772</v>
      </c>
      <c r="D1312" s="30"/>
      <c r="E1312" s="30"/>
      <c r="F1312" s="30"/>
      <c r="G1312" s="30"/>
      <c r="H1312" s="30" t="s">
        <v>141</v>
      </c>
      <c r="I1312" s="30" t="s">
        <v>31</v>
      </c>
      <c r="J1312" s="30" t="s">
        <v>142</v>
      </c>
      <c r="K1312" s="30" t="s">
        <v>116</v>
      </c>
      <c r="L1312" s="30" t="s">
        <v>122</v>
      </c>
      <c r="M1312" s="48" t="s">
        <v>184</v>
      </c>
      <c r="N1312" s="30"/>
      <c r="O1312" s="30"/>
      <c r="P1312" s="30"/>
    </row>
    <row r="1313" spans="1:16" ht="60" customHeight="1">
      <c r="A1313" s="30" t="s">
        <v>2773</v>
      </c>
      <c r="B1313" s="47" t="s">
        <v>2774</v>
      </c>
      <c r="C1313" s="48" t="s">
        <v>2775</v>
      </c>
      <c r="D1313" s="30"/>
      <c r="E1313" s="30"/>
      <c r="F1313" s="30"/>
      <c r="G1313" s="30"/>
      <c r="H1313" s="30" t="s">
        <v>141</v>
      </c>
      <c r="I1313" s="30" t="s">
        <v>31</v>
      </c>
      <c r="J1313" s="30" t="s">
        <v>142</v>
      </c>
      <c r="K1313" s="30" t="s">
        <v>116</v>
      </c>
      <c r="L1313" s="30" t="s">
        <v>122</v>
      </c>
      <c r="M1313" s="48" t="s">
        <v>184</v>
      </c>
      <c r="N1313" s="30"/>
      <c r="O1313" s="30"/>
      <c r="P1313" s="30"/>
    </row>
    <row r="1314" spans="1:16" ht="75" customHeight="1">
      <c r="A1314" s="30" t="s">
        <v>2776</v>
      </c>
      <c r="B1314" s="47" t="s">
        <v>2774</v>
      </c>
      <c r="C1314" s="48" t="s">
        <v>2777</v>
      </c>
      <c r="D1314" s="30"/>
      <c r="E1314" s="30"/>
      <c r="F1314" s="30"/>
      <c r="G1314" s="30"/>
      <c r="H1314" s="30" t="s">
        <v>141</v>
      </c>
      <c r="I1314" s="30" t="s">
        <v>31</v>
      </c>
      <c r="J1314" s="30" t="s">
        <v>142</v>
      </c>
      <c r="K1314" s="30" t="s">
        <v>116</v>
      </c>
      <c r="L1314" s="30" t="s">
        <v>122</v>
      </c>
      <c r="M1314" s="48" t="s">
        <v>184</v>
      </c>
      <c r="N1314" s="30"/>
      <c r="O1314" s="30"/>
      <c r="P1314" s="30"/>
    </row>
    <row r="1315" spans="1:16" ht="45" customHeight="1">
      <c r="A1315" s="30" t="s">
        <v>2778</v>
      </c>
      <c r="B1315" s="47" t="s">
        <v>2779</v>
      </c>
      <c r="C1315" s="49" t="s">
        <v>2780</v>
      </c>
      <c r="D1315" s="30"/>
      <c r="E1315" s="30"/>
      <c r="F1315" s="30"/>
      <c r="G1315" s="30"/>
      <c r="H1315" s="30" t="s">
        <v>141</v>
      </c>
      <c r="I1315" s="30" t="s">
        <v>31</v>
      </c>
      <c r="J1315" s="30" t="s">
        <v>142</v>
      </c>
      <c r="K1315" s="30" t="s">
        <v>116</v>
      </c>
      <c r="L1315" s="30" t="s">
        <v>122</v>
      </c>
      <c r="M1315" s="48" t="s">
        <v>184</v>
      </c>
      <c r="N1315" s="30"/>
      <c r="O1315" s="30"/>
      <c r="P1315" s="30"/>
    </row>
    <row r="1316" spans="1:16" ht="30" customHeight="1">
      <c r="A1316" s="30" t="s">
        <v>2781</v>
      </c>
      <c r="B1316" s="47" t="s">
        <v>2782</v>
      </c>
      <c r="C1316" s="48" t="s">
        <v>2783</v>
      </c>
      <c r="D1316" s="30"/>
      <c r="E1316" s="30"/>
      <c r="F1316" s="30"/>
      <c r="G1316" s="30"/>
      <c r="H1316" s="30" t="s">
        <v>141</v>
      </c>
      <c r="I1316" s="30" t="s">
        <v>31</v>
      </c>
      <c r="J1316" s="30" t="s">
        <v>144</v>
      </c>
      <c r="K1316" s="30" t="s">
        <v>117</v>
      </c>
      <c r="L1316" s="30" t="s">
        <v>122</v>
      </c>
      <c r="M1316" s="48"/>
      <c r="N1316" s="30"/>
      <c r="O1316" s="30"/>
      <c r="P1316" s="30"/>
    </row>
    <row r="1317" spans="1:16" ht="30" customHeight="1">
      <c r="A1317" s="30" t="s">
        <v>2784</v>
      </c>
      <c r="B1317" s="47" t="s">
        <v>2785</v>
      </c>
      <c r="C1317" s="48" t="s">
        <v>2786</v>
      </c>
      <c r="D1317" s="30"/>
      <c r="E1317" s="30"/>
      <c r="F1317" s="30"/>
      <c r="G1317" s="30"/>
      <c r="H1317" s="30" t="s">
        <v>141</v>
      </c>
      <c r="I1317" s="30" t="s">
        <v>31</v>
      </c>
      <c r="J1317" s="30" t="s">
        <v>144</v>
      </c>
      <c r="K1317" s="30" t="s">
        <v>117</v>
      </c>
      <c r="L1317" s="30" t="s">
        <v>122</v>
      </c>
      <c r="M1317" s="48"/>
      <c r="N1317" s="30"/>
      <c r="O1317" s="30"/>
      <c r="P1317" s="30"/>
    </row>
    <row r="1318" spans="1:16" ht="45" customHeight="1">
      <c r="A1318" s="30" t="s">
        <v>2787</v>
      </c>
      <c r="B1318" s="47" t="s">
        <v>2788</v>
      </c>
      <c r="C1318" s="48" t="s">
        <v>2789</v>
      </c>
      <c r="D1318" s="30"/>
      <c r="E1318" s="30"/>
      <c r="F1318" s="30"/>
      <c r="G1318" s="30"/>
      <c r="H1318" s="30" t="s">
        <v>141</v>
      </c>
      <c r="I1318" s="30" t="s">
        <v>22</v>
      </c>
      <c r="J1318" s="30" t="s">
        <v>144</v>
      </c>
      <c r="K1318" s="30" t="s">
        <v>117</v>
      </c>
      <c r="L1318" s="30" t="s">
        <v>122</v>
      </c>
      <c r="M1318" s="48"/>
      <c r="N1318" s="30"/>
      <c r="O1318" s="30"/>
      <c r="P1318" s="30"/>
    </row>
    <row r="1319" spans="1:16" ht="30" customHeight="1">
      <c r="A1319" s="30" t="s">
        <v>2790</v>
      </c>
      <c r="B1319" s="47" t="s">
        <v>2788</v>
      </c>
      <c r="C1319" s="48" t="s">
        <v>2099</v>
      </c>
      <c r="D1319" s="30"/>
      <c r="E1319" s="30"/>
      <c r="F1319" s="30"/>
      <c r="G1319" s="30"/>
      <c r="H1319" s="30" t="s">
        <v>141</v>
      </c>
      <c r="I1319" s="30" t="s">
        <v>22</v>
      </c>
      <c r="J1319" s="30" t="s">
        <v>144</v>
      </c>
      <c r="K1319" s="30" t="s">
        <v>117</v>
      </c>
      <c r="L1319" s="30" t="s">
        <v>122</v>
      </c>
      <c r="M1319" s="48"/>
      <c r="N1319" s="30"/>
      <c r="O1319" s="30"/>
      <c r="P1319" s="30"/>
    </row>
    <row r="1320" spans="1:16" ht="60" customHeight="1">
      <c r="A1320" s="30" t="s">
        <v>2791</v>
      </c>
      <c r="B1320" s="47" t="s">
        <v>2788</v>
      </c>
      <c r="C1320" s="48" t="s">
        <v>2066</v>
      </c>
      <c r="D1320" s="30"/>
      <c r="E1320" s="30"/>
      <c r="F1320" s="30"/>
      <c r="G1320" s="30"/>
      <c r="H1320" s="30" t="s">
        <v>141</v>
      </c>
      <c r="I1320" s="30" t="s">
        <v>22</v>
      </c>
      <c r="J1320" s="30" t="s">
        <v>144</v>
      </c>
      <c r="K1320" s="30" t="s">
        <v>117</v>
      </c>
      <c r="L1320" s="30" t="s">
        <v>122</v>
      </c>
      <c r="M1320" s="48"/>
      <c r="N1320" s="30"/>
      <c r="O1320" s="30"/>
      <c r="P1320" s="30"/>
    </row>
    <row r="1321" spans="1:16" ht="45" customHeight="1">
      <c r="A1321" s="30" t="s">
        <v>2792</v>
      </c>
      <c r="B1321" s="47" t="s">
        <v>2788</v>
      </c>
      <c r="C1321" s="48" t="s">
        <v>2793</v>
      </c>
      <c r="D1321" s="30"/>
      <c r="E1321" s="30"/>
      <c r="F1321" s="30"/>
      <c r="G1321" s="30"/>
      <c r="H1321" s="30" t="s">
        <v>141</v>
      </c>
      <c r="I1321" s="30" t="s">
        <v>22</v>
      </c>
      <c r="J1321" s="30" t="s">
        <v>144</v>
      </c>
      <c r="K1321" s="30" t="s">
        <v>117</v>
      </c>
      <c r="L1321" s="30" t="s">
        <v>122</v>
      </c>
      <c r="M1321" s="48"/>
      <c r="N1321" s="30"/>
      <c r="O1321" s="30"/>
      <c r="P1321" s="30"/>
    </row>
    <row r="1322" spans="1:16" ht="75" customHeight="1">
      <c r="A1322" s="30" t="s">
        <v>2794</v>
      </c>
      <c r="B1322" s="47" t="s">
        <v>2795</v>
      </c>
      <c r="C1322" s="48" t="s">
        <v>2796</v>
      </c>
      <c r="D1322" s="30"/>
      <c r="E1322" s="30"/>
      <c r="F1322" s="30"/>
      <c r="G1322" s="30"/>
      <c r="H1322" s="30" t="s">
        <v>141</v>
      </c>
      <c r="I1322" s="30" t="s">
        <v>30</v>
      </c>
      <c r="J1322" s="30" t="s">
        <v>144</v>
      </c>
      <c r="K1322" s="30" t="s">
        <v>117</v>
      </c>
      <c r="L1322" s="30" t="s">
        <v>122</v>
      </c>
      <c r="M1322" s="48"/>
      <c r="N1322" s="30"/>
      <c r="O1322" s="30"/>
      <c r="P1322" s="30"/>
    </row>
    <row r="1323" spans="1:16" ht="60" customHeight="1">
      <c r="A1323" s="30" t="s">
        <v>2797</v>
      </c>
      <c r="B1323" s="47" t="s">
        <v>2795</v>
      </c>
      <c r="C1323" s="48" t="s">
        <v>2798</v>
      </c>
      <c r="D1323" s="30"/>
      <c r="E1323" s="30"/>
      <c r="F1323" s="30"/>
      <c r="G1323" s="30"/>
      <c r="H1323" s="30" t="s">
        <v>141</v>
      </c>
      <c r="I1323" s="30" t="s">
        <v>30</v>
      </c>
      <c r="J1323" s="30" t="s">
        <v>142</v>
      </c>
      <c r="K1323" s="30" t="s">
        <v>116</v>
      </c>
      <c r="L1323" s="30" t="s">
        <v>121</v>
      </c>
      <c r="M1323" s="48" t="s">
        <v>4066</v>
      </c>
      <c r="N1323" s="30"/>
      <c r="O1323" s="30"/>
      <c r="P1323" s="30"/>
    </row>
    <row r="1324" spans="1:16" ht="60" customHeight="1">
      <c r="A1324" s="30" t="s">
        <v>2799</v>
      </c>
      <c r="B1324" s="47" t="s">
        <v>2795</v>
      </c>
      <c r="C1324" s="48" t="s">
        <v>2800</v>
      </c>
      <c r="D1324" s="30"/>
      <c r="E1324" s="30"/>
      <c r="F1324" s="30"/>
      <c r="G1324" s="30"/>
      <c r="H1324" s="30" t="s">
        <v>141</v>
      </c>
      <c r="I1324" s="30" t="s">
        <v>30</v>
      </c>
      <c r="J1324" s="30" t="s">
        <v>144</v>
      </c>
      <c r="K1324" s="30" t="s">
        <v>117</v>
      </c>
      <c r="L1324" s="30" t="s">
        <v>122</v>
      </c>
      <c r="M1324" s="48"/>
      <c r="N1324" s="30"/>
      <c r="O1324" s="30"/>
      <c r="P1324" s="30"/>
    </row>
    <row r="1325" spans="1:16" ht="45" customHeight="1">
      <c r="A1325" s="30" t="s">
        <v>2801</v>
      </c>
      <c r="B1325" s="47" t="s">
        <v>2795</v>
      </c>
      <c r="C1325" s="48" t="s">
        <v>2802</v>
      </c>
      <c r="D1325" s="30"/>
      <c r="E1325" s="30"/>
      <c r="F1325" s="30"/>
      <c r="G1325" s="30"/>
      <c r="H1325" s="30" t="s">
        <v>141</v>
      </c>
      <c r="I1325" s="30" t="s">
        <v>30</v>
      </c>
      <c r="J1325" s="30" t="s">
        <v>144</v>
      </c>
      <c r="K1325" s="30" t="s">
        <v>117</v>
      </c>
      <c r="L1325" s="30" t="s">
        <v>122</v>
      </c>
      <c r="M1325" s="48"/>
      <c r="N1325" s="30"/>
      <c r="O1325" s="30"/>
      <c r="P1325" s="30"/>
    </row>
    <row r="1326" spans="1:16" ht="45" customHeight="1">
      <c r="A1326" s="30" t="s">
        <v>2803</v>
      </c>
      <c r="B1326" s="47" t="s">
        <v>2804</v>
      </c>
      <c r="C1326" s="48" t="s">
        <v>2805</v>
      </c>
      <c r="D1326" s="30"/>
      <c r="E1326" s="30"/>
      <c r="F1326" s="30"/>
      <c r="G1326" s="30"/>
      <c r="H1326" s="30" t="s">
        <v>141</v>
      </c>
      <c r="I1326" s="30" t="s">
        <v>30</v>
      </c>
      <c r="J1326" s="30" t="s">
        <v>144</v>
      </c>
      <c r="K1326" s="30" t="s">
        <v>117</v>
      </c>
      <c r="L1326" s="30" t="s">
        <v>122</v>
      </c>
      <c r="M1326" s="48"/>
      <c r="N1326" s="30"/>
      <c r="O1326" s="30"/>
      <c r="P1326" s="30"/>
    </row>
    <row r="1327" spans="1:16" ht="45" customHeight="1">
      <c r="A1327" s="30" t="s">
        <v>2806</v>
      </c>
      <c r="B1327" s="47" t="s">
        <v>2804</v>
      </c>
      <c r="C1327" s="48" t="s">
        <v>2807</v>
      </c>
      <c r="D1327" s="30"/>
      <c r="E1327" s="30"/>
      <c r="F1327" s="30"/>
      <c r="G1327" s="30"/>
      <c r="H1327" s="30" t="s">
        <v>141</v>
      </c>
      <c r="I1327" s="30" t="s">
        <v>30</v>
      </c>
      <c r="J1327" s="30" t="s">
        <v>142</v>
      </c>
      <c r="K1327" s="30" t="s">
        <v>116</v>
      </c>
      <c r="L1327" s="30" t="s">
        <v>121</v>
      </c>
      <c r="M1327" s="48" t="s">
        <v>2808</v>
      </c>
      <c r="N1327" s="30"/>
      <c r="O1327" s="30"/>
      <c r="P1327" s="30"/>
    </row>
    <row r="1328" spans="1:16" ht="30" customHeight="1">
      <c r="A1328" s="30" t="s">
        <v>2809</v>
      </c>
      <c r="B1328" s="47" t="s">
        <v>2804</v>
      </c>
      <c r="C1328" s="48" t="s">
        <v>2810</v>
      </c>
      <c r="D1328" s="30"/>
      <c r="E1328" s="30"/>
      <c r="F1328" s="30"/>
      <c r="G1328" s="30"/>
      <c r="H1328" s="30" t="s">
        <v>141</v>
      </c>
      <c r="I1328" s="30" t="s">
        <v>30</v>
      </c>
      <c r="J1328" s="30" t="s">
        <v>142</v>
      </c>
      <c r="K1328" s="30" t="s">
        <v>116</v>
      </c>
      <c r="L1328" s="30" t="s">
        <v>121</v>
      </c>
      <c r="M1328" s="48" t="s">
        <v>2808</v>
      </c>
      <c r="N1328" s="30"/>
      <c r="O1328" s="30"/>
      <c r="P1328" s="30"/>
    </row>
    <row r="1329" spans="1:16" ht="45" customHeight="1">
      <c r="A1329" s="30" t="s">
        <v>2811</v>
      </c>
      <c r="B1329" s="47" t="s">
        <v>2804</v>
      </c>
      <c r="C1329" s="48" t="s">
        <v>2812</v>
      </c>
      <c r="D1329" s="30"/>
      <c r="E1329" s="30"/>
      <c r="F1329" s="30"/>
      <c r="G1329" s="30"/>
      <c r="H1329" s="30" t="s">
        <v>141</v>
      </c>
      <c r="I1329" s="30" t="s">
        <v>30</v>
      </c>
      <c r="J1329" s="30" t="s">
        <v>142</v>
      </c>
      <c r="K1329" s="30" t="s">
        <v>116</v>
      </c>
      <c r="L1329" s="30" t="s">
        <v>121</v>
      </c>
      <c r="M1329" s="48" t="s">
        <v>2808</v>
      </c>
      <c r="N1329" s="30"/>
      <c r="O1329" s="30"/>
      <c r="P1329" s="30"/>
    </row>
    <row r="1330" spans="1:16" ht="75" customHeight="1">
      <c r="A1330" s="30" t="s">
        <v>2813</v>
      </c>
      <c r="B1330" s="47" t="s">
        <v>2804</v>
      </c>
      <c r="C1330" s="48" t="s">
        <v>2814</v>
      </c>
      <c r="D1330" s="30"/>
      <c r="E1330" s="30"/>
      <c r="F1330" s="30"/>
      <c r="G1330" s="30"/>
      <c r="H1330" s="30" t="s">
        <v>141</v>
      </c>
      <c r="I1330" s="30" t="s">
        <v>30</v>
      </c>
      <c r="J1330" s="30" t="s">
        <v>142</v>
      </c>
      <c r="K1330" s="30" t="s">
        <v>116</v>
      </c>
      <c r="L1330" s="30" t="s">
        <v>121</v>
      </c>
      <c r="M1330" s="48" t="s">
        <v>2808</v>
      </c>
      <c r="N1330" s="30"/>
      <c r="O1330" s="30"/>
      <c r="P1330" s="30"/>
    </row>
    <row r="1331" spans="1:16" ht="45" customHeight="1">
      <c r="A1331" s="30" t="s">
        <v>2815</v>
      </c>
      <c r="B1331" s="47" t="s">
        <v>2804</v>
      </c>
      <c r="C1331" s="48" t="s">
        <v>2816</v>
      </c>
      <c r="D1331" s="30"/>
      <c r="E1331" s="30"/>
      <c r="F1331" s="30"/>
      <c r="G1331" s="30"/>
      <c r="H1331" s="30" t="s">
        <v>141</v>
      </c>
      <c r="I1331" s="30" t="s">
        <v>30</v>
      </c>
      <c r="J1331" s="30" t="s">
        <v>144</v>
      </c>
      <c r="K1331" s="30" t="s">
        <v>117</v>
      </c>
      <c r="L1331" s="30" t="s">
        <v>122</v>
      </c>
      <c r="M1331" s="48"/>
      <c r="N1331" s="30"/>
      <c r="O1331" s="30"/>
      <c r="P1331" s="30"/>
    </row>
    <row r="1332" spans="1:16" ht="60" customHeight="1">
      <c r="A1332" s="30" t="s">
        <v>2817</v>
      </c>
      <c r="B1332" s="47" t="s">
        <v>2818</v>
      </c>
      <c r="C1332" s="48" t="s">
        <v>2819</v>
      </c>
      <c r="D1332" s="30"/>
      <c r="E1332" s="30"/>
      <c r="F1332" s="30"/>
      <c r="G1332" s="30"/>
      <c r="H1332" s="30" t="s">
        <v>141</v>
      </c>
      <c r="I1332" s="30" t="s">
        <v>30</v>
      </c>
      <c r="J1332" s="30" t="s">
        <v>144</v>
      </c>
      <c r="K1332" s="30" t="s">
        <v>117</v>
      </c>
      <c r="L1332" s="30" t="s">
        <v>122</v>
      </c>
      <c r="M1332" s="48"/>
      <c r="N1332" s="30"/>
      <c r="O1332" s="30"/>
      <c r="P1332" s="30"/>
    </row>
    <row r="1333" spans="1:16" ht="30" customHeight="1">
      <c r="A1333" s="30" t="s">
        <v>2820</v>
      </c>
      <c r="B1333" s="47" t="s">
        <v>2821</v>
      </c>
      <c r="C1333" s="48" t="s">
        <v>2822</v>
      </c>
      <c r="D1333" s="30"/>
      <c r="E1333" s="30"/>
      <c r="F1333" s="30"/>
      <c r="G1333" s="30"/>
      <c r="H1333" s="30" t="s">
        <v>141</v>
      </c>
      <c r="I1333" s="30" t="s">
        <v>30</v>
      </c>
      <c r="J1333" s="30" t="s">
        <v>144</v>
      </c>
      <c r="K1333" s="30" t="s">
        <v>117</v>
      </c>
      <c r="L1333" s="30" t="s">
        <v>122</v>
      </c>
      <c r="M1333" s="48"/>
      <c r="N1333" s="30"/>
      <c r="O1333" s="30"/>
      <c r="P1333" s="30"/>
    </row>
    <row r="1334" spans="1:16" ht="45" customHeight="1">
      <c r="A1334" s="30" t="s">
        <v>2823</v>
      </c>
      <c r="B1334" s="47" t="s">
        <v>2824</v>
      </c>
      <c r="C1334" s="48" t="s">
        <v>2825</v>
      </c>
      <c r="D1334" s="30"/>
      <c r="E1334" s="30"/>
      <c r="F1334" s="30"/>
      <c r="G1334" s="30"/>
      <c r="H1334" s="30" t="s">
        <v>141</v>
      </c>
      <c r="I1334" s="30" t="s">
        <v>30</v>
      </c>
      <c r="J1334" s="30" t="s">
        <v>142</v>
      </c>
      <c r="K1334" s="30" t="s">
        <v>116</v>
      </c>
      <c r="L1334" s="30" t="s">
        <v>121</v>
      </c>
      <c r="M1334" s="48" t="s">
        <v>2808</v>
      </c>
      <c r="N1334" s="30"/>
      <c r="O1334" s="30"/>
      <c r="P1334" s="30"/>
    </row>
    <row r="1335" spans="1:16" ht="60" customHeight="1">
      <c r="A1335" s="30" t="s">
        <v>2826</v>
      </c>
      <c r="B1335" s="47" t="s">
        <v>2824</v>
      </c>
      <c r="C1335" s="48" t="s">
        <v>2827</v>
      </c>
      <c r="D1335" s="30"/>
      <c r="E1335" s="30"/>
      <c r="F1335" s="30"/>
      <c r="G1335" s="30"/>
      <c r="H1335" s="30" t="s">
        <v>141</v>
      </c>
      <c r="I1335" s="30" t="s">
        <v>30</v>
      </c>
      <c r="J1335" s="30" t="s">
        <v>144</v>
      </c>
      <c r="K1335" s="30" t="s">
        <v>117</v>
      </c>
      <c r="L1335" s="30" t="s">
        <v>122</v>
      </c>
      <c r="M1335" s="48"/>
      <c r="N1335" s="30"/>
      <c r="O1335" s="30"/>
      <c r="P1335" s="30"/>
    </row>
    <row r="1336" spans="1:16" ht="45" customHeight="1">
      <c r="A1336" s="30" t="s">
        <v>2828</v>
      </c>
      <c r="B1336" s="47" t="s">
        <v>2824</v>
      </c>
      <c r="C1336" s="48" t="s">
        <v>2829</v>
      </c>
      <c r="D1336" s="30"/>
      <c r="E1336" s="30"/>
      <c r="F1336" s="30"/>
      <c r="G1336" s="30"/>
      <c r="H1336" s="30" t="s">
        <v>141</v>
      </c>
      <c r="I1336" s="30" t="s">
        <v>30</v>
      </c>
      <c r="J1336" s="30" t="s">
        <v>144</v>
      </c>
      <c r="K1336" s="30" t="s">
        <v>117</v>
      </c>
      <c r="L1336" s="30" t="s">
        <v>122</v>
      </c>
      <c r="M1336" s="48"/>
      <c r="N1336" s="30"/>
      <c r="O1336" s="30"/>
      <c r="P1336" s="30"/>
    </row>
    <row r="1337" spans="1:16" ht="45" customHeight="1">
      <c r="A1337" s="30" t="s">
        <v>2830</v>
      </c>
      <c r="B1337" s="47" t="s">
        <v>2824</v>
      </c>
      <c r="C1337" s="48" t="s">
        <v>2831</v>
      </c>
      <c r="D1337" s="30"/>
      <c r="E1337" s="30"/>
      <c r="F1337" s="30"/>
      <c r="G1337" s="30"/>
      <c r="H1337" s="30" t="s">
        <v>141</v>
      </c>
      <c r="I1337" s="30" t="s">
        <v>30</v>
      </c>
      <c r="J1337" s="30" t="s">
        <v>144</v>
      </c>
      <c r="K1337" s="30" t="s">
        <v>117</v>
      </c>
      <c r="L1337" s="30" t="s">
        <v>122</v>
      </c>
      <c r="M1337" s="48"/>
      <c r="N1337" s="30"/>
      <c r="O1337" s="30"/>
      <c r="P1337" s="30"/>
    </row>
    <row r="1338" spans="1:16" ht="30" customHeight="1">
      <c r="A1338" s="30" t="s">
        <v>2832</v>
      </c>
      <c r="B1338" s="47" t="s">
        <v>2824</v>
      </c>
      <c r="C1338" s="48" t="s">
        <v>2833</v>
      </c>
      <c r="D1338" s="30"/>
      <c r="E1338" s="30"/>
      <c r="F1338" s="30"/>
      <c r="G1338" s="30"/>
      <c r="H1338" s="30" t="s">
        <v>141</v>
      </c>
      <c r="I1338" s="30" t="s">
        <v>30</v>
      </c>
      <c r="J1338" s="30" t="s">
        <v>144</v>
      </c>
      <c r="K1338" s="30" t="s">
        <v>117</v>
      </c>
      <c r="L1338" s="30" t="s">
        <v>122</v>
      </c>
      <c r="M1338" s="48"/>
      <c r="N1338" s="30"/>
      <c r="O1338" s="30"/>
      <c r="P1338" s="30"/>
    </row>
    <row r="1339" spans="1:16" ht="30" customHeight="1">
      <c r="A1339" s="30" t="s">
        <v>2834</v>
      </c>
      <c r="B1339" s="47" t="s">
        <v>2824</v>
      </c>
      <c r="C1339" s="48" t="s">
        <v>2835</v>
      </c>
      <c r="D1339" s="30"/>
      <c r="E1339" s="30"/>
      <c r="F1339" s="30"/>
      <c r="G1339" s="30"/>
      <c r="H1339" s="30" t="s">
        <v>141</v>
      </c>
      <c r="I1339" s="30" t="s">
        <v>30</v>
      </c>
      <c r="J1339" s="30" t="s">
        <v>142</v>
      </c>
      <c r="K1339" s="30" t="s">
        <v>116</v>
      </c>
      <c r="L1339" s="30" t="s">
        <v>121</v>
      </c>
      <c r="M1339" s="48" t="s">
        <v>2808</v>
      </c>
      <c r="N1339" s="30"/>
      <c r="O1339" s="30"/>
      <c r="P1339" s="30"/>
    </row>
    <row r="1340" spans="1:16" ht="30" customHeight="1">
      <c r="A1340" s="30" t="s">
        <v>2836</v>
      </c>
      <c r="B1340" s="47" t="s">
        <v>2837</v>
      </c>
      <c r="C1340" s="48" t="s">
        <v>2838</v>
      </c>
      <c r="D1340" s="30"/>
      <c r="E1340" s="30"/>
      <c r="F1340" s="30"/>
      <c r="G1340" s="30"/>
      <c r="H1340" s="30" t="s">
        <v>141</v>
      </c>
      <c r="I1340" s="30" t="s">
        <v>30</v>
      </c>
      <c r="J1340" s="30" t="s">
        <v>144</v>
      </c>
      <c r="K1340" s="30" t="s">
        <v>117</v>
      </c>
      <c r="L1340" s="30" t="s">
        <v>122</v>
      </c>
      <c r="M1340" s="48"/>
      <c r="N1340" s="30"/>
      <c r="O1340" s="30"/>
      <c r="P1340" s="30"/>
    </row>
    <row r="1341" spans="1:16" ht="30" customHeight="1">
      <c r="A1341" s="30" t="s">
        <v>2839</v>
      </c>
      <c r="B1341" s="47" t="s">
        <v>2840</v>
      </c>
      <c r="C1341" s="48" t="s">
        <v>2841</v>
      </c>
      <c r="D1341" s="30"/>
      <c r="E1341" s="30"/>
      <c r="F1341" s="30"/>
      <c r="G1341" s="30"/>
      <c r="H1341" s="30" t="s">
        <v>141</v>
      </c>
      <c r="I1341" s="30" t="s">
        <v>30</v>
      </c>
      <c r="J1341" s="30" t="s">
        <v>144</v>
      </c>
      <c r="K1341" s="30" t="s">
        <v>117</v>
      </c>
      <c r="L1341" s="30" t="s">
        <v>122</v>
      </c>
      <c r="M1341" s="48"/>
      <c r="N1341" s="30"/>
      <c r="O1341" s="30"/>
      <c r="P1341" s="30"/>
    </row>
    <row r="1342" spans="1:16" ht="60" customHeight="1">
      <c r="A1342" s="30" t="s">
        <v>2842</v>
      </c>
      <c r="B1342" s="47" t="s">
        <v>2843</v>
      </c>
      <c r="C1342" s="48" t="s">
        <v>2844</v>
      </c>
      <c r="D1342" s="30"/>
      <c r="E1342" s="30"/>
      <c r="F1342" s="30"/>
      <c r="G1342" s="30"/>
      <c r="H1342" s="30" t="s">
        <v>141</v>
      </c>
      <c r="I1342" s="30" t="s">
        <v>30</v>
      </c>
      <c r="J1342" s="30" t="s">
        <v>144</v>
      </c>
      <c r="K1342" s="30" t="s">
        <v>117</v>
      </c>
      <c r="L1342" s="30" t="s">
        <v>122</v>
      </c>
      <c r="M1342" s="48"/>
      <c r="N1342" s="30"/>
      <c r="O1342" s="30"/>
      <c r="P1342" s="30"/>
    </row>
    <row r="1343" spans="1:16" ht="45" customHeight="1">
      <c r="A1343" s="30" t="s">
        <v>2845</v>
      </c>
      <c r="B1343" s="47" t="s">
        <v>2843</v>
      </c>
      <c r="C1343" s="48" t="s">
        <v>2846</v>
      </c>
      <c r="D1343" s="30"/>
      <c r="E1343" s="30"/>
      <c r="F1343" s="30"/>
      <c r="G1343" s="30"/>
      <c r="H1343" s="30" t="s">
        <v>141</v>
      </c>
      <c r="I1343" s="30" t="s">
        <v>30</v>
      </c>
      <c r="J1343" s="30" t="s">
        <v>144</v>
      </c>
      <c r="K1343" s="30" t="s">
        <v>117</v>
      </c>
      <c r="L1343" s="30" t="s">
        <v>122</v>
      </c>
      <c r="M1343" s="48"/>
      <c r="N1343" s="30"/>
      <c r="O1343" s="30"/>
      <c r="P1343" s="30"/>
    </row>
    <row r="1344" spans="1:16" ht="30" customHeight="1">
      <c r="A1344" s="30" t="s">
        <v>2847</v>
      </c>
      <c r="B1344" s="47" t="s">
        <v>2843</v>
      </c>
      <c r="C1344" s="48" t="s">
        <v>3921</v>
      </c>
      <c r="D1344" s="30"/>
      <c r="E1344" s="30"/>
      <c r="F1344" s="30"/>
      <c r="G1344" s="30"/>
      <c r="H1344" s="30" t="s">
        <v>141</v>
      </c>
      <c r="I1344" s="30" t="s">
        <v>30</v>
      </c>
      <c r="J1344" s="30" t="s">
        <v>144</v>
      </c>
      <c r="K1344" s="30" t="s">
        <v>117</v>
      </c>
      <c r="L1344" s="30" t="s">
        <v>122</v>
      </c>
      <c r="M1344" s="48"/>
      <c r="N1344" s="30"/>
      <c r="O1344" s="30"/>
      <c r="P1344" s="30"/>
    </row>
    <row r="1345" spans="1:16" ht="75" customHeight="1">
      <c r="A1345" s="30" t="s">
        <v>2848</v>
      </c>
      <c r="B1345" s="47" t="s">
        <v>2849</v>
      </c>
      <c r="C1345" s="48" t="s">
        <v>3922</v>
      </c>
      <c r="D1345" s="30"/>
      <c r="E1345" s="30"/>
      <c r="F1345" s="30"/>
      <c r="G1345" s="30"/>
      <c r="H1345" s="30" t="s">
        <v>141</v>
      </c>
      <c r="I1345" s="30" t="s">
        <v>30</v>
      </c>
      <c r="J1345" s="30" t="s">
        <v>142</v>
      </c>
      <c r="K1345" s="30" t="s">
        <v>116</v>
      </c>
      <c r="L1345" s="30" t="s">
        <v>121</v>
      </c>
      <c r="M1345" s="48" t="s">
        <v>2850</v>
      </c>
      <c r="N1345" s="30"/>
      <c r="O1345" s="30"/>
      <c r="P1345" s="30"/>
    </row>
    <row r="1346" spans="1:16" ht="75" customHeight="1">
      <c r="A1346" s="30" t="s">
        <v>2851</v>
      </c>
      <c r="B1346" s="47" t="s">
        <v>2849</v>
      </c>
      <c r="C1346" s="48" t="s">
        <v>2852</v>
      </c>
      <c r="D1346" s="30"/>
      <c r="E1346" s="30"/>
      <c r="F1346" s="30"/>
      <c r="G1346" s="30"/>
      <c r="H1346" s="30" t="s">
        <v>141</v>
      </c>
      <c r="I1346" s="30" t="s">
        <v>30</v>
      </c>
      <c r="J1346" s="30" t="s">
        <v>142</v>
      </c>
      <c r="K1346" s="30" t="s">
        <v>116</v>
      </c>
      <c r="L1346" s="30" t="s">
        <v>121</v>
      </c>
      <c r="M1346" s="48" t="s">
        <v>2853</v>
      </c>
      <c r="N1346" s="30"/>
      <c r="O1346" s="30"/>
      <c r="P1346" s="30"/>
    </row>
    <row r="1347" spans="1:16" ht="90" customHeight="1">
      <c r="A1347" s="30" t="s">
        <v>2854</v>
      </c>
      <c r="B1347" s="47" t="s">
        <v>2849</v>
      </c>
      <c r="C1347" s="48" t="s">
        <v>2855</v>
      </c>
      <c r="D1347" s="30"/>
      <c r="E1347" s="30"/>
      <c r="F1347" s="30"/>
      <c r="G1347" s="30"/>
      <c r="H1347" s="30" t="s">
        <v>141</v>
      </c>
      <c r="I1347" s="30" t="s">
        <v>30</v>
      </c>
      <c r="J1347" s="30" t="s">
        <v>142</v>
      </c>
      <c r="K1347" s="30" t="s">
        <v>116</v>
      </c>
      <c r="L1347" s="30" t="s">
        <v>121</v>
      </c>
      <c r="M1347" s="48" t="s">
        <v>2853</v>
      </c>
      <c r="N1347" s="30"/>
      <c r="O1347" s="30"/>
      <c r="P1347" s="30"/>
    </row>
    <row r="1348" spans="1:16" ht="30" customHeight="1">
      <c r="A1348" s="30" t="s">
        <v>2856</v>
      </c>
      <c r="B1348" s="47" t="s">
        <v>2849</v>
      </c>
      <c r="C1348" s="48" t="s">
        <v>2857</v>
      </c>
      <c r="D1348" s="30"/>
      <c r="E1348" s="30"/>
      <c r="F1348" s="30"/>
      <c r="G1348" s="30"/>
      <c r="H1348" s="30" t="s">
        <v>141</v>
      </c>
      <c r="I1348" s="30" t="s">
        <v>30</v>
      </c>
      <c r="J1348" s="30" t="s">
        <v>142</v>
      </c>
      <c r="K1348" s="30" t="s">
        <v>116</v>
      </c>
      <c r="L1348" s="30" t="s">
        <v>121</v>
      </c>
      <c r="M1348" s="48" t="s">
        <v>2853</v>
      </c>
      <c r="N1348" s="30"/>
      <c r="O1348" s="30"/>
      <c r="P1348" s="30"/>
    </row>
    <row r="1349" spans="1:16" ht="30" customHeight="1">
      <c r="A1349" s="30" t="s">
        <v>2858</v>
      </c>
      <c r="B1349" s="47" t="s">
        <v>2849</v>
      </c>
      <c r="C1349" s="48" t="s">
        <v>2859</v>
      </c>
      <c r="D1349" s="30"/>
      <c r="E1349" s="30"/>
      <c r="F1349" s="30"/>
      <c r="G1349" s="30"/>
      <c r="H1349" s="30" t="s">
        <v>141</v>
      </c>
      <c r="I1349" s="30" t="s">
        <v>30</v>
      </c>
      <c r="J1349" s="30" t="s">
        <v>142</v>
      </c>
      <c r="K1349" s="30" t="s">
        <v>116</v>
      </c>
      <c r="L1349" s="30" t="s">
        <v>121</v>
      </c>
      <c r="M1349" s="48" t="s">
        <v>2853</v>
      </c>
      <c r="N1349" s="30"/>
      <c r="O1349" s="30"/>
      <c r="P1349" s="30"/>
    </row>
    <row r="1350" spans="1:16" ht="30" customHeight="1">
      <c r="A1350" s="30" t="s">
        <v>2860</v>
      </c>
      <c r="B1350" s="47" t="s">
        <v>2849</v>
      </c>
      <c r="C1350" s="48" t="s">
        <v>2861</v>
      </c>
      <c r="D1350" s="30"/>
      <c r="E1350" s="30"/>
      <c r="F1350" s="30"/>
      <c r="G1350" s="30"/>
      <c r="H1350" s="30" t="s">
        <v>141</v>
      </c>
      <c r="I1350" s="30" t="s">
        <v>30</v>
      </c>
      <c r="J1350" s="30" t="s">
        <v>142</v>
      </c>
      <c r="K1350" s="30" t="s">
        <v>116</v>
      </c>
      <c r="L1350" s="30" t="s">
        <v>121</v>
      </c>
      <c r="M1350" s="48" t="s">
        <v>2853</v>
      </c>
      <c r="N1350" s="30"/>
      <c r="O1350" s="30"/>
      <c r="P1350" s="30"/>
    </row>
    <row r="1351" spans="1:16" ht="30" customHeight="1">
      <c r="A1351" s="30" t="s">
        <v>2862</v>
      </c>
      <c r="B1351" s="47" t="s">
        <v>2849</v>
      </c>
      <c r="C1351" s="48" t="s">
        <v>2863</v>
      </c>
      <c r="D1351" s="30"/>
      <c r="E1351" s="30"/>
      <c r="F1351" s="30"/>
      <c r="G1351" s="30"/>
      <c r="H1351" s="30" t="s">
        <v>141</v>
      </c>
      <c r="I1351" s="30" t="s">
        <v>30</v>
      </c>
      <c r="J1351" s="30" t="s">
        <v>142</v>
      </c>
      <c r="K1351" s="30" t="s">
        <v>116</v>
      </c>
      <c r="L1351" s="30" t="s">
        <v>121</v>
      </c>
      <c r="M1351" s="48" t="s">
        <v>2853</v>
      </c>
      <c r="N1351" s="30"/>
      <c r="O1351" s="30"/>
      <c r="P1351" s="30"/>
    </row>
    <row r="1352" spans="1:16" ht="90" customHeight="1">
      <c r="A1352" s="30" t="s">
        <v>2864</v>
      </c>
      <c r="B1352" s="47" t="s">
        <v>2849</v>
      </c>
      <c r="C1352" s="48" t="s">
        <v>2865</v>
      </c>
      <c r="D1352" s="30"/>
      <c r="E1352" s="30"/>
      <c r="F1352" s="30"/>
      <c r="G1352" s="30"/>
      <c r="H1352" s="30" t="s">
        <v>141</v>
      </c>
      <c r="I1352" s="30" t="s">
        <v>30</v>
      </c>
      <c r="J1352" s="30" t="s">
        <v>142</v>
      </c>
      <c r="K1352" s="30" t="s">
        <v>116</v>
      </c>
      <c r="L1352" s="30" t="s">
        <v>121</v>
      </c>
      <c r="M1352" s="48" t="s">
        <v>2853</v>
      </c>
      <c r="N1352" s="30"/>
      <c r="O1352" s="30"/>
      <c r="P1352" s="30"/>
    </row>
    <row r="1353" spans="1:16" ht="30" customHeight="1">
      <c r="A1353" s="30" t="s">
        <v>2866</v>
      </c>
      <c r="B1353" s="47" t="s">
        <v>2867</v>
      </c>
      <c r="C1353" s="48" t="s">
        <v>2868</v>
      </c>
      <c r="D1353" s="30"/>
      <c r="E1353" s="30"/>
      <c r="F1353" s="30"/>
      <c r="G1353" s="30"/>
      <c r="H1353" s="30" t="s">
        <v>141</v>
      </c>
      <c r="I1353" s="30" t="s">
        <v>30</v>
      </c>
      <c r="J1353" s="30" t="s">
        <v>144</v>
      </c>
      <c r="K1353" s="30" t="s">
        <v>117</v>
      </c>
      <c r="L1353" s="30" t="s">
        <v>122</v>
      </c>
      <c r="M1353" s="48"/>
      <c r="N1353" s="30"/>
      <c r="O1353" s="30"/>
      <c r="P1353" s="30"/>
    </row>
    <row r="1354" spans="1:16" ht="30" customHeight="1">
      <c r="A1354" s="30" t="s">
        <v>2869</v>
      </c>
      <c r="B1354" s="47" t="s">
        <v>2867</v>
      </c>
      <c r="C1354" s="48" t="s">
        <v>2870</v>
      </c>
      <c r="D1354" s="30"/>
      <c r="E1354" s="30"/>
      <c r="F1354" s="30"/>
      <c r="G1354" s="30"/>
      <c r="H1354" s="30" t="s">
        <v>141</v>
      </c>
      <c r="I1354" s="30" t="s">
        <v>30</v>
      </c>
      <c r="J1354" s="30" t="s">
        <v>144</v>
      </c>
      <c r="K1354" s="30" t="s">
        <v>117</v>
      </c>
      <c r="L1354" s="30" t="s">
        <v>122</v>
      </c>
      <c r="M1354" s="48"/>
      <c r="N1354" s="30"/>
      <c r="O1354" s="30"/>
      <c r="P1354" s="30"/>
    </row>
    <row r="1355" spans="1:16" ht="45" customHeight="1">
      <c r="A1355" s="30" t="s">
        <v>2871</v>
      </c>
      <c r="B1355" s="47" t="s">
        <v>2867</v>
      </c>
      <c r="C1355" s="48" t="s">
        <v>2872</v>
      </c>
      <c r="D1355" s="30"/>
      <c r="E1355" s="30"/>
      <c r="F1355" s="30"/>
      <c r="G1355" s="30"/>
      <c r="H1355" s="30" t="s">
        <v>141</v>
      </c>
      <c r="I1355" s="30" t="s">
        <v>30</v>
      </c>
      <c r="J1355" s="30" t="s">
        <v>144</v>
      </c>
      <c r="K1355" s="30" t="s">
        <v>117</v>
      </c>
      <c r="L1355" s="30" t="s">
        <v>122</v>
      </c>
      <c r="M1355" s="48"/>
      <c r="N1355" s="30"/>
      <c r="O1355" s="30"/>
      <c r="P1355" s="30"/>
    </row>
    <row r="1356" spans="1:16" ht="60" customHeight="1">
      <c r="A1356" s="30" t="s">
        <v>2873</v>
      </c>
      <c r="B1356" s="47" t="s">
        <v>2874</v>
      </c>
      <c r="C1356" s="48" t="s">
        <v>3937</v>
      </c>
      <c r="D1356" s="30"/>
      <c r="E1356" s="30"/>
      <c r="F1356" s="30"/>
      <c r="G1356" s="30"/>
      <c r="H1356" s="30" t="s">
        <v>141</v>
      </c>
      <c r="I1356" s="30" t="s">
        <v>30</v>
      </c>
      <c r="J1356" s="30" t="s">
        <v>145</v>
      </c>
      <c r="K1356" s="30" t="s">
        <v>116</v>
      </c>
      <c r="L1356" s="30" t="s">
        <v>121</v>
      </c>
      <c r="M1356" s="48" t="s">
        <v>2875</v>
      </c>
      <c r="N1356" s="30"/>
      <c r="O1356" s="30"/>
      <c r="P1356" s="30"/>
    </row>
    <row r="1357" spans="1:16" ht="60" customHeight="1">
      <c r="A1357" s="30" t="s">
        <v>2876</v>
      </c>
      <c r="B1357" s="47" t="s">
        <v>2877</v>
      </c>
      <c r="C1357" s="48" t="s">
        <v>2878</v>
      </c>
      <c r="D1357" s="30"/>
      <c r="E1357" s="30"/>
      <c r="F1357" s="30"/>
      <c r="G1357" s="30"/>
      <c r="H1357" s="30" t="s">
        <v>141</v>
      </c>
      <c r="I1357" s="30" t="s">
        <v>30</v>
      </c>
      <c r="J1357" s="30" t="s">
        <v>142</v>
      </c>
      <c r="K1357" s="30" t="s">
        <v>116</v>
      </c>
      <c r="L1357" s="30" t="s">
        <v>121</v>
      </c>
      <c r="M1357" s="48" t="s">
        <v>2875</v>
      </c>
      <c r="N1357" s="30"/>
      <c r="O1357" s="30"/>
      <c r="P1357" s="30"/>
    </row>
    <row r="1358" spans="1:16" ht="45" customHeight="1">
      <c r="A1358" s="30" t="s">
        <v>2879</v>
      </c>
      <c r="B1358" s="47" t="s">
        <v>2877</v>
      </c>
      <c r="C1358" s="48" t="s">
        <v>2880</v>
      </c>
      <c r="D1358" s="30"/>
      <c r="E1358" s="30"/>
      <c r="F1358" s="30"/>
      <c r="G1358" s="30"/>
      <c r="H1358" s="30" t="s">
        <v>141</v>
      </c>
      <c r="I1358" s="30" t="s">
        <v>30</v>
      </c>
      <c r="J1358" s="30" t="s">
        <v>142</v>
      </c>
      <c r="K1358" s="30" t="s">
        <v>116</v>
      </c>
      <c r="L1358" s="30" t="s">
        <v>121</v>
      </c>
      <c r="M1358" s="48" t="s">
        <v>2875</v>
      </c>
      <c r="N1358" s="30"/>
      <c r="O1358" s="30"/>
      <c r="P1358" s="30"/>
    </row>
    <row r="1359" spans="1:16" ht="75" customHeight="1">
      <c r="A1359" s="30" t="s">
        <v>2881</v>
      </c>
      <c r="B1359" s="47" t="s">
        <v>2877</v>
      </c>
      <c r="C1359" s="48" t="s">
        <v>2882</v>
      </c>
      <c r="D1359" s="30"/>
      <c r="E1359" s="30"/>
      <c r="F1359" s="30"/>
      <c r="G1359" s="30"/>
      <c r="H1359" s="30" t="s">
        <v>141</v>
      </c>
      <c r="I1359" s="30" t="s">
        <v>30</v>
      </c>
      <c r="J1359" s="30" t="s">
        <v>142</v>
      </c>
      <c r="K1359" s="30" t="s">
        <v>116</v>
      </c>
      <c r="L1359" s="30" t="s">
        <v>121</v>
      </c>
      <c r="M1359" s="48" t="s">
        <v>2875</v>
      </c>
      <c r="N1359" s="30"/>
      <c r="O1359" s="30"/>
      <c r="P1359" s="30"/>
    </row>
    <row r="1360" spans="1:16" ht="60" customHeight="1">
      <c r="A1360" s="30" t="s">
        <v>2883</v>
      </c>
      <c r="B1360" s="47" t="s">
        <v>2877</v>
      </c>
      <c r="C1360" s="48" t="s">
        <v>2884</v>
      </c>
      <c r="D1360" s="30"/>
      <c r="E1360" s="30"/>
      <c r="F1360" s="30"/>
      <c r="G1360" s="30"/>
      <c r="H1360" s="30" t="s">
        <v>141</v>
      </c>
      <c r="I1360" s="30" t="s">
        <v>30</v>
      </c>
      <c r="J1360" s="30" t="s">
        <v>142</v>
      </c>
      <c r="K1360" s="30" t="s">
        <v>116</v>
      </c>
      <c r="L1360" s="30" t="s">
        <v>121</v>
      </c>
      <c r="M1360" s="48" t="s">
        <v>2875</v>
      </c>
      <c r="N1360" s="30"/>
      <c r="O1360" s="30"/>
      <c r="P1360" s="30"/>
    </row>
    <row r="1361" spans="1:16" ht="45" customHeight="1">
      <c r="A1361" s="30" t="s">
        <v>2885</v>
      </c>
      <c r="B1361" s="47" t="s">
        <v>2877</v>
      </c>
      <c r="C1361" s="48" t="s">
        <v>2886</v>
      </c>
      <c r="D1361" s="30"/>
      <c r="E1361" s="30"/>
      <c r="F1361" s="30"/>
      <c r="G1361" s="30"/>
      <c r="H1361" s="30" t="s">
        <v>141</v>
      </c>
      <c r="I1361" s="30" t="s">
        <v>30</v>
      </c>
      <c r="J1361" s="30" t="s">
        <v>142</v>
      </c>
      <c r="K1361" s="30" t="s">
        <v>116</v>
      </c>
      <c r="L1361" s="30" t="s">
        <v>121</v>
      </c>
      <c r="M1361" s="48" t="s">
        <v>2875</v>
      </c>
      <c r="N1361" s="30"/>
      <c r="O1361" s="30"/>
      <c r="P1361" s="30"/>
    </row>
    <row r="1362" spans="1:16" ht="60" customHeight="1">
      <c r="A1362" s="30" t="s">
        <v>2887</v>
      </c>
      <c r="B1362" s="47" t="s">
        <v>2877</v>
      </c>
      <c r="C1362" s="48" t="s">
        <v>2888</v>
      </c>
      <c r="D1362" s="30"/>
      <c r="E1362" s="30"/>
      <c r="F1362" s="30"/>
      <c r="G1362" s="30"/>
      <c r="H1362" s="30" t="s">
        <v>141</v>
      </c>
      <c r="I1362" s="30" t="s">
        <v>30</v>
      </c>
      <c r="J1362" s="30" t="s">
        <v>142</v>
      </c>
      <c r="K1362" s="30" t="s">
        <v>116</v>
      </c>
      <c r="L1362" s="30" t="s">
        <v>121</v>
      </c>
      <c r="M1362" s="48" t="s">
        <v>2875</v>
      </c>
      <c r="N1362" s="30"/>
      <c r="O1362" s="30"/>
      <c r="P1362" s="30"/>
    </row>
    <row r="1363" spans="1:16" ht="60" customHeight="1">
      <c r="A1363" s="30" t="s">
        <v>2889</v>
      </c>
      <c r="B1363" s="47" t="s">
        <v>2877</v>
      </c>
      <c r="C1363" s="48" t="s">
        <v>2890</v>
      </c>
      <c r="D1363" s="30"/>
      <c r="E1363" s="30"/>
      <c r="F1363" s="30"/>
      <c r="G1363" s="30"/>
      <c r="H1363" s="30" t="s">
        <v>141</v>
      </c>
      <c r="I1363" s="30" t="s">
        <v>30</v>
      </c>
      <c r="J1363" s="30" t="s">
        <v>142</v>
      </c>
      <c r="K1363" s="30" t="s">
        <v>116</v>
      </c>
      <c r="L1363" s="30" t="s">
        <v>121</v>
      </c>
      <c r="M1363" s="48" t="s">
        <v>2875</v>
      </c>
      <c r="N1363" s="30"/>
      <c r="O1363" s="30"/>
      <c r="P1363" s="30"/>
    </row>
    <row r="1364" spans="1:16" ht="45" customHeight="1">
      <c r="A1364" s="30" t="s">
        <v>2891</v>
      </c>
      <c r="B1364" s="55" t="s">
        <v>2892</v>
      </c>
      <c r="C1364" s="51" t="s">
        <v>2893</v>
      </c>
      <c r="D1364" s="30"/>
      <c r="E1364" s="30"/>
      <c r="F1364" s="30"/>
      <c r="G1364" s="30"/>
      <c r="H1364" s="30" t="s">
        <v>141</v>
      </c>
      <c r="I1364" s="30" t="s">
        <v>30</v>
      </c>
      <c r="J1364" s="30" t="s">
        <v>142</v>
      </c>
      <c r="K1364" s="30" t="s">
        <v>116</v>
      </c>
      <c r="L1364" s="30" t="s">
        <v>121</v>
      </c>
      <c r="M1364" s="48" t="s">
        <v>2875</v>
      </c>
      <c r="N1364" s="30"/>
      <c r="O1364" s="30"/>
      <c r="P1364" s="30"/>
    </row>
    <row r="1365" spans="1:16" ht="60" customHeight="1">
      <c r="A1365" s="30" t="s">
        <v>2894</v>
      </c>
      <c r="B1365" s="55" t="s">
        <v>2892</v>
      </c>
      <c r="C1365" s="51" t="s">
        <v>2895</v>
      </c>
      <c r="D1365" s="30"/>
      <c r="E1365" s="30"/>
      <c r="F1365" s="30"/>
      <c r="G1365" s="30"/>
      <c r="H1365" s="30" t="s">
        <v>141</v>
      </c>
      <c r="I1365" s="30" t="s">
        <v>30</v>
      </c>
      <c r="J1365" s="30" t="s">
        <v>142</v>
      </c>
      <c r="K1365" s="30" t="s">
        <v>116</v>
      </c>
      <c r="L1365" s="30" t="s">
        <v>121</v>
      </c>
      <c r="M1365" s="48" t="s">
        <v>2896</v>
      </c>
      <c r="N1365" s="30"/>
      <c r="O1365" s="30"/>
      <c r="P1365" s="30"/>
    </row>
    <row r="1366" spans="1:16" ht="45" customHeight="1">
      <c r="A1366" s="30" t="s">
        <v>2897</v>
      </c>
      <c r="B1366" s="55" t="s">
        <v>2898</v>
      </c>
      <c r="C1366" s="51" t="s">
        <v>2899</v>
      </c>
      <c r="D1366" s="30"/>
      <c r="E1366" s="30"/>
      <c r="F1366" s="30"/>
      <c r="G1366" s="30"/>
      <c r="H1366" s="30" t="s">
        <v>141</v>
      </c>
      <c r="I1366" s="30" t="s">
        <v>30</v>
      </c>
      <c r="J1366" s="30" t="s">
        <v>142</v>
      </c>
      <c r="K1366" s="30" t="s">
        <v>116</v>
      </c>
      <c r="L1366" s="30" t="s">
        <v>121</v>
      </c>
      <c r="M1366" s="48" t="s">
        <v>2900</v>
      </c>
      <c r="N1366" s="30"/>
      <c r="O1366" s="30"/>
      <c r="P1366" s="30"/>
    </row>
    <row r="1367" spans="1:16" ht="60" customHeight="1">
      <c r="A1367" s="30" t="s">
        <v>2901</v>
      </c>
      <c r="B1367" s="55" t="s">
        <v>2898</v>
      </c>
      <c r="C1367" s="51" t="s">
        <v>2902</v>
      </c>
      <c r="D1367" s="30"/>
      <c r="E1367" s="30"/>
      <c r="F1367" s="30"/>
      <c r="G1367" s="30"/>
      <c r="H1367" s="30" t="s">
        <v>141</v>
      </c>
      <c r="I1367" s="30" t="s">
        <v>30</v>
      </c>
      <c r="J1367" s="30" t="s">
        <v>142</v>
      </c>
      <c r="K1367" s="30" t="s">
        <v>116</v>
      </c>
      <c r="L1367" s="30" t="s">
        <v>121</v>
      </c>
      <c r="M1367" s="48" t="s">
        <v>2903</v>
      </c>
      <c r="N1367" s="30"/>
      <c r="O1367" s="30"/>
      <c r="P1367" s="30"/>
    </row>
    <row r="1368" spans="1:16" ht="60" customHeight="1">
      <c r="A1368" s="30" t="s">
        <v>2904</v>
      </c>
      <c r="B1368" s="55" t="s">
        <v>2905</v>
      </c>
      <c r="C1368" s="51" t="s">
        <v>2906</v>
      </c>
      <c r="D1368" s="30"/>
      <c r="E1368" s="30"/>
      <c r="F1368" s="30"/>
      <c r="G1368" s="30"/>
      <c r="H1368" s="30" t="s">
        <v>141</v>
      </c>
      <c r="I1368" s="30" t="s">
        <v>30</v>
      </c>
      <c r="J1368" s="30" t="s">
        <v>142</v>
      </c>
      <c r="K1368" s="30" t="s">
        <v>116</v>
      </c>
      <c r="L1368" s="30" t="s">
        <v>121</v>
      </c>
      <c r="M1368" s="48" t="s">
        <v>2875</v>
      </c>
      <c r="N1368" s="30"/>
      <c r="O1368" s="30"/>
      <c r="P1368" s="30"/>
    </row>
    <row r="1369" spans="1:16" ht="60" customHeight="1">
      <c r="A1369" s="30" t="s">
        <v>2907</v>
      </c>
      <c r="B1369" s="47" t="s">
        <v>2908</v>
      </c>
      <c r="C1369" s="48" t="s">
        <v>2909</v>
      </c>
      <c r="D1369" s="30"/>
      <c r="E1369" s="30"/>
      <c r="F1369" s="30"/>
      <c r="G1369" s="30"/>
      <c r="H1369" s="30" t="s">
        <v>141</v>
      </c>
      <c r="I1369" s="30" t="s">
        <v>30</v>
      </c>
      <c r="J1369" s="30" t="s">
        <v>144</v>
      </c>
      <c r="K1369" s="30" t="s">
        <v>117</v>
      </c>
      <c r="L1369" s="30" t="s">
        <v>122</v>
      </c>
      <c r="M1369" s="48"/>
      <c r="N1369" s="30"/>
      <c r="O1369" s="30"/>
      <c r="P1369" s="30"/>
    </row>
    <row r="1370" spans="1:16" ht="45" customHeight="1">
      <c r="A1370" s="30" t="s">
        <v>2910</v>
      </c>
      <c r="B1370" s="47" t="s">
        <v>2908</v>
      </c>
      <c r="C1370" s="48" t="s">
        <v>2911</v>
      </c>
      <c r="D1370" s="30"/>
      <c r="E1370" s="30"/>
      <c r="F1370" s="30"/>
      <c r="G1370" s="30"/>
      <c r="H1370" s="30" t="s">
        <v>141</v>
      </c>
      <c r="I1370" s="30" t="s">
        <v>30</v>
      </c>
      <c r="J1370" s="30" t="s">
        <v>142</v>
      </c>
      <c r="K1370" s="30" t="s">
        <v>116</v>
      </c>
      <c r="L1370" s="30" t="s">
        <v>121</v>
      </c>
      <c r="M1370" s="48" t="s">
        <v>706</v>
      </c>
      <c r="N1370" s="30"/>
      <c r="O1370" s="30"/>
      <c r="P1370" s="30"/>
    </row>
    <row r="1371" spans="1:16" ht="45" customHeight="1">
      <c r="A1371" s="30" t="s">
        <v>2912</v>
      </c>
      <c r="B1371" s="47" t="s">
        <v>2908</v>
      </c>
      <c r="C1371" s="48" t="s">
        <v>2913</v>
      </c>
      <c r="D1371" s="30"/>
      <c r="E1371" s="30"/>
      <c r="F1371" s="30"/>
      <c r="G1371" s="30"/>
      <c r="H1371" s="30" t="s">
        <v>141</v>
      </c>
      <c r="I1371" s="30" t="s">
        <v>30</v>
      </c>
      <c r="J1371" s="30" t="s">
        <v>144</v>
      </c>
      <c r="K1371" s="30" t="s">
        <v>117</v>
      </c>
      <c r="L1371" s="30" t="s">
        <v>122</v>
      </c>
      <c r="M1371" s="48" t="s">
        <v>706</v>
      </c>
      <c r="N1371" s="30"/>
      <c r="O1371" s="30"/>
      <c r="P1371" s="30"/>
    </row>
    <row r="1372" spans="1:16" ht="45" customHeight="1">
      <c r="A1372" s="30" t="s">
        <v>2914</v>
      </c>
      <c r="B1372" s="47" t="s">
        <v>2908</v>
      </c>
      <c r="C1372" s="48" t="s">
        <v>2915</v>
      </c>
      <c r="D1372" s="30"/>
      <c r="E1372" s="30"/>
      <c r="F1372" s="30"/>
      <c r="G1372" s="30"/>
      <c r="H1372" s="30" t="s">
        <v>141</v>
      </c>
      <c r="I1372" s="30" t="s">
        <v>30</v>
      </c>
      <c r="J1372" s="30" t="s">
        <v>142</v>
      </c>
      <c r="K1372" s="30" t="s">
        <v>116</v>
      </c>
      <c r="L1372" s="30" t="s">
        <v>121</v>
      </c>
      <c r="M1372" s="48" t="s">
        <v>2916</v>
      </c>
      <c r="N1372" s="30"/>
      <c r="O1372" s="30"/>
      <c r="P1372" s="30"/>
    </row>
    <row r="1373" spans="1:16" ht="90" customHeight="1">
      <c r="A1373" s="30" t="s">
        <v>2917</v>
      </c>
      <c r="B1373" s="47" t="s">
        <v>2908</v>
      </c>
      <c r="C1373" s="48" t="s">
        <v>2918</v>
      </c>
      <c r="D1373" s="30"/>
      <c r="E1373" s="30"/>
      <c r="F1373" s="30"/>
      <c r="G1373" s="30"/>
      <c r="H1373" s="30" t="s">
        <v>141</v>
      </c>
      <c r="I1373" s="30" t="s">
        <v>30</v>
      </c>
      <c r="J1373" s="30" t="s">
        <v>142</v>
      </c>
      <c r="K1373" s="30" t="s">
        <v>116</v>
      </c>
      <c r="L1373" s="30" t="s">
        <v>121</v>
      </c>
      <c r="M1373" s="48" t="s">
        <v>2916</v>
      </c>
      <c r="N1373" s="30"/>
      <c r="O1373" s="30"/>
      <c r="P1373" s="30"/>
    </row>
    <row r="1374" spans="1:16" ht="45" customHeight="1">
      <c r="A1374" s="30" t="s">
        <v>2919</v>
      </c>
      <c r="B1374" s="50" t="s">
        <v>2908</v>
      </c>
      <c r="C1374" s="52" t="s">
        <v>3938</v>
      </c>
      <c r="D1374" s="30"/>
      <c r="E1374" s="30"/>
      <c r="F1374" s="30"/>
      <c r="G1374" t="s">
        <v>133</v>
      </c>
      <c r="H1374" s="30" t="s">
        <v>141</v>
      </c>
      <c r="I1374" s="30" t="s">
        <v>30</v>
      </c>
      <c r="J1374" s="30" t="s">
        <v>145</v>
      </c>
      <c r="K1374" s="30" t="s">
        <v>116</v>
      </c>
      <c r="L1374" s="30" t="s">
        <v>143</v>
      </c>
      <c r="M1374" s="48" t="s">
        <v>4119</v>
      </c>
      <c r="N1374" s="30"/>
      <c r="O1374" s="30"/>
      <c r="P1374" s="30"/>
    </row>
    <row r="1375" spans="1:16" ht="180" customHeight="1">
      <c r="A1375" s="30" t="s">
        <v>2920</v>
      </c>
      <c r="B1375" s="47" t="s">
        <v>2908</v>
      </c>
      <c r="C1375" s="48" t="s">
        <v>2921</v>
      </c>
      <c r="D1375" s="30"/>
      <c r="E1375" s="30"/>
      <c r="F1375" s="30"/>
      <c r="G1375" s="30"/>
      <c r="H1375" s="30" t="s">
        <v>141</v>
      </c>
      <c r="I1375" s="30" t="s">
        <v>30</v>
      </c>
      <c r="J1375" s="30" t="s">
        <v>142</v>
      </c>
      <c r="K1375" s="30" t="s">
        <v>116</v>
      </c>
      <c r="L1375" s="30" t="s">
        <v>121</v>
      </c>
      <c r="M1375" s="48" t="s">
        <v>2916</v>
      </c>
      <c r="N1375" s="30"/>
      <c r="O1375" s="30"/>
      <c r="P1375" s="30"/>
    </row>
    <row r="1376" spans="1:16" ht="60" customHeight="1">
      <c r="A1376" s="30" t="s">
        <v>2922</v>
      </c>
      <c r="B1376" s="47" t="s">
        <v>2908</v>
      </c>
      <c r="C1376" s="48" t="s">
        <v>2923</v>
      </c>
      <c r="D1376" s="30"/>
      <c r="E1376" s="30"/>
      <c r="F1376" s="30"/>
      <c r="G1376" s="30"/>
      <c r="H1376" s="30" t="s">
        <v>141</v>
      </c>
      <c r="I1376" s="30" t="s">
        <v>30</v>
      </c>
      <c r="J1376" s="30" t="s">
        <v>144</v>
      </c>
      <c r="K1376" s="30" t="s">
        <v>117</v>
      </c>
      <c r="L1376" s="30" t="s">
        <v>122</v>
      </c>
      <c r="M1376" s="48"/>
      <c r="N1376" s="30"/>
      <c r="O1376" s="30"/>
      <c r="P1376" s="30"/>
    </row>
    <row r="1377" spans="1:16" ht="45" customHeight="1">
      <c r="A1377" s="30" t="s">
        <v>2924</v>
      </c>
      <c r="B1377" s="47" t="s">
        <v>2908</v>
      </c>
      <c r="C1377" s="48" t="s">
        <v>2925</v>
      </c>
      <c r="D1377" s="30"/>
      <c r="E1377" s="30"/>
      <c r="F1377" s="30"/>
      <c r="G1377" s="30"/>
      <c r="H1377" s="30" t="s">
        <v>141</v>
      </c>
      <c r="I1377" s="30" t="s">
        <v>30</v>
      </c>
      <c r="J1377" s="30" t="s">
        <v>142</v>
      </c>
      <c r="K1377" s="30" t="s">
        <v>116</v>
      </c>
      <c r="L1377" s="30" t="s">
        <v>121</v>
      </c>
      <c r="M1377" s="48" t="s">
        <v>2916</v>
      </c>
      <c r="N1377" s="30"/>
      <c r="O1377" s="30"/>
      <c r="P1377" s="30"/>
    </row>
    <row r="1378" spans="1:16" ht="120" customHeight="1">
      <c r="A1378" s="30" t="s">
        <v>2926</v>
      </c>
      <c r="B1378" s="47" t="s">
        <v>2908</v>
      </c>
      <c r="C1378" s="48" t="s">
        <v>2927</v>
      </c>
      <c r="D1378" s="30"/>
      <c r="E1378" s="30"/>
      <c r="F1378" s="30"/>
      <c r="G1378" s="30"/>
      <c r="H1378" s="30" t="s">
        <v>141</v>
      </c>
      <c r="I1378" s="30" t="s">
        <v>30</v>
      </c>
      <c r="J1378" s="30" t="s">
        <v>142</v>
      </c>
      <c r="K1378" s="30" t="s">
        <v>116</v>
      </c>
      <c r="L1378" s="30" t="s">
        <v>121</v>
      </c>
      <c r="M1378" s="48" t="s">
        <v>2916</v>
      </c>
      <c r="N1378" s="30"/>
      <c r="O1378" s="30"/>
      <c r="P1378" s="30"/>
    </row>
    <row r="1379" spans="1:16" ht="90" customHeight="1">
      <c r="A1379" s="30" t="s">
        <v>2928</v>
      </c>
      <c r="B1379" s="47" t="s">
        <v>2908</v>
      </c>
      <c r="C1379" s="48" t="s">
        <v>2929</v>
      </c>
      <c r="D1379" s="30"/>
      <c r="E1379" s="30"/>
      <c r="F1379" s="30"/>
      <c r="G1379" t="s">
        <v>133</v>
      </c>
      <c r="H1379" s="30" t="s">
        <v>141</v>
      </c>
      <c r="I1379" s="30" t="s">
        <v>30</v>
      </c>
      <c r="J1379" s="30" t="s">
        <v>142</v>
      </c>
      <c r="K1379" s="30" t="s">
        <v>116</v>
      </c>
      <c r="L1379" s="30" t="s">
        <v>143</v>
      </c>
      <c r="M1379" s="48" t="s">
        <v>4140</v>
      </c>
      <c r="N1379" s="30"/>
      <c r="O1379" s="30"/>
      <c r="P1379" s="30"/>
    </row>
    <row r="1380" spans="1:16" ht="90" customHeight="1">
      <c r="A1380" s="30" t="s">
        <v>2930</v>
      </c>
      <c r="B1380" s="47" t="s">
        <v>2908</v>
      </c>
      <c r="C1380" s="48" t="s">
        <v>2931</v>
      </c>
      <c r="D1380" s="30"/>
      <c r="E1380" s="30"/>
      <c r="F1380" s="30"/>
      <c r="G1380" t="s">
        <v>133</v>
      </c>
      <c r="H1380" s="30" t="s">
        <v>141</v>
      </c>
      <c r="I1380" s="30" t="s">
        <v>30</v>
      </c>
      <c r="J1380" s="30" t="s">
        <v>142</v>
      </c>
      <c r="K1380" s="30" t="s">
        <v>116</v>
      </c>
      <c r="L1380" s="30" t="s">
        <v>143</v>
      </c>
      <c r="M1380" s="48" t="s">
        <v>4140</v>
      </c>
      <c r="N1380" s="30"/>
      <c r="O1380" s="30"/>
      <c r="P1380" s="30"/>
    </row>
    <row r="1381" spans="1:16" ht="105" customHeight="1">
      <c r="A1381" s="30" t="s">
        <v>2932</v>
      </c>
      <c r="B1381" s="47" t="s">
        <v>2908</v>
      </c>
      <c r="C1381" s="48" t="s">
        <v>2933</v>
      </c>
      <c r="D1381" s="30"/>
      <c r="E1381" s="30"/>
      <c r="F1381" s="30"/>
      <c r="G1381" s="30"/>
      <c r="H1381" s="30" t="s">
        <v>141</v>
      </c>
      <c r="I1381" s="30" t="s">
        <v>30</v>
      </c>
      <c r="J1381" s="30" t="s">
        <v>142</v>
      </c>
      <c r="K1381" s="30" t="s">
        <v>116</v>
      </c>
      <c r="L1381" s="30" t="s">
        <v>121</v>
      </c>
      <c r="M1381" s="48" t="s">
        <v>706</v>
      </c>
      <c r="N1381" s="30"/>
      <c r="O1381" s="30"/>
      <c r="P1381" s="30"/>
    </row>
    <row r="1382" spans="1:16" ht="105" customHeight="1">
      <c r="A1382" s="30" t="s">
        <v>2934</v>
      </c>
      <c r="B1382" s="47" t="s">
        <v>2935</v>
      </c>
      <c r="C1382" s="48" t="s">
        <v>2936</v>
      </c>
      <c r="D1382" s="30"/>
      <c r="E1382" s="30"/>
      <c r="F1382" s="30"/>
      <c r="G1382" t="s">
        <v>133</v>
      </c>
      <c r="H1382" s="30" t="s">
        <v>141</v>
      </c>
      <c r="I1382" s="30" t="s">
        <v>30</v>
      </c>
      <c r="J1382" s="30" t="s">
        <v>142</v>
      </c>
      <c r="K1382" s="30" t="s">
        <v>116</v>
      </c>
      <c r="L1382" s="30" t="s">
        <v>143</v>
      </c>
      <c r="M1382" s="48"/>
      <c r="N1382" s="30"/>
      <c r="O1382" s="30"/>
      <c r="P1382" s="30"/>
    </row>
    <row r="1383" spans="1:16" ht="30" customHeight="1">
      <c r="A1383" s="30" t="s">
        <v>2937</v>
      </c>
      <c r="B1383" s="47" t="s">
        <v>2935</v>
      </c>
      <c r="C1383" s="48" t="s">
        <v>3946</v>
      </c>
      <c r="D1383" s="30"/>
      <c r="E1383" s="30"/>
      <c r="F1383" s="30"/>
      <c r="H1383" s="30" t="s">
        <v>141</v>
      </c>
      <c r="I1383" s="30" t="s">
        <v>30</v>
      </c>
      <c r="J1383" s="30" t="s">
        <v>144</v>
      </c>
      <c r="K1383" s="30" t="s">
        <v>116</v>
      </c>
      <c r="L1383" s="30" t="s">
        <v>121</v>
      </c>
      <c r="M1383" t="s">
        <v>4074</v>
      </c>
      <c r="N1383" s="30"/>
      <c r="O1383" s="30"/>
      <c r="P1383" s="30"/>
    </row>
    <row r="1384" spans="1:16" ht="75" customHeight="1">
      <c r="A1384" s="30" t="s">
        <v>2938</v>
      </c>
      <c r="B1384" s="47" t="s">
        <v>2935</v>
      </c>
      <c r="C1384" s="48" t="s">
        <v>4060</v>
      </c>
      <c r="D1384" s="30"/>
      <c r="E1384" s="30"/>
      <c r="F1384" s="30"/>
      <c r="G1384" t="s">
        <v>133</v>
      </c>
      <c r="H1384" s="30" t="s">
        <v>141</v>
      </c>
      <c r="I1384" s="30" t="s">
        <v>30</v>
      </c>
      <c r="J1384" s="30" t="s">
        <v>142</v>
      </c>
      <c r="K1384" s="30" t="s">
        <v>116</v>
      </c>
      <c r="L1384" s="30" t="s">
        <v>143</v>
      </c>
      <c r="M1384" s="48"/>
      <c r="N1384" s="30"/>
      <c r="O1384" s="30"/>
      <c r="P1384" s="30"/>
    </row>
    <row r="1385" spans="1:16" ht="75" customHeight="1">
      <c r="A1385" s="30" t="s">
        <v>4059</v>
      </c>
      <c r="B1385" s="47" t="s">
        <v>2935</v>
      </c>
      <c r="C1385" s="48" t="s">
        <v>4061</v>
      </c>
      <c r="D1385" s="30"/>
      <c r="E1385" s="30"/>
      <c r="F1385" s="30"/>
      <c r="G1385" t="s">
        <v>133</v>
      </c>
      <c r="H1385" s="30" t="s">
        <v>141</v>
      </c>
      <c r="I1385" s="30" t="s">
        <v>30</v>
      </c>
      <c r="J1385" s="30" t="s">
        <v>142</v>
      </c>
      <c r="K1385" s="30" t="s">
        <v>116</v>
      </c>
      <c r="L1385" s="30" t="s">
        <v>143</v>
      </c>
      <c r="M1385" s="48"/>
      <c r="N1385" s="30"/>
      <c r="O1385" s="30"/>
      <c r="P1385" s="30"/>
    </row>
    <row r="1386" spans="1:16" ht="60" customHeight="1">
      <c r="A1386" s="30" t="s">
        <v>2939</v>
      </c>
      <c r="B1386" s="47" t="s">
        <v>2935</v>
      </c>
      <c r="C1386" s="48" t="s">
        <v>2940</v>
      </c>
      <c r="D1386" s="30"/>
      <c r="E1386" s="30"/>
      <c r="F1386" s="30"/>
      <c r="H1386" s="30" t="s">
        <v>141</v>
      </c>
      <c r="I1386" s="30" t="s">
        <v>30</v>
      </c>
      <c r="J1386" s="30" t="s">
        <v>144</v>
      </c>
      <c r="K1386" s="30" t="s">
        <v>117</v>
      </c>
      <c r="L1386" s="30" t="s">
        <v>122</v>
      </c>
      <c r="M1386" s="48"/>
      <c r="N1386" s="30"/>
      <c r="O1386" s="30"/>
      <c r="P1386" s="30"/>
    </row>
    <row r="1387" spans="1:16" ht="75" customHeight="1">
      <c r="A1387" s="30" t="s">
        <v>2941</v>
      </c>
      <c r="B1387" s="47" t="s">
        <v>2942</v>
      </c>
      <c r="C1387" s="48" t="s">
        <v>2943</v>
      </c>
      <c r="D1387" s="30"/>
      <c r="E1387" s="30"/>
      <c r="F1387" s="30"/>
      <c r="G1387" s="30"/>
      <c r="H1387" s="30" t="s">
        <v>141</v>
      </c>
      <c r="I1387" s="30" t="s">
        <v>30</v>
      </c>
      <c r="J1387" s="30" t="s">
        <v>144</v>
      </c>
      <c r="K1387" s="30" t="s">
        <v>117</v>
      </c>
      <c r="L1387" s="30" t="s">
        <v>122</v>
      </c>
      <c r="M1387" s="48"/>
      <c r="N1387" s="30"/>
      <c r="O1387" s="30"/>
      <c r="P1387" s="30"/>
    </row>
    <row r="1388" spans="1:16" ht="75" customHeight="1">
      <c r="A1388" s="30" t="s">
        <v>2944</v>
      </c>
      <c r="B1388" s="47" t="s">
        <v>2942</v>
      </c>
      <c r="C1388" s="48" t="s">
        <v>2945</v>
      </c>
      <c r="D1388" s="30"/>
      <c r="E1388" s="30"/>
      <c r="F1388" s="30"/>
      <c r="G1388" t="s">
        <v>133</v>
      </c>
      <c r="H1388" s="30" t="s">
        <v>141</v>
      </c>
      <c r="I1388" s="30" t="s">
        <v>30</v>
      </c>
      <c r="J1388" s="30" t="s">
        <v>142</v>
      </c>
      <c r="K1388" s="30" t="s">
        <v>116</v>
      </c>
      <c r="L1388" s="30" t="s">
        <v>146</v>
      </c>
      <c r="M1388" s="48"/>
      <c r="N1388" s="30"/>
      <c r="O1388" s="30"/>
      <c r="P1388" s="30"/>
    </row>
    <row r="1389" spans="1:16" ht="120" customHeight="1">
      <c r="A1389" s="30" t="s">
        <v>2946</v>
      </c>
      <c r="B1389" s="47" t="s">
        <v>2942</v>
      </c>
      <c r="C1389" s="48" t="s">
        <v>2947</v>
      </c>
      <c r="D1389" s="30"/>
      <c r="E1389" s="30"/>
      <c r="F1389" s="30"/>
      <c r="G1389" t="s">
        <v>133</v>
      </c>
      <c r="H1389" s="30" t="s">
        <v>141</v>
      </c>
      <c r="I1389" s="30" t="s">
        <v>30</v>
      </c>
      <c r="J1389" s="30" t="s">
        <v>145</v>
      </c>
      <c r="K1389" s="30" t="s">
        <v>116</v>
      </c>
      <c r="L1389" s="30" t="s">
        <v>143</v>
      </c>
      <c r="M1389" s="48"/>
      <c r="N1389" s="30"/>
      <c r="O1389" s="30"/>
      <c r="P1389" s="30"/>
    </row>
    <row r="1390" spans="1:16" ht="120" customHeight="1">
      <c r="A1390" s="30" t="s">
        <v>2948</v>
      </c>
      <c r="B1390" s="47" t="s">
        <v>2942</v>
      </c>
      <c r="C1390" s="48" t="s">
        <v>2949</v>
      </c>
      <c r="D1390" s="30"/>
      <c r="E1390" s="30"/>
      <c r="F1390" s="30" t="s">
        <v>4200</v>
      </c>
      <c r="G1390" t="s">
        <v>133</v>
      </c>
      <c r="H1390" s="30" t="s">
        <v>149</v>
      </c>
      <c r="I1390" s="30" t="s">
        <v>30</v>
      </c>
      <c r="J1390" s="30" t="s">
        <v>145</v>
      </c>
      <c r="K1390" s="30" t="s">
        <v>116</v>
      </c>
      <c r="L1390" s="30" t="s">
        <v>143</v>
      </c>
      <c r="M1390" s="48"/>
      <c r="N1390" s="30"/>
      <c r="O1390" s="30"/>
      <c r="P1390" s="30"/>
    </row>
    <row r="1391" spans="1:16" ht="60" customHeight="1">
      <c r="A1391" s="30" t="s">
        <v>2950</v>
      </c>
      <c r="B1391" s="50" t="s">
        <v>2942</v>
      </c>
      <c r="C1391" s="51" t="s">
        <v>2951</v>
      </c>
      <c r="D1391" s="30"/>
      <c r="E1391" s="30"/>
      <c r="F1391" s="30"/>
      <c r="G1391" t="s">
        <v>133</v>
      </c>
      <c r="H1391" s="30" t="s">
        <v>141</v>
      </c>
      <c r="I1391" s="30" t="s">
        <v>30</v>
      </c>
      <c r="J1391" s="30" t="s">
        <v>142</v>
      </c>
      <c r="K1391" s="30" t="s">
        <v>116</v>
      </c>
      <c r="L1391" s="30" t="s">
        <v>146</v>
      </c>
      <c r="M1391" s="48"/>
      <c r="N1391" s="30"/>
      <c r="O1391" s="30"/>
      <c r="P1391" s="30"/>
    </row>
    <row r="1392" spans="1:16" ht="90" customHeight="1">
      <c r="A1392" s="30" t="s">
        <v>2952</v>
      </c>
      <c r="B1392" s="47" t="s">
        <v>2942</v>
      </c>
      <c r="C1392" s="48" t="s">
        <v>2953</v>
      </c>
      <c r="D1392" s="30"/>
      <c r="E1392" s="30"/>
      <c r="F1392" s="30"/>
      <c r="G1392" s="30"/>
      <c r="H1392" s="30" t="s">
        <v>141</v>
      </c>
      <c r="I1392" s="30" t="s">
        <v>30</v>
      </c>
      <c r="J1392" s="30" t="s">
        <v>145</v>
      </c>
      <c r="K1392" s="30" t="s">
        <v>116</v>
      </c>
      <c r="L1392" s="30" t="s">
        <v>121</v>
      </c>
      <c r="M1392" s="48" t="s">
        <v>316</v>
      </c>
      <c r="N1392" s="54"/>
      <c r="O1392" s="30"/>
      <c r="P1392" s="30"/>
    </row>
    <row r="1393" spans="1:16" ht="75" customHeight="1">
      <c r="A1393" s="30" t="s">
        <v>2954</v>
      </c>
      <c r="B1393" s="47" t="s">
        <v>2942</v>
      </c>
      <c r="C1393" s="48" t="s">
        <v>2955</v>
      </c>
      <c r="D1393" s="30"/>
      <c r="E1393" s="30"/>
      <c r="F1393" s="30"/>
      <c r="H1393" s="30" t="s">
        <v>141</v>
      </c>
      <c r="I1393" s="30" t="s">
        <v>30</v>
      </c>
      <c r="J1393" s="30" t="s">
        <v>142</v>
      </c>
      <c r="K1393" s="30" t="s">
        <v>116</v>
      </c>
      <c r="L1393" s="30" t="s">
        <v>121</v>
      </c>
      <c r="M1393" s="48" t="s">
        <v>316</v>
      </c>
      <c r="N1393" s="30"/>
      <c r="O1393" s="30"/>
      <c r="P1393" s="30"/>
    </row>
    <row r="1394" spans="1:16" ht="45" customHeight="1">
      <c r="A1394" s="30" t="s">
        <v>2956</v>
      </c>
      <c r="B1394" s="47" t="s">
        <v>2942</v>
      </c>
      <c r="C1394" s="48" t="s">
        <v>2957</v>
      </c>
      <c r="D1394" s="30"/>
      <c r="E1394" s="30"/>
      <c r="F1394" s="30"/>
      <c r="G1394" s="30"/>
      <c r="H1394" s="30" t="s">
        <v>141</v>
      </c>
      <c r="I1394" s="30" t="s">
        <v>30</v>
      </c>
      <c r="J1394" s="30" t="s">
        <v>142</v>
      </c>
      <c r="K1394" s="30" t="s">
        <v>116</v>
      </c>
      <c r="L1394" s="30" t="s">
        <v>121</v>
      </c>
      <c r="M1394" s="48" t="s">
        <v>2916</v>
      </c>
      <c r="N1394" s="30"/>
      <c r="O1394" s="30"/>
      <c r="P1394" s="30"/>
    </row>
    <row r="1395" spans="1:16" ht="75" customHeight="1">
      <c r="A1395" s="30" t="s">
        <v>2958</v>
      </c>
      <c r="B1395" s="47" t="s">
        <v>2942</v>
      </c>
      <c r="C1395" s="48" t="s">
        <v>2959</v>
      </c>
      <c r="D1395" s="30"/>
      <c r="E1395" s="30"/>
      <c r="F1395" s="30"/>
      <c r="G1395" s="30"/>
      <c r="H1395" s="30" t="s">
        <v>141</v>
      </c>
      <c r="I1395" s="30" t="s">
        <v>30</v>
      </c>
      <c r="J1395" s="30" t="s">
        <v>142</v>
      </c>
      <c r="K1395" s="30" t="s">
        <v>116</v>
      </c>
      <c r="L1395" s="30" t="s">
        <v>121</v>
      </c>
      <c r="M1395" s="48" t="s">
        <v>2916</v>
      </c>
      <c r="N1395" s="30"/>
      <c r="O1395" s="30"/>
      <c r="P1395" s="30"/>
    </row>
    <row r="1396" spans="1:16" ht="60" customHeight="1">
      <c r="A1396" s="30" t="s">
        <v>2960</v>
      </c>
      <c r="B1396" s="47" t="s">
        <v>2942</v>
      </c>
      <c r="C1396" s="48" t="s">
        <v>3947</v>
      </c>
      <c r="D1396" s="30"/>
      <c r="E1396" s="30"/>
      <c r="F1396" s="30"/>
      <c r="G1396" t="s">
        <v>133</v>
      </c>
      <c r="H1396" s="30" t="s">
        <v>141</v>
      </c>
      <c r="I1396" s="30" t="s">
        <v>30</v>
      </c>
      <c r="J1396" s="30" t="s">
        <v>142</v>
      </c>
      <c r="K1396" s="30" t="s">
        <v>116</v>
      </c>
      <c r="L1396" s="30" t="s">
        <v>143</v>
      </c>
      <c r="M1396" s="48"/>
      <c r="N1396" s="30"/>
      <c r="O1396" s="30"/>
      <c r="P1396" s="30"/>
    </row>
    <row r="1397" spans="1:16" ht="105" customHeight="1">
      <c r="A1397" s="30" t="s">
        <v>2961</v>
      </c>
      <c r="B1397" s="47" t="s">
        <v>2962</v>
      </c>
      <c r="C1397" s="48" t="s">
        <v>2963</v>
      </c>
      <c r="D1397" s="30"/>
      <c r="E1397" s="30"/>
      <c r="F1397" s="30"/>
      <c r="G1397" s="30"/>
      <c r="H1397" s="30" t="s">
        <v>141</v>
      </c>
      <c r="I1397" s="30" t="s">
        <v>30</v>
      </c>
      <c r="J1397" s="30" t="s">
        <v>144</v>
      </c>
      <c r="K1397" s="30" t="s">
        <v>117</v>
      </c>
      <c r="L1397" s="30" t="s">
        <v>122</v>
      </c>
      <c r="M1397" s="48"/>
      <c r="N1397" s="30"/>
      <c r="O1397" s="30"/>
      <c r="P1397" s="30"/>
    </row>
    <row r="1398" spans="1:16" ht="90" customHeight="1">
      <c r="A1398" s="30" t="s">
        <v>2964</v>
      </c>
      <c r="B1398" s="47" t="s">
        <v>2962</v>
      </c>
      <c r="C1398" s="48" t="s">
        <v>2965</v>
      </c>
      <c r="D1398" s="30"/>
      <c r="E1398" s="30"/>
      <c r="F1398" s="30"/>
      <c r="G1398" s="30"/>
      <c r="H1398" s="30" t="s">
        <v>141</v>
      </c>
      <c r="I1398" s="30" t="s">
        <v>30</v>
      </c>
      <c r="J1398" s="30" t="s">
        <v>142</v>
      </c>
      <c r="K1398" s="30" t="s">
        <v>116</v>
      </c>
      <c r="L1398" s="30" t="s">
        <v>121</v>
      </c>
      <c r="M1398" s="48" t="s">
        <v>2916</v>
      </c>
      <c r="N1398" s="30"/>
      <c r="O1398" s="30"/>
      <c r="P1398" s="30"/>
    </row>
    <row r="1399" spans="1:16" ht="75" customHeight="1">
      <c r="A1399" s="30" t="s">
        <v>2966</v>
      </c>
      <c r="B1399" s="47" t="s">
        <v>2962</v>
      </c>
      <c r="C1399" s="48" t="s">
        <v>2967</v>
      </c>
      <c r="D1399" s="30"/>
      <c r="E1399" s="30"/>
      <c r="F1399" s="30"/>
      <c r="G1399" s="30"/>
      <c r="H1399" s="30" t="s">
        <v>141</v>
      </c>
      <c r="I1399" s="30" t="s">
        <v>30</v>
      </c>
      <c r="J1399" s="30" t="s">
        <v>142</v>
      </c>
      <c r="K1399" s="30" t="s">
        <v>116</v>
      </c>
      <c r="L1399" s="30" t="s">
        <v>121</v>
      </c>
      <c r="M1399" s="48" t="s">
        <v>4080</v>
      </c>
      <c r="N1399" s="30"/>
      <c r="O1399" s="30"/>
      <c r="P1399" s="30"/>
    </row>
    <row r="1400" spans="1:16" ht="90" customHeight="1">
      <c r="A1400" s="30" t="s">
        <v>2968</v>
      </c>
      <c r="B1400" s="47" t="s">
        <v>2962</v>
      </c>
      <c r="C1400" s="48" t="s">
        <v>2969</v>
      </c>
      <c r="D1400" s="30"/>
      <c r="E1400" s="30"/>
      <c r="F1400" s="30"/>
      <c r="H1400" s="30" t="s">
        <v>141</v>
      </c>
      <c r="I1400" s="30" t="s">
        <v>30</v>
      </c>
      <c r="J1400" s="30" t="s">
        <v>144</v>
      </c>
      <c r="K1400" s="30" t="s">
        <v>117</v>
      </c>
      <c r="L1400" s="30" t="s">
        <v>3664</v>
      </c>
      <c r="M1400" s="51" t="s">
        <v>4045</v>
      </c>
      <c r="N1400" s="30"/>
      <c r="O1400" s="30"/>
      <c r="P1400" s="30"/>
    </row>
    <row r="1401" spans="1:16" ht="75" customHeight="1">
      <c r="A1401" s="30" t="s">
        <v>2970</v>
      </c>
      <c r="B1401" s="47" t="s">
        <v>2962</v>
      </c>
      <c r="C1401" s="48" t="s">
        <v>2971</v>
      </c>
      <c r="D1401" s="30"/>
      <c r="E1401" s="30"/>
      <c r="F1401" s="30"/>
      <c r="G1401" s="30"/>
      <c r="H1401" s="30" t="s">
        <v>141</v>
      </c>
      <c r="I1401" s="30" t="s">
        <v>30</v>
      </c>
      <c r="J1401" s="30" t="s">
        <v>142</v>
      </c>
      <c r="K1401" s="30" t="s">
        <v>116</v>
      </c>
      <c r="L1401" s="30" t="s">
        <v>121</v>
      </c>
      <c r="M1401" s="48" t="s">
        <v>706</v>
      </c>
      <c r="N1401" s="30"/>
      <c r="O1401" s="30"/>
      <c r="P1401" s="30"/>
    </row>
    <row r="1402" spans="1:16" ht="90" customHeight="1">
      <c r="A1402" s="30" t="s">
        <v>2972</v>
      </c>
      <c r="B1402" s="47" t="s">
        <v>2962</v>
      </c>
      <c r="C1402" s="48" t="s">
        <v>2973</v>
      </c>
      <c r="D1402" s="30"/>
      <c r="E1402" s="30"/>
      <c r="F1402" s="30"/>
      <c r="G1402" s="30"/>
      <c r="H1402" s="30" t="s">
        <v>141</v>
      </c>
      <c r="I1402" s="30" t="s">
        <v>30</v>
      </c>
      <c r="J1402" s="30" t="s">
        <v>144</v>
      </c>
      <c r="K1402" s="30" t="s">
        <v>117</v>
      </c>
      <c r="L1402" s="30" t="s">
        <v>122</v>
      </c>
      <c r="M1402" s="48"/>
      <c r="N1402" s="30"/>
      <c r="O1402" s="30"/>
      <c r="P1402" s="30"/>
    </row>
    <row r="1403" spans="1:16" ht="60" customHeight="1">
      <c r="A1403" s="30" t="s">
        <v>2974</v>
      </c>
      <c r="B1403" s="47" t="s">
        <v>2962</v>
      </c>
      <c r="C1403" s="48" t="s">
        <v>2975</v>
      </c>
      <c r="D1403" s="30"/>
      <c r="E1403" s="30"/>
      <c r="F1403" s="30"/>
      <c r="G1403" s="30"/>
      <c r="H1403" s="30" t="s">
        <v>141</v>
      </c>
      <c r="I1403" s="30" t="s">
        <v>30</v>
      </c>
      <c r="J1403" s="30" t="s">
        <v>144</v>
      </c>
      <c r="K1403" s="30" t="s">
        <v>117</v>
      </c>
      <c r="L1403" s="30" t="s">
        <v>122</v>
      </c>
      <c r="M1403" s="48"/>
      <c r="N1403" s="30"/>
      <c r="O1403" s="30"/>
      <c r="P1403" s="30"/>
    </row>
    <row r="1404" spans="1:16" ht="90" customHeight="1">
      <c r="A1404" s="30" t="s">
        <v>2976</v>
      </c>
      <c r="B1404" s="47" t="s">
        <v>2962</v>
      </c>
      <c r="C1404" s="48" t="s">
        <v>2977</v>
      </c>
      <c r="D1404" s="30"/>
      <c r="E1404" s="30"/>
      <c r="F1404" s="30"/>
      <c r="G1404" s="30"/>
      <c r="H1404" s="30" t="s">
        <v>141</v>
      </c>
      <c r="I1404" s="30" t="s">
        <v>30</v>
      </c>
      <c r="J1404" s="30" t="s">
        <v>144</v>
      </c>
      <c r="K1404" s="30" t="s">
        <v>117</v>
      </c>
      <c r="L1404" s="30" t="s">
        <v>122</v>
      </c>
      <c r="M1404" s="48"/>
      <c r="N1404" s="30"/>
      <c r="O1404" s="30"/>
      <c r="P1404" s="30"/>
    </row>
    <row r="1405" spans="1:16" ht="60" customHeight="1">
      <c r="A1405" s="30" t="s">
        <v>2978</v>
      </c>
      <c r="B1405" s="47" t="s">
        <v>2962</v>
      </c>
      <c r="C1405" s="48" t="s">
        <v>2979</v>
      </c>
      <c r="D1405" s="30"/>
      <c r="E1405" s="30"/>
      <c r="F1405" s="30"/>
      <c r="G1405" s="30"/>
      <c r="H1405" s="30" t="s">
        <v>141</v>
      </c>
      <c r="I1405" s="30" t="s">
        <v>30</v>
      </c>
      <c r="J1405" s="30" t="s">
        <v>142</v>
      </c>
      <c r="K1405" s="30" t="s">
        <v>116</v>
      </c>
      <c r="L1405" s="30" t="s">
        <v>121</v>
      </c>
      <c r="M1405" s="48" t="s">
        <v>466</v>
      </c>
      <c r="N1405" s="30"/>
      <c r="O1405" s="30"/>
      <c r="P1405" s="30"/>
    </row>
    <row r="1406" spans="1:16" ht="60" customHeight="1">
      <c r="A1406" s="30" t="s">
        <v>2980</v>
      </c>
      <c r="B1406" s="47" t="s">
        <v>2962</v>
      </c>
      <c r="C1406" s="48" t="s">
        <v>2981</v>
      </c>
      <c r="D1406" s="30"/>
      <c r="E1406" s="30"/>
      <c r="F1406" s="30"/>
      <c r="H1406" s="30" t="s">
        <v>141</v>
      </c>
      <c r="I1406" s="30" t="s">
        <v>30</v>
      </c>
      <c r="J1406" s="30" t="s">
        <v>142</v>
      </c>
      <c r="K1406" s="30" t="s">
        <v>116</v>
      </c>
      <c r="L1406" s="30" t="s">
        <v>121</v>
      </c>
      <c r="M1406" s="48" t="s">
        <v>2916</v>
      </c>
      <c r="N1406" s="30"/>
      <c r="O1406" s="30"/>
      <c r="P1406" s="30"/>
    </row>
    <row r="1407" spans="1:16" ht="75" customHeight="1">
      <c r="A1407" s="30" t="s">
        <v>2982</v>
      </c>
      <c r="B1407" s="47" t="s">
        <v>2962</v>
      </c>
      <c r="C1407" s="48" t="s">
        <v>2983</v>
      </c>
      <c r="D1407" s="30"/>
      <c r="E1407" s="30"/>
      <c r="F1407" s="30"/>
      <c r="G1407" t="s">
        <v>133</v>
      </c>
      <c r="H1407" s="30" t="s">
        <v>141</v>
      </c>
      <c r="I1407" s="30" t="s">
        <v>30</v>
      </c>
      <c r="J1407" s="30" t="s">
        <v>142</v>
      </c>
      <c r="K1407" s="30" t="s">
        <v>116</v>
      </c>
      <c r="L1407" s="30" t="s">
        <v>143</v>
      </c>
      <c r="M1407" s="48" t="s">
        <v>4140</v>
      </c>
      <c r="N1407" s="30"/>
      <c r="O1407" s="30"/>
      <c r="P1407" s="30"/>
    </row>
    <row r="1408" spans="1:16" ht="60" customHeight="1">
      <c r="A1408" s="30" t="s">
        <v>2984</v>
      </c>
      <c r="B1408" s="47" t="s">
        <v>2962</v>
      </c>
      <c r="C1408" s="48" t="s">
        <v>2985</v>
      </c>
      <c r="D1408" s="30"/>
      <c r="E1408" s="30"/>
      <c r="F1408" s="30"/>
      <c r="G1408" t="s">
        <v>133</v>
      </c>
      <c r="H1408" s="30" t="s">
        <v>141</v>
      </c>
      <c r="I1408" s="30" t="s">
        <v>30</v>
      </c>
      <c r="J1408" s="30" t="s">
        <v>142</v>
      </c>
      <c r="K1408" s="30" t="s">
        <v>116</v>
      </c>
      <c r="L1408" s="30" t="s">
        <v>143</v>
      </c>
      <c r="M1408" s="48"/>
      <c r="N1408" s="30"/>
      <c r="O1408" s="30"/>
      <c r="P1408" s="30"/>
    </row>
    <row r="1409" spans="1:16" ht="60" customHeight="1">
      <c r="A1409" s="30" t="s">
        <v>2986</v>
      </c>
      <c r="B1409" s="47" t="s">
        <v>2962</v>
      </c>
      <c r="C1409" s="48" t="s">
        <v>2987</v>
      </c>
      <c r="D1409" s="30"/>
      <c r="E1409" s="30"/>
      <c r="F1409" s="30"/>
      <c r="G1409" s="30"/>
      <c r="H1409" s="30" t="s">
        <v>141</v>
      </c>
      <c r="I1409" s="30" t="s">
        <v>30</v>
      </c>
      <c r="J1409" s="30" t="s">
        <v>142</v>
      </c>
      <c r="K1409" s="30" t="s">
        <v>116</v>
      </c>
      <c r="L1409" s="30" t="s">
        <v>121</v>
      </c>
      <c r="M1409" s="48" t="s">
        <v>706</v>
      </c>
      <c r="N1409" s="30"/>
      <c r="O1409" s="30"/>
      <c r="P1409" s="30"/>
    </row>
    <row r="1410" spans="1:16" s="31" customFormat="1" ht="75" customHeight="1">
      <c r="A1410" s="30" t="s">
        <v>2988</v>
      </c>
      <c r="B1410" s="50" t="s">
        <v>2962</v>
      </c>
      <c r="C1410" s="52" t="s">
        <v>4161</v>
      </c>
      <c r="D1410" s="30"/>
      <c r="E1410" s="30"/>
      <c r="F1410" s="30"/>
      <c r="G1410" s="31" t="s">
        <v>133</v>
      </c>
      <c r="H1410" s="30" t="s">
        <v>141</v>
      </c>
      <c r="I1410" s="30" t="s">
        <v>30</v>
      </c>
      <c r="J1410" s="30" t="s">
        <v>142</v>
      </c>
      <c r="K1410" s="30" t="s">
        <v>116</v>
      </c>
      <c r="L1410" s="30" t="s">
        <v>143</v>
      </c>
      <c r="M1410" s="48"/>
      <c r="N1410" s="66"/>
      <c r="O1410" s="30"/>
      <c r="P1410" s="30"/>
    </row>
    <row r="1411" spans="1:16" s="31" customFormat="1" ht="75" customHeight="1">
      <c r="A1411" s="30" t="s">
        <v>2989</v>
      </c>
      <c r="B1411" s="47" t="s">
        <v>2962</v>
      </c>
      <c r="C1411" s="51" t="s">
        <v>2990</v>
      </c>
      <c r="D1411" s="30"/>
      <c r="E1411" s="30"/>
      <c r="F1411" s="30"/>
      <c r="H1411" s="30" t="s">
        <v>149</v>
      </c>
      <c r="I1411" s="30" t="s">
        <v>30</v>
      </c>
      <c r="J1411" s="30" t="s">
        <v>144</v>
      </c>
      <c r="K1411" s="30" t="s">
        <v>117</v>
      </c>
      <c r="L1411" s="30" t="s">
        <v>3664</v>
      </c>
      <c r="M1411" s="51" t="s">
        <v>4201</v>
      </c>
      <c r="N1411" s="66"/>
      <c r="O1411" s="30"/>
      <c r="P1411" s="30"/>
    </row>
    <row r="1412" spans="1:16" s="31" customFormat="1" ht="60" customHeight="1">
      <c r="A1412" s="30" t="s">
        <v>2991</v>
      </c>
      <c r="B1412" s="47" t="s">
        <v>2962</v>
      </c>
      <c r="C1412" s="48" t="s">
        <v>4162</v>
      </c>
      <c r="D1412" s="30"/>
      <c r="E1412" s="30"/>
      <c r="F1412" s="30"/>
      <c r="H1412" s="30" t="s">
        <v>141</v>
      </c>
      <c r="I1412" s="30" t="s">
        <v>30</v>
      </c>
      <c r="J1412" s="30" t="s">
        <v>142</v>
      </c>
      <c r="K1412" s="30" t="s">
        <v>116</v>
      </c>
      <c r="L1412" s="30" t="s">
        <v>121</v>
      </c>
      <c r="M1412" s="67" t="s">
        <v>2916</v>
      </c>
      <c r="N1412" s="66"/>
      <c r="O1412" s="30"/>
      <c r="P1412" s="30"/>
    </row>
    <row r="1413" spans="1:16" s="31" customFormat="1" ht="45" customHeight="1">
      <c r="A1413" s="30" t="s">
        <v>4163</v>
      </c>
      <c r="B1413" s="47" t="s">
        <v>148</v>
      </c>
      <c r="C1413" s="48" t="s">
        <v>4164</v>
      </c>
      <c r="D1413" s="30"/>
      <c r="E1413" s="30"/>
      <c r="F1413" s="30"/>
      <c r="G1413" s="30"/>
      <c r="H1413" s="30" t="s">
        <v>149</v>
      </c>
      <c r="I1413" s="30" t="s">
        <v>30</v>
      </c>
      <c r="J1413" s="30" t="s">
        <v>144</v>
      </c>
      <c r="K1413" s="30" t="s">
        <v>117</v>
      </c>
      <c r="L1413" s="30" t="s">
        <v>122</v>
      </c>
      <c r="M1413" s="48"/>
      <c r="N1413" s="66"/>
      <c r="O1413" s="30"/>
      <c r="P1413" s="30"/>
    </row>
    <row r="1414" spans="1:16" s="31" customFormat="1" ht="45" customHeight="1">
      <c r="A1414" s="30" t="s">
        <v>4165</v>
      </c>
      <c r="B1414" s="47" t="s">
        <v>148</v>
      </c>
      <c r="C1414" s="48" t="s">
        <v>4166</v>
      </c>
      <c r="D1414" s="30"/>
      <c r="E1414" s="30"/>
      <c r="F1414" s="30"/>
      <c r="G1414" s="30"/>
      <c r="H1414" s="30" t="s">
        <v>149</v>
      </c>
      <c r="I1414" s="30" t="s">
        <v>30</v>
      </c>
      <c r="J1414" s="30" t="s">
        <v>142</v>
      </c>
      <c r="K1414" s="30" t="s">
        <v>116</v>
      </c>
      <c r="L1414" s="30" t="s">
        <v>122</v>
      </c>
      <c r="M1414" s="48" t="s">
        <v>4167</v>
      </c>
      <c r="N1414" s="66"/>
      <c r="O1414" s="30"/>
      <c r="P1414" s="30"/>
    </row>
    <row r="1415" spans="1:16" ht="60" customHeight="1">
      <c r="A1415" s="30" t="s">
        <v>2992</v>
      </c>
      <c r="B1415" s="47" t="s">
        <v>2962</v>
      </c>
      <c r="C1415" s="49" t="s">
        <v>2993</v>
      </c>
      <c r="D1415" s="30"/>
      <c r="E1415" s="30"/>
      <c r="F1415" s="30"/>
      <c r="H1415" s="30" t="s">
        <v>141</v>
      </c>
      <c r="I1415" s="30" t="s">
        <v>30</v>
      </c>
      <c r="J1415" s="30" t="s">
        <v>142</v>
      </c>
      <c r="K1415" s="30" t="s">
        <v>116</v>
      </c>
      <c r="L1415" s="30" t="s">
        <v>121</v>
      </c>
      <c r="M1415" s="48" t="s">
        <v>2916</v>
      </c>
      <c r="N1415" s="30"/>
      <c r="O1415" s="30"/>
      <c r="P1415" s="30"/>
    </row>
    <row r="1416" spans="1:16" ht="45" customHeight="1">
      <c r="A1416" s="30" t="s">
        <v>2994</v>
      </c>
      <c r="B1416" s="47" t="s">
        <v>2962</v>
      </c>
      <c r="C1416" s="49" t="s">
        <v>2995</v>
      </c>
      <c r="D1416" s="30"/>
      <c r="E1416" s="30"/>
      <c r="F1416" s="30"/>
      <c r="G1416" s="30"/>
      <c r="H1416" s="30" t="s">
        <v>141</v>
      </c>
      <c r="I1416" s="30" t="s">
        <v>30</v>
      </c>
      <c r="J1416" s="30" t="s">
        <v>144</v>
      </c>
      <c r="K1416" s="30" t="s">
        <v>117</v>
      </c>
      <c r="L1416" s="30" t="s">
        <v>122</v>
      </c>
      <c r="M1416" s="48"/>
      <c r="N1416" s="30"/>
      <c r="O1416" s="30"/>
      <c r="P1416" s="30"/>
    </row>
    <row r="1417" spans="1:16" ht="75" customHeight="1">
      <c r="A1417" s="30" t="s">
        <v>2996</v>
      </c>
      <c r="B1417" s="47" t="s">
        <v>2962</v>
      </c>
      <c r="C1417" s="48" t="s">
        <v>2997</v>
      </c>
      <c r="D1417" s="30"/>
      <c r="E1417" s="30"/>
      <c r="F1417" s="30"/>
      <c r="G1417" t="s">
        <v>133</v>
      </c>
      <c r="H1417" s="30" t="s">
        <v>141</v>
      </c>
      <c r="I1417" s="30" t="s">
        <v>30</v>
      </c>
      <c r="J1417" s="30" t="s">
        <v>142</v>
      </c>
      <c r="K1417" s="30" t="s">
        <v>116</v>
      </c>
      <c r="L1417" s="30" t="s">
        <v>143</v>
      </c>
      <c r="M1417" s="48"/>
      <c r="N1417" s="30"/>
      <c r="O1417" s="30"/>
      <c r="P1417" s="30"/>
    </row>
    <row r="1418" spans="1:16" ht="90" customHeight="1">
      <c r="A1418" s="30" t="s">
        <v>2998</v>
      </c>
      <c r="B1418" s="47" t="s">
        <v>2962</v>
      </c>
      <c r="C1418" s="48" t="s">
        <v>2999</v>
      </c>
      <c r="D1418" s="30"/>
      <c r="E1418" s="30"/>
      <c r="F1418" s="30"/>
      <c r="G1418" s="30"/>
      <c r="H1418" s="30" t="s">
        <v>141</v>
      </c>
      <c r="I1418" s="30" t="s">
        <v>30</v>
      </c>
      <c r="J1418" s="30" t="s">
        <v>142</v>
      </c>
      <c r="K1418" s="30" t="s">
        <v>116</v>
      </c>
      <c r="L1418" s="30" t="s">
        <v>121</v>
      </c>
      <c r="M1418" s="48" t="s">
        <v>706</v>
      </c>
      <c r="N1418" s="30"/>
      <c r="O1418" s="30"/>
      <c r="P1418" s="30"/>
    </row>
    <row r="1419" spans="1:16" ht="75" customHeight="1">
      <c r="A1419" s="30" t="s">
        <v>3000</v>
      </c>
      <c r="B1419" s="47" t="s">
        <v>2962</v>
      </c>
      <c r="C1419" s="48" t="s">
        <v>3001</v>
      </c>
      <c r="D1419" s="30"/>
      <c r="E1419" s="30"/>
      <c r="F1419" s="30"/>
      <c r="G1419" t="s">
        <v>133</v>
      </c>
      <c r="H1419" s="30" t="s">
        <v>141</v>
      </c>
      <c r="I1419" s="30" t="s">
        <v>30</v>
      </c>
      <c r="J1419" s="30" t="s">
        <v>142</v>
      </c>
      <c r="K1419" s="30" t="s">
        <v>116</v>
      </c>
      <c r="L1419" s="30" t="s">
        <v>143</v>
      </c>
      <c r="M1419" s="48"/>
      <c r="N1419" s="30"/>
      <c r="O1419" s="30"/>
      <c r="P1419" s="30"/>
    </row>
    <row r="1420" spans="1:16" ht="60" customHeight="1">
      <c r="A1420" s="30" t="s">
        <v>3002</v>
      </c>
      <c r="B1420" s="47" t="s">
        <v>2962</v>
      </c>
      <c r="C1420" s="48" t="s">
        <v>3003</v>
      </c>
      <c r="D1420" s="30"/>
      <c r="E1420" s="30"/>
      <c r="F1420" s="30"/>
      <c r="G1420" t="s">
        <v>133</v>
      </c>
      <c r="H1420" s="30" t="s">
        <v>141</v>
      </c>
      <c r="I1420" s="30" t="s">
        <v>30</v>
      </c>
      <c r="J1420" s="30" t="s">
        <v>142</v>
      </c>
      <c r="K1420" s="30" t="s">
        <v>116</v>
      </c>
      <c r="L1420" s="30" t="s">
        <v>143</v>
      </c>
      <c r="M1420" s="48"/>
      <c r="N1420" s="30"/>
      <c r="O1420" s="30"/>
      <c r="P1420" s="30"/>
    </row>
    <row r="1421" spans="1:16" ht="75" customHeight="1">
      <c r="A1421" s="30" t="s">
        <v>3004</v>
      </c>
      <c r="B1421" s="50" t="s">
        <v>2962</v>
      </c>
      <c r="C1421" s="51" t="s">
        <v>3005</v>
      </c>
      <c r="D1421" s="30"/>
      <c r="E1421" s="30"/>
      <c r="F1421" s="30"/>
      <c r="G1421" t="s">
        <v>133</v>
      </c>
      <c r="H1421" s="30" t="s">
        <v>141</v>
      </c>
      <c r="I1421" s="30" t="s">
        <v>30</v>
      </c>
      <c r="J1421" s="30" t="s">
        <v>142</v>
      </c>
      <c r="K1421" s="30" t="s">
        <v>116</v>
      </c>
      <c r="L1421" s="30" t="s">
        <v>143</v>
      </c>
      <c r="M1421" s="48"/>
      <c r="N1421" s="30"/>
      <c r="O1421" s="30"/>
      <c r="P1421" s="30"/>
    </row>
    <row r="1422" spans="1:16" ht="75" customHeight="1">
      <c r="A1422" s="30" t="s">
        <v>3006</v>
      </c>
      <c r="B1422" s="47" t="s">
        <v>2962</v>
      </c>
      <c r="C1422" s="51" t="s">
        <v>3007</v>
      </c>
      <c r="D1422" s="30"/>
      <c r="E1422" s="30"/>
      <c r="F1422" s="30"/>
      <c r="G1422" s="30"/>
      <c r="H1422" s="30" t="s">
        <v>141</v>
      </c>
      <c r="I1422" s="30" t="s">
        <v>30</v>
      </c>
      <c r="J1422" s="30" t="s">
        <v>142</v>
      </c>
      <c r="K1422" s="30" t="s">
        <v>116</v>
      </c>
      <c r="L1422" s="30" t="s">
        <v>121</v>
      </c>
      <c r="M1422" s="48" t="s">
        <v>3008</v>
      </c>
      <c r="N1422" s="30"/>
      <c r="O1422" s="30"/>
      <c r="P1422" s="30"/>
    </row>
    <row r="1423" spans="1:16" ht="75" customHeight="1">
      <c r="A1423" s="30" t="s">
        <v>3009</v>
      </c>
      <c r="B1423" s="47" t="s">
        <v>2962</v>
      </c>
      <c r="C1423" s="48" t="s">
        <v>3010</v>
      </c>
      <c r="D1423" s="30"/>
      <c r="E1423" s="30"/>
      <c r="F1423" s="30"/>
      <c r="G1423" s="30"/>
      <c r="H1423" s="30" t="s">
        <v>141</v>
      </c>
      <c r="I1423" s="30" t="s">
        <v>30</v>
      </c>
      <c r="J1423" s="30" t="s">
        <v>142</v>
      </c>
      <c r="K1423" s="30" t="s">
        <v>116</v>
      </c>
      <c r="L1423" s="30" t="s">
        <v>121</v>
      </c>
      <c r="M1423" s="48" t="s">
        <v>3008</v>
      </c>
      <c r="N1423" s="30"/>
      <c r="O1423" s="30"/>
      <c r="P1423" s="30"/>
    </row>
    <row r="1424" spans="1:16" ht="75" customHeight="1">
      <c r="A1424" s="30" t="s">
        <v>3011</v>
      </c>
      <c r="B1424" s="47" t="s">
        <v>2962</v>
      </c>
      <c r="C1424" s="48" t="s">
        <v>3012</v>
      </c>
      <c r="D1424" s="30"/>
      <c r="E1424" s="30"/>
      <c r="F1424" s="30"/>
      <c r="G1424" s="30"/>
      <c r="H1424" s="30" t="s">
        <v>141</v>
      </c>
      <c r="I1424" s="30" t="s">
        <v>30</v>
      </c>
      <c r="J1424" s="30" t="s">
        <v>142</v>
      </c>
      <c r="K1424" s="30" t="s">
        <v>116</v>
      </c>
      <c r="L1424" s="30" t="s">
        <v>121</v>
      </c>
      <c r="M1424" s="48" t="s">
        <v>3008</v>
      </c>
      <c r="N1424" s="30"/>
      <c r="O1424" s="30"/>
      <c r="P1424" s="30"/>
    </row>
    <row r="1425" spans="1:16" ht="60" customHeight="1">
      <c r="A1425" s="30" t="s">
        <v>3013</v>
      </c>
      <c r="B1425" s="47" t="s">
        <v>2962</v>
      </c>
      <c r="C1425" s="48" t="s">
        <v>3014</v>
      </c>
      <c r="D1425" s="30"/>
      <c r="E1425" s="30"/>
      <c r="F1425" s="30"/>
      <c r="G1425" t="s">
        <v>133</v>
      </c>
      <c r="H1425" s="30" t="s">
        <v>141</v>
      </c>
      <c r="I1425" s="30" t="s">
        <v>30</v>
      </c>
      <c r="J1425" s="30" t="s">
        <v>142</v>
      </c>
      <c r="K1425" s="30" t="s">
        <v>116</v>
      </c>
      <c r="L1425" s="30" t="s">
        <v>146</v>
      </c>
      <c r="M1425" s="48"/>
      <c r="N1425" s="30"/>
      <c r="O1425" s="30"/>
      <c r="P1425" s="30"/>
    </row>
    <row r="1426" spans="1:16" ht="75" customHeight="1">
      <c r="A1426" s="30" t="s">
        <v>3015</v>
      </c>
      <c r="B1426" s="47" t="s">
        <v>2962</v>
      </c>
      <c r="C1426" s="48" t="s">
        <v>3016</v>
      </c>
      <c r="D1426" s="30"/>
      <c r="E1426" s="30"/>
      <c r="F1426" s="30"/>
      <c r="G1426" t="s">
        <v>133</v>
      </c>
      <c r="H1426" s="30" t="s">
        <v>141</v>
      </c>
      <c r="I1426" s="30" t="s">
        <v>30</v>
      </c>
      <c r="J1426" s="30" t="s">
        <v>142</v>
      </c>
      <c r="K1426" s="30" t="s">
        <v>116</v>
      </c>
      <c r="L1426" s="30" t="s">
        <v>146</v>
      </c>
      <c r="M1426" s="48"/>
      <c r="N1426" s="30"/>
      <c r="O1426" s="30"/>
      <c r="P1426" s="30"/>
    </row>
    <row r="1427" spans="1:16" ht="90" customHeight="1">
      <c r="A1427" s="30" t="s">
        <v>3017</v>
      </c>
      <c r="B1427" s="47" t="s">
        <v>2962</v>
      </c>
      <c r="C1427" s="48" t="s">
        <v>3018</v>
      </c>
      <c r="D1427" s="30"/>
      <c r="E1427" s="30"/>
      <c r="F1427" s="30"/>
      <c r="G1427" t="s">
        <v>133</v>
      </c>
      <c r="H1427" s="30" t="s">
        <v>141</v>
      </c>
      <c r="I1427" s="30" t="s">
        <v>30</v>
      </c>
      <c r="J1427" s="30" t="s">
        <v>142</v>
      </c>
      <c r="K1427" s="30" t="s">
        <v>116</v>
      </c>
      <c r="L1427" s="30" t="s">
        <v>143</v>
      </c>
      <c r="M1427" s="48"/>
      <c r="N1427" s="30"/>
      <c r="O1427" s="30"/>
      <c r="P1427" s="30"/>
    </row>
    <row r="1428" spans="1:16" ht="105" customHeight="1">
      <c r="A1428" s="30" t="s">
        <v>3019</v>
      </c>
      <c r="B1428" s="47" t="s">
        <v>2962</v>
      </c>
      <c r="C1428" s="48" t="s">
        <v>3020</v>
      </c>
      <c r="D1428" s="30"/>
      <c r="E1428" s="30"/>
      <c r="F1428" s="30"/>
      <c r="G1428" s="30"/>
      <c r="H1428" s="30" t="s">
        <v>141</v>
      </c>
      <c r="I1428" s="30" t="s">
        <v>30</v>
      </c>
      <c r="J1428" s="30" t="s">
        <v>142</v>
      </c>
      <c r="K1428" s="30" t="s">
        <v>116</v>
      </c>
      <c r="L1428" s="30" t="s">
        <v>121</v>
      </c>
      <c r="M1428" s="48" t="s">
        <v>706</v>
      </c>
      <c r="N1428" s="30"/>
      <c r="O1428" s="30"/>
      <c r="P1428" s="30"/>
    </row>
    <row r="1429" spans="1:16" ht="105" customHeight="1">
      <c r="A1429" s="30" t="s">
        <v>3021</v>
      </c>
      <c r="B1429" s="47" t="s">
        <v>2962</v>
      </c>
      <c r="C1429" s="48" t="s">
        <v>3022</v>
      </c>
      <c r="D1429" s="30"/>
      <c r="E1429" s="30"/>
      <c r="F1429" s="30"/>
      <c r="G1429" t="s">
        <v>133</v>
      </c>
      <c r="H1429" s="30" t="s">
        <v>141</v>
      </c>
      <c r="I1429" s="30" t="s">
        <v>30</v>
      </c>
      <c r="J1429" s="30" t="s">
        <v>142</v>
      </c>
      <c r="K1429" s="30" t="s">
        <v>116</v>
      </c>
      <c r="L1429" s="30" t="s">
        <v>143</v>
      </c>
      <c r="M1429" s="48"/>
      <c r="N1429" s="30"/>
      <c r="O1429" s="30"/>
      <c r="P1429" s="30"/>
    </row>
    <row r="1430" spans="1:16" ht="105" customHeight="1">
      <c r="A1430" s="30" t="s">
        <v>3023</v>
      </c>
      <c r="B1430" s="47" t="s">
        <v>2962</v>
      </c>
      <c r="C1430" s="48" t="s">
        <v>3024</v>
      </c>
      <c r="D1430" s="30"/>
      <c r="E1430" s="30"/>
      <c r="F1430" s="30"/>
      <c r="G1430" s="30"/>
      <c r="H1430" s="30" t="s">
        <v>141</v>
      </c>
      <c r="I1430" s="30" t="s">
        <v>30</v>
      </c>
      <c r="J1430" s="30" t="s">
        <v>142</v>
      </c>
      <c r="K1430" s="30" t="s">
        <v>116</v>
      </c>
      <c r="L1430" s="30" t="s">
        <v>121</v>
      </c>
      <c r="M1430" s="48" t="s">
        <v>2916</v>
      </c>
      <c r="N1430" s="30"/>
      <c r="O1430" s="30"/>
      <c r="P1430" s="30"/>
    </row>
    <row r="1431" spans="1:16" ht="105" customHeight="1">
      <c r="A1431" s="30" t="s">
        <v>3025</v>
      </c>
      <c r="B1431" s="47" t="s">
        <v>2962</v>
      </c>
      <c r="C1431" s="48" t="s">
        <v>3026</v>
      </c>
      <c r="D1431" s="30"/>
      <c r="E1431" s="30"/>
      <c r="F1431" s="30"/>
      <c r="G1431" s="30"/>
      <c r="H1431" s="30" t="s">
        <v>141</v>
      </c>
      <c r="I1431" s="30" t="s">
        <v>30</v>
      </c>
      <c r="J1431" s="30" t="s">
        <v>144</v>
      </c>
      <c r="K1431" s="30" t="s">
        <v>117</v>
      </c>
      <c r="L1431" s="30" t="s">
        <v>122</v>
      </c>
      <c r="M1431" s="48"/>
      <c r="N1431" s="30"/>
      <c r="O1431" s="30"/>
      <c r="P1431" s="30"/>
    </row>
    <row r="1432" spans="1:16" ht="90" customHeight="1">
      <c r="A1432" s="30" t="s">
        <v>3027</v>
      </c>
      <c r="B1432" s="47" t="s">
        <v>2962</v>
      </c>
      <c r="C1432" s="48" t="s">
        <v>3028</v>
      </c>
      <c r="D1432" s="30"/>
      <c r="E1432" s="30"/>
      <c r="F1432" s="30"/>
      <c r="G1432" s="30"/>
      <c r="H1432" s="30" t="s">
        <v>141</v>
      </c>
      <c r="I1432" s="30" t="s">
        <v>30</v>
      </c>
      <c r="J1432" s="30" t="s">
        <v>142</v>
      </c>
      <c r="K1432" s="30" t="s">
        <v>116</v>
      </c>
      <c r="L1432" s="30" t="s">
        <v>121</v>
      </c>
      <c r="M1432" s="48" t="s">
        <v>706</v>
      </c>
      <c r="N1432" s="30"/>
      <c r="O1432" s="30"/>
      <c r="P1432" s="30"/>
    </row>
    <row r="1433" spans="1:16" ht="90" customHeight="1">
      <c r="A1433" s="30" t="s">
        <v>3029</v>
      </c>
      <c r="B1433" s="47" t="s">
        <v>2962</v>
      </c>
      <c r="C1433" s="48" t="s">
        <v>3030</v>
      </c>
      <c r="D1433" s="30"/>
      <c r="E1433" s="30"/>
      <c r="F1433" s="30"/>
      <c r="G1433" s="30"/>
      <c r="H1433" s="30" t="s">
        <v>141</v>
      </c>
      <c r="I1433" s="30" t="s">
        <v>30</v>
      </c>
      <c r="J1433" s="30" t="s">
        <v>142</v>
      </c>
      <c r="K1433" s="30" t="s">
        <v>116</v>
      </c>
      <c r="L1433" s="30" t="s">
        <v>121</v>
      </c>
      <c r="M1433" s="48" t="s">
        <v>706</v>
      </c>
      <c r="N1433" s="30"/>
      <c r="O1433" s="30"/>
      <c r="P1433" s="30"/>
    </row>
    <row r="1434" spans="1:16" ht="105" customHeight="1">
      <c r="A1434" s="30" t="s">
        <v>3031</v>
      </c>
      <c r="B1434" s="47" t="s">
        <v>2962</v>
      </c>
      <c r="C1434" s="48" t="s">
        <v>3032</v>
      </c>
      <c r="D1434" s="30"/>
      <c r="E1434" s="30"/>
      <c r="F1434" s="30"/>
      <c r="G1434" s="30"/>
      <c r="H1434" s="30" t="s">
        <v>141</v>
      </c>
      <c r="I1434" s="30" t="s">
        <v>31</v>
      </c>
      <c r="J1434" s="30" t="s">
        <v>142</v>
      </c>
      <c r="K1434" s="30" t="s">
        <v>116</v>
      </c>
      <c r="L1434" s="30" t="s">
        <v>122</v>
      </c>
      <c r="M1434" s="48" t="s">
        <v>184</v>
      </c>
      <c r="N1434" s="30"/>
      <c r="O1434" s="30"/>
      <c r="P1434" s="30"/>
    </row>
    <row r="1435" spans="1:16" ht="90" customHeight="1">
      <c r="A1435" s="30" t="s">
        <v>3033</v>
      </c>
      <c r="B1435" s="47" t="s">
        <v>2962</v>
      </c>
      <c r="C1435" s="49" t="s">
        <v>3034</v>
      </c>
      <c r="D1435" s="30"/>
      <c r="E1435" s="30"/>
      <c r="F1435" s="30"/>
      <c r="G1435" s="30"/>
      <c r="H1435" s="30" t="s">
        <v>141</v>
      </c>
      <c r="I1435" s="30" t="s">
        <v>31</v>
      </c>
      <c r="J1435" s="30" t="s">
        <v>142</v>
      </c>
      <c r="K1435" s="30" t="s">
        <v>116</v>
      </c>
      <c r="L1435" s="30" t="s">
        <v>122</v>
      </c>
      <c r="M1435" s="48" t="s">
        <v>184</v>
      </c>
      <c r="N1435" s="30"/>
      <c r="O1435" s="30"/>
      <c r="P1435" s="30"/>
    </row>
    <row r="1436" spans="1:16" ht="90" customHeight="1">
      <c r="A1436" s="30" t="s">
        <v>3035</v>
      </c>
      <c r="B1436" s="47" t="s">
        <v>2962</v>
      </c>
      <c r="C1436" s="48" t="s">
        <v>3036</v>
      </c>
      <c r="D1436" s="30"/>
      <c r="E1436" s="30"/>
      <c r="F1436" s="30"/>
      <c r="G1436" t="s">
        <v>133</v>
      </c>
      <c r="H1436" s="30" t="s">
        <v>141</v>
      </c>
      <c r="I1436" s="30" t="s">
        <v>30</v>
      </c>
      <c r="J1436" s="30" t="s">
        <v>142</v>
      </c>
      <c r="K1436" s="30" t="s">
        <v>116</v>
      </c>
      <c r="L1436" s="30" t="s">
        <v>143</v>
      </c>
      <c r="M1436" s="48"/>
      <c r="N1436" s="30"/>
      <c r="O1436" s="30"/>
      <c r="P1436" s="30"/>
    </row>
    <row r="1437" spans="1:16" ht="120" customHeight="1">
      <c r="A1437" s="30" t="s">
        <v>3037</v>
      </c>
      <c r="B1437" s="47" t="s">
        <v>2962</v>
      </c>
      <c r="C1437" s="48" t="s">
        <v>3038</v>
      </c>
      <c r="D1437" s="30"/>
      <c r="E1437" s="30"/>
      <c r="F1437" s="30"/>
      <c r="G1437" s="30"/>
      <c r="H1437" s="30" t="s">
        <v>141</v>
      </c>
      <c r="I1437" s="30" t="s">
        <v>30</v>
      </c>
      <c r="J1437" s="30" t="s">
        <v>142</v>
      </c>
      <c r="K1437" s="30" t="s">
        <v>116</v>
      </c>
      <c r="L1437" s="30" t="s">
        <v>121</v>
      </c>
      <c r="M1437" s="48" t="s">
        <v>706</v>
      </c>
      <c r="N1437" s="30"/>
      <c r="O1437" s="30"/>
      <c r="P1437" s="30"/>
    </row>
    <row r="1438" spans="1:16" ht="105" customHeight="1">
      <c r="A1438" s="30" t="s">
        <v>3039</v>
      </c>
      <c r="B1438" s="47" t="s">
        <v>2962</v>
      </c>
      <c r="C1438" s="48" t="s">
        <v>3040</v>
      </c>
      <c r="D1438" s="30"/>
      <c r="E1438" s="30"/>
      <c r="F1438" s="30"/>
      <c r="G1438" s="30"/>
      <c r="H1438" s="30" t="s">
        <v>141</v>
      </c>
      <c r="I1438" s="30" t="s">
        <v>30</v>
      </c>
      <c r="J1438" s="30" t="s">
        <v>142</v>
      </c>
      <c r="K1438" s="30" t="s">
        <v>116</v>
      </c>
      <c r="L1438" s="30" t="s">
        <v>121</v>
      </c>
      <c r="M1438" s="48" t="s">
        <v>706</v>
      </c>
      <c r="N1438" s="30"/>
      <c r="O1438" s="30"/>
      <c r="P1438" s="30"/>
    </row>
    <row r="1439" spans="1:16" ht="105" customHeight="1">
      <c r="A1439" s="30" t="s">
        <v>3041</v>
      </c>
      <c r="B1439" s="47" t="s">
        <v>2962</v>
      </c>
      <c r="C1439" s="48" t="s">
        <v>3042</v>
      </c>
      <c r="D1439" s="30"/>
      <c r="E1439" s="30"/>
      <c r="F1439" s="30"/>
      <c r="G1439" s="30"/>
      <c r="H1439" s="30" t="s">
        <v>141</v>
      </c>
      <c r="I1439" s="30" t="s">
        <v>30</v>
      </c>
      <c r="J1439" s="30" t="s">
        <v>142</v>
      </c>
      <c r="K1439" s="30" t="s">
        <v>116</v>
      </c>
      <c r="L1439" s="30" t="s">
        <v>121</v>
      </c>
      <c r="M1439" s="48" t="s">
        <v>706</v>
      </c>
      <c r="N1439" s="30"/>
      <c r="O1439" s="30"/>
      <c r="P1439" s="30"/>
    </row>
    <row r="1440" spans="1:16" ht="60" customHeight="1">
      <c r="A1440" s="30" t="s">
        <v>3043</v>
      </c>
      <c r="B1440" s="47" t="s">
        <v>2962</v>
      </c>
      <c r="C1440" s="48" t="s">
        <v>3044</v>
      </c>
      <c r="D1440" s="30"/>
      <c r="E1440" s="30"/>
      <c r="F1440" s="30"/>
      <c r="G1440" s="30"/>
      <c r="H1440" s="30" t="s">
        <v>141</v>
      </c>
      <c r="I1440" s="30" t="s">
        <v>30</v>
      </c>
      <c r="J1440" s="30" t="s">
        <v>142</v>
      </c>
      <c r="K1440" s="30" t="s">
        <v>116</v>
      </c>
      <c r="L1440" s="30" t="s">
        <v>121</v>
      </c>
      <c r="M1440" s="48" t="s">
        <v>706</v>
      </c>
      <c r="N1440" s="30"/>
      <c r="O1440" s="30"/>
      <c r="P1440" s="30"/>
    </row>
    <row r="1441" spans="1:16" ht="60" customHeight="1">
      <c r="A1441" s="30" t="s">
        <v>3045</v>
      </c>
      <c r="B1441" s="47" t="s">
        <v>2962</v>
      </c>
      <c r="C1441" s="48" t="s">
        <v>3046</v>
      </c>
      <c r="D1441" s="30"/>
      <c r="E1441" s="30"/>
      <c r="F1441" s="30"/>
      <c r="G1441" s="30"/>
      <c r="H1441" s="30" t="s">
        <v>141</v>
      </c>
      <c r="I1441" s="30" t="s">
        <v>30</v>
      </c>
      <c r="J1441" s="30" t="s">
        <v>142</v>
      </c>
      <c r="K1441" s="30" t="s">
        <v>116</v>
      </c>
      <c r="L1441" s="30" t="s">
        <v>121</v>
      </c>
      <c r="M1441" s="48" t="s">
        <v>706</v>
      </c>
      <c r="N1441" s="30"/>
      <c r="O1441" s="30"/>
      <c r="P1441" s="30"/>
    </row>
    <row r="1442" spans="1:16" ht="90" customHeight="1">
      <c r="A1442" s="30" t="s">
        <v>3047</v>
      </c>
      <c r="B1442" s="47" t="s">
        <v>2962</v>
      </c>
      <c r="C1442" s="48" t="s">
        <v>3048</v>
      </c>
      <c r="D1442" s="30"/>
      <c r="E1442" s="30"/>
      <c r="F1442" s="30"/>
      <c r="G1442" s="30"/>
      <c r="H1442" s="30" t="s">
        <v>141</v>
      </c>
      <c r="I1442" s="30" t="s">
        <v>30</v>
      </c>
      <c r="J1442" s="30" t="s">
        <v>142</v>
      </c>
      <c r="K1442" s="30" t="s">
        <v>116</v>
      </c>
      <c r="L1442" s="30" t="s">
        <v>121</v>
      </c>
      <c r="M1442" s="48" t="s">
        <v>706</v>
      </c>
      <c r="N1442" s="30"/>
      <c r="O1442" s="30"/>
      <c r="P1442" s="30"/>
    </row>
    <row r="1443" spans="1:16" ht="60" customHeight="1">
      <c r="A1443" s="30" t="s">
        <v>3049</v>
      </c>
      <c r="B1443" s="47" t="s">
        <v>2962</v>
      </c>
      <c r="C1443" s="48" t="s">
        <v>3050</v>
      </c>
      <c r="D1443" s="30"/>
      <c r="E1443" s="30"/>
      <c r="F1443" s="30"/>
      <c r="G1443" s="30"/>
      <c r="H1443" s="30" t="s">
        <v>141</v>
      </c>
      <c r="I1443" s="30" t="s">
        <v>30</v>
      </c>
      <c r="J1443" s="30" t="s">
        <v>142</v>
      </c>
      <c r="K1443" s="30" t="s">
        <v>116</v>
      </c>
      <c r="L1443" s="30" t="s">
        <v>121</v>
      </c>
      <c r="M1443" s="48" t="s">
        <v>706</v>
      </c>
      <c r="N1443" s="30"/>
      <c r="O1443" s="30"/>
      <c r="P1443" s="30"/>
    </row>
    <row r="1444" spans="1:16" ht="60" customHeight="1">
      <c r="A1444" s="30" t="s">
        <v>3051</v>
      </c>
      <c r="B1444" s="47" t="s">
        <v>2962</v>
      </c>
      <c r="C1444" s="48" t="s">
        <v>3052</v>
      </c>
      <c r="D1444" s="30"/>
      <c r="E1444" s="30"/>
      <c r="F1444" s="30"/>
      <c r="G1444" s="30"/>
      <c r="H1444" s="30" t="s">
        <v>141</v>
      </c>
      <c r="I1444" s="30" t="s">
        <v>30</v>
      </c>
      <c r="J1444" s="30" t="s">
        <v>142</v>
      </c>
      <c r="K1444" s="30" t="s">
        <v>116</v>
      </c>
      <c r="L1444" s="30" t="s">
        <v>121</v>
      </c>
      <c r="M1444" s="48" t="s">
        <v>706</v>
      </c>
      <c r="N1444" s="30"/>
      <c r="O1444" s="30"/>
      <c r="P1444" s="30"/>
    </row>
    <row r="1445" spans="1:16" ht="105" customHeight="1">
      <c r="A1445" s="30" t="s">
        <v>3053</v>
      </c>
      <c r="B1445" s="47" t="s">
        <v>2962</v>
      </c>
      <c r="C1445" s="48" t="s">
        <v>3054</v>
      </c>
      <c r="D1445" s="30"/>
      <c r="E1445" s="30"/>
      <c r="F1445" s="30"/>
      <c r="G1445" s="30"/>
      <c r="H1445" s="30" t="s">
        <v>141</v>
      </c>
      <c r="I1445" s="30" t="s">
        <v>30</v>
      </c>
      <c r="J1445" s="30" t="s">
        <v>142</v>
      </c>
      <c r="K1445" s="30" t="s">
        <v>116</v>
      </c>
      <c r="L1445" s="30" t="s">
        <v>121</v>
      </c>
      <c r="M1445" s="48" t="s">
        <v>706</v>
      </c>
      <c r="N1445" s="30"/>
      <c r="O1445" s="30"/>
      <c r="P1445" s="30"/>
    </row>
    <row r="1446" spans="1:16" ht="90" customHeight="1">
      <c r="A1446" s="30" t="s">
        <v>3055</v>
      </c>
      <c r="B1446" s="47" t="s">
        <v>3056</v>
      </c>
      <c r="C1446" s="48" t="s">
        <v>3057</v>
      </c>
      <c r="D1446" s="30"/>
      <c r="E1446" s="30"/>
      <c r="F1446" s="30"/>
      <c r="G1446" s="30"/>
      <c r="H1446" s="30" t="s">
        <v>141</v>
      </c>
      <c r="I1446" s="30" t="s">
        <v>30</v>
      </c>
      <c r="J1446" s="30" t="s">
        <v>144</v>
      </c>
      <c r="K1446" s="30" t="s">
        <v>117</v>
      </c>
      <c r="L1446" s="30" t="s">
        <v>122</v>
      </c>
      <c r="M1446" s="48"/>
      <c r="N1446" s="30"/>
      <c r="O1446" s="30"/>
      <c r="P1446" s="30"/>
    </row>
    <row r="1447" spans="1:16" ht="90" customHeight="1">
      <c r="A1447" s="30" t="s">
        <v>3058</v>
      </c>
      <c r="B1447" s="47" t="s">
        <v>3056</v>
      </c>
      <c r="C1447" s="48" t="s">
        <v>3059</v>
      </c>
      <c r="D1447" s="30"/>
      <c r="E1447" s="30"/>
      <c r="F1447" s="30"/>
      <c r="G1447" t="s">
        <v>133</v>
      </c>
      <c r="H1447" s="30" t="s">
        <v>141</v>
      </c>
      <c r="I1447" s="30" t="s">
        <v>30</v>
      </c>
      <c r="J1447" s="30" t="s">
        <v>142</v>
      </c>
      <c r="K1447" s="30" t="s">
        <v>116</v>
      </c>
      <c r="L1447" s="30" t="s">
        <v>146</v>
      </c>
      <c r="M1447" s="48"/>
      <c r="N1447" s="30"/>
      <c r="O1447" s="30"/>
      <c r="P1447" s="30"/>
    </row>
    <row r="1448" spans="1:16" ht="75" customHeight="1">
      <c r="A1448" s="30" t="s">
        <v>3060</v>
      </c>
      <c r="B1448" s="47" t="s">
        <v>3056</v>
      </c>
      <c r="C1448" s="48" t="s">
        <v>3061</v>
      </c>
      <c r="D1448" s="30"/>
      <c r="E1448" s="30"/>
      <c r="F1448" s="30"/>
      <c r="G1448" t="s">
        <v>133</v>
      </c>
      <c r="H1448" s="30" t="s">
        <v>141</v>
      </c>
      <c r="I1448" s="30" t="s">
        <v>30</v>
      </c>
      <c r="J1448" s="30" t="s">
        <v>142</v>
      </c>
      <c r="K1448" s="30" t="s">
        <v>116</v>
      </c>
      <c r="L1448" s="30" t="s">
        <v>146</v>
      </c>
      <c r="M1448" s="48"/>
      <c r="N1448" s="30"/>
      <c r="O1448" s="30"/>
      <c r="P1448" s="30"/>
    </row>
    <row r="1449" spans="1:16" ht="270" customHeight="1">
      <c r="A1449" s="30" t="s">
        <v>3062</v>
      </c>
      <c r="B1449" s="47" t="s">
        <v>3056</v>
      </c>
      <c r="C1449" s="48" t="s">
        <v>3063</v>
      </c>
      <c r="D1449" s="30"/>
      <c r="E1449" s="30"/>
      <c r="F1449" s="30"/>
      <c r="G1449" t="s">
        <v>133</v>
      </c>
      <c r="H1449" s="30" t="s">
        <v>141</v>
      </c>
      <c r="I1449" s="30" t="s">
        <v>30</v>
      </c>
      <c r="J1449" s="30" t="s">
        <v>142</v>
      </c>
      <c r="K1449" s="30" t="s">
        <v>116</v>
      </c>
      <c r="L1449" s="30" t="s">
        <v>146</v>
      </c>
      <c r="M1449" s="48"/>
      <c r="N1449" s="30"/>
      <c r="O1449" s="30"/>
      <c r="P1449" s="30"/>
    </row>
    <row r="1450" spans="1:16" ht="75" customHeight="1">
      <c r="A1450" s="30" t="s">
        <v>3064</v>
      </c>
      <c r="B1450" s="47" t="s">
        <v>3056</v>
      </c>
      <c r="C1450" s="48" t="s">
        <v>3065</v>
      </c>
      <c r="D1450" s="30"/>
      <c r="E1450" s="30"/>
      <c r="F1450" s="30"/>
      <c r="G1450" t="s">
        <v>133</v>
      </c>
      <c r="H1450" s="30" t="s">
        <v>141</v>
      </c>
      <c r="I1450" s="30" t="s">
        <v>30</v>
      </c>
      <c r="J1450" s="30" t="s">
        <v>142</v>
      </c>
      <c r="K1450" s="30" t="s">
        <v>116</v>
      </c>
      <c r="L1450" s="30" t="s">
        <v>146</v>
      </c>
      <c r="M1450" s="48"/>
      <c r="N1450" s="30"/>
      <c r="O1450" s="30"/>
      <c r="P1450" s="30"/>
    </row>
    <row r="1451" spans="1:16" s="31" customFormat="1" ht="30">
      <c r="A1451" s="30" t="s">
        <v>3948</v>
      </c>
      <c r="B1451" s="47" t="s">
        <v>3056</v>
      </c>
      <c r="C1451" s="48" t="s">
        <v>3949</v>
      </c>
      <c r="D1451" s="30"/>
      <c r="E1451" s="30"/>
      <c r="F1451" s="30"/>
      <c r="G1451" s="31" t="s">
        <v>133</v>
      </c>
      <c r="H1451" s="30" t="s">
        <v>141</v>
      </c>
      <c r="I1451" s="30" t="s">
        <v>22</v>
      </c>
      <c r="J1451" s="30" t="s">
        <v>142</v>
      </c>
      <c r="K1451" s="30" t="s">
        <v>116</v>
      </c>
      <c r="L1451" s="30" t="s">
        <v>143</v>
      </c>
      <c r="M1451" s="48"/>
      <c r="N1451" s="30"/>
      <c r="O1451" s="30"/>
      <c r="P1451" s="30"/>
    </row>
    <row r="1452" spans="1:16" ht="90" customHeight="1">
      <c r="A1452" s="30" t="s">
        <v>3066</v>
      </c>
      <c r="B1452" s="47" t="s">
        <v>3056</v>
      </c>
      <c r="C1452" s="48" t="s">
        <v>3067</v>
      </c>
      <c r="D1452" s="30"/>
      <c r="E1452" s="30"/>
      <c r="F1452" s="30"/>
      <c r="G1452" t="s">
        <v>133</v>
      </c>
      <c r="H1452" s="30" t="s">
        <v>141</v>
      </c>
      <c r="I1452" s="30" t="s">
        <v>30</v>
      </c>
      <c r="J1452" s="30" t="s">
        <v>142</v>
      </c>
      <c r="K1452" s="30" t="s">
        <v>116</v>
      </c>
      <c r="L1452" s="30" t="s">
        <v>146</v>
      </c>
      <c r="M1452" s="48"/>
      <c r="N1452" s="30"/>
      <c r="O1452" s="30"/>
      <c r="P1452" s="30"/>
    </row>
    <row r="1453" spans="1:16" ht="60" customHeight="1">
      <c r="A1453" s="30" t="s">
        <v>3068</v>
      </c>
      <c r="B1453" s="47" t="s">
        <v>3056</v>
      </c>
      <c r="C1453" s="48" t="s">
        <v>3069</v>
      </c>
      <c r="D1453" s="30"/>
      <c r="E1453" s="30"/>
      <c r="F1453" s="30"/>
      <c r="G1453" s="30"/>
      <c r="H1453" s="30" t="s">
        <v>141</v>
      </c>
      <c r="I1453" s="30" t="s">
        <v>30</v>
      </c>
      <c r="J1453" s="30" t="s">
        <v>142</v>
      </c>
      <c r="K1453" s="30" t="s">
        <v>116</v>
      </c>
      <c r="L1453" s="30" t="s">
        <v>121</v>
      </c>
      <c r="M1453" s="48" t="s">
        <v>316</v>
      </c>
      <c r="N1453" s="30"/>
      <c r="O1453" s="30"/>
      <c r="P1453" s="30"/>
    </row>
    <row r="1454" spans="1:16" ht="60" customHeight="1">
      <c r="A1454" s="30" t="s">
        <v>3070</v>
      </c>
      <c r="B1454" s="50" t="s">
        <v>3056</v>
      </c>
      <c r="C1454" s="51" t="s">
        <v>3071</v>
      </c>
      <c r="D1454" s="30"/>
      <c r="E1454" s="30"/>
      <c r="F1454" s="30"/>
      <c r="G1454" t="s">
        <v>133</v>
      </c>
      <c r="H1454" s="30" t="s">
        <v>141</v>
      </c>
      <c r="I1454" s="30" t="s">
        <v>30</v>
      </c>
      <c r="J1454" s="30" t="s">
        <v>142</v>
      </c>
      <c r="K1454" s="30" t="s">
        <v>116</v>
      </c>
      <c r="L1454" s="30" t="s">
        <v>146</v>
      </c>
      <c r="M1454" s="48"/>
      <c r="N1454" s="30"/>
      <c r="O1454" s="30"/>
      <c r="P1454" s="30"/>
    </row>
    <row r="1455" spans="1:16" ht="90" customHeight="1">
      <c r="A1455" s="30" t="s">
        <v>3072</v>
      </c>
      <c r="B1455" s="47" t="s">
        <v>3056</v>
      </c>
      <c r="C1455" s="48" t="s">
        <v>3073</v>
      </c>
      <c r="D1455" s="30"/>
      <c r="E1455" s="30"/>
      <c r="F1455" s="30"/>
      <c r="G1455" s="30"/>
      <c r="H1455" s="30" t="s">
        <v>141</v>
      </c>
      <c r="I1455" s="30" t="s">
        <v>30</v>
      </c>
      <c r="J1455" s="30" t="s">
        <v>142</v>
      </c>
      <c r="K1455" s="30" t="s">
        <v>116</v>
      </c>
      <c r="L1455" s="30" t="s">
        <v>121</v>
      </c>
      <c r="M1455" s="48" t="s">
        <v>706</v>
      </c>
      <c r="N1455" s="30"/>
      <c r="O1455" s="30"/>
      <c r="P1455" s="30"/>
    </row>
    <row r="1456" spans="1:16" ht="60" customHeight="1">
      <c r="A1456" s="30" t="s">
        <v>3074</v>
      </c>
      <c r="B1456" s="47" t="s">
        <v>3056</v>
      </c>
      <c r="C1456" s="48" t="s">
        <v>3075</v>
      </c>
      <c r="D1456" s="30"/>
      <c r="E1456" s="30"/>
      <c r="F1456" s="30"/>
      <c r="G1456" s="30"/>
      <c r="H1456" s="30" t="s">
        <v>141</v>
      </c>
      <c r="I1456" s="30" t="s">
        <v>30</v>
      </c>
      <c r="J1456" s="30" t="s">
        <v>144</v>
      </c>
      <c r="K1456" s="30" t="s">
        <v>117</v>
      </c>
      <c r="L1456" s="30" t="s">
        <v>122</v>
      </c>
      <c r="M1456" s="48"/>
      <c r="N1456" s="30"/>
      <c r="O1456" s="30"/>
      <c r="P1456" s="30"/>
    </row>
    <row r="1457" spans="1:16" ht="60" customHeight="1">
      <c r="A1457" s="30" t="s">
        <v>3076</v>
      </c>
      <c r="B1457" s="47" t="s">
        <v>3056</v>
      </c>
      <c r="C1457" s="48" t="s">
        <v>3077</v>
      </c>
      <c r="D1457" s="30"/>
      <c r="E1457" s="30"/>
      <c r="F1457" s="30"/>
      <c r="G1457" s="30"/>
      <c r="H1457" s="30" t="s">
        <v>141</v>
      </c>
      <c r="I1457" s="30" t="s">
        <v>30</v>
      </c>
      <c r="J1457" s="30" t="s">
        <v>142</v>
      </c>
      <c r="K1457" s="30" t="s">
        <v>116</v>
      </c>
      <c r="L1457" s="30" t="s">
        <v>121</v>
      </c>
      <c r="M1457" s="48" t="s">
        <v>706</v>
      </c>
      <c r="N1457" s="30"/>
      <c r="O1457" s="30"/>
      <c r="P1457" s="30"/>
    </row>
    <row r="1458" spans="1:16" ht="105" customHeight="1">
      <c r="A1458" s="30" t="s">
        <v>3078</v>
      </c>
      <c r="B1458" s="47" t="s">
        <v>3056</v>
      </c>
      <c r="C1458" s="48" t="s">
        <v>3079</v>
      </c>
      <c r="D1458" s="30"/>
      <c r="E1458" s="30"/>
      <c r="F1458" s="30"/>
      <c r="G1458" s="30"/>
      <c r="H1458" s="30" t="s">
        <v>141</v>
      </c>
      <c r="I1458" s="30" t="s">
        <v>30</v>
      </c>
      <c r="J1458" s="30" t="s">
        <v>142</v>
      </c>
      <c r="K1458" s="30" t="s">
        <v>116</v>
      </c>
      <c r="L1458" s="30" t="s">
        <v>121</v>
      </c>
      <c r="M1458" s="48" t="s">
        <v>316</v>
      </c>
      <c r="N1458" s="30"/>
      <c r="O1458" s="30"/>
      <c r="P1458" s="30"/>
    </row>
    <row r="1459" spans="1:16" ht="60" customHeight="1">
      <c r="A1459" s="30" t="s">
        <v>3080</v>
      </c>
      <c r="B1459" s="47" t="s">
        <v>3056</v>
      </c>
      <c r="C1459" s="48" t="s">
        <v>3081</v>
      </c>
      <c r="D1459" s="30"/>
      <c r="E1459" s="30"/>
      <c r="F1459" s="30"/>
      <c r="G1459" s="30"/>
      <c r="H1459" s="30" t="s">
        <v>141</v>
      </c>
      <c r="I1459" s="30" t="s">
        <v>30</v>
      </c>
      <c r="J1459" s="30" t="s">
        <v>142</v>
      </c>
      <c r="K1459" s="30" t="s">
        <v>116</v>
      </c>
      <c r="L1459" s="30" t="s">
        <v>121</v>
      </c>
      <c r="M1459" s="48" t="s">
        <v>316</v>
      </c>
      <c r="N1459" s="30"/>
      <c r="O1459" s="30"/>
      <c r="P1459" s="30"/>
    </row>
    <row r="1460" spans="1:16" ht="60" customHeight="1">
      <c r="A1460" s="30" t="s">
        <v>3082</v>
      </c>
      <c r="B1460" s="47" t="s">
        <v>3056</v>
      </c>
      <c r="C1460" s="48" t="s">
        <v>3083</v>
      </c>
      <c r="D1460" s="30"/>
      <c r="E1460" s="30"/>
      <c r="F1460" s="30"/>
      <c r="G1460" s="30"/>
      <c r="H1460" s="30" t="s">
        <v>141</v>
      </c>
      <c r="I1460" s="30" t="s">
        <v>30</v>
      </c>
      <c r="J1460" s="30" t="s">
        <v>142</v>
      </c>
      <c r="K1460" s="30" t="s">
        <v>116</v>
      </c>
      <c r="L1460" s="30" t="s">
        <v>121</v>
      </c>
      <c r="M1460" s="48" t="s">
        <v>316</v>
      </c>
      <c r="N1460" s="30"/>
      <c r="O1460" s="30"/>
      <c r="P1460" s="30"/>
    </row>
    <row r="1461" spans="1:16" ht="45" customHeight="1">
      <c r="A1461" s="30" t="s">
        <v>3084</v>
      </c>
      <c r="B1461" s="47" t="s">
        <v>3056</v>
      </c>
      <c r="C1461" s="48" t="s">
        <v>3950</v>
      </c>
      <c r="D1461" s="30"/>
      <c r="E1461" s="30"/>
      <c r="F1461" s="30"/>
      <c r="G1461" s="30"/>
      <c r="H1461" s="30" t="s">
        <v>141</v>
      </c>
      <c r="I1461" s="30" t="s">
        <v>30</v>
      </c>
      <c r="J1461" s="30" t="s">
        <v>144</v>
      </c>
      <c r="K1461" s="30" t="s">
        <v>117</v>
      </c>
      <c r="L1461" s="30" t="s">
        <v>121</v>
      </c>
      <c r="M1461" s="48" t="s">
        <v>316</v>
      </c>
      <c r="N1461" s="30"/>
      <c r="O1461" s="30"/>
      <c r="P1461" s="30"/>
    </row>
    <row r="1462" spans="1:16" ht="45" customHeight="1">
      <c r="A1462" s="30" t="s">
        <v>3085</v>
      </c>
      <c r="B1462" s="47" t="s">
        <v>3056</v>
      </c>
      <c r="C1462" s="48" t="s">
        <v>3086</v>
      </c>
      <c r="D1462" s="30"/>
      <c r="E1462" s="30"/>
      <c r="F1462" s="30"/>
      <c r="G1462" s="30"/>
      <c r="H1462" s="30" t="s">
        <v>141</v>
      </c>
      <c r="I1462" s="30" t="s">
        <v>30</v>
      </c>
      <c r="J1462" s="30" t="s">
        <v>142</v>
      </c>
      <c r="K1462" s="30" t="s">
        <v>116</v>
      </c>
      <c r="L1462" s="30" t="s">
        <v>121</v>
      </c>
      <c r="M1462" s="48" t="s">
        <v>316</v>
      </c>
      <c r="N1462" s="30"/>
      <c r="O1462" s="30"/>
      <c r="P1462" s="30"/>
    </row>
    <row r="1463" spans="1:16" ht="45" customHeight="1">
      <c r="A1463" s="30" t="s">
        <v>3087</v>
      </c>
      <c r="B1463" s="47" t="s">
        <v>3056</v>
      </c>
      <c r="C1463" s="48" t="s">
        <v>3088</v>
      </c>
      <c r="D1463" s="30"/>
      <c r="E1463" s="30"/>
      <c r="F1463" s="30"/>
      <c r="G1463" s="30"/>
      <c r="H1463" s="30" t="s">
        <v>141</v>
      </c>
      <c r="I1463" s="30" t="s">
        <v>30</v>
      </c>
      <c r="J1463" s="30" t="s">
        <v>144</v>
      </c>
      <c r="K1463" s="30" t="s">
        <v>117</v>
      </c>
      <c r="L1463" s="30" t="s">
        <v>122</v>
      </c>
      <c r="M1463" s="48"/>
      <c r="N1463" s="30"/>
      <c r="O1463" s="30"/>
      <c r="P1463" s="30"/>
    </row>
    <row r="1464" spans="1:16" ht="60" customHeight="1">
      <c r="A1464" s="30" t="s">
        <v>3089</v>
      </c>
      <c r="B1464" s="47" t="s">
        <v>3056</v>
      </c>
      <c r="C1464" s="48" t="s">
        <v>3090</v>
      </c>
      <c r="D1464" s="30"/>
      <c r="E1464" s="30"/>
      <c r="F1464" s="30"/>
      <c r="G1464" s="30"/>
      <c r="H1464" s="30" t="s">
        <v>141</v>
      </c>
      <c r="I1464" s="30" t="s">
        <v>30</v>
      </c>
      <c r="J1464" s="30" t="s">
        <v>142</v>
      </c>
      <c r="K1464" s="30" t="s">
        <v>116</v>
      </c>
      <c r="L1464" s="30" t="s">
        <v>121</v>
      </c>
      <c r="M1464" s="48" t="s">
        <v>466</v>
      </c>
      <c r="N1464" s="30"/>
      <c r="O1464" s="30"/>
      <c r="P1464" s="30"/>
    </row>
    <row r="1465" spans="1:16" ht="75" customHeight="1">
      <c r="A1465" s="30" t="s">
        <v>3091</v>
      </c>
      <c r="B1465" s="47" t="s">
        <v>3056</v>
      </c>
      <c r="C1465" s="48" t="s">
        <v>3092</v>
      </c>
      <c r="D1465" s="30"/>
      <c r="E1465" s="30"/>
      <c r="F1465" s="30"/>
      <c r="G1465" s="30"/>
      <c r="H1465" s="30" t="s">
        <v>141</v>
      </c>
      <c r="I1465" s="30" t="s">
        <v>30</v>
      </c>
      <c r="J1465" s="30" t="s">
        <v>142</v>
      </c>
      <c r="K1465" s="30" t="s">
        <v>116</v>
      </c>
      <c r="L1465" s="30" t="s">
        <v>121</v>
      </c>
      <c r="M1465" s="48" t="s">
        <v>466</v>
      </c>
      <c r="N1465" s="30"/>
      <c r="O1465" s="30"/>
      <c r="P1465" s="30"/>
    </row>
    <row r="1466" spans="1:16" ht="60" customHeight="1">
      <c r="A1466" s="30" t="s">
        <v>3093</v>
      </c>
      <c r="B1466" s="47" t="s">
        <v>3056</v>
      </c>
      <c r="C1466" s="48" t="s">
        <v>3094</v>
      </c>
      <c r="D1466" s="30"/>
      <c r="E1466" s="30"/>
      <c r="F1466" s="30"/>
      <c r="G1466" s="30"/>
      <c r="H1466" s="30" t="s">
        <v>141</v>
      </c>
      <c r="I1466" s="30" t="s">
        <v>30</v>
      </c>
      <c r="J1466" s="30" t="s">
        <v>142</v>
      </c>
      <c r="K1466" s="30" t="s">
        <v>116</v>
      </c>
      <c r="L1466" s="30" t="s">
        <v>121</v>
      </c>
      <c r="M1466" s="48" t="s">
        <v>466</v>
      </c>
      <c r="N1466" s="30"/>
      <c r="O1466" s="30"/>
      <c r="P1466" s="30"/>
    </row>
    <row r="1467" spans="1:16" ht="75" customHeight="1">
      <c r="A1467" s="30" t="s">
        <v>3095</v>
      </c>
      <c r="B1467" s="47" t="s">
        <v>3056</v>
      </c>
      <c r="C1467" s="48" t="s">
        <v>3096</v>
      </c>
      <c r="D1467" s="30"/>
      <c r="E1467" s="30"/>
      <c r="F1467" s="30"/>
      <c r="G1467" s="30"/>
      <c r="H1467" s="30" t="s">
        <v>141</v>
      </c>
      <c r="I1467" s="30" t="s">
        <v>30</v>
      </c>
      <c r="J1467" s="30" t="s">
        <v>142</v>
      </c>
      <c r="K1467" s="30" t="s">
        <v>116</v>
      </c>
      <c r="L1467" s="30" t="s">
        <v>121</v>
      </c>
      <c r="M1467" s="48" t="s">
        <v>466</v>
      </c>
      <c r="N1467" s="30"/>
      <c r="O1467" s="30"/>
      <c r="P1467" s="30"/>
    </row>
    <row r="1468" spans="1:16" ht="105" customHeight="1">
      <c r="A1468" s="30" t="s">
        <v>3097</v>
      </c>
      <c r="B1468" s="47" t="s">
        <v>3098</v>
      </c>
      <c r="C1468" s="48" t="s">
        <v>3951</v>
      </c>
      <c r="D1468" s="30"/>
      <c r="E1468" s="30"/>
      <c r="F1468" s="30"/>
      <c r="G1468" t="s">
        <v>133</v>
      </c>
      <c r="H1468" s="30" t="s">
        <v>141</v>
      </c>
      <c r="I1468" s="30" t="s">
        <v>30</v>
      </c>
      <c r="J1468" s="30" t="s">
        <v>145</v>
      </c>
      <c r="K1468" s="30" t="s">
        <v>116</v>
      </c>
      <c r="L1468" s="30" t="s">
        <v>146</v>
      </c>
      <c r="M1468" s="48"/>
      <c r="N1468" s="30"/>
      <c r="O1468" s="30"/>
      <c r="P1468" s="30"/>
    </row>
    <row r="1469" spans="1:16" s="31" customFormat="1" ht="75" customHeight="1">
      <c r="A1469" s="30" t="s">
        <v>3099</v>
      </c>
      <c r="B1469" s="47" t="s">
        <v>3098</v>
      </c>
      <c r="C1469" s="48" t="s">
        <v>3100</v>
      </c>
      <c r="D1469" s="30"/>
      <c r="E1469" s="30"/>
      <c r="F1469" s="30" t="s">
        <v>3101</v>
      </c>
      <c r="G1469" s="31" t="s">
        <v>133</v>
      </c>
      <c r="H1469" s="30" t="s">
        <v>149</v>
      </c>
      <c r="I1469" s="30" t="s">
        <v>30</v>
      </c>
      <c r="J1469" s="30" t="s">
        <v>145</v>
      </c>
      <c r="K1469" s="30" t="s">
        <v>116</v>
      </c>
      <c r="L1469" s="30" t="s">
        <v>146</v>
      </c>
      <c r="M1469" s="48"/>
      <c r="N1469" s="30"/>
      <c r="O1469" s="30"/>
      <c r="P1469" s="30"/>
    </row>
    <row r="1470" spans="1:16" s="31" customFormat="1" ht="75">
      <c r="A1470" s="30" t="s">
        <v>3102</v>
      </c>
      <c r="B1470" s="47" t="s">
        <v>3098</v>
      </c>
      <c r="C1470" s="48" t="s">
        <v>3953</v>
      </c>
      <c r="D1470" s="30"/>
      <c r="E1470" s="30"/>
      <c r="F1470" s="30"/>
      <c r="G1470" s="31" t="s">
        <v>133</v>
      </c>
      <c r="H1470" s="30" t="s">
        <v>141</v>
      </c>
      <c r="I1470" s="30" t="s">
        <v>30</v>
      </c>
      <c r="J1470" s="30" t="s">
        <v>142</v>
      </c>
      <c r="K1470" s="30" t="s">
        <v>116</v>
      </c>
      <c r="L1470" s="30" t="s">
        <v>146</v>
      </c>
      <c r="M1470" s="48"/>
      <c r="N1470" s="30"/>
      <c r="O1470" s="30"/>
      <c r="P1470" s="30"/>
    </row>
    <row r="1471" spans="1:16" ht="150" customHeight="1">
      <c r="A1471" s="30" t="s">
        <v>3103</v>
      </c>
      <c r="B1471" s="47" t="s">
        <v>3098</v>
      </c>
      <c r="C1471" s="48" t="s">
        <v>3954</v>
      </c>
      <c r="D1471" s="30"/>
      <c r="E1471" s="30"/>
      <c r="F1471" s="30"/>
      <c r="G1471" t="s">
        <v>133</v>
      </c>
      <c r="H1471" s="30" t="s">
        <v>141</v>
      </c>
      <c r="I1471" s="30" t="s">
        <v>30</v>
      </c>
      <c r="J1471" s="30" t="s">
        <v>142</v>
      </c>
      <c r="K1471" s="30" t="s">
        <v>116</v>
      </c>
      <c r="L1471" s="30" t="s">
        <v>143</v>
      </c>
      <c r="M1471" s="48"/>
      <c r="N1471" s="30"/>
      <c r="O1471" s="30"/>
      <c r="P1471" s="30"/>
    </row>
    <row r="1472" spans="1:16" ht="120" customHeight="1">
      <c r="A1472" s="30" t="s">
        <v>3104</v>
      </c>
      <c r="B1472" s="47" t="s">
        <v>3098</v>
      </c>
      <c r="C1472" s="48" t="s">
        <v>3963</v>
      </c>
      <c r="D1472" s="30"/>
      <c r="E1472" s="30"/>
      <c r="F1472" s="30"/>
      <c r="G1472" t="s">
        <v>133</v>
      </c>
      <c r="H1472" s="30" t="s">
        <v>141</v>
      </c>
      <c r="I1472" s="30" t="s">
        <v>30</v>
      </c>
      <c r="J1472" s="30" t="s">
        <v>142</v>
      </c>
      <c r="K1472" s="30" t="s">
        <v>116</v>
      </c>
      <c r="L1472" s="30" t="s">
        <v>146</v>
      </c>
      <c r="M1472" s="48"/>
      <c r="N1472" s="30"/>
      <c r="O1472" s="30"/>
      <c r="P1472" s="30"/>
    </row>
    <row r="1473" spans="1:16" ht="135" customHeight="1">
      <c r="A1473" s="30" t="s">
        <v>3105</v>
      </c>
      <c r="B1473" s="47" t="s">
        <v>3098</v>
      </c>
      <c r="C1473" s="48" t="s">
        <v>3106</v>
      </c>
      <c r="D1473" s="30"/>
      <c r="E1473" s="30"/>
      <c r="F1473" s="30" t="s">
        <v>3107</v>
      </c>
      <c r="G1473" t="s">
        <v>133</v>
      </c>
      <c r="H1473" s="30" t="s">
        <v>149</v>
      </c>
      <c r="I1473" s="30" t="s">
        <v>30</v>
      </c>
      <c r="J1473" s="30" t="s">
        <v>142</v>
      </c>
      <c r="K1473" s="30" t="s">
        <v>116</v>
      </c>
      <c r="L1473" s="30" t="s">
        <v>146</v>
      </c>
      <c r="M1473" s="48"/>
      <c r="N1473" s="30"/>
      <c r="O1473" s="30"/>
      <c r="P1473" s="30"/>
    </row>
    <row r="1474" spans="1:16" s="31" customFormat="1" ht="75">
      <c r="A1474" s="30" t="s">
        <v>3108</v>
      </c>
      <c r="B1474" s="47" t="s">
        <v>3098</v>
      </c>
      <c r="C1474" s="48" t="s">
        <v>3109</v>
      </c>
      <c r="D1474" s="30"/>
      <c r="E1474" s="30"/>
      <c r="F1474" s="30"/>
      <c r="H1474" s="30" t="s">
        <v>141</v>
      </c>
      <c r="I1474" s="30" t="s">
        <v>30</v>
      </c>
      <c r="J1474" s="30" t="s">
        <v>142</v>
      </c>
      <c r="K1474" s="30" t="s">
        <v>116</v>
      </c>
      <c r="L1474" s="30" t="s">
        <v>121</v>
      </c>
      <c r="M1474" s="48" t="s">
        <v>706</v>
      </c>
      <c r="N1474" s="30"/>
      <c r="O1474" s="30"/>
      <c r="P1474" s="30"/>
    </row>
    <row r="1475" spans="1:16" ht="120" customHeight="1">
      <c r="A1475" s="30" t="s">
        <v>3110</v>
      </c>
      <c r="B1475" s="47" t="s">
        <v>3098</v>
      </c>
      <c r="C1475" s="48" t="s">
        <v>3111</v>
      </c>
      <c r="D1475" s="30"/>
      <c r="E1475" s="30"/>
      <c r="F1475" s="30"/>
      <c r="G1475" s="30"/>
      <c r="H1475" s="30" t="s">
        <v>141</v>
      </c>
      <c r="I1475" s="30" t="s">
        <v>30</v>
      </c>
      <c r="J1475" s="30" t="s">
        <v>142</v>
      </c>
      <c r="K1475" s="30" t="s">
        <v>116</v>
      </c>
      <c r="L1475" s="30" t="s">
        <v>121</v>
      </c>
      <c r="M1475" s="48" t="s">
        <v>2916</v>
      </c>
      <c r="N1475" s="30"/>
      <c r="O1475" s="30"/>
      <c r="P1475" s="30"/>
    </row>
    <row r="1476" spans="1:16" ht="120" customHeight="1">
      <c r="A1476" s="30" t="s">
        <v>3112</v>
      </c>
      <c r="B1476" s="47" t="s">
        <v>3098</v>
      </c>
      <c r="C1476" s="48" t="s">
        <v>3113</v>
      </c>
      <c r="D1476" s="30"/>
      <c r="E1476" s="30"/>
      <c r="F1476" s="30"/>
      <c r="G1476" t="s">
        <v>133</v>
      </c>
      <c r="H1476" s="30" t="s">
        <v>141</v>
      </c>
      <c r="I1476" s="30" t="s">
        <v>30</v>
      </c>
      <c r="J1476" s="30" t="s">
        <v>142</v>
      </c>
      <c r="K1476" s="30" t="s">
        <v>116</v>
      </c>
      <c r="L1476" s="30" t="s">
        <v>146</v>
      </c>
      <c r="M1476" s="48"/>
      <c r="N1476" s="30"/>
      <c r="O1476" s="30"/>
      <c r="P1476" s="30"/>
    </row>
    <row r="1477" spans="1:16" s="31" customFormat="1" ht="30">
      <c r="A1477" s="30" t="s">
        <v>3114</v>
      </c>
      <c r="B1477" s="47" t="s">
        <v>3098</v>
      </c>
      <c r="C1477" s="48" t="s">
        <v>3115</v>
      </c>
      <c r="D1477" s="30"/>
      <c r="E1477" s="30"/>
      <c r="F1477" s="30"/>
      <c r="G1477" s="31" t="s">
        <v>133</v>
      </c>
      <c r="H1477" s="30" t="s">
        <v>141</v>
      </c>
      <c r="I1477" s="30" t="s">
        <v>30</v>
      </c>
      <c r="J1477" s="30" t="s">
        <v>142</v>
      </c>
      <c r="K1477" s="30" t="s">
        <v>116</v>
      </c>
      <c r="L1477" s="30" t="s">
        <v>146</v>
      </c>
      <c r="M1477" s="48" t="s">
        <v>4213</v>
      </c>
      <c r="N1477" s="30"/>
      <c r="O1477" s="30"/>
      <c r="P1477" s="30"/>
    </row>
    <row r="1478" spans="1:16" ht="45" customHeight="1">
      <c r="A1478" s="30" t="s">
        <v>3116</v>
      </c>
      <c r="B1478" s="47" t="s">
        <v>3098</v>
      </c>
      <c r="C1478" s="48" t="s">
        <v>3117</v>
      </c>
      <c r="D1478" s="30"/>
      <c r="E1478" s="30"/>
      <c r="F1478" s="30"/>
      <c r="G1478" s="30"/>
      <c r="H1478" s="30" t="s">
        <v>141</v>
      </c>
      <c r="I1478" s="30" t="s">
        <v>30</v>
      </c>
      <c r="J1478" s="30" t="s">
        <v>142</v>
      </c>
      <c r="K1478" s="30" t="s">
        <v>116</v>
      </c>
      <c r="L1478" s="30" t="s">
        <v>121</v>
      </c>
      <c r="M1478" s="48" t="s">
        <v>316</v>
      </c>
      <c r="N1478" s="30"/>
      <c r="O1478" s="30"/>
      <c r="P1478" s="30"/>
    </row>
    <row r="1479" spans="1:16" ht="45" customHeight="1">
      <c r="A1479" s="30" t="s">
        <v>3118</v>
      </c>
      <c r="B1479" s="47" t="s">
        <v>3098</v>
      </c>
      <c r="C1479" s="48" t="s">
        <v>3119</v>
      </c>
      <c r="D1479" s="30"/>
      <c r="E1479" s="30"/>
      <c r="F1479" s="30"/>
      <c r="G1479" t="s">
        <v>133</v>
      </c>
      <c r="H1479" s="30" t="s">
        <v>141</v>
      </c>
      <c r="I1479" s="30" t="s">
        <v>30</v>
      </c>
      <c r="J1479" s="30" t="s">
        <v>142</v>
      </c>
      <c r="K1479" s="30" t="s">
        <v>116</v>
      </c>
      <c r="L1479" s="30" t="s">
        <v>146</v>
      </c>
      <c r="M1479" s="48"/>
      <c r="N1479" s="30"/>
      <c r="O1479" s="30"/>
      <c r="P1479" s="30"/>
    </row>
    <row r="1480" spans="1:16" ht="60" customHeight="1">
      <c r="A1480" s="30" t="s">
        <v>3120</v>
      </c>
      <c r="B1480" s="47" t="s">
        <v>3098</v>
      </c>
      <c r="C1480" s="48" t="s">
        <v>3121</v>
      </c>
      <c r="D1480" s="30"/>
      <c r="E1480" s="30"/>
      <c r="F1480" s="30"/>
      <c r="G1480" s="30"/>
      <c r="H1480" s="30" t="s">
        <v>141</v>
      </c>
      <c r="I1480" s="30" t="s">
        <v>30</v>
      </c>
      <c r="J1480" s="30" t="s">
        <v>142</v>
      </c>
      <c r="K1480" s="30" t="s">
        <v>116</v>
      </c>
      <c r="L1480" s="30" t="s">
        <v>121</v>
      </c>
      <c r="M1480" s="48" t="s">
        <v>316</v>
      </c>
      <c r="N1480" s="30"/>
      <c r="O1480" s="30"/>
      <c r="P1480" s="30"/>
    </row>
    <row r="1481" spans="1:16" ht="60" customHeight="1">
      <c r="A1481" s="30" t="s">
        <v>3122</v>
      </c>
      <c r="B1481" s="47" t="s">
        <v>3098</v>
      </c>
      <c r="C1481" s="48" t="s">
        <v>3967</v>
      </c>
      <c r="D1481" s="30"/>
      <c r="E1481" s="30"/>
      <c r="F1481" s="30"/>
      <c r="G1481" t="s">
        <v>133</v>
      </c>
      <c r="H1481" s="30" t="s">
        <v>141</v>
      </c>
      <c r="I1481" s="30" t="s">
        <v>30</v>
      </c>
      <c r="J1481" s="30" t="s">
        <v>142</v>
      </c>
      <c r="K1481" s="30" t="s">
        <v>116</v>
      </c>
      <c r="L1481" s="30" t="s">
        <v>143</v>
      </c>
      <c r="M1481" s="48" t="s">
        <v>4126</v>
      </c>
      <c r="N1481" s="30"/>
      <c r="O1481" s="30"/>
      <c r="P1481" s="30"/>
    </row>
    <row r="1482" spans="1:16" ht="120" customHeight="1">
      <c r="A1482" s="30" t="s">
        <v>3123</v>
      </c>
      <c r="B1482" s="47" t="s">
        <v>3098</v>
      </c>
      <c r="C1482" s="48" t="s">
        <v>3968</v>
      </c>
      <c r="D1482" s="30"/>
      <c r="E1482" s="30"/>
      <c r="F1482" s="30"/>
      <c r="G1482" s="30"/>
      <c r="H1482" s="30" t="s">
        <v>141</v>
      </c>
      <c r="I1482" s="30" t="s">
        <v>30</v>
      </c>
      <c r="J1482" s="30" t="s">
        <v>142</v>
      </c>
      <c r="K1482" s="30" t="s">
        <v>116</v>
      </c>
      <c r="L1482" s="30" t="s">
        <v>121</v>
      </c>
      <c r="M1482" s="48" t="s">
        <v>4067</v>
      </c>
      <c r="N1482" s="30"/>
      <c r="O1482" s="30"/>
      <c r="P1482" s="30"/>
    </row>
    <row r="1483" spans="1:16" ht="120" customHeight="1">
      <c r="A1483" s="30" t="s">
        <v>3124</v>
      </c>
      <c r="B1483" s="47" t="s">
        <v>3098</v>
      </c>
      <c r="C1483" s="48" t="s">
        <v>3125</v>
      </c>
      <c r="D1483" s="30"/>
      <c r="E1483" s="30"/>
      <c r="F1483" s="30"/>
      <c r="H1483" s="30" t="s">
        <v>141</v>
      </c>
      <c r="I1483" s="30" t="s">
        <v>30</v>
      </c>
      <c r="J1483" s="30" t="s">
        <v>144</v>
      </c>
      <c r="K1483" s="30" t="s">
        <v>117</v>
      </c>
      <c r="L1483" s="30" t="s">
        <v>3664</v>
      </c>
      <c r="M1483" s="62" t="s">
        <v>4045</v>
      </c>
      <c r="N1483" s="30"/>
      <c r="O1483" s="30"/>
      <c r="P1483" s="30"/>
    </row>
    <row r="1484" spans="1:16" ht="105" customHeight="1">
      <c r="A1484" s="30" t="s">
        <v>3126</v>
      </c>
      <c r="B1484" s="47" t="s">
        <v>3098</v>
      </c>
      <c r="C1484" s="48" t="s">
        <v>3127</v>
      </c>
      <c r="D1484" s="30"/>
      <c r="E1484" s="30"/>
      <c r="F1484" s="30"/>
      <c r="H1484" s="30" t="s">
        <v>141</v>
      </c>
      <c r="I1484" s="30" t="s">
        <v>30</v>
      </c>
      <c r="J1484" s="30" t="s">
        <v>142</v>
      </c>
      <c r="K1484" s="30" t="s">
        <v>116</v>
      </c>
      <c r="L1484" s="30" t="s">
        <v>121</v>
      </c>
      <c r="M1484" s="48" t="s">
        <v>466</v>
      </c>
      <c r="N1484" s="30"/>
      <c r="O1484" s="30"/>
      <c r="P1484" s="30"/>
    </row>
    <row r="1485" spans="1:16" ht="45" customHeight="1">
      <c r="A1485" s="30" t="s">
        <v>3128</v>
      </c>
      <c r="B1485" s="47" t="s">
        <v>3098</v>
      </c>
      <c r="C1485" s="49" t="s">
        <v>3129</v>
      </c>
      <c r="D1485" s="30"/>
      <c r="E1485" s="30"/>
      <c r="F1485" s="30"/>
      <c r="G1485" s="30"/>
      <c r="H1485" s="30" t="s">
        <v>141</v>
      </c>
      <c r="I1485" s="30" t="s">
        <v>30</v>
      </c>
      <c r="J1485" s="30" t="s">
        <v>142</v>
      </c>
      <c r="K1485" s="30" t="s">
        <v>116</v>
      </c>
      <c r="L1485" s="30" t="s">
        <v>121</v>
      </c>
      <c r="M1485" s="48" t="s">
        <v>316</v>
      </c>
      <c r="N1485" s="30"/>
      <c r="O1485" s="30"/>
      <c r="P1485" s="30"/>
    </row>
    <row r="1486" spans="1:16" ht="60" customHeight="1">
      <c r="A1486" s="30" t="s">
        <v>3130</v>
      </c>
      <c r="B1486" s="47" t="s">
        <v>3098</v>
      </c>
      <c r="C1486" s="48" t="s">
        <v>4106</v>
      </c>
      <c r="D1486" s="30"/>
      <c r="E1486" s="30"/>
      <c r="F1486" s="30"/>
      <c r="H1486" s="30" t="s">
        <v>141</v>
      </c>
      <c r="I1486" s="30" t="s">
        <v>30</v>
      </c>
      <c r="J1486" s="30" t="s">
        <v>142</v>
      </c>
      <c r="K1486" s="30" t="s">
        <v>116</v>
      </c>
      <c r="L1486" s="30" t="s">
        <v>121</v>
      </c>
      <c r="M1486" s="48" t="s">
        <v>4107</v>
      </c>
      <c r="N1486" s="30"/>
      <c r="O1486" s="30"/>
      <c r="P1486" s="30"/>
    </row>
    <row r="1487" spans="1:16" ht="45" customHeight="1">
      <c r="A1487" s="30" t="s">
        <v>3131</v>
      </c>
      <c r="B1487" s="47" t="s">
        <v>3098</v>
      </c>
      <c r="C1487" s="48" t="s">
        <v>3132</v>
      </c>
      <c r="D1487" s="30"/>
      <c r="E1487" s="30"/>
      <c r="F1487" s="30"/>
      <c r="G1487" t="s">
        <v>133</v>
      </c>
      <c r="H1487" s="30" t="s">
        <v>141</v>
      </c>
      <c r="I1487" s="30" t="s">
        <v>30</v>
      </c>
      <c r="J1487" s="30" t="s">
        <v>142</v>
      </c>
      <c r="K1487" s="30" t="s">
        <v>116</v>
      </c>
      <c r="L1487" s="30" t="s">
        <v>143</v>
      </c>
      <c r="M1487" s="48"/>
      <c r="N1487" s="30"/>
      <c r="O1487" s="30"/>
      <c r="P1487" s="30"/>
    </row>
    <row r="1488" spans="1:16" ht="120" customHeight="1">
      <c r="A1488" s="30" t="s">
        <v>3133</v>
      </c>
      <c r="B1488" s="47" t="s">
        <v>3134</v>
      </c>
      <c r="C1488" s="48" t="s">
        <v>4012</v>
      </c>
      <c r="D1488" s="30"/>
      <c r="E1488" s="30"/>
      <c r="F1488" s="30"/>
      <c r="G1488" s="30"/>
      <c r="H1488" s="30" t="s">
        <v>141</v>
      </c>
      <c r="I1488" s="30" t="s">
        <v>30</v>
      </c>
      <c r="J1488" s="30" t="s">
        <v>144</v>
      </c>
      <c r="K1488" s="30" t="s">
        <v>116</v>
      </c>
      <c r="L1488" s="30" t="s">
        <v>121</v>
      </c>
      <c r="M1488" s="48" t="s">
        <v>3662</v>
      </c>
      <c r="N1488" s="30"/>
      <c r="O1488" s="30"/>
      <c r="P1488" s="30"/>
    </row>
    <row r="1489" spans="1:16" ht="90" customHeight="1">
      <c r="A1489" s="30" t="s">
        <v>3135</v>
      </c>
      <c r="B1489" s="47" t="s">
        <v>3134</v>
      </c>
      <c r="C1489" s="48" t="s">
        <v>3136</v>
      </c>
      <c r="D1489" s="30"/>
      <c r="E1489" s="30"/>
      <c r="F1489" s="30"/>
      <c r="G1489" s="30"/>
      <c r="H1489" s="30" t="s">
        <v>141</v>
      </c>
      <c r="I1489" s="30" t="s">
        <v>30</v>
      </c>
      <c r="J1489" s="30" t="s">
        <v>142</v>
      </c>
      <c r="K1489" s="30" t="s">
        <v>116</v>
      </c>
      <c r="L1489" s="30" t="s">
        <v>121</v>
      </c>
      <c r="M1489" s="48" t="s">
        <v>3662</v>
      </c>
      <c r="N1489" s="30"/>
      <c r="O1489" s="30"/>
      <c r="P1489" s="30"/>
    </row>
    <row r="1490" spans="1:16" ht="45" customHeight="1">
      <c r="A1490" s="30" t="s">
        <v>3137</v>
      </c>
      <c r="B1490" s="47" t="s">
        <v>3134</v>
      </c>
      <c r="C1490" s="48" t="s">
        <v>3138</v>
      </c>
      <c r="D1490" s="30"/>
      <c r="E1490" s="30"/>
      <c r="F1490" s="30"/>
      <c r="G1490" s="30"/>
      <c r="H1490" s="30" t="s">
        <v>141</v>
      </c>
      <c r="I1490" s="30" t="s">
        <v>30</v>
      </c>
      <c r="J1490" s="30" t="s">
        <v>142</v>
      </c>
      <c r="K1490" s="30" t="s">
        <v>116</v>
      </c>
      <c r="L1490" s="30" t="s">
        <v>121</v>
      </c>
      <c r="M1490" s="48" t="s">
        <v>316</v>
      </c>
      <c r="N1490" s="30"/>
      <c r="O1490" s="30"/>
      <c r="P1490" s="30"/>
    </row>
    <row r="1491" spans="1:16" ht="45" customHeight="1">
      <c r="A1491" s="30" t="s">
        <v>3139</v>
      </c>
      <c r="B1491" s="47" t="s">
        <v>3134</v>
      </c>
      <c r="C1491" s="48" t="s">
        <v>3140</v>
      </c>
      <c r="D1491" s="30"/>
      <c r="E1491" s="30"/>
      <c r="F1491" s="30"/>
      <c r="H1491" s="30" t="s">
        <v>141</v>
      </c>
      <c r="I1491" s="30" t="s">
        <v>30</v>
      </c>
      <c r="J1491" s="30" t="s">
        <v>142</v>
      </c>
      <c r="K1491" s="30" t="s">
        <v>116</v>
      </c>
      <c r="L1491" s="30" t="s">
        <v>121</v>
      </c>
      <c r="M1491" s="64" t="s">
        <v>4076</v>
      </c>
      <c r="N1491" s="30"/>
      <c r="O1491" s="30"/>
      <c r="P1491" s="30"/>
    </row>
    <row r="1492" spans="1:16" ht="45" customHeight="1">
      <c r="A1492" s="30" t="s">
        <v>4013</v>
      </c>
      <c r="B1492" s="47" t="s">
        <v>3134</v>
      </c>
      <c r="C1492" s="48" t="s">
        <v>4014</v>
      </c>
      <c r="D1492" s="30"/>
      <c r="E1492" s="30"/>
      <c r="F1492" s="30"/>
      <c r="H1492" s="30" t="s">
        <v>141</v>
      </c>
      <c r="I1492" s="30" t="s">
        <v>30</v>
      </c>
      <c r="J1492" s="30" t="s">
        <v>142</v>
      </c>
      <c r="K1492" s="30" t="s">
        <v>116</v>
      </c>
      <c r="L1492" s="30" t="s">
        <v>121</v>
      </c>
      <c r="M1492" s="64" t="s">
        <v>4076</v>
      </c>
      <c r="N1492" s="30"/>
      <c r="O1492" s="30"/>
      <c r="P1492" s="30"/>
    </row>
    <row r="1493" spans="1:16" ht="45" customHeight="1">
      <c r="A1493" s="30" t="s">
        <v>3141</v>
      </c>
      <c r="B1493" s="47" t="s">
        <v>3134</v>
      </c>
      <c r="C1493" s="48" t="s">
        <v>3142</v>
      </c>
      <c r="D1493" s="30"/>
      <c r="E1493" s="30"/>
      <c r="F1493" s="30"/>
      <c r="H1493" s="30" t="s">
        <v>141</v>
      </c>
      <c r="I1493" s="30" t="s">
        <v>30</v>
      </c>
      <c r="J1493" s="30" t="s">
        <v>142</v>
      </c>
      <c r="K1493" s="30" t="s">
        <v>116</v>
      </c>
      <c r="L1493" s="30" t="s">
        <v>121</v>
      </c>
      <c r="M1493" s="64" t="s">
        <v>4076</v>
      </c>
      <c r="N1493" s="30"/>
      <c r="O1493" s="30"/>
      <c r="P1493" s="30"/>
    </row>
    <row r="1494" spans="1:16" ht="45" customHeight="1">
      <c r="A1494" s="30" t="s">
        <v>3143</v>
      </c>
      <c r="B1494" s="47" t="s">
        <v>3134</v>
      </c>
      <c r="C1494" s="48" t="s">
        <v>3144</v>
      </c>
      <c r="D1494" s="30"/>
      <c r="E1494" s="30"/>
      <c r="F1494" s="30"/>
      <c r="G1494" s="30"/>
      <c r="H1494" s="30" t="s">
        <v>141</v>
      </c>
      <c r="I1494" s="30" t="s">
        <v>30</v>
      </c>
      <c r="J1494" s="30" t="s">
        <v>142</v>
      </c>
      <c r="K1494" s="30" t="s">
        <v>116</v>
      </c>
      <c r="L1494" s="30" t="s">
        <v>121</v>
      </c>
      <c r="M1494" s="48" t="s">
        <v>316</v>
      </c>
      <c r="N1494" s="30"/>
      <c r="O1494" s="30"/>
      <c r="P1494" s="30"/>
    </row>
    <row r="1495" spans="1:16" ht="45" customHeight="1">
      <c r="A1495" s="30" t="s">
        <v>3145</v>
      </c>
      <c r="B1495" s="47" t="s">
        <v>3134</v>
      </c>
      <c r="C1495" s="48" t="s">
        <v>3146</v>
      </c>
      <c r="D1495" s="30"/>
      <c r="E1495" s="30"/>
      <c r="F1495" s="30"/>
      <c r="H1495" s="30" t="s">
        <v>141</v>
      </c>
      <c r="I1495" s="30" t="s">
        <v>30</v>
      </c>
      <c r="J1495" s="30" t="s">
        <v>142</v>
      </c>
      <c r="K1495" s="30" t="s">
        <v>116</v>
      </c>
      <c r="L1495" s="30" t="s">
        <v>121</v>
      </c>
      <c r="M1495" s="64" t="s">
        <v>4076</v>
      </c>
      <c r="N1495" s="30"/>
      <c r="O1495" s="30"/>
      <c r="P1495" s="30"/>
    </row>
    <row r="1496" spans="1:16" ht="60" customHeight="1">
      <c r="A1496" s="30" t="s">
        <v>3147</v>
      </c>
      <c r="B1496" s="47" t="s">
        <v>3134</v>
      </c>
      <c r="C1496" s="48" t="s">
        <v>3148</v>
      </c>
      <c r="D1496" s="30"/>
      <c r="E1496" s="30"/>
      <c r="F1496" s="30"/>
      <c r="G1496" s="30"/>
      <c r="H1496" s="30" t="s">
        <v>141</v>
      </c>
      <c r="I1496" s="30" t="s">
        <v>30</v>
      </c>
      <c r="J1496" s="30" t="s">
        <v>142</v>
      </c>
      <c r="K1496" s="30" t="s">
        <v>116</v>
      </c>
      <c r="L1496" s="30" t="s">
        <v>121</v>
      </c>
      <c r="M1496" s="48" t="s">
        <v>316</v>
      </c>
      <c r="N1496" s="30"/>
      <c r="O1496" s="30"/>
      <c r="P1496" s="30"/>
    </row>
    <row r="1497" spans="1:16" ht="60" customHeight="1">
      <c r="A1497" s="30" t="s">
        <v>3149</v>
      </c>
      <c r="B1497" s="47" t="s">
        <v>3134</v>
      </c>
      <c r="C1497" s="48" t="s">
        <v>4015</v>
      </c>
      <c r="D1497" s="30"/>
      <c r="E1497" s="30"/>
      <c r="F1497" s="30"/>
      <c r="H1497" s="30" t="s">
        <v>141</v>
      </c>
      <c r="I1497" s="30" t="s">
        <v>30</v>
      </c>
      <c r="J1497" s="30" t="s">
        <v>142</v>
      </c>
      <c r="K1497" s="30" t="s">
        <v>116</v>
      </c>
      <c r="L1497" s="30" t="s">
        <v>121</v>
      </c>
      <c r="M1497" s="64" t="s">
        <v>4076</v>
      </c>
      <c r="N1497" s="30"/>
      <c r="O1497" s="30"/>
      <c r="P1497" s="30"/>
    </row>
    <row r="1498" spans="1:16" ht="90" customHeight="1">
      <c r="A1498" s="30" t="s">
        <v>3150</v>
      </c>
      <c r="B1498" s="47" t="s">
        <v>3151</v>
      </c>
      <c r="C1498" s="48" t="s">
        <v>3152</v>
      </c>
      <c r="D1498" s="30"/>
      <c r="E1498" s="30"/>
      <c r="F1498" s="30"/>
      <c r="G1498" s="30"/>
      <c r="H1498" s="30" t="s">
        <v>141</v>
      </c>
      <c r="I1498" s="30" t="s">
        <v>30</v>
      </c>
      <c r="J1498" s="30" t="s">
        <v>142</v>
      </c>
      <c r="K1498" s="30" t="s">
        <v>116</v>
      </c>
      <c r="L1498" s="30" t="s">
        <v>121</v>
      </c>
      <c r="M1498" s="48" t="s">
        <v>4114</v>
      </c>
      <c r="N1498" s="30"/>
      <c r="O1498" s="30"/>
      <c r="P1498" s="30"/>
    </row>
    <row r="1499" spans="1:16" ht="105" customHeight="1">
      <c r="A1499" s="30" t="s">
        <v>3153</v>
      </c>
      <c r="B1499" s="47" t="s">
        <v>3151</v>
      </c>
      <c r="C1499" s="48" t="s">
        <v>3154</v>
      </c>
      <c r="D1499" s="30"/>
      <c r="E1499" s="30"/>
      <c r="F1499" s="30"/>
      <c r="G1499" s="30" t="s">
        <v>139</v>
      </c>
      <c r="H1499" s="30" t="s">
        <v>141</v>
      </c>
      <c r="I1499" s="30" t="s">
        <v>30</v>
      </c>
      <c r="J1499" s="30" t="s">
        <v>142</v>
      </c>
      <c r="K1499" s="30" t="s">
        <v>116</v>
      </c>
      <c r="L1499" s="30" t="s">
        <v>146</v>
      </c>
      <c r="M1499" s="48"/>
      <c r="N1499" s="30"/>
      <c r="O1499" s="30"/>
      <c r="P1499" s="30"/>
    </row>
    <row r="1500" spans="1:16" ht="90" customHeight="1">
      <c r="A1500" s="30" t="s">
        <v>3155</v>
      </c>
      <c r="B1500" s="47" t="s">
        <v>3151</v>
      </c>
      <c r="C1500" s="48" t="s">
        <v>3156</v>
      </c>
      <c r="D1500" s="30"/>
      <c r="E1500" s="30"/>
      <c r="F1500" s="30"/>
      <c r="G1500" s="30"/>
      <c r="H1500" s="30" t="s">
        <v>141</v>
      </c>
      <c r="I1500" s="30" t="s">
        <v>30</v>
      </c>
      <c r="J1500" s="30" t="s">
        <v>142</v>
      </c>
      <c r="K1500" s="30" t="s">
        <v>116</v>
      </c>
      <c r="L1500" s="30" t="s">
        <v>121</v>
      </c>
      <c r="M1500" s="48" t="s">
        <v>706</v>
      </c>
      <c r="N1500" s="30"/>
      <c r="O1500" s="30"/>
      <c r="P1500" s="30"/>
    </row>
    <row r="1501" spans="1:16" ht="45" customHeight="1">
      <c r="A1501" s="30" t="s">
        <v>3157</v>
      </c>
      <c r="B1501" s="47" t="s">
        <v>3151</v>
      </c>
      <c r="C1501" s="48" t="s">
        <v>3158</v>
      </c>
      <c r="D1501" s="30"/>
      <c r="E1501" s="30"/>
      <c r="F1501" s="30"/>
      <c r="G1501" s="30"/>
      <c r="H1501" s="30" t="s">
        <v>141</v>
      </c>
      <c r="I1501" s="30" t="s">
        <v>30</v>
      </c>
      <c r="J1501" s="30" t="s">
        <v>142</v>
      </c>
      <c r="K1501" s="30" t="s">
        <v>116</v>
      </c>
      <c r="L1501" s="30" t="s">
        <v>121</v>
      </c>
      <c r="M1501" s="48" t="s">
        <v>706</v>
      </c>
      <c r="N1501" s="30"/>
      <c r="O1501" s="30"/>
      <c r="P1501" s="30"/>
    </row>
    <row r="1502" spans="1:16" ht="45" customHeight="1">
      <c r="A1502" s="30" t="s">
        <v>3159</v>
      </c>
      <c r="B1502" s="47" t="s">
        <v>3151</v>
      </c>
      <c r="C1502" s="48" t="s">
        <v>3160</v>
      </c>
      <c r="D1502" s="30"/>
      <c r="E1502" s="30"/>
      <c r="F1502" s="30"/>
      <c r="G1502" s="30"/>
      <c r="H1502" s="30" t="s">
        <v>141</v>
      </c>
      <c r="I1502" s="30" t="s">
        <v>30</v>
      </c>
      <c r="J1502" s="30" t="s">
        <v>144</v>
      </c>
      <c r="K1502" s="30" t="s">
        <v>117</v>
      </c>
      <c r="L1502" s="30" t="s">
        <v>3664</v>
      </c>
      <c r="M1502" s="51" t="s">
        <v>4045</v>
      </c>
      <c r="N1502" s="30"/>
      <c r="O1502" s="30"/>
      <c r="P1502" s="30"/>
    </row>
    <row r="1503" spans="1:16" ht="45" customHeight="1">
      <c r="A1503" s="30" t="s">
        <v>3161</v>
      </c>
      <c r="B1503" s="47" t="s">
        <v>3151</v>
      </c>
      <c r="C1503" s="48" t="s">
        <v>3162</v>
      </c>
      <c r="D1503" s="30"/>
      <c r="E1503" s="30"/>
      <c r="F1503" s="30"/>
      <c r="G1503" s="30"/>
      <c r="H1503" s="30" t="s">
        <v>141</v>
      </c>
      <c r="I1503" s="30" t="s">
        <v>30</v>
      </c>
      <c r="J1503" s="30" t="s">
        <v>142</v>
      </c>
      <c r="K1503" s="30" t="s">
        <v>116</v>
      </c>
      <c r="L1503" s="30" t="s">
        <v>121</v>
      </c>
      <c r="M1503" s="48" t="s">
        <v>2916</v>
      </c>
      <c r="N1503" s="30"/>
      <c r="O1503" s="30"/>
      <c r="P1503" s="30"/>
    </row>
    <row r="1504" spans="1:16" ht="75" customHeight="1">
      <c r="A1504" s="30" t="s">
        <v>3163</v>
      </c>
      <c r="B1504" s="50" t="s">
        <v>3151</v>
      </c>
      <c r="C1504" s="51" t="s">
        <v>3164</v>
      </c>
      <c r="D1504" s="30"/>
      <c r="E1504" s="30"/>
      <c r="F1504" s="30"/>
      <c r="G1504" s="30" t="s">
        <v>139</v>
      </c>
      <c r="H1504" s="30" t="s">
        <v>141</v>
      </c>
      <c r="I1504" s="30" t="s">
        <v>30</v>
      </c>
      <c r="J1504" s="30" t="s">
        <v>142</v>
      </c>
      <c r="K1504" s="30" t="s">
        <v>116</v>
      </c>
      <c r="L1504" s="30" t="s">
        <v>146</v>
      </c>
      <c r="M1504" s="48" t="s">
        <v>4127</v>
      </c>
      <c r="N1504" s="54"/>
      <c r="O1504" s="30"/>
      <c r="P1504" s="30"/>
    </row>
    <row r="1505" spans="1:16" s="31" customFormat="1" ht="45">
      <c r="A1505" s="30" t="s">
        <v>3165</v>
      </c>
      <c r="B1505" s="47" t="s">
        <v>3151</v>
      </c>
      <c r="C1505" s="48" t="s">
        <v>3166</v>
      </c>
      <c r="D1505" s="30"/>
      <c r="E1505" s="30"/>
      <c r="F1505" s="30"/>
      <c r="G1505" s="30" t="s">
        <v>139</v>
      </c>
      <c r="H1505" s="30" t="s">
        <v>141</v>
      </c>
      <c r="I1505" s="30" t="s">
        <v>30</v>
      </c>
      <c r="J1505" s="30" t="s">
        <v>142</v>
      </c>
      <c r="K1505" s="30" t="s">
        <v>116</v>
      </c>
      <c r="L1505" s="30" t="s">
        <v>146</v>
      </c>
      <c r="M1505" s="48" t="s">
        <v>4132</v>
      </c>
      <c r="N1505" s="30"/>
      <c r="O1505" s="30"/>
      <c r="P1505" s="30"/>
    </row>
    <row r="1506" spans="1:16" s="31" customFormat="1" ht="45">
      <c r="A1506" s="30" t="s">
        <v>3167</v>
      </c>
      <c r="B1506" s="47" t="s">
        <v>3151</v>
      </c>
      <c r="C1506" s="48" t="s">
        <v>4016</v>
      </c>
      <c r="D1506" s="30"/>
      <c r="E1506" s="30"/>
      <c r="F1506" s="30"/>
      <c r="G1506" s="30" t="s">
        <v>139</v>
      </c>
      <c r="H1506" s="30" t="s">
        <v>141</v>
      </c>
      <c r="I1506" s="30" t="s">
        <v>30</v>
      </c>
      <c r="J1506" s="30" t="s">
        <v>142</v>
      </c>
      <c r="K1506" s="30" t="s">
        <v>116</v>
      </c>
      <c r="L1506" s="30" t="s">
        <v>146</v>
      </c>
      <c r="M1506" s="48" t="s">
        <v>4132</v>
      </c>
      <c r="N1506" s="30"/>
      <c r="O1506" s="30"/>
      <c r="P1506" s="30"/>
    </row>
    <row r="1507" spans="1:16" ht="105" customHeight="1">
      <c r="A1507" s="30" t="s">
        <v>3168</v>
      </c>
      <c r="B1507" s="47" t="s">
        <v>3169</v>
      </c>
      <c r="C1507" s="48" t="s">
        <v>3170</v>
      </c>
      <c r="D1507" s="30"/>
      <c r="E1507" s="30"/>
      <c r="F1507" s="30"/>
      <c r="G1507" s="30" t="s">
        <v>139</v>
      </c>
      <c r="H1507" s="30" t="s">
        <v>141</v>
      </c>
      <c r="I1507" s="30" t="s">
        <v>30</v>
      </c>
      <c r="J1507" s="30" t="s">
        <v>142</v>
      </c>
      <c r="K1507" s="30" t="s">
        <v>116</v>
      </c>
      <c r="L1507" s="30" t="s">
        <v>143</v>
      </c>
      <c r="M1507" s="48"/>
      <c r="N1507" s="30"/>
      <c r="O1507" s="30"/>
      <c r="P1507" s="30"/>
    </row>
    <row r="1508" spans="1:16" ht="60" customHeight="1">
      <c r="A1508" s="30" t="s">
        <v>3171</v>
      </c>
      <c r="B1508" s="47" t="s">
        <v>3169</v>
      </c>
      <c r="C1508" s="48" t="s">
        <v>3172</v>
      </c>
      <c r="D1508" s="30"/>
      <c r="E1508" s="30"/>
      <c r="F1508" s="30"/>
      <c r="G1508" s="30"/>
      <c r="H1508" s="30" t="s">
        <v>141</v>
      </c>
      <c r="I1508" s="30" t="s">
        <v>30</v>
      </c>
      <c r="J1508" s="30" t="s">
        <v>144</v>
      </c>
      <c r="K1508" s="30" t="s">
        <v>117</v>
      </c>
      <c r="L1508" s="30" t="s">
        <v>122</v>
      </c>
      <c r="M1508" s="48"/>
      <c r="N1508" s="30"/>
      <c r="O1508" s="30"/>
      <c r="P1508" s="30"/>
    </row>
    <row r="1509" spans="1:16" ht="105" customHeight="1">
      <c r="A1509" s="30" t="s">
        <v>3173</v>
      </c>
      <c r="B1509" s="47" t="s">
        <v>3169</v>
      </c>
      <c r="C1509" s="48" t="s">
        <v>3174</v>
      </c>
      <c r="D1509" s="30"/>
      <c r="E1509" s="30"/>
      <c r="F1509" s="30"/>
      <c r="G1509" s="30" t="s">
        <v>139</v>
      </c>
      <c r="H1509" s="30" t="s">
        <v>141</v>
      </c>
      <c r="I1509" s="30" t="s">
        <v>30</v>
      </c>
      <c r="J1509" s="30" t="s">
        <v>142</v>
      </c>
      <c r="K1509" s="30" t="s">
        <v>116</v>
      </c>
      <c r="L1509" s="30" t="s">
        <v>143</v>
      </c>
      <c r="M1509" s="48"/>
      <c r="N1509" s="30"/>
      <c r="O1509" s="30"/>
      <c r="P1509" s="30"/>
    </row>
    <row r="1510" spans="1:16" ht="105" customHeight="1">
      <c r="A1510" s="30" t="s">
        <v>3175</v>
      </c>
      <c r="B1510" s="47" t="s">
        <v>3169</v>
      </c>
      <c r="C1510" s="48" t="s">
        <v>3176</v>
      </c>
      <c r="D1510" s="30"/>
      <c r="E1510" s="30"/>
      <c r="F1510" s="30"/>
      <c r="G1510" s="30" t="s">
        <v>139</v>
      </c>
      <c r="H1510" s="30" t="s">
        <v>141</v>
      </c>
      <c r="I1510" s="30" t="s">
        <v>30</v>
      </c>
      <c r="J1510" s="30" t="s">
        <v>142</v>
      </c>
      <c r="K1510" s="30" t="s">
        <v>116</v>
      </c>
      <c r="L1510" s="30" t="s">
        <v>143</v>
      </c>
      <c r="M1510" s="48"/>
      <c r="N1510" s="30"/>
      <c r="O1510" s="30"/>
      <c r="P1510" s="30"/>
    </row>
    <row r="1511" spans="1:16" ht="180" customHeight="1">
      <c r="A1511" s="30" t="s">
        <v>3177</v>
      </c>
      <c r="B1511" s="47" t="s">
        <v>3178</v>
      </c>
      <c r="C1511" s="48" t="s">
        <v>3179</v>
      </c>
      <c r="D1511" s="30"/>
      <c r="E1511" s="30"/>
      <c r="F1511" s="30"/>
      <c r="G1511" s="30"/>
      <c r="H1511" s="30" t="s">
        <v>141</v>
      </c>
      <c r="I1511" s="30" t="s">
        <v>30</v>
      </c>
      <c r="J1511" s="30" t="s">
        <v>144</v>
      </c>
      <c r="K1511" s="30" t="s">
        <v>117</v>
      </c>
      <c r="L1511" s="30" t="s">
        <v>122</v>
      </c>
      <c r="M1511" s="48"/>
      <c r="N1511" s="30"/>
      <c r="O1511" s="30"/>
      <c r="P1511" s="30"/>
    </row>
    <row r="1512" spans="1:16" ht="105" customHeight="1">
      <c r="A1512" s="30" t="s">
        <v>3180</v>
      </c>
      <c r="B1512" s="47" t="s">
        <v>3181</v>
      </c>
      <c r="C1512" s="48" t="s">
        <v>3182</v>
      </c>
      <c r="D1512" s="30"/>
      <c r="E1512" s="30"/>
      <c r="F1512" s="30"/>
      <c r="H1512" s="30" t="s">
        <v>141</v>
      </c>
      <c r="I1512" s="30" t="s">
        <v>30</v>
      </c>
      <c r="J1512" s="30" t="s">
        <v>142</v>
      </c>
      <c r="K1512" s="30" t="s">
        <v>116</v>
      </c>
      <c r="L1512" s="30" t="s">
        <v>121</v>
      </c>
      <c r="M1512" s="48" t="s">
        <v>4092</v>
      </c>
      <c r="N1512" s="30"/>
      <c r="O1512" s="30"/>
      <c r="P1512" s="30"/>
    </row>
    <row r="1513" spans="1:16" ht="90" customHeight="1">
      <c r="A1513" s="30" t="s">
        <v>3183</v>
      </c>
      <c r="B1513" s="47" t="s">
        <v>3181</v>
      </c>
      <c r="C1513" s="48" t="s">
        <v>3184</v>
      </c>
      <c r="D1513" s="30"/>
      <c r="E1513" s="30"/>
      <c r="F1513" s="30"/>
      <c r="G1513" s="30"/>
      <c r="H1513" s="30" t="s">
        <v>141</v>
      </c>
      <c r="I1513" s="30" t="s">
        <v>30</v>
      </c>
      <c r="J1513" s="30" t="s">
        <v>142</v>
      </c>
      <c r="K1513" s="30" t="s">
        <v>116</v>
      </c>
      <c r="L1513" s="30" t="s">
        <v>121</v>
      </c>
      <c r="M1513" s="48" t="s">
        <v>2916</v>
      </c>
      <c r="N1513" s="30"/>
      <c r="O1513" s="30"/>
      <c r="P1513" s="30"/>
    </row>
    <row r="1514" spans="1:16" ht="45" customHeight="1">
      <c r="A1514" s="30" t="s">
        <v>3185</v>
      </c>
      <c r="B1514" s="47" t="s">
        <v>3181</v>
      </c>
      <c r="C1514" s="48" t="s">
        <v>4017</v>
      </c>
      <c r="D1514" s="30"/>
      <c r="E1514" s="30"/>
      <c r="F1514" s="30"/>
      <c r="G1514" s="30"/>
      <c r="H1514" s="30" t="s">
        <v>141</v>
      </c>
      <c r="I1514" s="30" t="s">
        <v>30</v>
      </c>
      <c r="J1514" s="30" t="s">
        <v>142</v>
      </c>
      <c r="K1514" s="30" t="s">
        <v>116</v>
      </c>
      <c r="L1514" s="30" t="s">
        <v>121</v>
      </c>
      <c r="M1514" s="48" t="s">
        <v>2916</v>
      </c>
      <c r="N1514" s="30"/>
      <c r="O1514" s="30"/>
      <c r="P1514" s="30"/>
    </row>
    <row r="1515" spans="1:16" s="31" customFormat="1" ht="45" customHeight="1">
      <c r="A1515" s="30" t="s">
        <v>3186</v>
      </c>
      <c r="B1515" s="47" t="s">
        <v>3181</v>
      </c>
      <c r="C1515" s="48" t="s">
        <v>3187</v>
      </c>
      <c r="D1515" s="30"/>
      <c r="E1515" s="30"/>
      <c r="F1515" s="30"/>
      <c r="H1515" s="30" t="s">
        <v>141</v>
      </c>
      <c r="I1515" s="30" t="s">
        <v>30</v>
      </c>
      <c r="J1515" s="30" t="s">
        <v>142</v>
      </c>
      <c r="K1515" s="30" t="s">
        <v>116</v>
      </c>
      <c r="L1515" s="30" t="s">
        <v>122</v>
      </c>
      <c r="M1515" s="48" t="s">
        <v>4214</v>
      </c>
      <c r="N1515" s="30"/>
      <c r="O1515" s="30"/>
      <c r="P1515" s="30"/>
    </row>
    <row r="1516" spans="1:16" ht="60" customHeight="1">
      <c r="A1516" s="30" t="s">
        <v>3188</v>
      </c>
      <c r="B1516" s="47" t="s">
        <v>3181</v>
      </c>
      <c r="C1516" s="48" t="s">
        <v>3189</v>
      </c>
      <c r="D1516" s="30"/>
      <c r="E1516" s="30"/>
      <c r="F1516" s="30"/>
      <c r="H1516" s="30" t="s">
        <v>141</v>
      </c>
      <c r="I1516" s="30" t="s">
        <v>30</v>
      </c>
      <c r="J1516" s="30" t="s">
        <v>144</v>
      </c>
      <c r="K1516" s="30" t="s">
        <v>117</v>
      </c>
      <c r="L1516" s="30" t="s">
        <v>122</v>
      </c>
      <c r="M1516" s="48"/>
      <c r="N1516" s="30"/>
      <c r="O1516" s="30"/>
      <c r="P1516" s="30"/>
    </row>
    <row r="1517" spans="1:16" ht="45" customHeight="1">
      <c r="A1517" s="30" t="s">
        <v>3190</v>
      </c>
      <c r="B1517" s="55" t="s">
        <v>3191</v>
      </c>
      <c r="C1517" s="51" t="s">
        <v>3192</v>
      </c>
      <c r="D1517" s="30"/>
      <c r="E1517" s="30"/>
      <c r="F1517" s="30"/>
      <c r="G1517" s="30" t="s">
        <v>135</v>
      </c>
      <c r="H1517" s="30" t="s">
        <v>141</v>
      </c>
      <c r="I1517" s="30" t="s">
        <v>30</v>
      </c>
      <c r="J1517" s="30" t="s">
        <v>145</v>
      </c>
      <c r="K1517" s="30" t="s">
        <v>116</v>
      </c>
      <c r="L1517" s="30" t="s">
        <v>143</v>
      </c>
      <c r="M1517" s="48"/>
      <c r="N1517" s="54"/>
      <c r="O1517" s="30"/>
      <c r="P1517" s="30"/>
    </row>
    <row r="1518" spans="1:16" ht="60" customHeight="1">
      <c r="A1518" s="30" t="s">
        <v>3193</v>
      </c>
      <c r="B1518" s="55" t="s">
        <v>3191</v>
      </c>
      <c r="C1518" s="52" t="s">
        <v>3194</v>
      </c>
      <c r="D1518" s="30"/>
      <c r="E1518" s="30"/>
      <c r="F1518" s="30" t="s">
        <v>3195</v>
      </c>
      <c r="G1518" s="30" t="s">
        <v>135</v>
      </c>
      <c r="H1518" s="30" t="s">
        <v>149</v>
      </c>
      <c r="I1518" s="30" t="s">
        <v>30</v>
      </c>
      <c r="J1518" s="30" t="s">
        <v>145</v>
      </c>
      <c r="K1518" s="30" t="s">
        <v>116</v>
      </c>
      <c r="L1518" s="30" t="s">
        <v>143</v>
      </c>
      <c r="M1518" s="48"/>
      <c r="N1518" s="54"/>
      <c r="O1518" s="30"/>
      <c r="P1518" s="30"/>
    </row>
    <row r="1519" spans="1:16" ht="60" customHeight="1">
      <c r="A1519" s="30" t="s">
        <v>3196</v>
      </c>
      <c r="B1519" s="47" t="s">
        <v>3191</v>
      </c>
      <c r="C1519" s="48" t="s">
        <v>4018</v>
      </c>
      <c r="D1519" s="30"/>
      <c r="E1519" s="30"/>
      <c r="F1519" s="30"/>
      <c r="G1519" s="30"/>
      <c r="H1519" s="30" t="s">
        <v>141</v>
      </c>
      <c r="I1519" s="30" t="s">
        <v>30</v>
      </c>
      <c r="J1519" s="30" t="s">
        <v>142</v>
      </c>
      <c r="K1519" s="30" t="s">
        <v>116</v>
      </c>
      <c r="L1519" s="30" t="s">
        <v>122</v>
      </c>
      <c r="M1519" s="48" t="s">
        <v>4100</v>
      </c>
      <c r="N1519" s="30"/>
      <c r="O1519" s="30"/>
      <c r="P1519" s="30"/>
    </row>
    <row r="1520" spans="1:16" s="31" customFormat="1" ht="120" customHeight="1">
      <c r="A1520" s="30" t="s">
        <v>3197</v>
      </c>
      <c r="B1520" s="47" t="s">
        <v>3191</v>
      </c>
      <c r="C1520" s="51" t="s">
        <v>4019</v>
      </c>
      <c r="D1520" s="30"/>
      <c r="E1520" s="30"/>
      <c r="F1520" s="30"/>
      <c r="G1520" s="30"/>
      <c r="H1520" s="30" t="s">
        <v>141</v>
      </c>
      <c r="I1520" s="30" t="s">
        <v>30</v>
      </c>
      <c r="J1520" s="30" t="s">
        <v>144</v>
      </c>
      <c r="K1520" s="30" t="s">
        <v>116</v>
      </c>
      <c r="L1520" s="30" t="s">
        <v>122</v>
      </c>
      <c r="M1520" s="31" t="s">
        <v>4215</v>
      </c>
      <c r="N1520" s="30"/>
      <c r="O1520" s="30"/>
      <c r="P1520" s="30"/>
    </row>
    <row r="1521" spans="1:16" ht="75" customHeight="1">
      <c r="A1521" s="30" t="s">
        <v>3198</v>
      </c>
      <c r="B1521" s="47" t="s">
        <v>3191</v>
      </c>
      <c r="C1521" s="48" t="s">
        <v>3199</v>
      </c>
      <c r="D1521" s="30"/>
      <c r="E1521" s="30"/>
      <c r="F1521" s="30"/>
      <c r="G1521" s="30"/>
      <c r="H1521" s="30" t="s">
        <v>141</v>
      </c>
      <c r="I1521" s="30" t="s">
        <v>30</v>
      </c>
      <c r="J1521" s="30" t="s">
        <v>144</v>
      </c>
      <c r="K1521" s="30" t="s">
        <v>117</v>
      </c>
      <c r="L1521" s="30" t="s">
        <v>122</v>
      </c>
      <c r="M1521" s="48"/>
      <c r="N1521" s="30"/>
      <c r="O1521" s="30"/>
      <c r="P1521" s="30"/>
    </row>
    <row r="1522" spans="1:16" ht="75" customHeight="1">
      <c r="A1522" s="30" t="s">
        <v>3200</v>
      </c>
      <c r="B1522" s="55" t="s">
        <v>3191</v>
      </c>
      <c r="C1522" s="51" t="s">
        <v>3201</v>
      </c>
      <c r="D1522" s="30"/>
      <c r="E1522" s="30"/>
      <c r="F1522" s="30"/>
      <c r="G1522" s="30" t="s">
        <v>135</v>
      </c>
      <c r="H1522" s="30" t="s">
        <v>141</v>
      </c>
      <c r="I1522" s="30" t="s">
        <v>30</v>
      </c>
      <c r="J1522" s="30" t="s">
        <v>142</v>
      </c>
      <c r="K1522" s="30" t="s">
        <v>116</v>
      </c>
      <c r="L1522" s="30" t="s">
        <v>143</v>
      </c>
      <c r="M1522" s="48"/>
      <c r="N1522" s="30"/>
      <c r="O1522" s="30"/>
      <c r="P1522" s="30"/>
    </row>
    <row r="1523" spans="1:16" ht="90" customHeight="1">
      <c r="A1523" s="30" t="s">
        <v>3202</v>
      </c>
      <c r="B1523" s="50" t="s">
        <v>3203</v>
      </c>
      <c r="C1523" s="51" t="s">
        <v>3204</v>
      </c>
      <c r="D1523" s="30"/>
      <c r="E1523" s="30"/>
      <c r="F1523" s="30"/>
      <c r="G1523" s="30" t="s">
        <v>4028</v>
      </c>
      <c r="H1523" s="30" t="s">
        <v>141</v>
      </c>
      <c r="I1523" s="30" t="s">
        <v>30</v>
      </c>
      <c r="J1523" s="30" t="s">
        <v>142</v>
      </c>
      <c r="K1523" s="30" t="s">
        <v>116</v>
      </c>
      <c r="L1523" s="30" t="s">
        <v>146</v>
      </c>
      <c r="M1523" s="48"/>
      <c r="N1523" s="30"/>
      <c r="O1523" s="30"/>
      <c r="P1523" s="30"/>
    </row>
    <row r="1524" spans="1:16" ht="75" customHeight="1">
      <c r="A1524" s="30" t="s">
        <v>3205</v>
      </c>
      <c r="B1524" s="50" t="s">
        <v>3178</v>
      </c>
      <c r="C1524" s="51" t="s">
        <v>3206</v>
      </c>
      <c r="D1524" s="30"/>
      <c r="E1524" s="30"/>
      <c r="F1524" s="30"/>
      <c r="G1524" s="30"/>
      <c r="H1524" s="30" t="s">
        <v>141</v>
      </c>
      <c r="I1524" s="30" t="s">
        <v>30</v>
      </c>
      <c r="J1524" s="30" t="s">
        <v>142</v>
      </c>
      <c r="K1524" s="30" t="s">
        <v>116</v>
      </c>
      <c r="L1524" s="30" t="s">
        <v>121</v>
      </c>
      <c r="M1524" s="48" t="s">
        <v>2916</v>
      </c>
      <c r="N1524" s="30"/>
      <c r="O1524" s="30"/>
      <c r="P1524" s="30"/>
    </row>
    <row r="1525" spans="1:16" ht="90" customHeight="1">
      <c r="A1525" s="30" t="s">
        <v>3207</v>
      </c>
      <c r="B1525" s="47" t="s">
        <v>3208</v>
      </c>
      <c r="C1525" s="48" t="s">
        <v>3209</v>
      </c>
      <c r="D1525" s="30"/>
      <c r="E1525" s="30"/>
      <c r="F1525" s="30"/>
      <c r="G1525" s="30"/>
      <c r="H1525" s="30" t="s">
        <v>141</v>
      </c>
      <c r="I1525" s="30" t="s">
        <v>30</v>
      </c>
      <c r="J1525" s="30" t="s">
        <v>144</v>
      </c>
      <c r="K1525" s="30" t="s">
        <v>117</v>
      </c>
      <c r="L1525" s="30" t="s">
        <v>122</v>
      </c>
      <c r="M1525" s="48"/>
      <c r="N1525" s="30"/>
      <c r="O1525" s="30"/>
      <c r="P1525" s="30"/>
    </row>
    <row r="1526" spans="1:16" s="31" customFormat="1" ht="45">
      <c r="A1526" s="30" t="s">
        <v>3210</v>
      </c>
      <c r="B1526" s="47" t="s">
        <v>3211</v>
      </c>
      <c r="C1526" s="48" t="s">
        <v>3212</v>
      </c>
      <c r="D1526" s="30"/>
      <c r="E1526" s="30"/>
      <c r="F1526" s="30"/>
      <c r="G1526" s="30" t="s">
        <v>4025</v>
      </c>
      <c r="H1526" s="30" t="s">
        <v>141</v>
      </c>
      <c r="I1526" s="30" t="s">
        <v>30</v>
      </c>
      <c r="J1526" s="30" t="s">
        <v>142</v>
      </c>
      <c r="K1526" s="30" t="s">
        <v>116</v>
      </c>
      <c r="L1526" s="30" t="s">
        <v>143</v>
      </c>
      <c r="M1526" s="48"/>
      <c r="N1526" s="30"/>
      <c r="O1526" s="30"/>
      <c r="P1526" s="30"/>
    </row>
    <row r="1527" spans="1:16" ht="75" customHeight="1">
      <c r="A1527" s="30" t="s">
        <v>3213</v>
      </c>
      <c r="B1527" s="47" t="s">
        <v>3214</v>
      </c>
      <c r="C1527" s="48" t="s">
        <v>4020</v>
      </c>
      <c r="D1527" s="30"/>
      <c r="E1527" s="30"/>
      <c r="F1527" s="30"/>
      <c r="G1527" s="30" t="s">
        <v>4025</v>
      </c>
      <c r="H1527" s="30" t="s">
        <v>141</v>
      </c>
      <c r="I1527" s="30" t="s">
        <v>30</v>
      </c>
      <c r="J1527" s="30" t="s">
        <v>142</v>
      </c>
      <c r="K1527" s="30" t="s">
        <v>116</v>
      </c>
      <c r="L1527" s="30" t="s">
        <v>143</v>
      </c>
      <c r="M1527" s="48"/>
      <c r="N1527" s="30"/>
      <c r="O1527" s="30"/>
      <c r="P1527" s="30"/>
    </row>
    <row r="1528" spans="1:16" ht="75" customHeight="1">
      <c r="A1528" s="30" t="s">
        <v>3215</v>
      </c>
      <c r="B1528" s="47" t="s">
        <v>3216</v>
      </c>
      <c r="C1528" s="48" t="s">
        <v>4021</v>
      </c>
      <c r="D1528" s="30"/>
      <c r="E1528" s="30"/>
      <c r="F1528" s="30"/>
      <c r="G1528" s="30"/>
      <c r="H1528" s="30" t="s">
        <v>141</v>
      </c>
      <c r="I1528" s="30" t="s">
        <v>30</v>
      </c>
      <c r="J1528" s="30" t="s">
        <v>144</v>
      </c>
      <c r="K1528" s="30" t="s">
        <v>117</v>
      </c>
      <c r="L1528" s="30" t="s">
        <v>122</v>
      </c>
      <c r="M1528" s="48"/>
      <c r="N1528" s="30"/>
      <c r="O1528" s="30"/>
      <c r="P1528" s="30"/>
    </row>
    <row r="1529" spans="1:16" ht="75" customHeight="1">
      <c r="A1529" s="30" t="s">
        <v>3217</v>
      </c>
      <c r="B1529" s="47" t="s">
        <v>3218</v>
      </c>
      <c r="C1529" s="48" t="s">
        <v>3219</v>
      </c>
      <c r="D1529" s="30"/>
      <c r="E1529" s="30"/>
      <c r="F1529" s="30"/>
      <c r="G1529" s="30" t="s">
        <v>133</v>
      </c>
      <c r="H1529" s="30" t="s">
        <v>141</v>
      </c>
      <c r="I1529" s="30" t="s">
        <v>30</v>
      </c>
      <c r="J1529" s="30" t="s">
        <v>142</v>
      </c>
      <c r="K1529" s="30" t="s">
        <v>116</v>
      </c>
      <c r="L1529" s="30" t="s">
        <v>143</v>
      </c>
      <c r="M1529" s="48"/>
      <c r="N1529" s="30"/>
      <c r="O1529" s="30"/>
      <c r="P1529" s="30"/>
    </row>
    <row r="1530" spans="1:16" ht="60" customHeight="1">
      <c r="A1530" s="30" t="s">
        <v>3220</v>
      </c>
      <c r="B1530" s="47" t="s">
        <v>3221</v>
      </c>
      <c r="C1530" s="48" t="s">
        <v>3222</v>
      </c>
      <c r="D1530" s="30"/>
      <c r="E1530" s="30"/>
      <c r="F1530" s="30"/>
      <c r="G1530" s="30"/>
      <c r="H1530" s="30" t="s">
        <v>141</v>
      </c>
      <c r="I1530" s="30" t="s">
        <v>30</v>
      </c>
      <c r="J1530" s="30" t="s">
        <v>144</v>
      </c>
      <c r="K1530" s="30" t="s">
        <v>117</v>
      </c>
      <c r="L1530" s="30" t="s">
        <v>122</v>
      </c>
      <c r="M1530" s="48"/>
      <c r="N1530" s="30"/>
      <c r="O1530" s="30"/>
      <c r="P1530" s="30"/>
    </row>
    <row r="1531" spans="1:16" ht="45" customHeight="1">
      <c r="A1531" s="30" t="s">
        <v>3223</v>
      </c>
      <c r="B1531" s="55" t="s">
        <v>3221</v>
      </c>
      <c r="C1531" s="51" t="s">
        <v>3224</v>
      </c>
      <c r="D1531" s="30"/>
      <c r="E1531" s="30"/>
      <c r="F1531" s="30"/>
      <c r="G1531" s="30"/>
      <c r="H1531" s="30" t="s">
        <v>141</v>
      </c>
      <c r="I1531" s="30" t="s">
        <v>30</v>
      </c>
      <c r="J1531" s="30" t="s">
        <v>144</v>
      </c>
      <c r="K1531" s="30" t="s">
        <v>117</v>
      </c>
      <c r="L1531" s="30" t="s">
        <v>122</v>
      </c>
      <c r="M1531" s="48"/>
      <c r="N1531" s="30"/>
      <c r="O1531" s="30"/>
      <c r="P1531" s="30"/>
    </row>
    <row r="1532" spans="1:16" ht="75" customHeight="1">
      <c r="A1532" s="30" t="s">
        <v>3225</v>
      </c>
      <c r="B1532" s="55" t="s">
        <v>3221</v>
      </c>
      <c r="C1532" s="51" t="s">
        <v>3226</v>
      </c>
      <c r="D1532" s="30"/>
      <c r="E1532" s="30"/>
      <c r="F1532" s="30"/>
      <c r="G1532" s="30"/>
      <c r="H1532" s="30" t="s">
        <v>141</v>
      </c>
      <c r="I1532" s="30" t="s">
        <v>31</v>
      </c>
      <c r="J1532" s="30" t="s">
        <v>142</v>
      </c>
      <c r="K1532" s="30" t="s">
        <v>116</v>
      </c>
      <c r="L1532" s="30" t="s">
        <v>122</v>
      </c>
      <c r="M1532" s="48" t="s">
        <v>184</v>
      </c>
      <c r="N1532" s="30"/>
      <c r="O1532" s="30"/>
      <c r="P1532" s="30"/>
    </row>
    <row r="1533" spans="1:16" ht="75" customHeight="1">
      <c r="A1533" s="30" t="s">
        <v>3227</v>
      </c>
      <c r="B1533" s="47" t="s">
        <v>3228</v>
      </c>
      <c r="C1533" s="48" t="s">
        <v>3229</v>
      </c>
      <c r="D1533" s="30"/>
      <c r="E1533" s="30"/>
      <c r="F1533" s="30"/>
      <c r="G1533" s="30"/>
      <c r="H1533" s="30" t="s">
        <v>141</v>
      </c>
      <c r="I1533" s="30" t="s">
        <v>30</v>
      </c>
      <c r="J1533" s="30" t="s">
        <v>144</v>
      </c>
      <c r="K1533" s="30" t="s">
        <v>117</v>
      </c>
      <c r="L1533" s="30" t="s">
        <v>122</v>
      </c>
      <c r="M1533" s="48"/>
      <c r="N1533" s="30"/>
      <c r="O1533" s="30"/>
      <c r="P1533" s="30"/>
    </row>
    <row r="1534" spans="1:16" ht="45" customHeight="1">
      <c r="A1534" s="30" t="s">
        <v>3230</v>
      </c>
      <c r="B1534" s="47" t="s">
        <v>3231</v>
      </c>
      <c r="C1534" s="48" t="s">
        <v>3232</v>
      </c>
      <c r="D1534" s="30"/>
      <c r="E1534" s="30"/>
      <c r="F1534" s="30"/>
      <c r="G1534" s="30"/>
      <c r="H1534" s="30" t="s">
        <v>141</v>
      </c>
      <c r="I1534" s="30" t="s">
        <v>30</v>
      </c>
      <c r="J1534" s="30" t="s">
        <v>144</v>
      </c>
      <c r="K1534" s="30" t="s">
        <v>117</v>
      </c>
      <c r="L1534" s="30" t="s">
        <v>122</v>
      </c>
      <c r="M1534" s="48"/>
      <c r="N1534" s="30"/>
      <c r="O1534" s="30"/>
      <c r="P1534" s="30"/>
    </row>
    <row r="1535" spans="1:16" ht="60" customHeight="1">
      <c r="A1535" s="30" t="s">
        <v>3233</v>
      </c>
      <c r="B1535" s="47" t="s">
        <v>3231</v>
      </c>
      <c r="C1535" s="48" t="s">
        <v>3234</v>
      </c>
      <c r="D1535" s="30"/>
      <c r="E1535" s="30"/>
      <c r="F1535" s="30"/>
      <c r="G1535" s="30"/>
      <c r="H1535" s="30" t="s">
        <v>141</v>
      </c>
      <c r="I1535" s="30" t="s">
        <v>30</v>
      </c>
      <c r="J1535" s="30" t="s">
        <v>144</v>
      </c>
      <c r="K1535" s="30" t="s">
        <v>117</v>
      </c>
      <c r="L1535" s="30" t="s">
        <v>122</v>
      </c>
      <c r="M1535" s="48"/>
      <c r="N1535" s="30"/>
      <c r="O1535" s="30"/>
      <c r="P1535" s="30"/>
    </row>
    <row r="1536" spans="1:16" ht="45" customHeight="1">
      <c r="A1536" s="30" t="s">
        <v>3235</v>
      </c>
      <c r="B1536" s="55" t="s">
        <v>3236</v>
      </c>
      <c r="C1536" s="51" t="s">
        <v>3237</v>
      </c>
      <c r="D1536" s="30"/>
      <c r="E1536" s="30"/>
      <c r="F1536" s="30"/>
      <c r="G1536" s="30"/>
      <c r="H1536" s="30" t="s">
        <v>141</v>
      </c>
      <c r="I1536" s="30" t="s">
        <v>30</v>
      </c>
      <c r="J1536" s="30" t="s">
        <v>144</v>
      </c>
      <c r="K1536" s="30" t="s">
        <v>117</v>
      </c>
      <c r="L1536" s="30" t="s">
        <v>122</v>
      </c>
      <c r="M1536" s="48"/>
      <c r="N1536" s="30"/>
      <c r="O1536" s="30"/>
      <c r="P1536" s="30"/>
    </row>
    <row r="1537" spans="1:16" ht="45" customHeight="1">
      <c r="A1537" s="30" t="s">
        <v>3238</v>
      </c>
      <c r="B1537" s="50" t="s">
        <v>3236</v>
      </c>
      <c r="C1537" s="51" t="s">
        <v>3239</v>
      </c>
      <c r="D1537" s="30"/>
      <c r="E1537" s="30"/>
      <c r="F1537" s="30"/>
      <c r="G1537" s="30" t="s">
        <v>4029</v>
      </c>
      <c r="H1537" s="30" t="s">
        <v>141</v>
      </c>
      <c r="I1537" s="30" t="s">
        <v>30</v>
      </c>
      <c r="J1537" s="30" t="s">
        <v>142</v>
      </c>
      <c r="K1537" s="30" t="s">
        <v>116</v>
      </c>
      <c r="L1537" s="30" t="s">
        <v>146</v>
      </c>
      <c r="M1537" s="48"/>
      <c r="N1537" s="30"/>
      <c r="O1537" s="30"/>
      <c r="P1537" s="30"/>
    </row>
    <row r="1538" spans="1:16" ht="60" customHeight="1">
      <c r="A1538" s="30" t="s">
        <v>3240</v>
      </c>
      <c r="B1538" s="55" t="s">
        <v>3236</v>
      </c>
      <c r="C1538" s="51" t="s">
        <v>3241</v>
      </c>
      <c r="D1538" s="30"/>
      <c r="E1538" s="30"/>
      <c r="F1538" s="30"/>
      <c r="G1538" s="30" t="s">
        <v>4029</v>
      </c>
      <c r="H1538" s="30" t="s">
        <v>141</v>
      </c>
      <c r="I1538" s="30" t="s">
        <v>30</v>
      </c>
      <c r="J1538" s="30" t="s">
        <v>142</v>
      </c>
      <c r="K1538" s="30" t="s">
        <v>116</v>
      </c>
      <c r="L1538" s="30" t="s">
        <v>146</v>
      </c>
      <c r="M1538" s="48"/>
      <c r="N1538" s="30"/>
      <c r="O1538" s="30"/>
      <c r="P1538" s="30"/>
    </row>
    <row r="1539" spans="1:16" s="31" customFormat="1" ht="30">
      <c r="A1539" s="30" t="s">
        <v>3242</v>
      </c>
      <c r="B1539" s="55" t="s">
        <v>3236</v>
      </c>
      <c r="C1539" s="51" t="s">
        <v>3243</v>
      </c>
      <c r="D1539" s="30"/>
      <c r="E1539" s="30"/>
      <c r="F1539" s="30"/>
      <c r="G1539" s="30" t="s">
        <v>4029</v>
      </c>
      <c r="H1539" s="30" t="s">
        <v>141</v>
      </c>
      <c r="I1539" s="30" t="s">
        <v>30</v>
      </c>
      <c r="J1539" s="30" t="s">
        <v>145</v>
      </c>
      <c r="K1539" s="30" t="s">
        <v>116</v>
      </c>
      <c r="L1539" s="30" t="s">
        <v>146</v>
      </c>
      <c r="M1539" s="48"/>
      <c r="N1539" s="30"/>
      <c r="O1539" s="30"/>
      <c r="P1539" s="30"/>
    </row>
    <row r="1540" spans="1:16" s="31" customFormat="1" ht="30">
      <c r="A1540" s="30" t="s">
        <v>3244</v>
      </c>
      <c r="B1540" s="55" t="s">
        <v>3236</v>
      </c>
      <c r="C1540" s="51" t="s">
        <v>3245</v>
      </c>
      <c r="D1540" s="30"/>
      <c r="E1540" s="30"/>
      <c r="F1540" s="30" t="s">
        <v>3246</v>
      </c>
      <c r="G1540" s="30" t="s">
        <v>4029</v>
      </c>
      <c r="H1540" s="30" t="s">
        <v>149</v>
      </c>
      <c r="I1540" s="30" t="s">
        <v>30</v>
      </c>
      <c r="J1540" s="30" t="s">
        <v>145</v>
      </c>
      <c r="K1540" s="30" t="s">
        <v>116</v>
      </c>
      <c r="L1540" s="30" t="s">
        <v>146</v>
      </c>
      <c r="M1540" s="48"/>
      <c r="N1540" s="30"/>
      <c r="O1540" s="30"/>
      <c r="P1540" s="30"/>
    </row>
    <row r="1541" spans="1:16" ht="60" customHeight="1">
      <c r="A1541" s="30" t="s">
        <v>3247</v>
      </c>
      <c r="B1541" s="55" t="s">
        <v>3236</v>
      </c>
      <c r="C1541" s="51" t="s">
        <v>3248</v>
      </c>
      <c r="D1541" s="30"/>
      <c r="E1541" s="30"/>
      <c r="F1541" s="30"/>
      <c r="G1541" s="30" t="s">
        <v>4029</v>
      </c>
      <c r="H1541" s="30" t="s">
        <v>141</v>
      </c>
      <c r="I1541" s="30" t="s">
        <v>30</v>
      </c>
      <c r="J1541" s="30" t="s">
        <v>142</v>
      </c>
      <c r="K1541" s="30" t="s">
        <v>116</v>
      </c>
      <c r="L1541" s="30" t="s">
        <v>146</v>
      </c>
      <c r="M1541" s="48"/>
      <c r="N1541" s="30"/>
      <c r="O1541" s="30"/>
      <c r="P1541" s="30"/>
    </row>
    <row r="1542" spans="1:16" ht="75" customHeight="1">
      <c r="A1542" s="30" t="s">
        <v>3249</v>
      </c>
      <c r="B1542" s="55" t="s">
        <v>3236</v>
      </c>
      <c r="C1542" s="51" t="s">
        <v>3250</v>
      </c>
      <c r="D1542" s="30"/>
      <c r="E1542" s="30"/>
      <c r="F1542" s="30"/>
      <c r="G1542" s="30" t="s">
        <v>4029</v>
      </c>
      <c r="H1542" s="30" t="s">
        <v>141</v>
      </c>
      <c r="I1542" s="30" t="s">
        <v>30</v>
      </c>
      <c r="J1542" s="30" t="s">
        <v>142</v>
      </c>
      <c r="K1542" s="30" t="s">
        <v>116</v>
      </c>
      <c r="L1542" s="30" t="s">
        <v>143</v>
      </c>
      <c r="M1542" s="48"/>
      <c r="N1542" s="30"/>
      <c r="O1542" s="30"/>
      <c r="P1542" s="30"/>
    </row>
    <row r="1543" spans="1:16" ht="75" customHeight="1">
      <c r="A1543" s="30" t="s">
        <v>3251</v>
      </c>
      <c r="B1543" s="55" t="s">
        <v>3236</v>
      </c>
      <c r="C1543" s="51" t="s">
        <v>3252</v>
      </c>
      <c r="D1543" s="30"/>
      <c r="E1543" s="30"/>
      <c r="F1543" s="30"/>
      <c r="G1543" s="30"/>
      <c r="H1543" s="30" t="s">
        <v>141</v>
      </c>
      <c r="I1543" s="30" t="s">
        <v>30</v>
      </c>
      <c r="J1543" s="30" t="s">
        <v>145</v>
      </c>
      <c r="K1543" s="30" t="s">
        <v>116</v>
      </c>
      <c r="L1543" s="30" t="s">
        <v>122</v>
      </c>
      <c r="M1543" s="48" t="s">
        <v>4099</v>
      </c>
      <c r="N1543" s="30"/>
      <c r="O1543" s="30"/>
      <c r="P1543" s="30"/>
    </row>
    <row r="1544" spans="1:16" ht="75" customHeight="1">
      <c r="A1544" s="30" t="s">
        <v>3253</v>
      </c>
      <c r="B1544" s="55" t="s">
        <v>3236</v>
      </c>
      <c r="C1544" s="51" t="s">
        <v>3254</v>
      </c>
      <c r="D1544" s="30"/>
      <c r="E1544" s="30"/>
      <c r="F1544" s="30"/>
      <c r="G1544" s="30"/>
      <c r="H1544" s="30" t="s">
        <v>149</v>
      </c>
      <c r="I1544" s="30" t="s">
        <v>30</v>
      </c>
      <c r="J1544" s="30" t="s">
        <v>144</v>
      </c>
      <c r="K1544" s="30" t="s">
        <v>117</v>
      </c>
      <c r="L1544" s="30" t="s">
        <v>3664</v>
      </c>
      <c r="M1544" s="51" t="s">
        <v>4045</v>
      </c>
      <c r="N1544" s="30"/>
      <c r="O1544" s="30"/>
      <c r="P1544" s="30"/>
    </row>
    <row r="1545" spans="1:16" ht="60" customHeight="1">
      <c r="A1545" s="30" t="s">
        <v>3255</v>
      </c>
      <c r="B1545" s="55" t="s">
        <v>3256</v>
      </c>
      <c r="C1545" s="51" t="s">
        <v>3257</v>
      </c>
      <c r="D1545" s="30"/>
      <c r="E1545" s="30"/>
      <c r="F1545" s="30"/>
      <c r="G1545" s="30"/>
      <c r="H1545" s="30" t="s">
        <v>141</v>
      </c>
      <c r="I1545" s="30" t="s">
        <v>30</v>
      </c>
      <c r="J1545" s="30" t="s">
        <v>144</v>
      </c>
      <c r="K1545" s="30" t="s">
        <v>117</v>
      </c>
      <c r="L1545" s="30" t="s">
        <v>122</v>
      </c>
      <c r="M1545" s="48"/>
      <c r="N1545" s="30"/>
      <c r="O1545" s="30"/>
      <c r="P1545" s="30"/>
    </row>
    <row r="1546" spans="1:16" ht="60" customHeight="1">
      <c r="A1546" s="30" t="s">
        <v>3258</v>
      </c>
      <c r="B1546" s="55" t="s">
        <v>3256</v>
      </c>
      <c r="C1546" s="51" t="s">
        <v>3259</v>
      </c>
      <c r="D1546" s="30"/>
      <c r="E1546" s="30"/>
      <c r="F1546" s="30"/>
      <c r="G1546" s="30" t="s">
        <v>4029</v>
      </c>
      <c r="H1546" s="30" t="s">
        <v>141</v>
      </c>
      <c r="I1546" s="30" t="s">
        <v>30</v>
      </c>
      <c r="J1546" s="30" t="s">
        <v>142</v>
      </c>
      <c r="K1546" s="30" t="s">
        <v>116</v>
      </c>
      <c r="L1546" s="30" t="s">
        <v>146</v>
      </c>
      <c r="M1546" s="48"/>
      <c r="N1546" s="30"/>
      <c r="O1546" s="30"/>
      <c r="P1546" s="30"/>
    </row>
    <row r="1547" spans="1:16" ht="120" customHeight="1">
      <c r="A1547" s="30" t="s">
        <v>3260</v>
      </c>
      <c r="B1547" s="47" t="s">
        <v>3256</v>
      </c>
      <c r="C1547" s="48" t="s">
        <v>3261</v>
      </c>
      <c r="D1547" s="30"/>
      <c r="E1547" s="30"/>
      <c r="F1547" s="30"/>
      <c r="G1547" s="30" t="s">
        <v>4029</v>
      </c>
      <c r="H1547" s="30" t="s">
        <v>141</v>
      </c>
      <c r="I1547" s="30" t="s">
        <v>30</v>
      </c>
      <c r="J1547" s="30" t="s">
        <v>142</v>
      </c>
      <c r="K1547" s="30" t="s">
        <v>116</v>
      </c>
      <c r="L1547" s="30" t="s">
        <v>143</v>
      </c>
      <c r="M1547" s="48"/>
      <c r="N1547" s="30"/>
      <c r="O1547" s="30"/>
      <c r="P1547" s="30"/>
    </row>
    <row r="1548" spans="1:16" ht="135" customHeight="1">
      <c r="A1548" s="30" t="s">
        <v>3262</v>
      </c>
      <c r="B1548" s="47" t="s">
        <v>3256</v>
      </c>
      <c r="C1548" s="48" t="s">
        <v>3263</v>
      </c>
      <c r="D1548" s="30"/>
      <c r="E1548" s="30"/>
      <c r="F1548" s="30"/>
      <c r="G1548" s="30" t="s">
        <v>4029</v>
      </c>
      <c r="H1548" s="30" t="s">
        <v>141</v>
      </c>
      <c r="I1548" s="30" t="s">
        <v>30</v>
      </c>
      <c r="J1548" s="30" t="s">
        <v>142</v>
      </c>
      <c r="K1548" s="30" t="s">
        <v>116</v>
      </c>
      <c r="L1548" s="30" t="s">
        <v>143</v>
      </c>
      <c r="M1548" s="48"/>
      <c r="N1548" s="30"/>
      <c r="O1548" s="30"/>
      <c r="P1548" s="30"/>
    </row>
    <row r="1549" spans="1:16" ht="45" customHeight="1">
      <c r="A1549" s="30" t="s">
        <v>3264</v>
      </c>
      <c r="B1549" s="55" t="s">
        <v>3265</v>
      </c>
      <c r="C1549" s="51" t="s">
        <v>3266</v>
      </c>
      <c r="D1549" s="30"/>
      <c r="E1549" s="30"/>
      <c r="F1549" s="30"/>
      <c r="G1549" s="30"/>
      <c r="H1549" s="30" t="s">
        <v>141</v>
      </c>
      <c r="I1549" s="30" t="s">
        <v>30</v>
      </c>
      <c r="J1549" s="30" t="s">
        <v>144</v>
      </c>
      <c r="K1549" s="30" t="s">
        <v>117</v>
      </c>
      <c r="L1549" s="30" t="s">
        <v>122</v>
      </c>
      <c r="M1549" s="48"/>
      <c r="N1549" s="30"/>
      <c r="O1549" s="30"/>
      <c r="P1549" s="30"/>
    </row>
    <row r="1550" spans="1:16" ht="60" customHeight="1">
      <c r="A1550" s="30" t="s">
        <v>3267</v>
      </c>
      <c r="B1550" s="55" t="s">
        <v>3265</v>
      </c>
      <c r="C1550" s="51" t="s">
        <v>3268</v>
      </c>
      <c r="D1550" s="30"/>
      <c r="E1550" s="30"/>
      <c r="F1550" s="30"/>
      <c r="G1550" s="30"/>
      <c r="H1550" s="30" t="s">
        <v>141</v>
      </c>
      <c r="I1550" s="30" t="s">
        <v>30</v>
      </c>
      <c r="J1550" s="30" t="s">
        <v>142</v>
      </c>
      <c r="K1550" s="30" t="s">
        <v>116</v>
      </c>
      <c r="L1550" s="30" t="s">
        <v>121</v>
      </c>
      <c r="M1550" s="48" t="s">
        <v>316</v>
      </c>
      <c r="N1550" s="30"/>
      <c r="O1550" s="30"/>
      <c r="P1550" s="30"/>
    </row>
    <row r="1551" spans="1:16" ht="60" customHeight="1">
      <c r="A1551" s="30" t="s">
        <v>3269</v>
      </c>
      <c r="B1551" s="55" t="s">
        <v>3265</v>
      </c>
      <c r="C1551" s="51" t="s">
        <v>3270</v>
      </c>
      <c r="D1551" s="30"/>
      <c r="E1551" s="30"/>
      <c r="F1551" s="30"/>
      <c r="G1551" s="30"/>
      <c r="H1551" s="30" t="s">
        <v>141</v>
      </c>
      <c r="I1551" s="30" t="s">
        <v>30</v>
      </c>
      <c r="J1551" s="30" t="s">
        <v>144</v>
      </c>
      <c r="K1551" s="30" t="s">
        <v>117</v>
      </c>
      <c r="L1551" s="30" t="s">
        <v>122</v>
      </c>
      <c r="M1551" s="48"/>
      <c r="N1551" s="30"/>
      <c r="O1551" s="30"/>
      <c r="P1551" s="30"/>
    </row>
    <row r="1552" spans="1:16" ht="60" customHeight="1">
      <c r="A1552" s="30" t="s">
        <v>3271</v>
      </c>
      <c r="B1552" s="55" t="s">
        <v>3265</v>
      </c>
      <c r="C1552" s="51" t="s">
        <v>3272</v>
      </c>
      <c r="D1552" s="30"/>
      <c r="E1552" s="30"/>
      <c r="F1552" s="30"/>
      <c r="G1552" s="30" t="s">
        <v>4029</v>
      </c>
      <c r="H1552" s="30" t="s">
        <v>141</v>
      </c>
      <c r="I1552" s="30" t="s">
        <v>30</v>
      </c>
      <c r="J1552" s="30" t="s">
        <v>142</v>
      </c>
      <c r="K1552" s="30" t="s">
        <v>116</v>
      </c>
      <c r="L1552" s="30" t="s">
        <v>143</v>
      </c>
      <c r="M1552" s="48"/>
      <c r="N1552" s="30"/>
      <c r="O1552" s="30"/>
      <c r="P1552" s="30"/>
    </row>
    <row r="1553" spans="1:16" ht="60" customHeight="1">
      <c r="A1553" s="30" t="s">
        <v>3273</v>
      </c>
      <c r="B1553" s="55" t="s">
        <v>3265</v>
      </c>
      <c r="C1553" s="51" t="s">
        <v>3274</v>
      </c>
      <c r="D1553" s="30"/>
      <c r="E1553" s="30"/>
      <c r="F1553" s="30"/>
      <c r="G1553" s="30" t="s">
        <v>4029</v>
      </c>
      <c r="H1553" s="30" t="s">
        <v>141</v>
      </c>
      <c r="I1553" s="30" t="s">
        <v>30</v>
      </c>
      <c r="J1553" s="30" t="s">
        <v>142</v>
      </c>
      <c r="K1553" s="30" t="s">
        <v>116</v>
      </c>
      <c r="L1553" s="30" t="s">
        <v>143</v>
      </c>
      <c r="M1553" s="48"/>
      <c r="N1553" s="30"/>
      <c r="O1553" s="30"/>
      <c r="P1553" s="30"/>
    </row>
    <row r="1554" spans="1:16" ht="30" customHeight="1">
      <c r="A1554" s="30" t="s">
        <v>3275</v>
      </c>
      <c r="B1554" s="55" t="s">
        <v>3265</v>
      </c>
      <c r="C1554" s="51" t="s">
        <v>3276</v>
      </c>
      <c r="D1554" s="30"/>
      <c r="E1554" s="30"/>
      <c r="F1554" s="30"/>
      <c r="G1554" s="30" t="s">
        <v>4029</v>
      </c>
      <c r="H1554" s="30" t="s">
        <v>141</v>
      </c>
      <c r="I1554" s="30" t="s">
        <v>30</v>
      </c>
      <c r="J1554" s="30" t="s">
        <v>142</v>
      </c>
      <c r="K1554" s="30" t="s">
        <v>116</v>
      </c>
      <c r="L1554" s="30" t="s">
        <v>143</v>
      </c>
      <c r="M1554" s="48"/>
      <c r="N1554" s="30"/>
      <c r="O1554" s="30"/>
      <c r="P1554" s="30"/>
    </row>
    <row r="1555" spans="1:16" ht="45" customHeight="1">
      <c r="A1555" s="30" t="s">
        <v>3277</v>
      </c>
      <c r="B1555" s="55" t="s">
        <v>3265</v>
      </c>
      <c r="C1555" s="51" t="s">
        <v>3278</v>
      </c>
      <c r="D1555" s="30"/>
      <c r="E1555" s="30"/>
      <c r="F1555" s="30"/>
      <c r="G1555" s="30" t="s">
        <v>4029</v>
      </c>
      <c r="H1555" s="30" t="s">
        <v>141</v>
      </c>
      <c r="I1555" s="30" t="s">
        <v>30</v>
      </c>
      <c r="J1555" s="30" t="s">
        <v>142</v>
      </c>
      <c r="K1555" s="30" t="s">
        <v>116</v>
      </c>
      <c r="L1555" s="30" t="s">
        <v>143</v>
      </c>
      <c r="M1555" s="48"/>
      <c r="N1555" s="30"/>
      <c r="O1555" s="30"/>
      <c r="P1555" s="30"/>
    </row>
    <row r="1556" spans="1:16" ht="45" customHeight="1">
      <c r="A1556" s="30" t="s">
        <v>3279</v>
      </c>
      <c r="B1556" s="55" t="s">
        <v>3265</v>
      </c>
      <c r="C1556" s="52" t="s">
        <v>3280</v>
      </c>
      <c r="D1556" s="30"/>
      <c r="E1556" s="30"/>
      <c r="F1556" s="30"/>
      <c r="G1556" s="30"/>
      <c r="H1556" s="30" t="s">
        <v>141</v>
      </c>
      <c r="I1556" s="30" t="s">
        <v>30</v>
      </c>
      <c r="J1556" s="30" t="s">
        <v>142</v>
      </c>
      <c r="K1556" s="30" t="s">
        <v>116</v>
      </c>
      <c r="L1556" s="30" t="s">
        <v>121</v>
      </c>
      <c r="M1556" s="48" t="s">
        <v>706</v>
      </c>
      <c r="N1556" s="30"/>
      <c r="O1556" s="30"/>
      <c r="P1556" s="30"/>
    </row>
    <row r="1557" spans="1:16" s="31" customFormat="1" ht="45" customHeight="1">
      <c r="A1557" s="30" t="s">
        <v>4168</v>
      </c>
      <c r="B1557" s="50" t="s">
        <v>3265</v>
      </c>
      <c r="C1557" s="48" t="s">
        <v>4169</v>
      </c>
      <c r="D1557" s="30"/>
      <c r="E1557" s="30"/>
      <c r="F1557" s="30"/>
      <c r="G1557" s="30"/>
      <c r="H1557" s="30" t="s">
        <v>141</v>
      </c>
      <c r="I1557" s="30" t="s">
        <v>30</v>
      </c>
      <c r="J1557" s="30" t="s">
        <v>142</v>
      </c>
      <c r="K1557" s="30" t="s">
        <v>116</v>
      </c>
      <c r="L1557" s="30" t="s">
        <v>122</v>
      </c>
      <c r="M1557" s="48" t="s">
        <v>4219</v>
      </c>
      <c r="N1557" s="66"/>
      <c r="O1557" s="30"/>
      <c r="P1557" s="30"/>
    </row>
    <row r="1558" spans="1:16" s="31" customFormat="1" ht="45" customHeight="1">
      <c r="A1558" s="30" t="s">
        <v>4170</v>
      </c>
      <c r="B1558" s="50" t="s">
        <v>3265</v>
      </c>
      <c r="C1558" s="48" t="s">
        <v>4171</v>
      </c>
      <c r="D1558" s="30"/>
      <c r="E1558" s="30"/>
      <c r="F1558" s="30"/>
      <c r="G1558" s="30"/>
      <c r="H1558" s="30" t="s">
        <v>141</v>
      </c>
      <c r="I1558" s="30" t="s">
        <v>30</v>
      </c>
      <c r="J1558" s="30" t="s">
        <v>142</v>
      </c>
      <c r="K1558" s="30" t="s">
        <v>116</v>
      </c>
      <c r="L1558" s="30" t="s">
        <v>122</v>
      </c>
      <c r="M1558" s="48" t="s">
        <v>4219</v>
      </c>
      <c r="N1558" s="66"/>
      <c r="O1558" s="30"/>
      <c r="P1558" s="30"/>
    </row>
    <row r="1559" spans="1:16" s="31" customFormat="1" ht="60" customHeight="1">
      <c r="A1559" s="30" t="s">
        <v>4172</v>
      </c>
      <c r="B1559" s="50" t="s">
        <v>3265</v>
      </c>
      <c r="C1559" s="48" t="s">
        <v>4173</v>
      </c>
      <c r="D1559" s="30"/>
      <c r="E1559" s="30"/>
      <c r="F1559" s="30"/>
      <c r="G1559" s="30"/>
      <c r="H1559" s="30" t="s">
        <v>141</v>
      </c>
      <c r="I1559" s="30" t="s">
        <v>30</v>
      </c>
      <c r="J1559" s="30" t="s">
        <v>142</v>
      </c>
      <c r="K1559" s="30" t="s">
        <v>116</v>
      </c>
      <c r="L1559" s="30" t="s">
        <v>122</v>
      </c>
      <c r="M1559" s="48" t="s">
        <v>4219</v>
      </c>
      <c r="N1559" s="66"/>
      <c r="O1559" s="30"/>
      <c r="P1559" s="30"/>
    </row>
    <row r="1560" spans="1:16" s="31" customFormat="1" ht="75" customHeight="1">
      <c r="A1560" s="30" t="s">
        <v>3281</v>
      </c>
      <c r="B1560" s="50" t="s">
        <v>3265</v>
      </c>
      <c r="C1560" s="51" t="s">
        <v>4174</v>
      </c>
      <c r="D1560" s="30"/>
      <c r="E1560" s="30"/>
      <c r="F1560" s="30"/>
      <c r="G1560" s="30"/>
      <c r="H1560" s="30" t="s">
        <v>141</v>
      </c>
      <c r="I1560" s="30" t="s">
        <v>30</v>
      </c>
      <c r="J1560" s="30" t="s">
        <v>142</v>
      </c>
      <c r="K1560" s="30" t="s">
        <v>116</v>
      </c>
      <c r="L1560" s="30" t="s">
        <v>122</v>
      </c>
      <c r="M1560" s="48" t="s">
        <v>4219</v>
      </c>
      <c r="N1560" s="66"/>
      <c r="O1560" s="30"/>
      <c r="P1560" s="30"/>
    </row>
    <row r="1561" spans="1:16" s="31" customFormat="1" ht="90" customHeight="1">
      <c r="A1561" s="30" t="s">
        <v>4175</v>
      </c>
      <c r="B1561" s="50" t="s">
        <v>3265</v>
      </c>
      <c r="C1561" s="48" t="s">
        <v>4176</v>
      </c>
      <c r="D1561" s="30"/>
      <c r="E1561" s="30"/>
      <c r="F1561" s="30"/>
      <c r="G1561" s="30"/>
      <c r="H1561" s="30" t="s">
        <v>141</v>
      </c>
      <c r="I1561" s="30" t="s">
        <v>30</v>
      </c>
      <c r="J1561" s="30" t="s">
        <v>142</v>
      </c>
      <c r="K1561" s="30" t="s">
        <v>116</v>
      </c>
      <c r="L1561" s="30" t="s">
        <v>122</v>
      </c>
      <c r="M1561" s="48" t="s">
        <v>4219</v>
      </c>
      <c r="N1561" s="66"/>
      <c r="O1561" s="30"/>
      <c r="P1561" s="30"/>
    </row>
    <row r="1562" spans="1:16" s="31" customFormat="1" ht="90" customHeight="1">
      <c r="A1562" s="30" t="s">
        <v>4177</v>
      </c>
      <c r="B1562" s="50" t="s">
        <v>3265</v>
      </c>
      <c r="C1562" s="48" t="s">
        <v>4178</v>
      </c>
      <c r="D1562" s="30"/>
      <c r="E1562" s="30"/>
      <c r="F1562" s="30"/>
      <c r="G1562" s="30"/>
      <c r="H1562" s="30" t="s">
        <v>141</v>
      </c>
      <c r="I1562" s="30" t="s">
        <v>30</v>
      </c>
      <c r="J1562" s="30" t="s">
        <v>142</v>
      </c>
      <c r="K1562" s="30" t="s">
        <v>116</v>
      </c>
      <c r="L1562" s="30" t="s">
        <v>122</v>
      </c>
      <c r="M1562" s="48" t="s">
        <v>4219</v>
      </c>
      <c r="N1562" s="66"/>
      <c r="O1562" s="30"/>
      <c r="P1562" s="30"/>
    </row>
    <row r="1563" spans="1:16" ht="75" customHeight="1">
      <c r="A1563" s="30" t="s">
        <v>3282</v>
      </c>
      <c r="B1563" s="55" t="s">
        <v>3265</v>
      </c>
      <c r="C1563" s="51" t="s">
        <v>3283</v>
      </c>
      <c r="D1563" s="30"/>
      <c r="E1563" s="30"/>
      <c r="F1563" s="30"/>
      <c r="G1563" s="30"/>
      <c r="H1563" s="30" t="s">
        <v>141</v>
      </c>
      <c r="I1563" s="30" t="s">
        <v>30</v>
      </c>
      <c r="J1563" s="30" t="s">
        <v>142</v>
      </c>
      <c r="K1563" s="30" t="s">
        <v>116</v>
      </c>
      <c r="L1563" s="30" t="s">
        <v>121</v>
      </c>
      <c r="M1563" s="48" t="s">
        <v>2916</v>
      </c>
      <c r="N1563" s="30"/>
      <c r="O1563" s="30"/>
      <c r="P1563" s="30"/>
    </row>
    <row r="1564" spans="1:16" s="31" customFormat="1" ht="75" customHeight="1">
      <c r="A1564" s="30" t="s">
        <v>3284</v>
      </c>
      <c r="B1564" s="55" t="s">
        <v>3265</v>
      </c>
      <c r="C1564" s="51" t="s">
        <v>4160</v>
      </c>
      <c r="D1564" s="30"/>
      <c r="E1564" s="30"/>
      <c r="F1564" s="30"/>
      <c r="G1564" s="30"/>
      <c r="H1564" s="30" t="s">
        <v>141</v>
      </c>
      <c r="I1564" s="30" t="s">
        <v>30</v>
      </c>
      <c r="J1564" s="30" t="s">
        <v>142</v>
      </c>
      <c r="K1564" s="30" t="s">
        <v>116</v>
      </c>
      <c r="L1564" s="30" t="s">
        <v>121</v>
      </c>
      <c r="M1564" s="48" t="s">
        <v>4229</v>
      </c>
      <c r="N1564" s="66"/>
      <c r="O1564" s="30"/>
      <c r="P1564" s="30"/>
    </row>
    <row r="1565" spans="1:16" ht="60" customHeight="1">
      <c r="A1565" s="30" t="s">
        <v>3285</v>
      </c>
      <c r="B1565" s="55" t="s">
        <v>3265</v>
      </c>
      <c r="C1565" s="51" t="s">
        <v>3286</v>
      </c>
      <c r="D1565" s="30"/>
      <c r="E1565" s="30"/>
      <c r="F1565" s="30"/>
      <c r="G1565" s="30" t="s">
        <v>4029</v>
      </c>
      <c r="H1565" s="30" t="s">
        <v>141</v>
      </c>
      <c r="I1565" s="30" t="s">
        <v>30</v>
      </c>
      <c r="J1565" s="30" t="s">
        <v>144</v>
      </c>
      <c r="K1565" s="30" t="s">
        <v>116</v>
      </c>
      <c r="L1565" s="30" t="s">
        <v>146</v>
      </c>
      <c r="M1565" s="48" t="s">
        <v>4128</v>
      </c>
      <c r="N1565" s="30"/>
      <c r="O1565" s="30"/>
      <c r="P1565" s="30"/>
    </row>
    <row r="1566" spans="1:16" ht="60" customHeight="1">
      <c r="A1566" s="30" t="s">
        <v>3287</v>
      </c>
      <c r="B1566" s="55" t="s">
        <v>3265</v>
      </c>
      <c r="C1566" s="51" t="s">
        <v>3288</v>
      </c>
      <c r="D1566" s="30"/>
      <c r="E1566" s="30"/>
      <c r="F1566" s="30" t="s">
        <v>3289</v>
      </c>
      <c r="G1566" s="30" t="s">
        <v>4029</v>
      </c>
      <c r="H1566" s="30" t="s">
        <v>149</v>
      </c>
      <c r="I1566" s="30" t="s">
        <v>30</v>
      </c>
      <c r="J1566" s="30" t="s">
        <v>144</v>
      </c>
      <c r="K1566" s="30" t="s">
        <v>116</v>
      </c>
      <c r="L1566" s="30" t="s">
        <v>146</v>
      </c>
      <c r="M1566" s="48" t="s">
        <v>4128</v>
      </c>
      <c r="N1566" s="30"/>
      <c r="O1566" s="30"/>
      <c r="P1566" s="30"/>
    </row>
    <row r="1567" spans="1:16" ht="60" customHeight="1">
      <c r="A1567" s="30" t="s">
        <v>3290</v>
      </c>
      <c r="B1567" s="55" t="s">
        <v>3265</v>
      </c>
      <c r="C1567" s="51" t="s">
        <v>4022</v>
      </c>
      <c r="D1567" s="30"/>
      <c r="E1567" s="30"/>
      <c r="F1567" s="30"/>
      <c r="G1567" s="30" t="s">
        <v>4029</v>
      </c>
      <c r="H1567" s="30" t="s">
        <v>141</v>
      </c>
      <c r="I1567" s="30" t="s">
        <v>30</v>
      </c>
      <c r="J1567" s="30" t="s">
        <v>142</v>
      </c>
      <c r="K1567" s="30" t="s">
        <v>116</v>
      </c>
      <c r="L1567" s="30" t="s">
        <v>146</v>
      </c>
      <c r="M1567" s="48"/>
      <c r="N1567" s="30"/>
      <c r="O1567" s="30"/>
      <c r="P1567" s="30"/>
    </row>
    <row r="1568" spans="1:16" ht="75" customHeight="1">
      <c r="A1568" s="30" t="s">
        <v>3291</v>
      </c>
      <c r="B1568" s="47" t="s">
        <v>3292</v>
      </c>
      <c r="C1568" s="48" t="s">
        <v>3293</v>
      </c>
      <c r="D1568" s="30"/>
      <c r="E1568" s="30"/>
      <c r="F1568" s="30"/>
      <c r="G1568" s="30"/>
      <c r="H1568" s="30" t="s">
        <v>141</v>
      </c>
      <c r="I1568" s="30" t="s">
        <v>30</v>
      </c>
      <c r="J1568" s="30" t="s">
        <v>142</v>
      </c>
      <c r="K1568" s="30" t="s">
        <v>116</v>
      </c>
      <c r="L1568" s="30" t="s">
        <v>122</v>
      </c>
      <c r="M1568" s="48" t="s">
        <v>4141</v>
      </c>
      <c r="N1568" s="30"/>
      <c r="O1568" s="30"/>
      <c r="P1568" s="30"/>
    </row>
    <row r="1569" spans="1:16" ht="90" customHeight="1">
      <c r="A1569" s="30" t="s">
        <v>3294</v>
      </c>
      <c r="B1569" s="47" t="s">
        <v>3295</v>
      </c>
      <c r="C1569" s="48" t="s">
        <v>4023</v>
      </c>
      <c r="D1569" s="30"/>
      <c r="E1569" s="30"/>
      <c r="F1569" s="30"/>
      <c r="G1569" s="30"/>
      <c r="H1569" s="30" t="s">
        <v>141</v>
      </c>
      <c r="I1569" s="30" t="s">
        <v>30</v>
      </c>
      <c r="J1569" s="30" t="s">
        <v>142</v>
      </c>
      <c r="K1569" s="30" t="s">
        <v>116</v>
      </c>
      <c r="L1569" s="30" t="s">
        <v>121</v>
      </c>
      <c r="M1569" s="48" t="s">
        <v>316</v>
      </c>
      <c r="N1569" s="30"/>
      <c r="O1569" s="30"/>
      <c r="P1569" s="30"/>
    </row>
    <row r="1570" spans="1:16" ht="45" customHeight="1">
      <c r="A1570" s="30" t="s">
        <v>3296</v>
      </c>
      <c r="B1570" s="55" t="s">
        <v>3295</v>
      </c>
      <c r="C1570" s="51" t="s">
        <v>3297</v>
      </c>
      <c r="D1570" s="30"/>
      <c r="E1570" s="30"/>
      <c r="F1570" s="30"/>
      <c r="G1570" s="30" t="s">
        <v>137</v>
      </c>
      <c r="H1570" s="30" t="s">
        <v>141</v>
      </c>
      <c r="I1570" s="30" t="s">
        <v>30</v>
      </c>
      <c r="J1570" s="30" t="s">
        <v>142</v>
      </c>
      <c r="K1570" s="30" t="s">
        <v>116</v>
      </c>
      <c r="L1570" s="30" t="s">
        <v>146</v>
      </c>
      <c r="M1570" s="48"/>
      <c r="N1570" s="30"/>
      <c r="O1570" s="30"/>
      <c r="P1570" s="30"/>
    </row>
    <row r="1571" spans="1:16" ht="60" customHeight="1">
      <c r="A1571" s="30" t="s">
        <v>3298</v>
      </c>
      <c r="B1571" s="55" t="s">
        <v>3295</v>
      </c>
      <c r="C1571" s="52" t="s">
        <v>3299</v>
      </c>
      <c r="D1571" s="30"/>
      <c r="E1571" s="30"/>
      <c r="F1571" s="30"/>
      <c r="G1571" s="30" t="s">
        <v>137</v>
      </c>
      <c r="H1571" s="30" t="s">
        <v>141</v>
      </c>
      <c r="I1571" s="30" t="s">
        <v>30</v>
      </c>
      <c r="J1571" s="30" t="s">
        <v>142</v>
      </c>
      <c r="K1571" s="30" t="s">
        <v>116</v>
      </c>
      <c r="L1571" s="30" t="s">
        <v>143</v>
      </c>
      <c r="M1571" s="48" t="s">
        <v>4129</v>
      </c>
      <c r="N1571" s="30"/>
      <c r="O1571" s="30"/>
      <c r="P1571" s="30"/>
    </row>
    <row r="1572" spans="1:16" ht="60" customHeight="1">
      <c r="A1572" s="30" t="s">
        <v>3300</v>
      </c>
      <c r="B1572" s="55" t="s">
        <v>3295</v>
      </c>
      <c r="C1572" s="52" t="s">
        <v>3301</v>
      </c>
      <c r="D1572" s="30"/>
      <c r="E1572" s="30"/>
      <c r="F1572" s="30"/>
      <c r="G1572" s="30" t="s">
        <v>137</v>
      </c>
      <c r="H1572" s="30" t="s">
        <v>141</v>
      </c>
      <c r="I1572" s="30" t="s">
        <v>30</v>
      </c>
      <c r="J1572" s="30" t="s">
        <v>142</v>
      </c>
      <c r="K1572" s="30" t="s">
        <v>116</v>
      </c>
      <c r="L1572" s="30" t="s">
        <v>143</v>
      </c>
      <c r="M1572" s="48"/>
      <c r="N1572" s="30"/>
      <c r="O1572" s="30"/>
      <c r="P1572" s="30"/>
    </row>
    <row r="1573" spans="1:16" ht="60" customHeight="1">
      <c r="A1573" s="30" t="s">
        <v>3302</v>
      </c>
      <c r="B1573" s="55" t="s">
        <v>3295</v>
      </c>
      <c r="C1573" s="51" t="s">
        <v>3303</v>
      </c>
      <c r="D1573" s="30"/>
      <c r="E1573" s="30"/>
      <c r="F1573" s="30"/>
      <c r="G1573" s="30"/>
      <c r="H1573" s="30" t="s">
        <v>141</v>
      </c>
      <c r="I1573" s="30" t="s">
        <v>30</v>
      </c>
      <c r="J1573" s="30" t="s">
        <v>144</v>
      </c>
      <c r="K1573" s="30" t="s">
        <v>117</v>
      </c>
      <c r="L1573" s="30" t="s">
        <v>122</v>
      </c>
      <c r="M1573" s="48"/>
      <c r="N1573" s="30"/>
      <c r="O1573" s="30"/>
      <c r="P1573" s="30"/>
    </row>
    <row r="1574" spans="1:16" ht="45" customHeight="1">
      <c r="A1574" s="30" t="s">
        <v>3304</v>
      </c>
      <c r="B1574" s="55" t="s">
        <v>3295</v>
      </c>
      <c r="C1574" s="51" t="s">
        <v>3305</v>
      </c>
      <c r="D1574" s="30"/>
      <c r="E1574" s="30"/>
      <c r="F1574" s="30"/>
      <c r="G1574" s="30" t="s">
        <v>137</v>
      </c>
      <c r="H1574" s="30" t="s">
        <v>141</v>
      </c>
      <c r="I1574" s="30" t="s">
        <v>30</v>
      </c>
      <c r="J1574" s="30" t="s">
        <v>142</v>
      </c>
      <c r="K1574" s="30" t="s">
        <v>116</v>
      </c>
      <c r="L1574" s="30" t="s">
        <v>146</v>
      </c>
      <c r="M1574" s="48"/>
      <c r="N1574" s="30"/>
      <c r="O1574" s="30"/>
      <c r="P1574" s="30"/>
    </row>
    <row r="1575" spans="1:16" ht="45" customHeight="1">
      <c r="A1575" s="30" t="s">
        <v>3306</v>
      </c>
      <c r="B1575" s="55" t="s">
        <v>3307</v>
      </c>
      <c r="C1575" s="51" t="s">
        <v>3308</v>
      </c>
      <c r="D1575" s="30"/>
      <c r="E1575" s="30"/>
      <c r="F1575" s="30"/>
      <c r="G1575" s="30"/>
      <c r="H1575" s="30" t="s">
        <v>141</v>
      </c>
      <c r="I1575" s="30" t="s">
        <v>30</v>
      </c>
      <c r="J1575" s="30" t="s">
        <v>142</v>
      </c>
      <c r="K1575" s="30" t="s">
        <v>116</v>
      </c>
      <c r="L1575" s="30" t="s">
        <v>121</v>
      </c>
      <c r="M1575" s="48" t="s">
        <v>316</v>
      </c>
      <c r="N1575" s="30"/>
      <c r="O1575" s="30"/>
      <c r="P1575" s="30"/>
    </row>
    <row r="1576" spans="1:16" ht="45" customHeight="1">
      <c r="A1576" s="30" t="s">
        <v>3309</v>
      </c>
      <c r="B1576" s="55" t="s">
        <v>3307</v>
      </c>
      <c r="C1576" s="52" t="s">
        <v>4024</v>
      </c>
      <c r="D1576" s="30"/>
      <c r="E1576" s="30"/>
      <c r="F1576" s="30"/>
      <c r="G1576" s="30"/>
      <c r="H1576" s="30" t="s">
        <v>141</v>
      </c>
      <c r="I1576" s="30" t="s">
        <v>30</v>
      </c>
      <c r="J1576" s="30" t="s">
        <v>145</v>
      </c>
      <c r="K1576" s="30" t="s">
        <v>116</v>
      </c>
      <c r="L1576" s="30" t="s">
        <v>121</v>
      </c>
      <c r="M1576" s="48" t="s">
        <v>4042</v>
      </c>
      <c r="N1576" s="30"/>
      <c r="O1576" s="30"/>
      <c r="P1576" s="30"/>
    </row>
    <row r="1577" spans="1:16" ht="45" customHeight="1">
      <c r="A1577" s="30" t="s">
        <v>3310</v>
      </c>
      <c r="B1577" s="55" t="s">
        <v>3307</v>
      </c>
      <c r="C1577" s="51" t="s">
        <v>3311</v>
      </c>
      <c r="D1577" s="30"/>
      <c r="E1577" s="30"/>
      <c r="F1577" s="30"/>
      <c r="G1577" s="30" t="s">
        <v>4030</v>
      </c>
      <c r="H1577" s="30" t="s">
        <v>141</v>
      </c>
      <c r="I1577" s="30" t="s">
        <v>30</v>
      </c>
      <c r="J1577" s="30" t="s">
        <v>142</v>
      </c>
      <c r="K1577" s="30" t="s">
        <v>116</v>
      </c>
      <c r="L1577" s="30" t="s">
        <v>146</v>
      </c>
      <c r="M1577" s="48" t="s">
        <v>4129</v>
      </c>
      <c r="N1577" s="30"/>
      <c r="O1577" s="30"/>
      <c r="P1577" s="30"/>
    </row>
    <row r="1578" spans="1:16" ht="60" customHeight="1">
      <c r="A1578" s="30" t="s">
        <v>3312</v>
      </c>
      <c r="B1578" s="55" t="s">
        <v>3307</v>
      </c>
      <c r="C1578" s="51" t="s">
        <v>3313</v>
      </c>
      <c r="D1578" s="30"/>
      <c r="E1578" s="30"/>
      <c r="F1578" s="30"/>
      <c r="G1578" s="30"/>
      <c r="H1578" s="30" t="s">
        <v>141</v>
      </c>
      <c r="I1578" s="30" t="s">
        <v>30</v>
      </c>
      <c r="J1578" s="30" t="s">
        <v>144</v>
      </c>
      <c r="K1578" s="30" t="s">
        <v>117</v>
      </c>
      <c r="L1578" s="30" t="s">
        <v>122</v>
      </c>
      <c r="M1578" s="48"/>
      <c r="N1578" s="30"/>
      <c r="O1578" s="30"/>
      <c r="P1578" s="30"/>
    </row>
    <row r="1579" spans="1:16" ht="75" customHeight="1">
      <c r="A1579" s="30" t="s">
        <v>3314</v>
      </c>
      <c r="B1579" s="55" t="s">
        <v>3315</v>
      </c>
      <c r="C1579" s="51" t="s">
        <v>3316</v>
      </c>
      <c r="D1579" s="30"/>
      <c r="E1579" s="30"/>
      <c r="F1579" s="30"/>
      <c r="G1579" s="30"/>
      <c r="H1579" s="30" t="s">
        <v>141</v>
      </c>
      <c r="I1579" s="30" t="s">
        <v>30</v>
      </c>
      <c r="J1579" s="30" t="s">
        <v>144</v>
      </c>
      <c r="K1579" s="30" t="s">
        <v>117</v>
      </c>
      <c r="L1579" s="30" t="s">
        <v>122</v>
      </c>
      <c r="M1579" s="48"/>
      <c r="N1579" s="30"/>
      <c r="O1579" s="30"/>
      <c r="P1579" s="30"/>
    </row>
    <row r="1580" spans="1:16" ht="45" customHeight="1">
      <c r="A1580" s="30" t="s">
        <v>3317</v>
      </c>
      <c r="B1580" s="55" t="s">
        <v>3315</v>
      </c>
      <c r="C1580" s="51" t="s">
        <v>3318</v>
      </c>
      <c r="D1580" s="30"/>
      <c r="E1580" s="30"/>
      <c r="F1580" s="30"/>
      <c r="G1580" s="30"/>
      <c r="H1580" s="30" t="s">
        <v>141</v>
      </c>
      <c r="I1580" s="30" t="s">
        <v>30</v>
      </c>
      <c r="J1580" s="30" t="s">
        <v>142</v>
      </c>
      <c r="K1580" s="30" t="s">
        <v>116</v>
      </c>
      <c r="L1580" s="30" t="s">
        <v>121</v>
      </c>
      <c r="M1580" s="48" t="s">
        <v>706</v>
      </c>
      <c r="N1580" s="30"/>
      <c r="O1580" s="30"/>
      <c r="P1580" s="30"/>
    </row>
    <row r="1581" spans="1:16" ht="30" customHeight="1">
      <c r="A1581" s="30" t="s">
        <v>3319</v>
      </c>
      <c r="B1581" s="50" t="s">
        <v>3320</v>
      </c>
      <c r="C1581" s="51" t="s">
        <v>3321</v>
      </c>
      <c r="D1581" s="30"/>
      <c r="E1581" s="30"/>
      <c r="F1581" s="30"/>
      <c r="G1581" s="30"/>
      <c r="H1581" s="30" t="s">
        <v>141</v>
      </c>
      <c r="I1581" s="30" t="s">
        <v>30</v>
      </c>
      <c r="J1581" s="30" t="s">
        <v>144</v>
      </c>
      <c r="K1581" s="30" t="s">
        <v>117</v>
      </c>
      <c r="L1581" s="30" t="s">
        <v>122</v>
      </c>
      <c r="M1581" s="48"/>
      <c r="N1581" s="30"/>
      <c r="O1581" s="30"/>
      <c r="P1581" s="30"/>
    </row>
    <row r="1582" spans="1:16" ht="60" customHeight="1">
      <c r="A1582" s="30" t="s">
        <v>3322</v>
      </c>
      <c r="B1582" s="50" t="s">
        <v>148</v>
      </c>
      <c r="C1582" s="51" t="s">
        <v>3323</v>
      </c>
      <c r="D1582" s="30"/>
      <c r="E1582" s="30"/>
      <c r="F1582" s="30"/>
      <c r="G1582" s="30"/>
      <c r="H1582" s="30" t="s">
        <v>149</v>
      </c>
      <c r="I1582" s="30" t="s">
        <v>22</v>
      </c>
      <c r="J1582" s="30" t="s">
        <v>144</v>
      </c>
      <c r="K1582" s="30" t="s">
        <v>117</v>
      </c>
      <c r="L1582" s="30" t="s">
        <v>122</v>
      </c>
      <c r="M1582" s="48"/>
      <c r="N1582" s="30"/>
      <c r="O1582" s="30"/>
      <c r="P1582" s="30"/>
    </row>
    <row r="1583" spans="1:16" ht="30" customHeight="1">
      <c r="A1583" s="30" t="s">
        <v>3324</v>
      </c>
      <c r="B1583" s="50" t="s">
        <v>148</v>
      </c>
      <c r="C1583" s="51" t="s">
        <v>3325</v>
      </c>
      <c r="D1583" s="30"/>
      <c r="E1583" s="30"/>
      <c r="F1583" s="30"/>
      <c r="G1583" s="30"/>
      <c r="H1583" s="30" t="s">
        <v>149</v>
      </c>
      <c r="I1583" s="30" t="s">
        <v>22</v>
      </c>
      <c r="J1583" s="30" t="s">
        <v>144</v>
      </c>
      <c r="K1583" s="30" t="s">
        <v>117</v>
      </c>
      <c r="L1583" s="30" t="s">
        <v>122</v>
      </c>
      <c r="M1583" s="48"/>
      <c r="N1583" s="30"/>
      <c r="O1583" s="30"/>
      <c r="P1583" s="30"/>
    </row>
    <row r="1584" spans="1:16" ht="30" customHeight="1">
      <c r="A1584" s="30" t="s">
        <v>3326</v>
      </c>
      <c r="B1584" s="47" t="s">
        <v>148</v>
      </c>
      <c r="C1584" s="49" t="s">
        <v>3327</v>
      </c>
      <c r="D1584" s="30"/>
      <c r="E1584" s="30"/>
      <c r="F1584" s="30"/>
      <c r="G1584" s="30"/>
      <c r="H1584" s="30" t="s">
        <v>149</v>
      </c>
      <c r="I1584" s="30" t="s">
        <v>22</v>
      </c>
      <c r="J1584" s="30" t="s">
        <v>144</v>
      </c>
      <c r="K1584" s="30" t="s">
        <v>117</v>
      </c>
      <c r="L1584" s="30" t="s">
        <v>122</v>
      </c>
      <c r="M1584" s="48"/>
      <c r="N1584" s="30"/>
      <c r="O1584" s="30"/>
      <c r="P1584" s="30"/>
    </row>
    <row r="1585" spans="1:16" ht="60" customHeight="1">
      <c r="A1585" s="30" t="s">
        <v>3328</v>
      </c>
      <c r="B1585" s="47" t="s">
        <v>148</v>
      </c>
      <c r="C1585" s="49" t="s">
        <v>3329</v>
      </c>
      <c r="D1585" s="30"/>
      <c r="E1585" s="30"/>
      <c r="F1585" s="30"/>
      <c r="G1585" s="30"/>
      <c r="H1585" s="30" t="s">
        <v>149</v>
      </c>
      <c r="I1585" s="30" t="s">
        <v>22</v>
      </c>
      <c r="J1585" s="30" t="s">
        <v>144</v>
      </c>
      <c r="K1585" s="30" t="s">
        <v>117</v>
      </c>
      <c r="L1585" s="30" t="s">
        <v>122</v>
      </c>
      <c r="M1585" s="48"/>
      <c r="N1585" s="30"/>
      <c r="O1585" s="30"/>
      <c r="P1585" s="30"/>
    </row>
    <row r="1586" spans="1:16" ht="45" customHeight="1">
      <c r="A1586" s="30" t="s">
        <v>3330</v>
      </c>
      <c r="B1586" s="47" t="s">
        <v>148</v>
      </c>
      <c r="C1586" s="49" t="s">
        <v>3331</v>
      </c>
      <c r="D1586" s="30"/>
      <c r="E1586" s="30"/>
      <c r="F1586" s="30"/>
      <c r="G1586" s="30"/>
      <c r="H1586" s="30" t="s">
        <v>149</v>
      </c>
      <c r="I1586" s="30" t="s">
        <v>22</v>
      </c>
      <c r="J1586" s="30" t="s">
        <v>144</v>
      </c>
      <c r="K1586" s="30" t="s">
        <v>117</v>
      </c>
      <c r="L1586" s="30" t="s">
        <v>122</v>
      </c>
      <c r="M1586" s="48"/>
      <c r="N1586" s="30"/>
      <c r="O1586" s="30"/>
      <c r="P1586" s="30"/>
    </row>
    <row r="1587" spans="1:16" ht="30" customHeight="1">
      <c r="A1587" s="30" t="s">
        <v>3332</v>
      </c>
      <c r="B1587" s="47" t="s">
        <v>148</v>
      </c>
      <c r="C1587" s="49" t="s">
        <v>3333</v>
      </c>
      <c r="D1587" s="30"/>
      <c r="E1587" s="30"/>
      <c r="F1587" s="30"/>
      <c r="G1587" s="30"/>
      <c r="H1587" s="30" t="s">
        <v>149</v>
      </c>
      <c r="I1587" s="30" t="s">
        <v>22</v>
      </c>
      <c r="J1587" s="30" t="s">
        <v>144</v>
      </c>
      <c r="K1587" s="30" t="s">
        <v>117</v>
      </c>
      <c r="L1587" s="30" t="s">
        <v>122</v>
      </c>
      <c r="M1587" s="48"/>
      <c r="N1587" s="30"/>
      <c r="O1587" s="30"/>
      <c r="P1587" s="30"/>
    </row>
    <row r="1588" spans="1:16" ht="45" customHeight="1">
      <c r="A1588" s="30" t="s">
        <v>3334</v>
      </c>
      <c r="B1588" s="50" t="s">
        <v>148</v>
      </c>
      <c r="C1588" s="52" t="s">
        <v>3335</v>
      </c>
      <c r="D1588" s="30"/>
      <c r="E1588" s="30"/>
      <c r="F1588" s="30"/>
      <c r="G1588" s="30" t="s">
        <v>4035</v>
      </c>
      <c r="H1588" s="30" t="s">
        <v>149</v>
      </c>
      <c r="I1588" s="30" t="s">
        <v>22</v>
      </c>
      <c r="J1588" s="30" t="s">
        <v>142</v>
      </c>
      <c r="K1588" s="30" t="s">
        <v>116</v>
      </c>
      <c r="L1588" s="30" t="s">
        <v>146</v>
      </c>
      <c r="M1588" s="48"/>
      <c r="N1588" s="30"/>
      <c r="O1588" s="30"/>
      <c r="P1588" s="30"/>
    </row>
    <row r="1589" spans="1:16" ht="45" customHeight="1">
      <c r="A1589" s="30" t="s">
        <v>3336</v>
      </c>
      <c r="B1589" s="47" t="s">
        <v>148</v>
      </c>
      <c r="C1589" s="57" t="s">
        <v>3337</v>
      </c>
      <c r="D1589" s="30"/>
      <c r="E1589" s="30"/>
      <c r="F1589" s="30"/>
      <c r="G1589" s="30"/>
      <c r="H1589" s="30" t="s">
        <v>149</v>
      </c>
      <c r="I1589" s="30" t="s">
        <v>30</v>
      </c>
      <c r="J1589" s="30" t="s">
        <v>144</v>
      </c>
      <c r="K1589" s="30" t="s">
        <v>117</v>
      </c>
      <c r="L1589" s="30" t="s">
        <v>122</v>
      </c>
      <c r="M1589" s="48"/>
      <c r="N1589" s="30"/>
      <c r="O1589" s="30"/>
      <c r="P1589" s="30"/>
    </row>
    <row r="1590" spans="1:16" ht="60" customHeight="1">
      <c r="A1590" s="30" t="s">
        <v>3338</v>
      </c>
      <c r="B1590" s="47" t="s">
        <v>148</v>
      </c>
      <c r="C1590" s="57" t="s">
        <v>3339</v>
      </c>
      <c r="D1590" s="30"/>
      <c r="E1590" s="30"/>
      <c r="F1590" s="30"/>
      <c r="G1590" s="30"/>
      <c r="H1590" s="30" t="s">
        <v>149</v>
      </c>
      <c r="I1590" s="30" t="s">
        <v>30</v>
      </c>
      <c r="J1590" s="30" t="s">
        <v>144</v>
      </c>
      <c r="K1590" s="30" t="s">
        <v>117</v>
      </c>
      <c r="L1590" s="30" t="s">
        <v>122</v>
      </c>
      <c r="M1590" s="48"/>
      <c r="N1590" s="30"/>
      <c r="O1590" s="30"/>
      <c r="P1590" s="30"/>
    </row>
    <row r="1591" spans="1:16" ht="45" customHeight="1">
      <c r="A1591" s="30" t="s">
        <v>3340</v>
      </c>
      <c r="B1591" s="47" t="s">
        <v>148</v>
      </c>
      <c r="C1591" s="57" t="s">
        <v>3341</v>
      </c>
      <c r="D1591" s="30"/>
      <c r="E1591" s="30"/>
      <c r="F1591" s="30"/>
      <c r="G1591" s="30"/>
      <c r="H1591" s="30" t="s">
        <v>149</v>
      </c>
      <c r="I1591" s="30" t="s">
        <v>30</v>
      </c>
      <c r="J1591" s="30" t="s">
        <v>144</v>
      </c>
      <c r="K1591" s="30" t="s">
        <v>117</v>
      </c>
      <c r="L1591" s="30" t="s">
        <v>122</v>
      </c>
      <c r="M1591" s="48"/>
      <c r="N1591" s="30"/>
      <c r="O1591" s="30"/>
      <c r="P1591" s="30"/>
    </row>
    <row r="1592" spans="1:16" ht="45" customHeight="1">
      <c r="A1592" s="30" t="s">
        <v>3342</v>
      </c>
      <c r="B1592" s="47" t="s">
        <v>148</v>
      </c>
      <c r="C1592" s="57" t="s">
        <v>3343</v>
      </c>
      <c r="D1592" s="30"/>
      <c r="E1592" s="30"/>
      <c r="F1592" s="30"/>
      <c r="G1592" s="30"/>
      <c r="H1592" s="30" t="s">
        <v>149</v>
      </c>
      <c r="I1592" s="30" t="s">
        <v>30</v>
      </c>
      <c r="J1592" s="30" t="s">
        <v>144</v>
      </c>
      <c r="K1592" s="30" t="s">
        <v>117</v>
      </c>
      <c r="L1592" s="30" t="s">
        <v>122</v>
      </c>
      <c r="M1592" s="48"/>
      <c r="N1592" s="30"/>
      <c r="O1592" s="30"/>
      <c r="P1592" s="30"/>
    </row>
    <row r="1593" spans="1:16" ht="75" customHeight="1">
      <c r="A1593" s="30" t="s">
        <v>3344</v>
      </c>
      <c r="B1593" s="50" t="s">
        <v>148</v>
      </c>
      <c r="C1593" s="51" t="s">
        <v>3345</v>
      </c>
      <c r="D1593" s="30"/>
      <c r="E1593" s="30"/>
      <c r="F1593" s="30"/>
      <c r="G1593" s="30"/>
      <c r="H1593" s="30" t="s">
        <v>149</v>
      </c>
      <c r="I1593" s="30" t="s">
        <v>30</v>
      </c>
      <c r="J1593" s="30" t="s">
        <v>144</v>
      </c>
      <c r="K1593" s="30" t="s">
        <v>117</v>
      </c>
      <c r="L1593" s="30" t="s">
        <v>122</v>
      </c>
      <c r="M1593" s="48"/>
      <c r="N1593" s="30"/>
      <c r="O1593" s="30"/>
      <c r="P1593" s="30"/>
    </row>
    <row r="1594" spans="1:16" ht="45" customHeight="1">
      <c r="A1594" s="30" t="s">
        <v>3346</v>
      </c>
      <c r="B1594" s="50" t="s">
        <v>148</v>
      </c>
      <c r="C1594" s="51" t="s">
        <v>3347</v>
      </c>
      <c r="D1594" s="30"/>
      <c r="E1594" s="30"/>
      <c r="F1594" s="30"/>
      <c r="G1594" s="30"/>
      <c r="H1594" s="30" t="s">
        <v>149</v>
      </c>
      <c r="I1594" s="30" t="s">
        <v>31</v>
      </c>
      <c r="J1594" s="30" t="s">
        <v>142</v>
      </c>
      <c r="K1594" s="30" t="s">
        <v>116</v>
      </c>
      <c r="L1594" s="30" t="s">
        <v>122</v>
      </c>
      <c r="M1594" s="48" t="s">
        <v>184</v>
      </c>
      <c r="N1594" s="30"/>
      <c r="O1594" s="30"/>
      <c r="P1594" s="30"/>
    </row>
    <row r="1595" spans="1:16" ht="180" customHeight="1">
      <c r="A1595" s="30" t="s">
        <v>3348</v>
      </c>
      <c r="B1595" s="47" t="s">
        <v>148</v>
      </c>
      <c r="C1595" s="48" t="s">
        <v>3349</v>
      </c>
      <c r="D1595" s="30"/>
      <c r="E1595" s="30"/>
      <c r="F1595" s="30"/>
      <c r="G1595" s="30"/>
      <c r="H1595" s="30" t="s">
        <v>149</v>
      </c>
      <c r="I1595" s="30" t="s">
        <v>30</v>
      </c>
      <c r="J1595" s="30" t="s">
        <v>144</v>
      </c>
      <c r="K1595" s="30" t="s">
        <v>117</v>
      </c>
      <c r="L1595" s="30" t="s">
        <v>122</v>
      </c>
      <c r="M1595" s="48"/>
      <c r="N1595" s="30"/>
      <c r="O1595" s="30"/>
      <c r="P1595" s="30"/>
    </row>
    <row r="1596" spans="1:16" ht="30" customHeight="1">
      <c r="A1596" s="30" t="s">
        <v>3350</v>
      </c>
      <c r="B1596" s="47" t="s">
        <v>148</v>
      </c>
      <c r="C1596" s="48" t="s">
        <v>3351</v>
      </c>
      <c r="D1596" s="30"/>
      <c r="E1596" s="30"/>
      <c r="F1596" s="30"/>
      <c r="G1596" s="30"/>
      <c r="H1596" s="30" t="s">
        <v>149</v>
      </c>
      <c r="I1596" s="30" t="s">
        <v>30</v>
      </c>
      <c r="J1596" s="30" t="s">
        <v>144</v>
      </c>
      <c r="K1596" s="30" t="s">
        <v>117</v>
      </c>
      <c r="L1596" s="30" t="s">
        <v>122</v>
      </c>
      <c r="M1596" s="48"/>
      <c r="N1596" s="30"/>
      <c r="O1596" s="30"/>
      <c r="P1596" s="30"/>
    </row>
    <row r="1597" spans="1:16" ht="30" customHeight="1">
      <c r="A1597" s="30" t="s">
        <v>3352</v>
      </c>
      <c r="B1597" s="47" t="s">
        <v>148</v>
      </c>
      <c r="C1597" s="48" t="s">
        <v>3353</v>
      </c>
      <c r="D1597" s="30"/>
      <c r="E1597" s="30"/>
      <c r="F1597" s="30"/>
      <c r="G1597" s="30"/>
      <c r="H1597" s="30" t="s">
        <v>149</v>
      </c>
      <c r="I1597" s="30" t="s">
        <v>30</v>
      </c>
      <c r="J1597" s="30" t="s">
        <v>144</v>
      </c>
      <c r="K1597" s="30" t="s">
        <v>117</v>
      </c>
      <c r="L1597" s="30" t="s">
        <v>122</v>
      </c>
      <c r="M1597" s="48"/>
      <c r="N1597" s="30"/>
      <c r="O1597" s="30"/>
      <c r="P1597" s="30"/>
    </row>
    <row r="1598" spans="1:16" ht="30" customHeight="1">
      <c r="A1598" s="30" t="s">
        <v>3354</v>
      </c>
      <c r="B1598" s="47" t="s">
        <v>148</v>
      </c>
      <c r="C1598" s="48" t="s">
        <v>3355</v>
      </c>
      <c r="D1598" s="30"/>
      <c r="E1598" s="30"/>
      <c r="F1598" s="30"/>
      <c r="G1598" s="30"/>
      <c r="H1598" s="30" t="s">
        <v>149</v>
      </c>
      <c r="I1598" s="30" t="s">
        <v>30</v>
      </c>
      <c r="J1598" s="30" t="s">
        <v>144</v>
      </c>
      <c r="K1598" s="30" t="s">
        <v>117</v>
      </c>
      <c r="L1598" s="30" t="s">
        <v>122</v>
      </c>
      <c r="M1598" s="48"/>
      <c r="N1598" s="30"/>
      <c r="O1598" s="30"/>
      <c r="P1598" s="30"/>
    </row>
    <row r="1599" spans="1:16" ht="75" customHeight="1">
      <c r="A1599" s="30" t="s">
        <v>3356</v>
      </c>
      <c r="B1599" s="47" t="s">
        <v>148</v>
      </c>
      <c r="C1599" s="48" t="s">
        <v>3357</v>
      </c>
      <c r="D1599" s="30"/>
      <c r="E1599" s="30"/>
      <c r="F1599" s="30"/>
      <c r="G1599" s="30"/>
      <c r="H1599" s="30" t="s">
        <v>149</v>
      </c>
      <c r="I1599" s="30" t="s">
        <v>30</v>
      </c>
      <c r="J1599" s="30" t="s">
        <v>144</v>
      </c>
      <c r="K1599" s="30" t="s">
        <v>117</v>
      </c>
      <c r="L1599" s="30" t="s">
        <v>122</v>
      </c>
      <c r="M1599" s="48"/>
      <c r="N1599" s="30"/>
      <c r="O1599" s="30"/>
      <c r="P1599" s="30"/>
    </row>
    <row r="1600" spans="1:16" ht="75" customHeight="1">
      <c r="A1600" s="30" t="s">
        <v>3358</v>
      </c>
      <c r="B1600" s="47" t="s">
        <v>148</v>
      </c>
      <c r="C1600" s="48" t="s">
        <v>3359</v>
      </c>
      <c r="D1600" s="30"/>
      <c r="E1600" s="30"/>
      <c r="F1600" s="30"/>
      <c r="G1600" s="30"/>
      <c r="H1600" s="30" t="s">
        <v>149</v>
      </c>
      <c r="I1600" s="30" t="s">
        <v>30</v>
      </c>
      <c r="J1600" s="30" t="s">
        <v>144</v>
      </c>
      <c r="K1600" s="30" t="s">
        <v>117</v>
      </c>
      <c r="L1600" s="30" t="s">
        <v>122</v>
      </c>
      <c r="M1600" s="48"/>
      <c r="N1600" s="30"/>
      <c r="O1600" s="30"/>
      <c r="P1600" s="30"/>
    </row>
    <row r="1601" spans="1:16" ht="75" customHeight="1">
      <c r="A1601" s="30" t="s">
        <v>3360</v>
      </c>
      <c r="B1601" s="47" t="s">
        <v>148</v>
      </c>
      <c r="C1601" s="48" t="s">
        <v>3361</v>
      </c>
      <c r="D1601" s="30"/>
      <c r="E1601" s="30"/>
      <c r="F1601" s="30"/>
      <c r="G1601" s="30"/>
      <c r="H1601" s="30" t="s">
        <v>149</v>
      </c>
      <c r="I1601" s="30" t="s">
        <v>30</v>
      </c>
      <c r="J1601" s="30" t="s">
        <v>144</v>
      </c>
      <c r="K1601" s="30" t="s">
        <v>117</v>
      </c>
      <c r="L1601" s="30" t="s">
        <v>122</v>
      </c>
      <c r="M1601" s="48"/>
      <c r="N1601" s="30"/>
      <c r="O1601" s="30"/>
      <c r="P1601" s="30"/>
    </row>
    <row r="1602" spans="1:16" ht="75" customHeight="1">
      <c r="A1602" s="30" t="s">
        <v>3362</v>
      </c>
      <c r="B1602" s="47" t="s">
        <v>148</v>
      </c>
      <c r="C1602" s="48" t="s">
        <v>3363</v>
      </c>
      <c r="D1602" s="30"/>
      <c r="E1602" s="30"/>
      <c r="F1602" s="30"/>
      <c r="G1602" s="30"/>
      <c r="H1602" s="30" t="s">
        <v>149</v>
      </c>
      <c r="I1602" s="30" t="s">
        <v>30</v>
      </c>
      <c r="J1602" s="30" t="s">
        <v>144</v>
      </c>
      <c r="K1602" s="30" t="s">
        <v>117</v>
      </c>
      <c r="L1602" s="30" t="s">
        <v>122</v>
      </c>
      <c r="M1602" s="48"/>
      <c r="N1602" s="30"/>
      <c r="O1602" s="30"/>
      <c r="P1602" s="30"/>
    </row>
    <row r="1603" spans="1:16" ht="30" customHeight="1">
      <c r="A1603" s="30" t="s">
        <v>3364</v>
      </c>
      <c r="B1603" s="47" t="s">
        <v>148</v>
      </c>
      <c r="C1603" s="48" t="s">
        <v>3365</v>
      </c>
      <c r="D1603" s="30"/>
      <c r="E1603" s="30"/>
      <c r="F1603" s="30"/>
      <c r="G1603" s="30"/>
      <c r="H1603" s="30" t="s">
        <v>149</v>
      </c>
      <c r="I1603" s="30" t="s">
        <v>22</v>
      </c>
      <c r="J1603" s="30" t="s">
        <v>144</v>
      </c>
      <c r="K1603" s="30" t="s">
        <v>117</v>
      </c>
      <c r="L1603" s="30" t="s">
        <v>122</v>
      </c>
      <c r="M1603" s="48"/>
      <c r="N1603" s="30"/>
      <c r="O1603" s="30"/>
      <c r="P1603" s="30"/>
    </row>
    <row r="1604" spans="1:16" ht="135" customHeight="1">
      <c r="A1604" s="30" t="s">
        <v>3366</v>
      </c>
      <c r="B1604" s="47" t="s">
        <v>148</v>
      </c>
      <c r="C1604" s="48" t="s">
        <v>3367</v>
      </c>
      <c r="D1604" s="30"/>
      <c r="E1604" s="30"/>
      <c r="F1604" s="30"/>
      <c r="G1604" s="30"/>
      <c r="H1604" s="30" t="s">
        <v>149</v>
      </c>
      <c r="I1604" s="30" t="s">
        <v>22</v>
      </c>
      <c r="J1604" s="30" t="s">
        <v>144</v>
      </c>
      <c r="K1604" s="30" t="s">
        <v>117</v>
      </c>
      <c r="L1604" s="30" t="s">
        <v>122</v>
      </c>
      <c r="M1604" s="48"/>
      <c r="N1604" s="30"/>
      <c r="O1604" s="30"/>
      <c r="P1604" s="30"/>
    </row>
    <row r="1605" spans="1:16" ht="90" customHeight="1">
      <c r="A1605" s="30" t="s">
        <v>3368</v>
      </c>
      <c r="B1605" s="47" t="s">
        <v>148</v>
      </c>
      <c r="C1605" s="48" t="s">
        <v>3369</v>
      </c>
      <c r="D1605" s="30"/>
      <c r="E1605" s="30"/>
      <c r="F1605" s="30"/>
      <c r="G1605" s="30"/>
      <c r="H1605" s="30" t="s">
        <v>149</v>
      </c>
      <c r="I1605" s="30" t="s">
        <v>22</v>
      </c>
      <c r="J1605" s="30" t="s">
        <v>144</v>
      </c>
      <c r="K1605" s="30" t="s">
        <v>117</v>
      </c>
      <c r="L1605" s="30" t="s">
        <v>122</v>
      </c>
      <c r="M1605" s="48"/>
      <c r="N1605" s="30"/>
      <c r="O1605" s="30"/>
      <c r="P1605" s="30"/>
    </row>
    <row r="1606" spans="1:16" ht="120" customHeight="1">
      <c r="A1606" s="30" t="s">
        <v>3370</v>
      </c>
      <c r="B1606" s="47" t="s">
        <v>148</v>
      </c>
      <c r="C1606" s="49" t="s">
        <v>3371</v>
      </c>
      <c r="D1606" s="30"/>
      <c r="E1606" s="30"/>
      <c r="F1606" s="30"/>
      <c r="G1606" s="30"/>
      <c r="H1606" s="30" t="s">
        <v>149</v>
      </c>
      <c r="I1606" s="30" t="s">
        <v>30</v>
      </c>
      <c r="J1606" s="30" t="s">
        <v>144</v>
      </c>
      <c r="K1606" s="30" t="s">
        <v>117</v>
      </c>
      <c r="L1606" s="30" t="s">
        <v>122</v>
      </c>
      <c r="M1606" s="48"/>
      <c r="N1606" s="30"/>
      <c r="O1606" s="30"/>
      <c r="P1606" s="30"/>
    </row>
    <row r="1607" spans="1:16" ht="105" customHeight="1">
      <c r="A1607" s="30" t="s">
        <v>3372</v>
      </c>
      <c r="B1607" s="47" t="s">
        <v>148</v>
      </c>
      <c r="C1607" s="48" t="s">
        <v>3373</v>
      </c>
      <c r="D1607" s="30"/>
      <c r="E1607" s="30"/>
      <c r="F1607" s="30"/>
      <c r="G1607" s="30"/>
      <c r="H1607" s="30" t="s">
        <v>149</v>
      </c>
      <c r="I1607" s="30" t="s">
        <v>30</v>
      </c>
      <c r="J1607" s="30" t="s">
        <v>144</v>
      </c>
      <c r="K1607" s="30" t="s">
        <v>117</v>
      </c>
      <c r="L1607" s="30" t="s">
        <v>122</v>
      </c>
      <c r="M1607" s="48"/>
      <c r="N1607" s="30"/>
      <c r="O1607" s="30"/>
      <c r="P1607" s="30"/>
    </row>
    <row r="1608" spans="1:16" ht="45" customHeight="1">
      <c r="A1608" s="30" t="s">
        <v>3374</v>
      </c>
      <c r="B1608" s="47" t="s">
        <v>148</v>
      </c>
      <c r="C1608" s="49" t="s">
        <v>3375</v>
      </c>
      <c r="D1608" s="30"/>
      <c r="E1608" s="30"/>
      <c r="F1608" s="30"/>
      <c r="G1608" s="30"/>
      <c r="H1608" s="30" t="s">
        <v>149</v>
      </c>
      <c r="I1608" s="30" t="s">
        <v>22</v>
      </c>
      <c r="J1608" s="30" t="s">
        <v>144</v>
      </c>
      <c r="K1608" s="30" t="s">
        <v>117</v>
      </c>
      <c r="L1608" s="30" t="s">
        <v>122</v>
      </c>
      <c r="M1608" s="48"/>
      <c r="N1608" s="30"/>
      <c r="O1608" s="30"/>
      <c r="P1608" s="30"/>
    </row>
    <row r="1609" spans="1:16" ht="60" customHeight="1">
      <c r="A1609" s="30" t="s">
        <v>3376</v>
      </c>
      <c r="B1609" s="47" t="s">
        <v>148</v>
      </c>
      <c r="C1609" s="49" t="s">
        <v>3377</v>
      </c>
      <c r="D1609" s="30"/>
      <c r="E1609" s="30"/>
      <c r="F1609" s="30"/>
      <c r="G1609" s="30"/>
      <c r="H1609" s="30" t="s">
        <v>149</v>
      </c>
      <c r="I1609" s="30" t="s">
        <v>22</v>
      </c>
      <c r="J1609" s="30" t="s">
        <v>144</v>
      </c>
      <c r="K1609" s="30" t="s">
        <v>117</v>
      </c>
      <c r="L1609" s="30" t="s">
        <v>122</v>
      </c>
      <c r="M1609" s="48"/>
      <c r="N1609" s="30"/>
      <c r="O1609" s="30"/>
      <c r="P1609" s="30"/>
    </row>
    <row r="1610" spans="1:16" ht="45" customHeight="1">
      <c r="A1610" s="30" t="s">
        <v>3378</v>
      </c>
      <c r="B1610" s="47" t="s">
        <v>148</v>
      </c>
      <c r="C1610" s="49" t="s">
        <v>3379</v>
      </c>
      <c r="D1610" s="30"/>
      <c r="E1610" s="30"/>
      <c r="F1610" s="30"/>
      <c r="G1610" s="30"/>
      <c r="H1610" s="30" t="s">
        <v>149</v>
      </c>
      <c r="I1610" s="30" t="s">
        <v>22</v>
      </c>
      <c r="J1610" s="30" t="s">
        <v>144</v>
      </c>
      <c r="K1610" s="30" t="s">
        <v>117</v>
      </c>
      <c r="L1610" s="30" t="s">
        <v>122</v>
      </c>
      <c r="M1610" s="48"/>
      <c r="N1610" s="30"/>
      <c r="O1610" s="30"/>
      <c r="P1610" s="30"/>
    </row>
    <row r="1611" spans="1:16" ht="60" customHeight="1">
      <c r="A1611" s="30" t="s">
        <v>3380</v>
      </c>
      <c r="B1611" s="47" t="s">
        <v>148</v>
      </c>
      <c r="C1611" s="48" t="s">
        <v>3381</v>
      </c>
      <c r="D1611" s="30"/>
      <c r="E1611" s="30"/>
      <c r="F1611" s="30"/>
      <c r="G1611" s="30"/>
      <c r="H1611" s="30" t="s">
        <v>149</v>
      </c>
      <c r="I1611" s="30" t="s">
        <v>22</v>
      </c>
      <c r="J1611" s="30" t="s">
        <v>144</v>
      </c>
      <c r="K1611" s="30" t="s">
        <v>117</v>
      </c>
      <c r="L1611" s="30" t="s">
        <v>122</v>
      </c>
      <c r="M1611" s="48"/>
      <c r="N1611" s="30"/>
      <c r="O1611" s="30"/>
      <c r="P1611" s="30"/>
    </row>
    <row r="1612" spans="1:16" ht="45" customHeight="1">
      <c r="A1612" s="30" t="s">
        <v>3382</v>
      </c>
      <c r="B1612" s="47" t="s">
        <v>148</v>
      </c>
      <c r="C1612" s="48" t="s">
        <v>3383</v>
      </c>
      <c r="D1612" s="30"/>
      <c r="E1612" s="30"/>
      <c r="F1612" s="30"/>
      <c r="G1612" s="30" t="s">
        <v>4036</v>
      </c>
      <c r="H1612" s="30" t="s">
        <v>149</v>
      </c>
      <c r="I1612" s="30" t="s">
        <v>30</v>
      </c>
      <c r="J1612" s="30" t="s">
        <v>142</v>
      </c>
      <c r="K1612" s="30" t="s">
        <v>116</v>
      </c>
      <c r="L1612" s="30" t="s">
        <v>143</v>
      </c>
      <c r="M1612" s="48"/>
      <c r="N1612" s="30"/>
      <c r="O1612" s="30"/>
      <c r="P1612" s="30"/>
    </row>
    <row r="1613" spans="1:16" ht="60" customHeight="1">
      <c r="A1613" s="30" t="s">
        <v>3384</v>
      </c>
      <c r="B1613" s="50" t="s">
        <v>148</v>
      </c>
      <c r="C1613" s="52" t="s">
        <v>3385</v>
      </c>
      <c r="D1613" s="30"/>
      <c r="E1613" s="30"/>
      <c r="F1613" s="30"/>
      <c r="G1613" s="30"/>
      <c r="H1613" s="30" t="s">
        <v>149</v>
      </c>
      <c r="I1613" s="30" t="s">
        <v>22</v>
      </c>
      <c r="J1613" s="30" t="s">
        <v>142</v>
      </c>
      <c r="K1613" s="30" t="s">
        <v>116</v>
      </c>
      <c r="L1613" s="30" t="s">
        <v>121</v>
      </c>
      <c r="M1613" s="48" t="s">
        <v>3386</v>
      </c>
      <c r="N1613" s="30"/>
      <c r="O1613" s="30"/>
      <c r="P1613" s="30"/>
    </row>
    <row r="1614" spans="1:16" ht="45" customHeight="1">
      <c r="A1614" s="30" t="s">
        <v>3387</v>
      </c>
      <c r="B1614" s="50" t="s">
        <v>148</v>
      </c>
      <c r="C1614" s="52" t="s">
        <v>3388</v>
      </c>
      <c r="D1614" s="30"/>
      <c r="E1614" s="30"/>
      <c r="F1614" s="30"/>
      <c r="G1614" s="30"/>
      <c r="H1614" s="30" t="s">
        <v>149</v>
      </c>
      <c r="I1614" s="30" t="s">
        <v>31</v>
      </c>
      <c r="J1614" s="30" t="s">
        <v>144</v>
      </c>
      <c r="K1614" s="30" t="s">
        <v>117</v>
      </c>
      <c r="L1614" s="30" t="s">
        <v>122</v>
      </c>
      <c r="M1614" s="48"/>
      <c r="N1614" s="30"/>
      <c r="O1614" s="30"/>
      <c r="P1614" s="30"/>
    </row>
    <row r="1615" spans="1:16" ht="45" customHeight="1">
      <c r="A1615" s="30" t="s">
        <v>3389</v>
      </c>
      <c r="B1615" s="50" t="s">
        <v>148</v>
      </c>
      <c r="C1615" s="52" t="s">
        <v>3390</v>
      </c>
      <c r="D1615" s="30"/>
      <c r="E1615" s="30"/>
      <c r="F1615" s="30"/>
      <c r="G1615" s="30"/>
      <c r="H1615" s="30" t="s">
        <v>149</v>
      </c>
      <c r="I1615" s="30" t="s">
        <v>31</v>
      </c>
      <c r="J1615" s="30" t="s">
        <v>142</v>
      </c>
      <c r="K1615" s="30" t="s">
        <v>116</v>
      </c>
      <c r="L1615" s="30" t="s">
        <v>122</v>
      </c>
      <c r="M1615" s="48" t="s">
        <v>184</v>
      </c>
      <c r="N1615" s="30"/>
      <c r="O1615" s="30"/>
      <c r="P1615" s="30"/>
    </row>
    <row r="1616" spans="1:16" ht="60" customHeight="1">
      <c r="A1616" s="30" t="s">
        <v>3391</v>
      </c>
      <c r="B1616" s="50" t="s">
        <v>148</v>
      </c>
      <c r="C1616" s="51" t="s">
        <v>3392</v>
      </c>
      <c r="D1616" s="30"/>
      <c r="E1616" s="30"/>
      <c r="F1616" s="30"/>
      <c r="G1616" s="30"/>
      <c r="H1616" s="30" t="s">
        <v>149</v>
      </c>
      <c r="I1616" s="30" t="s">
        <v>31</v>
      </c>
      <c r="J1616" s="30" t="s">
        <v>142</v>
      </c>
      <c r="K1616" s="30" t="s">
        <v>116</v>
      </c>
      <c r="L1616" s="30" t="s">
        <v>122</v>
      </c>
      <c r="M1616" s="48" t="s">
        <v>184</v>
      </c>
      <c r="N1616" s="30"/>
      <c r="O1616" s="30"/>
      <c r="P1616" s="30"/>
    </row>
    <row r="1617" spans="1:16" ht="90" customHeight="1">
      <c r="A1617" s="30" t="s">
        <v>3393</v>
      </c>
      <c r="B1617" s="50" t="s">
        <v>148</v>
      </c>
      <c r="C1617" s="52" t="s">
        <v>3394</v>
      </c>
      <c r="D1617" s="30"/>
      <c r="E1617" s="30"/>
      <c r="F1617" s="30"/>
      <c r="G1617" s="30"/>
      <c r="H1617" s="30" t="s">
        <v>149</v>
      </c>
      <c r="I1617" s="30" t="s">
        <v>31</v>
      </c>
      <c r="J1617" s="30" t="s">
        <v>142</v>
      </c>
      <c r="K1617" s="30" t="s">
        <v>116</v>
      </c>
      <c r="L1617" s="30" t="s">
        <v>122</v>
      </c>
      <c r="M1617" s="48" t="s">
        <v>184</v>
      </c>
      <c r="N1617" s="30"/>
      <c r="O1617" s="30"/>
      <c r="P1617" s="30"/>
    </row>
    <row r="1618" spans="1:16" ht="90" customHeight="1">
      <c r="A1618" s="30" t="s">
        <v>3395</v>
      </c>
      <c r="B1618" s="55" t="s">
        <v>1297</v>
      </c>
      <c r="C1618" s="51" t="s">
        <v>3396</v>
      </c>
      <c r="D1618" s="30"/>
      <c r="E1618" s="30"/>
      <c r="F1618" s="30"/>
      <c r="G1618" s="30"/>
      <c r="H1618" s="30" t="s">
        <v>149</v>
      </c>
      <c r="I1618" s="30" t="s">
        <v>31</v>
      </c>
      <c r="J1618" s="30" t="s">
        <v>142</v>
      </c>
      <c r="K1618" s="30" t="s">
        <v>116</v>
      </c>
      <c r="L1618" s="30" t="s">
        <v>122</v>
      </c>
      <c r="M1618" s="48" t="s">
        <v>184</v>
      </c>
      <c r="N1618" s="30"/>
      <c r="O1618" s="30"/>
      <c r="P1618" s="30"/>
    </row>
    <row r="1619" spans="1:16" ht="60" customHeight="1">
      <c r="A1619" s="30" t="s">
        <v>3397</v>
      </c>
      <c r="B1619" s="50" t="s">
        <v>148</v>
      </c>
      <c r="C1619" s="52" t="s">
        <v>3398</v>
      </c>
      <c r="D1619" s="30"/>
      <c r="E1619" s="30"/>
      <c r="F1619" s="30"/>
      <c r="G1619" s="30"/>
      <c r="H1619" s="30" t="s">
        <v>149</v>
      </c>
      <c r="I1619" s="30" t="s">
        <v>31</v>
      </c>
      <c r="J1619" s="30" t="s">
        <v>142</v>
      </c>
      <c r="K1619" s="30" t="s">
        <v>116</v>
      </c>
      <c r="L1619" s="30" t="s">
        <v>122</v>
      </c>
      <c r="M1619" s="48" t="s">
        <v>184</v>
      </c>
      <c r="N1619" s="30"/>
      <c r="O1619" s="30"/>
      <c r="P1619" s="30"/>
    </row>
    <row r="1620" spans="1:16" ht="45" customHeight="1">
      <c r="A1620" s="30" t="s">
        <v>3399</v>
      </c>
      <c r="B1620" s="50" t="s">
        <v>148</v>
      </c>
      <c r="C1620" s="51" t="s">
        <v>3400</v>
      </c>
      <c r="D1620" s="30"/>
      <c r="E1620" s="30"/>
      <c r="F1620" s="30"/>
      <c r="G1620" s="30"/>
      <c r="H1620" s="30" t="s">
        <v>149</v>
      </c>
      <c r="I1620" s="30" t="s">
        <v>31</v>
      </c>
      <c r="J1620" s="30" t="s">
        <v>142</v>
      </c>
      <c r="K1620" s="30" t="s">
        <v>116</v>
      </c>
      <c r="L1620" s="30" t="s">
        <v>122</v>
      </c>
      <c r="M1620" s="48" t="s">
        <v>184</v>
      </c>
      <c r="N1620" s="30"/>
      <c r="O1620" s="30"/>
      <c r="P1620" s="30"/>
    </row>
    <row r="1621" spans="1:16" ht="60" customHeight="1">
      <c r="A1621" s="30" t="s">
        <v>3401</v>
      </c>
      <c r="B1621" s="50" t="s">
        <v>148</v>
      </c>
      <c r="C1621" s="52" t="s">
        <v>3402</v>
      </c>
      <c r="D1621" s="30"/>
      <c r="E1621" s="30"/>
      <c r="F1621" s="30"/>
      <c r="G1621" s="30"/>
      <c r="H1621" s="30" t="s">
        <v>149</v>
      </c>
      <c r="I1621" s="30" t="s">
        <v>31</v>
      </c>
      <c r="J1621" s="30" t="s">
        <v>142</v>
      </c>
      <c r="K1621" s="30" t="s">
        <v>116</v>
      </c>
      <c r="L1621" s="30" t="s">
        <v>122</v>
      </c>
      <c r="M1621" s="48" t="s">
        <v>184</v>
      </c>
      <c r="N1621" s="30"/>
      <c r="O1621" s="30"/>
      <c r="P1621" s="30"/>
    </row>
    <row r="1622" spans="1:16" ht="75" customHeight="1">
      <c r="A1622" s="30" t="s">
        <v>3403</v>
      </c>
      <c r="B1622" s="50" t="s">
        <v>148</v>
      </c>
      <c r="C1622" s="52" t="s">
        <v>3404</v>
      </c>
      <c r="D1622" s="30"/>
      <c r="E1622" s="30"/>
      <c r="F1622" s="30"/>
      <c r="G1622" s="30"/>
      <c r="H1622" s="30" t="s">
        <v>149</v>
      </c>
      <c r="I1622" s="30" t="s">
        <v>31</v>
      </c>
      <c r="J1622" s="30" t="s">
        <v>142</v>
      </c>
      <c r="K1622" s="30" t="s">
        <v>116</v>
      </c>
      <c r="L1622" s="30" t="s">
        <v>122</v>
      </c>
      <c r="M1622" s="48" t="s">
        <v>184</v>
      </c>
      <c r="N1622" s="30"/>
      <c r="O1622" s="30"/>
      <c r="P1622" s="30"/>
    </row>
    <row r="1623" spans="1:16" ht="30" customHeight="1">
      <c r="A1623" s="30" t="s">
        <v>3405</v>
      </c>
      <c r="B1623" s="50" t="s">
        <v>148</v>
      </c>
      <c r="C1623" s="52" t="s">
        <v>3406</v>
      </c>
      <c r="D1623" s="30"/>
      <c r="E1623" s="30"/>
      <c r="F1623" s="30"/>
      <c r="G1623" s="30"/>
      <c r="H1623" s="30" t="s">
        <v>149</v>
      </c>
      <c r="I1623" s="30" t="s">
        <v>30</v>
      </c>
      <c r="J1623" s="30" t="s">
        <v>144</v>
      </c>
      <c r="K1623" s="30" t="s">
        <v>117</v>
      </c>
      <c r="L1623" s="30" t="s">
        <v>122</v>
      </c>
      <c r="M1623" s="48"/>
      <c r="N1623" s="30"/>
      <c r="O1623" s="30"/>
      <c r="P1623" s="30"/>
    </row>
    <row r="1624" spans="1:16" ht="45" customHeight="1">
      <c r="A1624" s="30" t="s">
        <v>3407</v>
      </c>
      <c r="B1624" s="47" t="s">
        <v>148</v>
      </c>
      <c r="C1624" s="49" t="s">
        <v>3408</v>
      </c>
      <c r="D1624" s="30"/>
      <c r="E1624" s="30"/>
      <c r="F1624" s="30"/>
      <c r="G1624" s="30"/>
      <c r="H1624" s="30" t="s">
        <v>149</v>
      </c>
      <c r="I1624" s="30" t="s">
        <v>30</v>
      </c>
      <c r="J1624" s="30" t="s">
        <v>142</v>
      </c>
      <c r="K1624" s="30" t="s">
        <v>116</v>
      </c>
      <c r="L1624" s="30" t="s">
        <v>121</v>
      </c>
      <c r="M1624" s="48" t="s">
        <v>4108</v>
      </c>
      <c r="N1624" s="30"/>
      <c r="O1624" s="30"/>
      <c r="P1624" s="30"/>
    </row>
    <row r="1625" spans="1:16" ht="30" customHeight="1">
      <c r="A1625" s="30" t="s">
        <v>3409</v>
      </c>
      <c r="B1625" s="47" t="s">
        <v>148</v>
      </c>
      <c r="C1625" s="49" t="s">
        <v>3410</v>
      </c>
      <c r="D1625" s="30"/>
      <c r="E1625" s="30"/>
      <c r="F1625" s="30"/>
      <c r="G1625" s="30"/>
      <c r="H1625" s="30" t="s">
        <v>149</v>
      </c>
      <c r="I1625" s="30" t="s">
        <v>30</v>
      </c>
      <c r="J1625" s="30" t="s">
        <v>142</v>
      </c>
      <c r="K1625" s="30" t="s">
        <v>116</v>
      </c>
      <c r="L1625" s="30" t="s">
        <v>121</v>
      </c>
      <c r="M1625" s="48" t="s">
        <v>4108</v>
      </c>
      <c r="N1625" s="30"/>
      <c r="O1625" s="30"/>
      <c r="P1625" s="30"/>
    </row>
    <row r="1626" spans="1:16" ht="30" customHeight="1">
      <c r="A1626" s="30" t="s">
        <v>3411</v>
      </c>
      <c r="B1626" s="47" t="s">
        <v>148</v>
      </c>
      <c r="C1626" s="48" t="s">
        <v>3412</v>
      </c>
      <c r="D1626" s="30"/>
      <c r="E1626" s="30"/>
      <c r="F1626" s="30"/>
      <c r="G1626" s="30"/>
      <c r="H1626" s="30" t="s">
        <v>149</v>
      </c>
      <c r="I1626" s="30" t="s">
        <v>30</v>
      </c>
      <c r="J1626" s="30" t="s">
        <v>142</v>
      </c>
      <c r="K1626" s="30" t="s">
        <v>116</v>
      </c>
      <c r="L1626" s="30" t="s">
        <v>121</v>
      </c>
      <c r="M1626" s="48" t="s">
        <v>4108</v>
      </c>
      <c r="N1626" s="30"/>
      <c r="O1626" s="30"/>
      <c r="P1626" s="30"/>
    </row>
    <row r="1627" spans="1:16" ht="30" customHeight="1">
      <c r="A1627" s="30" t="s">
        <v>3413</v>
      </c>
      <c r="B1627" s="47" t="s">
        <v>148</v>
      </c>
      <c r="C1627" s="48" t="s">
        <v>3414</v>
      </c>
      <c r="D1627" s="30"/>
      <c r="E1627" s="30"/>
      <c r="F1627" s="30"/>
      <c r="G1627" s="30"/>
      <c r="H1627" s="30" t="s">
        <v>149</v>
      </c>
      <c r="I1627" s="30" t="s">
        <v>30</v>
      </c>
      <c r="J1627" s="30" t="s">
        <v>142</v>
      </c>
      <c r="K1627" s="30" t="s">
        <v>116</v>
      </c>
      <c r="L1627" s="30" t="s">
        <v>121</v>
      </c>
      <c r="M1627" s="48" t="s">
        <v>4108</v>
      </c>
      <c r="N1627" s="30"/>
      <c r="O1627" s="30"/>
      <c r="P1627" s="30"/>
    </row>
    <row r="1628" spans="1:16" ht="45" customHeight="1">
      <c r="A1628" s="30" t="s">
        <v>3415</v>
      </c>
      <c r="B1628" s="47" t="s">
        <v>148</v>
      </c>
      <c r="C1628" s="49" t="s">
        <v>3416</v>
      </c>
      <c r="D1628" s="30"/>
      <c r="E1628" s="30"/>
      <c r="F1628" s="30"/>
      <c r="G1628" s="30"/>
      <c r="H1628" s="30" t="s">
        <v>149</v>
      </c>
      <c r="I1628" s="30" t="s">
        <v>30</v>
      </c>
      <c r="J1628" s="30" t="s">
        <v>144</v>
      </c>
      <c r="K1628" s="30" t="s">
        <v>117</v>
      </c>
      <c r="L1628" s="30" t="s">
        <v>122</v>
      </c>
      <c r="M1628" s="48"/>
      <c r="N1628" s="30"/>
      <c r="O1628" s="30"/>
      <c r="P1628" s="30"/>
    </row>
    <row r="1629" spans="1:16" ht="30" customHeight="1">
      <c r="A1629" s="30" t="s">
        <v>3417</v>
      </c>
      <c r="B1629" s="47" t="s">
        <v>148</v>
      </c>
      <c r="C1629" s="48" t="s">
        <v>3418</v>
      </c>
      <c r="D1629" s="30"/>
      <c r="E1629" s="30"/>
      <c r="F1629" s="30"/>
      <c r="G1629" s="30"/>
      <c r="H1629" s="30" t="s">
        <v>149</v>
      </c>
      <c r="I1629" s="30" t="s">
        <v>31</v>
      </c>
      <c r="J1629" s="30" t="s">
        <v>144</v>
      </c>
      <c r="K1629" s="30" t="s">
        <v>117</v>
      </c>
      <c r="L1629" s="30" t="s">
        <v>3664</v>
      </c>
      <c r="M1629" s="51" t="s">
        <v>3665</v>
      </c>
      <c r="N1629" s="30"/>
      <c r="O1629" s="30"/>
      <c r="P1629" s="30"/>
    </row>
    <row r="1630" spans="1:16" ht="45" customHeight="1">
      <c r="A1630" s="30" t="s">
        <v>3419</v>
      </c>
      <c r="B1630" s="47" t="s">
        <v>148</v>
      </c>
      <c r="C1630" s="48" t="s">
        <v>3681</v>
      </c>
      <c r="D1630" s="30"/>
      <c r="E1630" s="30"/>
      <c r="F1630" s="30"/>
      <c r="G1630" s="30"/>
      <c r="H1630" s="30" t="s">
        <v>149</v>
      </c>
      <c r="I1630" s="30" t="s">
        <v>31</v>
      </c>
      <c r="J1630" s="30" t="s">
        <v>142</v>
      </c>
      <c r="K1630" s="30" t="s">
        <v>116</v>
      </c>
      <c r="L1630" s="30" t="s">
        <v>122</v>
      </c>
      <c r="M1630" s="48" t="s">
        <v>4079</v>
      </c>
      <c r="N1630" s="30"/>
      <c r="O1630" s="30"/>
      <c r="P1630" s="30"/>
    </row>
    <row r="1631" spans="1:16" ht="30" customHeight="1">
      <c r="A1631" s="30" t="s">
        <v>3420</v>
      </c>
      <c r="B1631" s="47" t="s">
        <v>148</v>
      </c>
      <c r="C1631" s="48" t="s">
        <v>3682</v>
      </c>
      <c r="D1631" s="30"/>
      <c r="E1631" s="30"/>
      <c r="F1631" s="30"/>
      <c r="G1631" s="30"/>
      <c r="H1631" s="30" t="s">
        <v>149</v>
      </c>
      <c r="I1631" s="30" t="s">
        <v>30</v>
      </c>
      <c r="J1631" s="30" t="s">
        <v>142</v>
      </c>
      <c r="K1631" s="30" t="s">
        <v>116</v>
      </c>
      <c r="L1631" s="30" t="s">
        <v>121</v>
      </c>
      <c r="M1631" s="48" t="s">
        <v>237</v>
      </c>
      <c r="N1631" s="30"/>
      <c r="O1631" s="30"/>
      <c r="P1631" s="30"/>
    </row>
    <row r="1632" spans="1:16" ht="45" customHeight="1">
      <c r="A1632" s="30" t="s">
        <v>3421</v>
      </c>
      <c r="B1632" s="47" t="s">
        <v>148</v>
      </c>
      <c r="C1632" s="48" t="s">
        <v>3683</v>
      </c>
      <c r="D1632" s="30"/>
      <c r="E1632" s="30"/>
      <c r="F1632" s="30"/>
      <c r="G1632" s="30"/>
      <c r="H1632" s="30" t="s">
        <v>149</v>
      </c>
      <c r="I1632" s="30" t="s">
        <v>30</v>
      </c>
      <c r="J1632" s="30" t="s">
        <v>144</v>
      </c>
      <c r="K1632" s="30" t="s">
        <v>117</v>
      </c>
      <c r="L1632" s="30" t="s">
        <v>3664</v>
      </c>
      <c r="M1632" s="51" t="s">
        <v>4044</v>
      </c>
      <c r="N1632" s="30"/>
      <c r="O1632" s="30"/>
      <c r="P1632" s="30"/>
    </row>
    <row r="1633" spans="1:16" ht="45" customHeight="1">
      <c r="A1633" s="30" t="s">
        <v>3422</v>
      </c>
      <c r="B1633" s="50" t="s">
        <v>148</v>
      </c>
      <c r="C1633" s="52" t="s">
        <v>3685</v>
      </c>
      <c r="D1633" s="30"/>
      <c r="E1633" s="30"/>
      <c r="F1633" s="30"/>
      <c r="G1633" s="30" t="s">
        <v>4037</v>
      </c>
      <c r="H1633" s="30" t="s">
        <v>149</v>
      </c>
      <c r="I1633" s="30" t="s">
        <v>30</v>
      </c>
      <c r="J1633" s="30" t="s">
        <v>142</v>
      </c>
      <c r="K1633" s="30" t="s">
        <v>116</v>
      </c>
      <c r="L1633" s="30" t="s">
        <v>146</v>
      </c>
      <c r="M1633" s="48"/>
      <c r="N1633" s="30"/>
      <c r="O1633" s="30"/>
      <c r="P1633" s="30"/>
    </row>
    <row r="1634" spans="1:16" ht="45" customHeight="1">
      <c r="A1634" s="30" t="s">
        <v>3423</v>
      </c>
      <c r="B1634" s="55" t="s">
        <v>148</v>
      </c>
      <c r="C1634" s="52" t="s">
        <v>3686</v>
      </c>
      <c r="D1634" s="30"/>
      <c r="E1634" s="30"/>
      <c r="F1634" s="30"/>
      <c r="G1634" s="30"/>
      <c r="H1634" s="30" t="s">
        <v>149</v>
      </c>
      <c r="I1634" s="30" t="s">
        <v>30</v>
      </c>
      <c r="J1634" s="30" t="s">
        <v>142</v>
      </c>
      <c r="K1634" s="30" t="s">
        <v>116</v>
      </c>
      <c r="L1634" s="30" t="s">
        <v>122</v>
      </c>
      <c r="M1634" s="48" t="s">
        <v>4111</v>
      </c>
      <c r="N1634" s="30"/>
      <c r="O1634" s="30"/>
      <c r="P1634" s="30"/>
    </row>
    <row r="1635" spans="1:16" ht="45" customHeight="1">
      <c r="A1635" s="30" t="s">
        <v>3424</v>
      </c>
      <c r="B1635" s="50" t="s">
        <v>148</v>
      </c>
      <c r="C1635" s="52" t="s">
        <v>3689</v>
      </c>
      <c r="D1635" s="30"/>
      <c r="E1635" s="30"/>
      <c r="F1635" s="30"/>
      <c r="G1635" s="30"/>
      <c r="H1635" s="30" t="s">
        <v>149</v>
      </c>
      <c r="I1635" s="30" t="s">
        <v>30</v>
      </c>
      <c r="J1635" s="30" t="s">
        <v>142</v>
      </c>
      <c r="K1635" s="30" t="s">
        <v>116</v>
      </c>
      <c r="L1635" s="30" t="s">
        <v>122</v>
      </c>
      <c r="M1635" s="48" t="s">
        <v>3425</v>
      </c>
      <c r="N1635" s="30"/>
      <c r="O1635" s="30"/>
      <c r="P1635" s="30"/>
    </row>
    <row r="1636" spans="1:16" ht="45" customHeight="1">
      <c r="A1636" s="30" t="s">
        <v>3426</v>
      </c>
      <c r="B1636" s="50" t="s">
        <v>148</v>
      </c>
      <c r="C1636" s="52" t="s">
        <v>3690</v>
      </c>
      <c r="D1636" s="30"/>
      <c r="E1636" s="30"/>
      <c r="F1636" s="30"/>
      <c r="G1636" s="30"/>
      <c r="H1636" s="30" t="s">
        <v>149</v>
      </c>
      <c r="I1636" s="30" t="s">
        <v>30</v>
      </c>
      <c r="J1636" s="30" t="s">
        <v>142</v>
      </c>
      <c r="K1636" s="30" t="s">
        <v>116</v>
      </c>
      <c r="L1636" s="30" t="s">
        <v>122</v>
      </c>
      <c r="M1636" s="48" t="s">
        <v>3427</v>
      </c>
      <c r="N1636" s="30"/>
      <c r="O1636" s="30"/>
      <c r="P1636" s="30"/>
    </row>
    <row r="1637" spans="1:16" ht="60" customHeight="1">
      <c r="A1637" s="30" t="s">
        <v>3428</v>
      </c>
      <c r="B1637" s="50" t="s">
        <v>148</v>
      </c>
      <c r="C1637" s="52" t="s">
        <v>3691</v>
      </c>
      <c r="D1637" s="30"/>
      <c r="E1637" s="30"/>
      <c r="F1637" s="30"/>
      <c r="G1637" s="30"/>
      <c r="H1637" s="30" t="s">
        <v>149</v>
      </c>
      <c r="I1637" s="30" t="s">
        <v>30</v>
      </c>
      <c r="J1637" s="30" t="s">
        <v>142</v>
      </c>
      <c r="K1637" s="30" t="s">
        <v>116</v>
      </c>
      <c r="L1637" s="30" t="s">
        <v>122</v>
      </c>
      <c r="M1637" s="48" t="s">
        <v>3425</v>
      </c>
      <c r="N1637" s="30"/>
      <c r="O1637" s="30"/>
      <c r="P1637" s="30"/>
    </row>
    <row r="1638" spans="1:16" ht="30" customHeight="1">
      <c r="A1638" s="30" t="s">
        <v>3429</v>
      </c>
      <c r="B1638" s="47" t="s">
        <v>148</v>
      </c>
      <c r="C1638" s="48" t="s">
        <v>3694</v>
      </c>
      <c r="D1638" s="30"/>
      <c r="E1638" s="30"/>
      <c r="F1638" s="30"/>
      <c r="G1638" s="30" t="s">
        <v>4037</v>
      </c>
      <c r="H1638" s="30" t="s">
        <v>149</v>
      </c>
      <c r="I1638" s="30" t="s">
        <v>30</v>
      </c>
      <c r="J1638" s="30" t="s">
        <v>142</v>
      </c>
      <c r="K1638" s="30" t="s">
        <v>116</v>
      </c>
      <c r="L1638" s="30" t="s">
        <v>146</v>
      </c>
      <c r="M1638" s="48"/>
      <c r="N1638" s="30"/>
      <c r="O1638" s="30"/>
      <c r="P1638" s="30"/>
    </row>
    <row r="1639" spans="1:16" ht="75" customHeight="1">
      <c r="A1639" s="30" t="s">
        <v>3430</v>
      </c>
      <c r="B1639" s="50" t="s">
        <v>148</v>
      </c>
      <c r="C1639" s="52" t="s">
        <v>3697</v>
      </c>
      <c r="D1639" s="30"/>
      <c r="E1639" s="30"/>
      <c r="F1639" s="30"/>
      <c r="G1639" s="30"/>
      <c r="H1639" s="30" t="s">
        <v>149</v>
      </c>
      <c r="I1639" s="30" t="s">
        <v>22</v>
      </c>
      <c r="J1639" s="30" t="s">
        <v>144</v>
      </c>
      <c r="K1639" s="30" t="s">
        <v>117</v>
      </c>
      <c r="L1639" s="30" t="s">
        <v>122</v>
      </c>
      <c r="M1639" s="48"/>
      <c r="N1639" s="30"/>
      <c r="O1639" s="30"/>
      <c r="P1639" s="30"/>
    </row>
    <row r="1640" spans="1:16" ht="30" customHeight="1">
      <c r="A1640" s="30" t="s">
        <v>3431</v>
      </c>
      <c r="B1640" s="47" t="s">
        <v>1297</v>
      </c>
      <c r="C1640" s="48" t="s">
        <v>3699</v>
      </c>
      <c r="D1640" s="30"/>
      <c r="E1640" s="30"/>
      <c r="F1640" s="30"/>
      <c r="G1640" s="30" t="s">
        <v>4037</v>
      </c>
      <c r="H1640" s="30" t="s">
        <v>149</v>
      </c>
      <c r="I1640" s="30" t="s">
        <v>30</v>
      </c>
      <c r="J1640" s="30" t="s">
        <v>142</v>
      </c>
      <c r="K1640" s="30" t="s">
        <v>116</v>
      </c>
      <c r="L1640" s="30" t="s">
        <v>146</v>
      </c>
      <c r="M1640" s="48"/>
      <c r="N1640" s="30"/>
      <c r="O1640" s="30"/>
      <c r="P1640" s="30"/>
    </row>
    <row r="1641" spans="1:16" ht="45" customHeight="1">
      <c r="A1641" s="30" t="s">
        <v>3432</v>
      </c>
      <c r="B1641" s="47" t="s">
        <v>1297</v>
      </c>
      <c r="C1641" s="48" t="s">
        <v>3700</v>
      </c>
      <c r="D1641" s="30"/>
      <c r="E1641" s="30"/>
      <c r="F1641" s="30"/>
      <c r="G1641" s="30" t="s">
        <v>4037</v>
      </c>
      <c r="H1641" s="30" t="s">
        <v>149</v>
      </c>
      <c r="I1641" s="30" t="s">
        <v>22</v>
      </c>
      <c r="J1641" s="30" t="s">
        <v>142</v>
      </c>
      <c r="K1641" s="30" t="s">
        <v>116</v>
      </c>
      <c r="L1641" s="30" t="s">
        <v>143</v>
      </c>
      <c r="M1641" s="48"/>
      <c r="N1641" s="30"/>
      <c r="O1641" s="30"/>
      <c r="P1641" s="30"/>
    </row>
    <row r="1642" spans="1:16" ht="45" customHeight="1">
      <c r="A1642" s="30" t="s">
        <v>3433</v>
      </c>
      <c r="B1642" s="47" t="s">
        <v>1297</v>
      </c>
      <c r="C1642" s="48" t="s">
        <v>3701</v>
      </c>
      <c r="D1642" s="30"/>
      <c r="E1642" s="30"/>
      <c r="F1642" s="30"/>
      <c r="G1642" s="30" t="s">
        <v>4037</v>
      </c>
      <c r="H1642" s="30" t="s">
        <v>149</v>
      </c>
      <c r="I1642" s="30" t="s">
        <v>22</v>
      </c>
      <c r="J1642" s="30" t="s">
        <v>142</v>
      </c>
      <c r="K1642" s="30" t="s">
        <v>116</v>
      </c>
      <c r="L1642" s="30" t="s">
        <v>143</v>
      </c>
      <c r="M1642" s="48"/>
      <c r="N1642" s="30"/>
      <c r="O1642" s="30"/>
      <c r="P1642" s="30"/>
    </row>
    <row r="1643" spans="1:16" ht="60" customHeight="1">
      <c r="A1643" s="30" t="s">
        <v>3434</v>
      </c>
      <c r="B1643" s="47" t="s">
        <v>1297</v>
      </c>
      <c r="C1643" s="48" t="s">
        <v>3702</v>
      </c>
      <c r="D1643" s="30"/>
      <c r="E1643" s="30"/>
      <c r="F1643" s="30"/>
      <c r="G1643" s="30" t="s">
        <v>4037</v>
      </c>
      <c r="H1643" s="30" t="s">
        <v>149</v>
      </c>
      <c r="I1643" s="30" t="s">
        <v>22</v>
      </c>
      <c r="J1643" s="30" t="s">
        <v>142</v>
      </c>
      <c r="K1643" s="30" t="s">
        <v>116</v>
      </c>
      <c r="L1643" s="30" t="s">
        <v>146</v>
      </c>
      <c r="M1643" s="48"/>
      <c r="N1643" s="30"/>
      <c r="O1643" s="30"/>
      <c r="P1643" s="30"/>
    </row>
    <row r="1644" spans="1:16" ht="45" customHeight="1">
      <c r="A1644" s="30" t="s">
        <v>3706</v>
      </c>
      <c r="B1644" s="47" t="s">
        <v>148</v>
      </c>
      <c r="C1644" s="48" t="s">
        <v>3707</v>
      </c>
      <c r="D1644" s="30"/>
      <c r="E1644" s="30"/>
      <c r="F1644" s="30"/>
      <c r="G1644" s="30" t="s">
        <v>4037</v>
      </c>
      <c r="H1644" s="30" t="s">
        <v>149</v>
      </c>
      <c r="I1644" s="30" t="s">
        <v>22</v>
      </c>
      <c r="J1644" s="30" t="s">
        <v>142</v>
      </c>
      <c r="K1644" s="30" t="s">
        <v>116</v>
      </c>
      <c r="L1644" s="30" t="s">
        <v>146</v>
      </c>
      <c r="M1644" s="48"/>
      <c r="N1644" s="30"/>
      <c r="O1644" s="30"/>
      <c r="P1644" s="30"/>
    </row>
    <row r="1645" spans="1:16" ht="45" customHeight="1">
      <c r="A1645" s="30" t="s">
        <v>3435</v>
      </c>
      <c r="B1645" s="50" t="s">
        <v>148</v>
      </c>
      <c r="C1645" s="52" t="s">
        <v>3708</v>
      </c>
      <c r="D1645" s="30"/>
      <c r="E1645" s="30"/>
      <c r="F1645" s="30"/>
      <c r="G1645" s="30" t="s">
        <v>4037</v>
      </c>
      <c r="H1645" s="30" t="s">
        <v>149</v>
      </c>
      <c r="I1645" s="30" t="s">
        <v>22</v>
      </c>
      <c r="J1645" s="30" t="s">
        <v>142</v>
      </c>
      <c r="K1645" s="30" t="s">
        <v>116</v>
      </c>
      <c r="L1645" s="30" t="s">
        <v>146</v>
      </c>
      <c r="M1645" s="48"/>
      <c r="N1645" s="30"/>
      <c r="O1645" s="30"/>
      <c r="P1645" s="30"/>
    </row>
    <row r="1646" spans="1:16" ht="45" customHeight="1">
      <c r="A1646" s="30" t="s">
        <v>3436</v>
      </c>
      <c r="B1646" s="50" t="s">
        <v>148</v>
      </c>
      <c r="C1646" s="52" t="s">
        <v>3437</v>
      </c>
      <c r="D1646" s="30"/>
      <c r="E1646" s="30"/>
      <c r="F1646" s="30"/>
      <c r="G1646" s="30"/>
      <c r="H1646" s="30" t="s">
        <v>149</v>
      </c>
      <c r="I1646" s="30" t="s">
        <v>22</v>
      </c>
      <c r="J1646" s="30" t="s">
        <v>144</v>
      </c>
      <c r="K1646" s="30" t="s">
        <v>117</v>
      </c>
      <c r="L1646" s="30" t="s">
        <v>3664</v>
      </c>
      <c r="M1646" s="51" t="s">
        <v>3665</v>
      </c>
      <c r="N1646" s="30"/>
      <c r="O1646" s="30"/>
      <c r="P1646" s="30"/>
    </row>
    <row r="1647" spans="1:16" ht="45" customHeight="1">
      <c r="A1647" s="30" t="s">
        <v>3438</v>
      </c>
      <c r="B1647" s="55" t="s">
        <v>148</v>
      </c>
      <c r="C1647" s="52" t="s">
        <v>3711</v>
      </c>
      <c r="D1647" s="30"/>
      <c r="E1647" s="30"/>
      <c r="F1647" s="30"/>
      <c r="G1647" s="30" t="s">
        <v>4037</v>
      </c>
      <c r="H1647" s="30" t="s">
        <v>149</v>
      </c>
      <c r="I1647" s="30" t="s">
        <v>30</v>
      </c>
      <c r="J1647" s="30" t="s">
        <v>142</v>
      </c>
      <c r="K1647" s="30" t="s">
        <v>116</v>
      </c>
      <c r="L1647" s="30" t="s">
        <v>146</v>
      </c>
      <c r="M1647" s="48"/>
      <c r="N1647" s="30"/>
      <c r="O1647" s="30"/>
      <c r="P1647" s="30"/>
    </row>
    <row r="1648" spans="1:16" ht="45" customHeight="1">
      <c r="A1648" s="30" t="s">
        <v>3439</v>
      </c>
      <c r="B1648" s="50" t="s">
        <v>148</v>
      </c>
      <c r="C1648" s="52" t="s">
        <v>3712</v>
      </c>
      <c r="D1648" s="30"/>
      <c r="E1648" s="30"/>
      <c r="F1648" s="30"/>
      <c r="G1648" s="30"/>
      <c r="H1648" s="30" t="s">
        <v>149</v>
      </c>
      <c r="I1648" s="30" t="s">
        <v>22</v>
      </c>
      <c r="J1648" s="30" t="s">
        <v>144</v>
      </c>
      <c r="K1648" s="30" t="s">
        <v>117</v>
      </c>
      <c r="L1648" s="30" t="s">
        <v>122</v>
      </c>
      <c r="M1648" s="48"/>
      <c r="N1648" s="30"/>
      <c r="O1648" s="30"/>
      <c r="P1648" s="30"/>
    </row>
    <row r="1649" spans="1:16" ht="75" customHeight="1">
      <c r="A1649" s="30" t="s">
        <v>3440</v>
      </c>
      <c r="B1649" s="50" t="s">
        <v>148</v>
      </c>
      <c r="C1649" s="52" t="s">
        <v>3713</v>
      </c>
      <c r="D1649" s="30"/>
      <c r="E1649" s="30"/>
      <c r="F1649" s="30"/>
      <c r="G1649" s="30"/>
      <c r="H1649" s="30" t="s">
        <v>149</v>
      </c>
      <c r="I1649" s="30" t="s">
        <v>22</v>
      </c>
      <c r="J1649" s="30" t="s">
        <v>142</v>
      </c>
      <c r="K1649" s="30" t="s">
        <v>116</v>
      </c>
      <c r="L1649" s="30" t="s">
        <v>121</v>
      </c>
      <c r="M1649" s="48" t="s">
        <v>4130</v>
      </c>
      <c r="N1649" s="30"/>
      <c r="O1649" s="30"/>
      <c r="P1649" s="30"/>
    </row>
    <row r="1650" spans="1:16" ht="30" customHeight="1">
      <c r="A1650" s="30" t="s">
        <v>3441</v>
      </c>
      <c r="B1650" s="47" t="s">
        <v>1297</v>
      </c>
      <c r="C1650" s="48" t="s">
        <v>3718</v>
      </c>
      <c r="D1650" s="30"/>
      <c r="E1650" s="30"/>
      <c r="F1650" s="30"/>
      <c r="G1650" s="30"/>
      <c r="H1650" s="30" t="s">
        <v>149</v>
      </c>
      <c r="I1650" s="30" t="s">
        <v>31</v>
      </c>
      <c r="J1650" s="30" t="s">
        <v>142</v>
      </c>
      <c r="K1650" s="30" t="s">
        <v>116</v>
      </c>
      <c r="L1650" s="30" t="s">
        <v>122</v>
      </c>
      <c r="M1650" s="48" t="s">
        <v>314</v>
      </c>
      <c r="N1650" s="30"/>
      <c r="O1650" s="30"/>
      <c r="P1650" s="30"/>
    </row>
    <row r="1651" spans="1:16" ht="30" customHeight="1">
      <c r="A1651" s="30" t="s">
        <v>3442</v>
      </c>
      <c r="B1651" s="47" t="s">
        <v>1297</v>
      </c>
      <c r="C1651" s="48" t="s">
        <v>3719</v>
      </c>
      <c r="D1651" s="30"/>
      <c r="E1651" s="30"/>
      <c r="F1651" s="30"/>
      <c r="G1651" s="30"/>
      <c r="H1651" s="30" t="s">
        <v>149</v>
      </c>
      <c r="I1651" s="30" t="s">
        <v>30</v>
      </c>
      <c r="J1651" s="30" t="s">
        <v>144</v>
      </c>
      <c r="K1651" s="30" t="s">
        <v>117</v>
      </c>
      <c r="L1651" s="30" t="s">
        <v>122</v>
      </c>
      <c r="M1651" s="48"/>
      <c r="N1651" s="30"/>
      <c r="O1651" s="30"/>
      <c r="P1651" s="30"/>
    </row>
    <row r="1652" spans="1:16" ht="30" customHeight="1">
      <c r="A1652" s="30" t="s">
        <v>3443</v>
      </c>
      <c r="B1652" s="47" t="s">
        <v>148</v>
      </c>
      <c r="C1652" s="48" t="s">
        <v>3721</v>
      </c>
      <c r="D1652" s="30"/>
      <c r="E1652" s="30"/>
      <c r="F1652" s="30"/>
      <c r="G1652" s="30" t="s">
        <v>4037</v>
      </c>
      <c r="H1652" s="30" t="s">
        <v>149</v>
      </c>
      <c r="I1652" s="30" t="s">
        <v>30</v>
      </c>
      <c r="J1652" s="30" t="s">
        <v>142</v>
      </c>
      <c r="K1652" s="30" t="s">
        <v>116</v>
      </c>
      <c r="L1652" s="30" t="s">
        <v>146</v>
      </c>
      <c r="M1652" s="48"/>
      <c r="N1652" s="30"/>
      <c r="O1652" s="30"/>
      <c r="P1652" s="30"/>
    </row>
    <row r="1653" spans="1:16" ht="30" customHeight="1">
      <c r="A1653" s="30" t="s">
        <v>3444</v>
      </c>
      <c r="B1653" s="47" t="s">
        <v>148</v>
      </c>
      <c r="C1653" s="48" t="s">
        <v>3722</v>
      </c>
      <c r="D1653" s="30"/>
      <c r="E1653" s="30"/>
      <c r="F1653" s="30"/>
      <c r="G1653" s="30"/>
      <c r="H1653" s="30" t="s">
        <v>149</v>
      </c>
      <c r="I1653" s="30" t="s">
        <v>31</v>
      </c>
      <c r="J1653" s="30" t="s">
        <v>142</v>
      </c>
      <c r="K1653" s="30" t="s">
        <v>116</v>
      </c>
      <c r="L1653" s="30" t="s">
        <v>122</v>
      </c>
      <c r="M1653" s="48" t="s">
        <v>314</v>
      </c>
      <c r="N1653" s="30"/>
      <c r="O1653" s="30"/>
      <c r="P1653" s="30"/>
    </row>
    <row r="1654" spans="1:16" ht="30" customHeight="1">
      <c r="A1654" s="30" t="s">
        <v>3445</v>
      </c>
      <c r="B1654" s="47" t="s">
        <v>148</v>
      </c>
      <c r="C1654" s="48" t="s">
        <v>3724</v>
      </c>
      <c r="D1654" s="30"/>
      <c r="E1654" s="30"/>
      <c r="F1654" s="30"/>
      <c r="G1654" s="30"/>
      <c r="H1654" s="30" t="s">
        <v>149</v>
      </c>
      <c r="I1654" s="30" t="s">
        <v>31</v>
      </c>
      <c r="J1654" s="30" t="s">
        <v>142</v>
      </c>
      <c r="K1654" s="30" t="s">
        <v>116</v>
      </c>
      <c r="L1654" s="30" t="s">
        <v>122</v>
      </c>
      <c r="M1654" s="48" t="s">
        <v>314</v>
      </c>
      <c r="N1654" s="30"/>
      <c r="O1654" s="30"/>
      <c r="P1654" s="30"/>
    </row>
    <row r="1655" spans="1:16" ht="30" customHeight="1">
      <c r="A1655" s="30" t="s">
        <v>3446</v>
      </c>
      <c r="B1655" s="47" t="s">
        <v>148</v>
      </c>
      <c r="C1655" s="48" t="s">
        <v>3725</v>
      </c>
      <c r="D1655" s="30"/>
      <c r="E1655" s="30"/>
      <c r="F1655" s="30"/>
      <c r="G1655" s="30" t="s">
        <v>4037</v>
      </c>
      <c r="H1655" s="30" t="s">
        <v>149</v>
      </c>
      <c r="I1655" s="30" t="s">
        <v>30</v>
      </c>
      <c r="J1655" s="30" t="s">
        <v>142</v>
      </c>
      <c r="K1655" s="30" t="s">
        <v>116</v>
      </c>
      <c r="L1655" s="30" t="s">
        <v>146</v>
      </c>
      <c r="M1655" s="48"/>
      <c r="N1655" s="30"/>
      <c r="O1655" s="30"/>
      <c r="P1655" s="30"/>
    </row>
    <row r="1656" spans="1:16" ht="135" customHeight="1">
      <c r="A1656" s="30" t="s">
        <v>3447</v>
      </c>
      <c r="B1656" s="47" t="s">
        <v>148</v>
      </c>
      <c r="C1656" s="48" t="s">
        <v>3728</v>
      </c>
      <c r="D1656" s="30"/>
      <c r="E1656" s="30"/>
      <c r="F1656" s="30"/>
      <c r="G1656" s="30"/>
      <c r="H1656" s="30" t="s">
        <v>149</v>
      </c>
      <c r="I1656" s="30" t="s">
        <v>30</v>
      </c>
      <c r="J1656" s="30" t="s">
        <v>142</v>
      </c>
      <c r="K1656" s="30" t="s">
        <v>116</v>
      </c>
      <c r="L1656" s="30" t="s">
        <v>121</v>
      </c>
      <c r="M1656" s="48" t="s">
        <v>4068</v>
      </c>
      <c r="N1656" s="30"/>
      <c r="O1656" s="30"/>
      <c r="P1656" s="30"/>
    </row>
    <row r="1657" spans="1:16" ht="135" customHeight="1">
      <c r="A1657" s="30" t="s">
        <v>3448</v>
      </c>
      <c r="B1657" s="47" t="s">
        <v>148</v>
      </c>
      <c r="C1657" s="48" t="s">
        <v>3728</v>
      </c>
      <c r="D1657" s="30"/>
      <c r="E1657" s="30"/>
      <c r="F1657" s="30"/>
      <c r="G1657" s="30"/>
      <c r="H1657" s="30" t="s">
        <v>149</v>
      </c>
      <c r="I1657" s="30" t="s">
        <v>30</v>
      </c>
      <c r="J1657" s="30" t="s">
        <v>144</v>
      </c>
      <c r="K1657" s="30" t="s">
        <v>117</v>
      </c>
      <c r="L1657" s="30" t="s">
        <v>3664</v>
      </c>
      <c r="M1657" s="51" t="s">
        <v>4069</v>
      </c>
      <c r="N1657" s="30"/>
      <c r="O1657" s="30"/>
      <c r="P1657" s="30"/>
    </row>
    <row r="1658" spans="1:16" ht="45" customHeight="1">
      <c r="A1658" s="30" t="s">
        <v>3449</v>
      </c>
      <c r="B1658" s="47" t="s">
        <v>148</v>
      </c>
      <c r="C1658" s="48" t="s">
        <v>3729</v>
      </c>
      <c r="D1658" s="30"/>
      <c r="E1658" s="30"/>
      <c r="F1658" s="30"/>
      <c r="G1658" s="30"/>
      <c r="H1658" s="30" t="s">
        <v>149</v>
      </c>
      <c r="I1658" s="30" t="s">
        <v>30</v>
      </c>
      <c r="J1658" s="30" t="s">
        <v>142</v>
      </c>
      <c r="K1658" s="30" t="s">
        <v>116</v>
      </c>
      <c r="L1658" s="30" t="s">
        <v>121</v>
      </c>
      <c r="M1658" s="48" t="s">
        <v>237</v>
      </c>
      <c r="N1658" s="30"/>
      <c r="O1658" s="30"/>
      <c r="P1658" s="30"/>
    </row>
    <row r="1659" spans="1:16" ht="75" customHeight="1">
      <c r="A1659" s="30" t="s">
        <v>3450</v>
      </c>
      <c r="B1659" s="50" t="s">
        <v>148</v>
      </c>
      <c r="C1659" s="52" t="s">
        <v>3730</v>
      </c>
      <c r="D1659" s="30"/>
      <c r="E1659" s="30"/>
      <c r="F1659" s="30"/>
      <c r="G1659" s="30"/>
      <c r="H1659" s="30" t="s">
        <v>149</v>
      </c>
      <c r="I1659" s="30" t="s">
        <v>31</v>
      </c>
      <c r="J1659" s="30" t="s">
        <v>144</v>
      </c>
      <c r="K1659" s="30" t="s">
        <v>117</v>
      </c>
      <c r="L1659" s="30" t="s">
        <v>122</v>
      </c>
      <c r="M1659" s="48"/>
      <c r="N1659" s="30"/>
      <c r="O1659" s="30"/>
      <c r="P1659" s="30"/>
    </row>
    <row r="1660" spans="1:16" ht="90" customHeight="1">
      <c r="A1660" s="30" t="s">
        <v>3451</v>
      </c>
      <c r="B1660" s="50" t="s">
        <v>148</v>
      </c>
      <c r="C1660" s="52" t="s">
        <v>3731</v>
      </c>
      <c r="D1660" s="30"/>
      <c r="E1660" s="30"/>
      <c r="F1660" s="30"/>
      <c r="G1660" s="30"/>
      <c r="H1660" s="30" t="s">
        <v>149</v>
      </c>
      <c r="I1660" s="30" t="s">
        <v>30</v>
      </c>
      <c r="J1660" s="30" t="s">
        <v>142</v>
      </c>
      <c r="K1660" s="30" t="s">
        <v>116</v>
      </c>
      <c r="L1660" s="30" t="s">
        <v>121</v>
      </c>
      <c r="M1660" s="48" t="s">
        <v>3452</v>
      </c>
      <c r="N1660" s="30"/>
      <c r="O1660" s="30"/>
      <c r="P1660" s="30"/>
    </row>
    <row r="1661" spans="1:16" ht="45" customHeight="1">
      <c r="A1661" s="30" t="s">
        <v>3453</v>
      </c>
      <c r="B1661" s="47" t="s">
        <v>148</v>
      </c>
      <c r="C1661" s="48" t="s">
        <v>3734</v>
      </c>
      <c r="D1661" s="30"/>
      <c r="E1661" s="30"/>
      <c r="F1661" s="30"/>
      <c r="G1661" s="30"/>
      <c r="H1661" s="30" t="s">
        <v>149</v>
      </c>
      <c r="I1661" s="30" t="s">
        <v>31</v>
      </c>
      <c r="J1661" s="30" t="s">
        <v>142</v>
      </c>
      <c r="K1661" s="30" t="s">
        <v>116</v>
      </c>
      <c r="L1661" s="30" t="s">
        <v>122</v>
      </c>
      <c r="M1661" s="48" t="s">
        <v>314</v>
      </c>
      <c r="N1661" s="30"/>
      <c r="O1661" s="30"/>
      <c r="P1661" s="30"/>
    </row>
    <row r="1662" spans="1:16" ht="30" customHeight="1">
      <c r="A1662" s="30" t="s">
        <v>3454</v>
      </c>
      <c r="B1662" s="47" t="s">
        <v>148</v>
      </c>
      <c r="C1662" s="48" t="s">
        <v>3735</v>
      </c>
      <c r="D1662" s="30"/>
      <c r="E1662" s="30"/>
      <c r="F1662" s="30"/>
      <c r="G1662" s="30"/>
      <c r="H1662" s="30" t="s">
        <v>149</v>
      </c>
      <c r="I1662" s="30" t="s">
        <v>30</v>
      </c>
      <c r="J1662" s="30" t="s">
        <v>144</v>
      </c>
      <c r="K1662" s="30" t="s">
        <v>117</v>
      </c>
      <c r="L1662" s="30" t="s">
        <v>122</v>
      </c>
      <c r="M1662" s="48"/>
      <c r="N1662" s="30"/>
      <c r="O1662" s="30"/>
      <c r="P1662" s="30"/>
    </row>
    <row r="1663" spans="1:16" ht="45" customHeight="1">
      <c r="A1663" s="30" t="s">
        <v>3455</v>
      </c>
      <c r="B1663" s="47" t="s">
        <v>148</v>
      </c>
      <c r="C1663" s="48" t="s">
        <v>3736</v>
      </c>
      <c r="D1663" s="30"/>
      <c r="E1663" s="30"/>
      <c r="F1663" s="30"/>
      <c r="G1663" s="30"/>
      <c r="H1663" s="30" t="s">
        <v>149</v>
      </c>
      <c r="I1663" s="30" t="s">
        <v>31</v>
      </c>
      <c r="J1663" s="30" t="s">
        <v>142</v>
      </c>
      <c r="K1663" s="30" t="s">
        <v>116</v>
      </c>
      <c r="L1663" s="30" t="s">
        <v>122</v>
      </c>
      <c r="M1663" s="48" t="s">
        <v>314</v>
      </c>
      <c r="N1663" s="30"/>
      <c r="O1663" s="30"/>
      <c r="P1663" s="30"/>
    </row>
    <row r="1664" spans="1:16" ht="45" customHeight="1">
      <c r="A1664" s="30" t="s">
        <v>3457</v>
      </c>
      <c r="B1664" s="47" t="s">
        <v>148</v>
      </c>
      <c r="C1664" s="48" t="s">
        <v>3737</v>
      </c>
      <c r="D1664" s="30"/>
      <c r="E1664" s="30"/>
      <c r="F1664" s="30"/>
      <c r="G1664" s="30"/>
      <c r="H1664" s="30" t="s">
        <v>149</v>
      </c>
      <c r="I1664" s="30" t="s">
        <v>31</v>
      </c>
      <c r="J1664" s="30" t="s">
        <v>142</v>
      </c>
      <c r="K1664" s="30" t="s">
        <v>116</v>
      </c>
      <c r="L1664" s="30" t="s">
        <v>122</v>
      </c>
      <c r="M1664" s="48" t="s">
        <v>314</v>
      </c>
      <c r="N1664" s="30"/>
      <c r="O1664" s="30"/>
      <c r="P1664" s="30"/>
    </row>
    <row r="1665" spans="1:16" ht="30" customHeight="1">
      <c r="A1665" s="30" t="s">
        <v>3458</v>
      </c>
      <c r="B1665" s="47" t="s">
        <v>148</v>
      </c>
      <c r="C1665" s="48" t="s">
        <v>3738</v>
      </c>
      <c r="D1665" s="30"/>
      <c r="E1665" s="30"/>
      <c r="F1665" s="30"/>
      <c r="G1665" s="30"/>
      <c r="H1665" s="30" t="s">
        <v>149</v>
      </c>
      <c r="I1665" s="30" t="s">
        <v>30</v>
      </c>
      <c r="J1665" s="30" t="s">
        <v>144</v>
      </c>
      <c r="K1665" s="30" t="s">
        <v>117</v>
      </c>
      <c r="L1665" s="30" t="s">
        <v>122</v>
      </c>
      <c r="M1665" s="48"/>
      <c r="N1665" s="30"/>
      <c r="O1665" s="30"/>
      <c r="P1665" s="30"/>
    </row>
    <row r="1666" spans="1:16" ht="45" customHeight="1">
      <c r="A1666" s="30" t="s">
        <v>3459</v>
      </c>
      <c r="B1666" s="47" t="s">
        <v>148</v>
      </c>
      <c r="C1666" s="48" t="s">
        <v>3456</v>
      </c>
      <c r="D1666" s="30"/>
      <c r="E1666" s="30"/>
      <c r="F1666" s="30"/>
      <c r="G1666" s="30"/>
      <c r="H1666" s="30" t="s">
        <v>149</v>
      </c>
      <c r="I1666" s="30" t="s">
        <v>31</v>
      </c>
      <c r="J1666" s="30" t="s">
        <v>142</v>
      </c>
      <c r="K1666" s="30" t="s">
        <v>116</v>
      </c>
      <c r="L1666" s="30" t="s">
        <v>122</v>
      </c>
      <c r="M1666" s="48" t="s">
        <v>314</v>
      </c>
      <c r="N1666" s="30"/>
      <c r="O1666" s="30"/>
      <c r="P1666" s="30"/>
    </row>
    <row r="1667" spans="1:16" ht="45" customHeight="1">
      <c r="A1667" s="30" t="s">
        <v>3460</v>
      </c>
      <c r="B1667" s="47" t="s">
        <v>148</v>
      </c>
      <c r="C1667" s="48" t="s">
        <v>3741</v>
      </c>
      <c r="D1667" s="30"/>
      <c r="E1667" s="30"/>
      <c r="F1667" s="30"/>
      <c r="G1667" s="30"/>
      <c r="H1667" s="30" t="s">
        <v>149</v>
      </c>
      <c r="I1667" s="30" t="s">
        <v>30</v>
      </c>
      <c r="J1667" s="30" t="s">
        <v>144</v>
      </c>
      <c r="K1667" s="30" t="s">
        <v>117</v>
      </c>
      <c r="L1667" s="30" t="s">
        <v>122</v>
      </c>
      <c r="M1667" s="48"/>
      <c r="N1667" s="30"/>
      <c r="O1667" s="30"/>
      <c r="P1667" s="30"/>
    </row>
    <row r="1668" spans="1:16" ht="30" customHeight="1">
      <c r="A1668" s="30" t="s">
        <v>3461</v>
      </c>
      <c r="B1668" s="47" t="s">
        <v>148</v>
      </c>
      <c r="C1668" s="48" t="s">
        <v>3742</v>
      </c>
      <c r="D1668" s="30"/>
      <c r="E1668" s="30"/>
      <c r="F1668" s="30"/>
      <c r="G1668" s="30"/>
      <c r="H1668" s="30" t="s">
        <v>149</v>
      </c>
      <c r="I1668" s="30" t="s">
        <v>30</v>
      </c>
      <c r="J1668" s="30" t="s">
        <v>144</v>
      </c>
      <c r="K1668" s="30" t="s">
        <v>117</v>
      </c>
      <c r="L1668" s="30" t="s">
        <v>122</v>
      </c>
      <c r="M1668" s="48"/>
      <c r="N1668" s="30"/>
      <c r="O1668" s="30"/>
      <c r="P1668" s="30"/>
    </row>
    <row r="1669" spans="1:16" ht="45" customHeight="1">
      <c r="A1669" s="30" t="s">
        <v>3462</v>
      </c>
      <c r="B1669" s="47" t="s">
        <v>148</v>
      </c>
      <c r="C1669" s="48" t="s">
        <v>3743</v>
      </c>
      <c r="D1669" s="30"/>
      <c r="E1669" s="30"/>
      <c r="F1669" s="30"/>
      <c r="G1669" s="30"/>
      <c r="H1669" s="30" t="s">
        <v>149</v>
      </c>
      <c r="I1669" s="30" t="s">
        <v>30</v>
      </c>
      <c r="J1669" s="30" t="s">
        <v>144</v>
      </c>
      <c r="K1669" s="30" t="s">
        <v>117</v>
      </c>
      <c r="L1669" s="30" t="s">
        <v>122</v>
      </c>
      <c r="M1669" s="48"/>
      <c r="N1669" s="30"/>
      <c r="O1669" s="30"/>
      <c r="P1669" s="30"/>
    </row>
    <row r="1670" spans="1:16" ht="30" customHeight="1">
      <c r="A1670" s="30" t="s">
        <v>3463</v>
      </c>
      <c r="B1670" s="47" t="s">
        <v>148</v>
      </c>
      <c r="C1670" s="48" t="s">
        <v>3744</v>
      </c>
      <c r="D1670" s="30"/>
      <c r="E1670" s="30"/>
      <c r="F1670" s="30"/>
      <c r="G1670" s="30"/>
      <c r="H1670" s="30" t="s">
        <v>149</v>
      </c>
      <c r="I1670" s="30" t="s">
        <v>30</v>
      </c>
      <c r="J1670" s="30" t="s">
        <v>144</v>
      </c>
      <c r="K1670" s="30" t="s">
        <v>117</v>
      </c>
      <c r="L1670" s="30" t="s">
        <v>122</v>
      </c>
      <c r="M1670" s="48"/>
      <c r="N1670" s="30"/>
      <c r="O1670" s="30"/>
      <c r="P1670" s="30"/>
    </row>
    <row r="1671" spans="1:16" ht="45" customHeight="1">
      <c r="A1671" s="30" t="s">
        <v>3464</v>
      </c>
      <c r="B1671" s="47" t="s">
        <v>148</v>
      </c>
      <c r="C1671" s="48" t="s">
        <v>3747</v>
      </c>
      <c r="D1671" s="30"/>
      <c r="E1671" s="30"/>
      <c r="F1671" s="30"/>
      <c r="G1671" s="30"/>
      <c r="H1671" s="30" t="s">
        <v>149</v>
      </c>
      <c r="I1671" s="30" t="s">
        <v>31</v>
      </c>
      <c r="J1671" s="30" t="s">
        <v>144</v>
      </c>
      <c r="K1671" s="30" t="s">
        <v>117</v>
      </c>
      <c r="L1671" s="30" t="s">
        <v>122</v>
      </c>
      <c r="M1671" s="48"/>
      <c r="N1671" s="30"/>
      <c r="O1671" s="30"/>
      <c r="P1671" s="30"/>
    </row>
    <row r="1672" spans="1:16" ht="30" customHeight="1">
      <c r="A1672" s="30" t="s">
        <v>3465</v>
      </c>
      <c r="B1672" s="47" t="s">
        <v>148</v>
      </c>
      <c r="C1672" s="48" t="s">
        <v>3748</v>
      </c>
      <c r="D1672" s="30"/>
      <c r="E1672" s="30"/>
      <c r="F1672" s="30"/>
      <c r="G1672" s="30"/>
      <c r="H1672" s="30" t="s">
        <v>149</v>
      </c>
      <c r="I1672" s="30" t="s">
        <v>31</v>
      </c>
      <c r="J1672" s="30" t="s">
        <v>144</v>
      </c>
      <c r="K1672" s="30" t="s">
        <v>117</v>
      </c>
      <c r="L1672" s="30" t="s">
        <v>122</v>
      </c>
      <c r="M1672" s="48"/>
      <c r="N1672" s="30"/>
      <c r="O1672" s="30"/>
      <c r="P1672" s="30"/>
    </row>
    <row r="1673" spans="1:16" ht="45" customHeight="1">
      <c r="A1673" s="30" t="s">
        <v>3466</v>
      </c>
      <c r="B1673" s="47" t="s">
        <v>148</v>
      </c>
      <c r="C1673" s="48" t="s">
        <v>3749</v>
      </c>
      <c r="D1673" s="30"/>
      <c r="E1673" s="30"/>
      <c r="F1673" s="30"/>
      <c r="G1673" s="30"/>
      <c r="H1673" s="30" t="s">
        <v>149</v>
      </c>
      <c r="I1673" s="30" t="s">
        <v>31</v>
      </c>
      <c r="J1673" s="30" t="s">
        <v>144</v>
      </c>
      <c r="K1673" s="30" t="s">
        <v>117</v>
      </c>
      <c r="L1673" s="30" t="s">
        <v>122</v>
      </c>
      <c r="M1673" s="48"/>
      <c r="N1673" s="30"/>
      <c r="O1673" s="30"/>
      <c r="P1673" s="30"/>
    </row>
    <row r="1674" spans="1:16" ht="75" customHeight="1">
      <c r="A1674" s="30" t="s">
        <v>3467</v>
      </c>
      <c r="B1674" s="47" t="s">
        <v>148</v>
      </c>
      <c r="C1674" s="48" t="s">
        <v>3750</v>
      </c>
      <c r="D1674" s="30"/>
      <c r="E1674" s="30"/>
      <c r="F1674" s="30"/>
      <c r="G1674" s="30"/>
      <c r="H1674" s="30" t="s">
        <v>149</v>
      </c>
      <c r="I1674" s="30" t="s">
        <v>31</v>
      </c>
      <c r="J1674" s="30" t="s">
        <v>144</v>
      </c>
      <c r="K1674" s="30" t="s">
        <v>117</v>
      </c>
      <c r="L1674" s="30" t="s">
        <v>122</v>
      </c>
      <c r="M1674" s="48"/>
      <c r="N1674" s="30"/>
      <c r="O1674" s="30"/>
      <c r="P1674" s="30"/>
    </row>
    <row r="1675" spans="1:16" s="31" customFormat="1" ht="90" customHeight="1">
      <c r="A1675" s="30" t="s">
        <v>3468</v>
      </c>
      <c r="B1675" s="47" t="s">
        <v>148</v>
      </c>
      <c r="C1675" s="48" t="s">
        <v>3751</v>
      </c>
      <c r="D1675" s="30"/>
      <c r="E1675" s="30"/>
      <c r="F1675" s="30"/>
      <c r="G1675" s="30"/>
      <c r="H1675" s="30" t="s">
        <v>149</v>
      </c>
      <c r="I1675" s="30" t="s">
        <v>30</v>
      </c>
      <c r="J1675" s="30" t="s">
        <v>142</v>
      </c>
      <c r="K1675" s="30" t="s">
        <v>116</v>
      </c>
      <c r="L1675" s="30" t="s">
        <v>122</v>
      </c>
      <c r="M1675" s="48" t="s">
        <v>4227</v>
      </c>
      <c r="N1675" s="66"/>
      <c r="O1675" s="30"/>
      <c r="P1675" s="30"/>
    </row>
    <row r="1676" spans="1:16" ht="75" customHeight="1">
      <c r="A1676" s="30" t="s">
        <v>3469</v>
      </c>
      <c r="B1676" s="47" t="s">
        <v>148</v>
      </c>
      <c r="C1676" s="48" t="s">
        <v>3752</v>
      </c>
      <c r="D1676" s="30"/>
      <c r="E1676" s="30"/>
      <c r="F1676" s="30"/>
      <c r="G1676" s="30" t="s">
        <v>4037</v>
      </c>
      <c r="H1676" s="30" t="s">
        <v>149</v>
      </c>
      <c r="I1676" s="30" t="s">
        <v>30</v>
      </c>
      <c r="J1676" s="30" t="s">
        <v>142</v>
      </c>
      <c r="K1676" s="30" t="s">
        <v>116</v>
      </c>
      <c r="L1676" s="30" t="s">
        <v>146</v>
      </c>
      <c r="M1676" s="48"/>
      <c r="N1676" s="30"/>
      <c r="O1676" s="30"/>
      <c r="P1676" s="30"/>
    </row>
    <row r="1677" spans="1:16" s="31" customFormat="1" ht="90" customHeight="1">
      <c r="A1677" s="30" t="s">
        <v>3470</v>
      </c>
      <c r="B1677" s="47" t="s">
        <v>148</v>
      </c>
      <c r="C1677" s="48" t="s">
        <v>4159</v>
      </c>
      <c r="D1677" s="30"/>
      <c r="E1677" s="30"/>
      <c r="F1677" s="30"/>
      <c r="G1677" s="30"/>
      <c r="H1677" s="30" t="s">
        <v>149</v>
      </c>
      <c r="I1677" s="30" t="s">
        <v>30</v>
      </c>
      <c r="J1677" s="30" t="s">
        <v>142</v>
      </c>
      <c r="K1677" s="30" t="s">
        <v>116</v>
      </c>
      <c r="L1677" s="30" t="s">
        <v>122</v>
      </c>
      <c r="M1677" s="48" t="s">
        <v>4228</v>
      </c>
      <c r="N1677" s="66"/>
      <c r="O1677" s="30"/>
      <c r="P1677" s="30"/>
    </row>
    <row r="1678" spans="1:16" ht="45" customHeight="1">
      <c r="A1678" s="30" t="s">
        <v>3471</v>
      </c>
      <c r="B1678" s="47" t="s">
        <v>1297</v>
      </c>
      <c r="C1678" s="48" t="s">
        <v>3753</v>
      </c>
      <c r="D1678" s="30"/>
      <c r="E1678" s="30"/>
      <c r="F1678" s="30"/>
      <c r="G1678" s="30" t="s">
        <v>4037</v>
      </c>
      <c r="H1678" s="30" t="s">
        <v>149</v>
      </c>
      <c r="I1678" s="30" t="s">
        <v>22</v>
      </c>
      <c r="J1678" s="30" t="s">
        <v>142</v>
      </c>
      <c r="K1678" s="30" t="s">
        <v>116</v>
      </c>
      <c r="L1678" s="30" t="s">
        <v>146</v>
      </c>
      <c r="M1678" s="48"/>
      <c r="N1678" s="30"/>
      <c r="O1678" s="30"/>
      <c r="P1678" s="30"/>
    </row>
    <row r="1679" spans="1:16" s="31" customFormat="1" ht="60" customHeight="1">
      <c r="A1679" s="30" t="s">
        <v>3472</v>
      </c>
      <c r="B1679" s="47" t="s">
        <v>1297</v>
      </c>
      <c r="C1679" s="48" t="s">
        <v>3755</v>
      </c>
      <c r="D1679" s="30"/>
      <c r="E1679" s="30"/>
      <c r="F1679" s="30"/>
      <c r="G1679" s="30" t="s">
        <v>4037</v>
      </c>
      <c r="H1679" s="30" t="s">
        <v>149</v>
      </c>
      <c r="I1679" s="30" t="s">
        <v>30</v>
      </c>
      <c r="J1679" s="30" t="s">
        <v>142</v>
      </c>
      <c r="K1679" s="30" t="s">
        <v>116</v>
      </c>
      <c r="L1679" s="30" t="s">
        <v>146</v>
      </c>
      <c r="M1679" s="48"/>
      <c r="N1679" s="30"/>
      <c r="O1679" s="30"/>
      <c r="P1679" s="30"/>
    </row>
    <row r="1680" spans="1:16" s="31" customFormat="1" ht="45" customHeight="1">
      <c r="A1680" s="30" t="s">
        <v>3473</v>
      </c>
      <c r="B1680" s="47" t="s">
        <v>1297</v>
      </c>
      <c r="C1680" s="48" t="s">
        <v>4143</v>
      </c>
      <c r="D1680" s="30"/>
      <c r="E1680" s="30"/>
      <c r="F1680" s="30"/>
      <c r="G1680" s="30"/>
      <c r="H1680" s="30" t="s">
        <v>149</v>
      </c>
      <c r="I1680" s="30" t="s">
        <v>30</v>
      </c>
      <c r="J1680" s="30" t="s">
        <v>142</v>
      </c>
      <c r="K1680" s="30" t="s">
        <v>116</v>
      </c>
      <c r="L1680" s="30" t="s">
        <v>121</v>
      </c>
      <c r="M1680" s="48" t="s">
        <v>237</v>
      </c>
      <c r="N1680" s="66"/>
      <c r="O1680" s="30"/>
      <c r="P1680" s="30"/>
    </row>
    <row r="1681" spans="1:16" s="31" customFormat="1" ht="60" customHeight="1">
      <c r="A1681" s="30" t="s">
        <v>3474</v>
      </c>
      <c r="B1681" s="47" t="s">
        <v>1297</v>
      </c>
      <c r="C1681" s="48" t="s">
        <v>4144</v>
      </c>
      <c r="D1681" s="30"/>
      <c r="E1681" s="30"/>
      <c r="F1681" s="30"/>
      <c r="G1681" s="30" t="s">
        <v>138</v>
      </c>
      <c r="H1681" s="30" t="s">
        <v>149</v>
      </c>
      <c r="I1681" s="30" t="s">
        <v>30</v>
      </c>
      <c r="J1681" s="30" t="s">
        <v>142</v>
      </c>
      <c r="K1681" s="30" t="s">
        <v>116</v>
      </c>
      <c r="L1681" s="30" t="s">
        <v>143</v>
      </c>
      <c r="M1681" s="48"/>
      <c r="N1681" s="66"/>
      <c r="O1681" s="30"/>
      <c r="P1681" s="30"/>
    </row>
    <row r="1682" spans="1:16" s="31" customFormat="1" ht="75" customHeight="1">
      <c r="A1682" s="30" t="s">
        <v>3475</v>
      </c>
      <c r="B1682" s="47" t="s">
        <v>1297</v>
      </c>
      <c r="C1682" s="48" t="s">
        <v>3756</v>
      </c>
      <c r="D1682" s="30"/>
      <c r="E1682" s="30"/>
      <c r="F1682" s="30"/>
      <c r="G1682" s="30"/>
      <c r="H1682" s="30" t="s">
        <v>149</v>
      </c>
      <c r="I1682" s="30" t="s">
        <v>30</v>
      </c>
      <c r="J1682" s="30" t="s">
        <v>142</v>
      </c>
      <c r="K1682" s="30" t="s">
        <v>116</v>
      </c>
      <c r="L1682" s="30" t="s">
        <v>122</v>
      </c>
      <c r="M1682" s="57" t="s">
        <v>4233</v>
      </c>
      <c r="N1682" s="30"/>
      <c r="O1682" s="30"/>
      <c r="P1682" s="30"/>
    </row>
    <row r="1683" spans="1:16" s="31" customFormat="1" ht="45" customHeight="1">
      <c r="A1683" s="30" t="s">
        <v>4145</v>
      </c>
      <c r="B1683" s="47" t="s">
        <v>148</v>
      </c>
      <c r="C1683" s="48" t="s">
        <v>4146</v>
      </c>
      <c r="D1683" s="30"/>
      <c r="E1683" s="30"/>
      <c r="F1683" s="30"/>
      <c r="G1683" s="30"/>
      <c r="H1683" s="30" t="s">
        <v>149</v>
      </c>
      <c r="I1683" s="30" t="s">
        <v>30</v>
      </c>
      <c r="J1683" s="30" t="s">
        <v>142</v>
      </c>
      <c r="K1683" s="30" t="s">
        <v>116</v>
      </c>
      <c r="L1683" s="30" t="s">
        <v>121</v>
      </c>
      <c r="M1683" s="48" t="s">
        <v>237</v>
      </c>
      <c r="N1683" s="66"/>
      <c r="O1683" s="30"/>
      <c r="P1683" s="30"/>
    </row>
    <row r="1684" spans="1:16" s="31" customFormat="1" ht="60" customHeight="1">
      <c r="A1684" s="30" t="s">
        <v>4147</v>
      </c>
      <c r="B1684" s="47" t="s">
        <v>148</v>
      </c>
      <c r="C1684" s="48" t="s">
        <v>4148</v>
      </c>
      <c r="D1684" s="30"/>
      <c r="E1684" s="30"/>
      <c r="F1684" s="30"/>
      <c r="G1684" s="30"/>
      <c r="H1684" s="30" t="s">
        <v>149</v>
      </c>
      <c r="I1684" s="30" t="s">
        <v>30</v>
      </c>
      <c r="J1684" s="30" t="s">
        <v>142</v>
      </c>
      <c r="K1684" s="30" t="s">
        <v>116</v>
      </c>
      <c r="L1684" s="30" t="s">
        <v>122</v>
      </c>
      <c r="M1684" s="48" t="s">
        <v>4233</v>
      </c>
      <c r="N1684" s="66"/>
      <c r="O1684" s="30"/>
      <c r="P1684" s="30"/>
    </row>
    <row r="1685" spans="1:16" s="31" customFormat="1" ht="90" customHeight="1">
      <c r="A1685" s="30" t="s">
        <v>3476</v>
      </c>
      <c r="B1685" s="47" t="s">
        <v>1297</v>
      </c>
      <c r="C1685" s="48" t="s">
        <v>4149</v>
      </c>
      <c r="D1685" s="30"/>
      <c r="E1685" s="30"/>
      <c r="F1685" s="30"/>
      <c r="G1685" s="30" t="s">
        <v>4150</v>
      </c>
      <c r="H1685" s="30" t="s">
        <v>149</v>
      </c>
      <c r="I1685" s="30" t="s">
        <v>30</v>
      </c>
      <c r="J1685" s="30" t="s">
        <v>142</v>
      </c>
      <c r="K1685" s="30" t="s">
        <v>116</v>
      </c>
      <c r="L1685" s="30" t="s">
        <v>146</v>
      </c>
      <c r="M1685" s="48"/>
      <c r="N1685" s="66"/>
      <c r="O1685" s="30"/>
      <c r="P1685" s="30"/>
    </row>
    <row r="1686" spans="1:16" ht="75" customHeight="1">
      <c r="A1686" s="30" t="s">
        <v>3477</v>
      </c>
      <c r="B1686" s="47" t="s">
        <v>1297</v>
      </c>
      <c r="C1686" s="48" t="s">
        <v>3758</v>
      </c>
      <c r="D1686" s="30"/>
      <c r="E1686" s="30"/>
      <c r="F1686" s="30"/>
      <c r="G1686" s="30" t="s">
        <v>4037</v>
      </c>
      <c r="H1686" s="30" t="s">
        <v>149</v>
      </c>
      <c r="I1686" s="30" t="s">
        <v>30</v>
      </c>
      <c r="J1686" s="30" t="s">
        <v>142</v>
      </c>
      <c r="K1686" s="30" t="s">
        <v>116</v>
      </c>
      <c r="L1686" s="30" t="s">
        <v>143</v>
      </c>
      <c r="M1686" s="48" t="s">
        <v>4126</v>
      </c>
      <c r="N1686" s="30"/>
      <c r="O1686" s="30"/>
      <c r="P1686" s="30"/>
    </row>
    <row r="1687" spans="1:16" ht="60" customHeight="1">
      <c r="A1687" s="30" t="s">
        <v>3478</v>
      </c>
      <c r="B1687" s="47" t="s">
        <v>1297</v>
      </c>
      <c r="C1687" s="48" t="s">
        <v>3761</v>
      </c>
      <c r="D1687" s="30"/>
      <c r="E1687" s="30"/>
      <c r="F1687" s="30"/>
      <c r="G1687" s="30" t="s">
        <v>4037</v>
      </c>
      <c r="H1687" s="30" t="s">
        <v>149</v>
      </c>
      <c r="I1687" s="30" t="s">
        <v>30</v>
      </c>
      <c r="J1687" s="30" t="s">
        <v>142</v>
      </c>
      <c r="K1687" s="30" t="s">
        <v>116</v>
      </c>
      <c r="L1687" s="30" t="s">
        <v>146</v>
      </c>
      <c r="M1687" s="48"/>
      <c r="N1687" s="30"/>
      <c r="O1687" s="30"/>
      <c r="P1687" s="30"/>
    </row>
    <row r="1688" spans="1:16" ht="45" customHeight="1">
      <c r="A1688" s="30" t="s">
        <v>3479</v>
      </c>
      <c r="B1688" s="47" t="s">
        <v>1297</v>
      </c>
      <c r="C1688" s="48" t="s">
        <v>3762</v>
      </c>
      <c r="D1688" s="30"/>
      <c r="E1688" s="30"/>
      <c r="F1688" s="30"/>
      <c r="G1688" s="30" t="s">
        <v>4037</v>
      </c>
      <c r="H1688" s="30" t="s">
        <v>149</v>
      </c>
      <c r="I1688" s="30" t="s">
        <v>30</v>
      </c>
      <c r="J1688" s="30" t="s">
        <v>142</v>
      </c>
      <c r="K1688" s="30" t="s">
        <v>116</v>
      </c>
      <c r="L1688" s="30" t="s">
        <v>146</v>
      </c>
      <c r="M1688" s="48"/>
      <c r="N1688" s="30"/>
      <c r="O1688" s="30"/>
      <c r="P1688" s="30"/>
    </row>
    <row r="1689" spans="1:16" s="31" customFormat="1" ht="30">
      <c r="A1689" s="30" t="s">
        <v>3765</v>
      </c>
      <c r="B1689" s="47" t="s">
        <v>148</v>
      </c>
      <c r="C1689" s="48" t="s">
        <v>3766</v>
      </c>
      <c r="D1689" s="30"/>
      <c r="E1689" s="30"/>
      <c r="F1689" s="30"/>
      <c r="G1689" s="30" t="s">
        <v>4037</v>
      </c>
      <c r="H1689" s="30" t="s">
        <v>149</v>
      </c>
      <c r="I1689" s="30" t="s">
        <v>30</v>
      </c>
      <c r="J1689" s="30" t="s">
        <v>142</v>
      </c>
      <c r="K1689" s="30" t="s">
        <v>116</v>
      </c>
      <c r="L1689" s="30" t="s">
        <v>143</v>
      </c>
      <c r="M1689" s="48"/>
      <c r="N1689" s="30"/>
      <c r="O1689" s="30"/>
      <c r="P1689" s="30"/>
    </row>
    <row r="1690" spans="1:16" ht="90" customHeight="1">
      <c r="A1690" s="30" t="s">
        <v>3767</v>
      </c>
      <c r="B1690" s="47" t="s">
        <v>148</v>
      </c>
      <c r="C1690" s="48" t="s">
        <v>3768</v>
      </c>
      <c r="D1690" s="30"/>
      <c r="E1690" s="30"/>
      <c r="F1690" s="30"/>
      <c r="G1690" s="30"/>
      <c r="H1690" s="30" t="s">
        <v>149</v>
      </c>
      <c r="I1690" s="30" t="s">
        <v>31</v>
      </c>
      <c r="J1690" s="30" t="s">
        <v>142</v>
      </c>
      <c r="K1690" s="30" t="s">
        <v>116</v>
      </c>
      <c r="L1690" s="30" t="s">
        <v>122</v>
      </c>
      <c r="M1690" s="48" t="s">
        <v>314</v>
      </c>
      <c r="N1690" s="30"/>
      <c r="O1690" s="30"/>
      <c r="P1690" s="30"/>
    </row>
    <row r="1691" spans="1:16" s="31" customFormat="1" ht="30">
      <c r="A1691" s="30" t="s">
        <v>3480</v>
      </c>
      <c r="B1691" s="47" t="s">
        <v>1297</v>
      </c>
      <c r="C1691" s="48" t="s">
        <v>3770</v>
      </c>
      <c r="D1691" s="30"/>
      <c r="E1691" s="30"/>
      <c r="F1691" s="30"/>
      <c r="G1691" s="30" t="s">
        <v>4037</v>
      </c>
      <c r="H1691" s="30" t="s">
        <v>149</v>
      </c>
      <c r="I1691" s="30" t="s">
        <v>30</v>
      </c>
      <c r="J1691" s="30" t="s">
        <v>142</v>
      </c>
      <c r="K1691" s="30" t="s">
        <v>116</v>
      </c>
      <c r="L1691" s="30" t="s">
        <v>143</v>
      </c>
      <c r="M1691" s="48"/>
      <c r="N1691" s="30"/>
      <c r="O1691" s="30"/>
      <c r="P1691" s="30"/>
    </row>
    <row r="1692" spans="1:16" ht="45" customHeight="1">
      <c r="A1692" s="30" t="s">
        <v>3481</v>
      </c>
      <c r="B1692" s="47" t="s">
        <v>1297</v>
      </c>
      <c r="C1692" s="48" t="s">
        <v>3482</v>
      </c>
      <c r="D1692" s="30"/>
      <c r="E1692" s="30"/>
      <c r="F1692" s="30"/>
      <c r="G1692" s="30"/>
      <c r="H1692" s="30" t="s">
        <v>149</v>
      </c>
      <c r="I1692" s="30" t="s">
        <v>31</v>
      </c>
      <c r="J1692" s="30" t="s">
        <v>144</v>
      </c>
      <c r="K1692" s="30" t="s">
        <v>117</v>
      </c>
      <c r="L1692" s="30" t="s">
        <v>3664</v>
      </c>
      <c r="M1692" s="51" t="s">
        <v>3665</v>
      </c>
      <c r="N1692" s="30"/>
      <c r="O1692" s="30"/>
      <c r="P1692" s="30"/>
    </row>
    <row r="1693" spans="1:16" ht="45" customHeight="1">
      <c r="A1693" s="30" t="s">
        <v>3483</v>
      </c>
      <c r="B1693" s="47" t="s">
        <v>1297</v>
      </c>
      <c r="C1693" s="48" t="s">
        <v>3484</v>
      </c>
      <c r="D1693" s="30"/>
      <c r="E1693" s="30"/>
      <c r="F1693" s="30"/>
      <c r="G1693" s="30"/>
      <c r="H1693" s="30" t="s">
        <v>149</v>
      </c>
      <c r="I1693" s="30" t="s">
        <v>30</v>
      </c>
      <c r="J1693" s="30" t="s">
        <v>144</v>
      </c>
      <c r="K1693" s="30" t="s">
        <v>117</v>
      </c>
      <c r="L1693" s="30" t="s">
        <v>3664</v>
      </c>
      <c r="M1693" s="51" t="s">
        <v>3665</v>
      </c>
      <c r="N1693" s="30"/>
      <c r="O1693" s="30"/>
      <c r="P1693" s="30"/>
    </row>
    <row r="1694" spans="1:16" ht="30" customHeight="1">
      <c r="A1694" s="30" t="s">
        <v>3485</v>
      </c>
      <c r="B1694" s="47" t="s">
        <v>1297</v>
      </c>
      <c r="C1694" s="48" t="s">
        <v>3771</v>
      </c>
      <c r="D1694" s="30"/>
      <c r="E1694" s="30"/>
      <c r="F1694" s="30"/>
      <c r="G1694" s="30"/>
      <c r="H1694" s="30" t="s">
        <v>149</v>
      </c>
      <c r="I1694" s="30" t="s">
        <v>31</v>
      </c>
      <c r="J1694" s="30" t="s">
        <v>142</v>
      </c>
      <c r="K1694" s="30" t="s">
        <v>116</v>
      </c>
      <c r="L1694" s="30" t="s">
        <v>122</v>
      </c>
      <c r="M1694" s="48" t="s">
        <v>314</v>
      </c>
      <c r="N1694" s="30"/>
      <c r="O1694" s="30"/>
      <c r="P1694" s="30"/>
    </row>
    <row r="1695" spans="1:16" ht="45" customHeight="1">
      <c r="A1695" s="30" t="s">
        <v>3486</v>
      </c>
      <c r="B1695" s="47" t="s">
        <v>1297</v>
      </c>
      <c r="C1695" s="48" t="s">
        <v>3773</v>
      </c>
      <c r="D1695" s="30"/>
      <c r="E1695" s="30"/>
      <c r="F1695" s="30"/>
      <c r="G1695" s="30" t="s">
        <v>4037</v>
      </c>
      <c r="H1695" s="30" t="s">
        <v>149</v>
      </c>
      <c r="I1695" s="30" t="s">
        <v>22</v>
      </c>
      <c r="J1695" s="30" t="s">
        <v>142</v>
      </c>
      <c r="K1695" s="30" t="s">
        <v>116</v>
      </c>
      <c r="L1695" s="30" t="s">
        <v>146</v>
      </c>
      <c r="M1695" s="48"/>
      <c r="N1695" s="30"/>
      <c r="O1695" s="30"/>
      <c r="P1695" s="30"/>
    </row>
    <row r="1696" spans="1:16" ht="45" customHeight="1">
      <c r="A1696" s="30" t="s">
        <v>3487</v>
      </c>
      <c r="B1696" s="47" t="s">
        <v>1297</v>
      </c>
      <c r="C1696" s="48" t="s">
        <v>3774</v>
      </c>
      <c r="D1696" s="30"/>
      <c r="E1696" s="30"/>
      <c r="F1696" s="30"/>
      <c r="G1696" s="30" t="s">
        <v>4037</v>
      </c>
      <c r="H1696" s="30" t="s">
        <v>149</v>
      </c>
      <c r="I1696" s="30" t="s">
        <v>30</v>
      </c>
      <c r="J1696" s="30" t="s">
        <v>142</v>
      </c>
      <c r="K1696" s="30" t="s">
        <v>116</v>
      </c>
      <c r="L1696" s="30" t="s">
        <v>143</v>
      </c>
      <c r="M1696" s="48"/>
      <c r="N1696" s="30"/>
      <c r="O1696" s="30"/>
      <c r="P1696" s="30"/>
    </row>
    <row r="1697" spans="1:16" ht="30" customHeight="1">
      <c r="A1697" s="30" t="s">
        <v>3488</v>
      </c>
      <c r="B1697" s="47" t="s">
        <v>1297</v>
      </c>
      <c r="C1697" s="48" t="s">
        <v>3775</v>
      </c>
      <c r="D1697" s="30"/>
      <c r="E1697" s="30"/>
      <c r="F1697" s="30"/>
      <c r="G1697" s="30"/>
      <c r="H1697" s="30" t="s">
        <v>149</v>
      </c>
      <c r="I1697" s="30" t="s">
        <v>30</v>
      </c>
      <c r="J1697" s="30" t="s">
        <v>144</v>
      </c>
      <c r="K1697" s="30" t="s">
        <v>117</v>
      </c>
      <c r="L1697" s="30" t="s">
        <v>122</v>
      </c>
      <c r="M1697" s="48"/>
      <c r="N1697" s="30"/>
      <c r="O1697" s="30"/>
      <c r="P1697" s="30"/>
    </row>
    <row r="1698" spans="1:16" ht="30" customHeight="1">
      <c r="A1698" s="30" t="s">
        <v>3489</v>
      </c>
      <c r="B1698" s="47" t="s">
        <v>1297</v>
      </c>
      <c r="C1698" s="48" t="s">
        <v>3778</v>
      </c>
      <c r="D1698" s="30"/>
      <c r="E1698" s="30"/>
      <c r="F1698" s="30"/>
      <c r="G1698" s="30"/>
      <c r="H1698" s="30" t="s">
        <v>149</v>
      </c>
      <c r="I1698" s="30" t="s">
        <v>31</v>
      </c>
      <c r="J1698" s="30" t="s">
        <v>142</v>
      </c>
      <c r="K1698" s="30" t="s">
        <v>116</v>
      </c>
      <c r="L1698" s="30" t="s">
        <v>122</v>
      </c>
      <c r="M1698" s="48" t="s">
        <v>314</v>
      </c>
      <c r="N1698" s="30"/>
      <c r="O1698" s="30"/>
      <c r="P1698" s="30"/>
    </row>
    <row r="1699" spans="1:16" ht="30" customHeight="1">
      <c r="A1699" s="30" t="s">
        <v>3490</v>
      </c>
      <c r="B1699" s="47" t="s">
        <v>1297</v>
      </c>
      <c r="C1699" s="48" t="s">
        <v>3779</v>
      </c>
      <c r="D1699" s="30"/>
      <c r="E1699" s="30"/>
      <c r="F1699" s="30"/>
      <c r="G1699" s="30"/>
      <c r="H1699" s="30" t="s">
        <v>149</v>
      </c>
      <c r="I1699" s="30" t="s">
        <v>30</v>
      </c>
      <c r="J1699" s="30" t="s">
        <v>142</v>
      </c>
      <c r="K1699" s="30" t="s">
        <v>116</v>
      </c>
      <c r="L1699" s="30" t="s">
        <v>121</v>
      </c>
      <c r="M1699" s="48" t="s">
        <v>4115</v>
      </c>
      <c r="N1699" s="30"/>
      <c r="O1699" s="30"/>
      <c r="P1699" s="30"/>
    </row>
    <row r="1700" spans="1:16" ht="30" customHeight="1">
      <c r="A1700" s="30" t="s">
        <v>3491</v>
      </c>
      <c r="B1700" s="47" t="s">
        <v>1297</v>
      </c>
      <c r="C1700" s="48" t="s">
        <v>3781</v>
      </c>
      <c r="D1700" s="30"/>
      <c r="E1700" s="30"/>
      <c r="F1700" s="30"/>
      <c r="G1700" s="30"/>
      <c r="H1700" s="30" t="s">
        <v>149</v>
      </c>
      <c r="I1700" s="30" t="s">
        <v>31</v>
      </c>
      <c r="J1700" s="30" t="s">
        <v>142</v>
      </c>
      <c r="K1700" s="30" t="s">
        <v>116</v>
      </c>
      <c r="L1700" s="30" t="s">
        <v>122</v>
      </c>
      <c r="M1700" s="48" t="s">
        <v>314</v>
      </c>
      <c r="N1700" s="30"/>
      <c r="O1700" s="30"/>
      <c r="P1700" s="30"/>
    </row>
    <row r="1701" spans="1:16" ht="45" customHeight="1">
      <c r="A1701" s="30" t="s">
        <v>3492</v>
      </c>
      <c r="B1701" s="47" t="s">
        <v>1297</v>
      </c>
      <c r="C1701" s="48" t="s">
        <v>3782</v>
      </c>
      <c r="D1701" s="30"/>
      <c r="E1701" s="30"/>
      <c r="F1701" s="30"/>
      <c r="G1701" s="30"/>
      <c r="H1701" s="30" t="s">
        <v>149</v>
      </c>
      <c r="I1701" s="30" t="s">
        <v>31</v>
      </c>
      <c r="J1701" s="30" t="s">
        <v>144</v>
      </c>
      <c r="K1701" s="30" t="s">
        <v>117</v>
      </c>
      <c r="L1701" s="30" t="s">
        <v>122</v>
      </c>
      <c r="M1701" s="48"/>
      <c r="N1701" s="30"/>
      <c r="O1701" s="30"/>
      <c r="P1701" s="30"/>
    </row>
    <row r="1702" spans="1:16" ht="45" customHeight="1">
      <c r="A1702" s="30" t="s">
        <v>3493</v>
      </c>
      <c r="B1702" s="47" t="s">
        <v>1297</v>
      </c>
      <c r="C1702" s="48" t="s">
        <v>3783</v>
      </c>
      <c r="D1702" s="30"/>
      <c r="E1702" s="30"/>
      <c r="F1702" s="30"/>
      <c r="G1702" s="30"/>
      <c r="H1702" s="30" t="s">
        <v>149</v>
      </c>
      <c r="I1702" s="30" t="s">
        <v>31</v>
      </c>
      <c r="J1702" s="30" t="s">
        <v>144</v>
      </c>
      <c r="K1702" s="30" t="s">
        <v>117</v>
      </c>
      <c r="L1702" s="30" t="s">
        <v>122</v>
      </c>
      <c r="M1702" s="48"/>
      <c r="N1702" s="30"/>
      <c r="O1702" s="30"/>
      <c r="P1702" s="30"/>
    </row>
    <row r="1703" spans="1:16" ht="45" customHeight="1">
      <c r="A1703" s="30" t="s">
        <v>3494</v>
      </c>
      <c r="B1703" s="47" t="s">
        <v>1297</v>
      </c>
      <c r="C1703" s="48" t="s">
        <v>3784</v>
      </c>
      <c r="D1703" s="30"/>
      <c r="E1703" s="30"/>
      <c r="F1703" s="30"/>
      <c r="G1703" s="30"/>
      <c r="H1703" s="30" t="s">
        <v>149</v>
      </c>
      <c r="I1703" s="30" t="s">
        <v>31</v>
      </c>
      <c r="J1703" s="30" t="s">
        <v>142</v>
      </c>
      <c r="K1703" s="30" t="s">
        <v>116</v>
      </c>
      <c r="L1703" s="30" t="s">
        <v>122</v>
      </c>
      <c r="M1703" s="48" t="s">
        <v>314</v>
      </c>
      <c r="N1703" s="30"/>
      <c r="O1703" s="30"/>
      <c r="P1703" s="30"/>
    </row>
    <row r="1704" spans="1:16" ht="30" customHeight="1">
      <c r="A1704" s="30" t="s">
        <v>3495</v>
      </c>
      <c r="B1704" s="47" t="s">
        <v>1297</v>
      </c>
      <c r="C1704" s="48" t="s">
        <v>3785</v>
      </c>
      <c r="D1704" s="30"/>
      <c r="E1704" s="30"/>
      <c r="F1704" s="30"/>
      <c r="G1704" s="30"/>
      <c r="H1704" s="30" t="s">
        <v>149</v>
      </c>
      <c r="I1704" s="30" t="s">
        <v>30</v>
      </c>
      <c r="J1704" s="30" t="s">
        <v>144</v>
      </c>
      <c r="K1704" s="30" t="s">
        <v>117</v>
      </c>
      <c r="L1704" s="30" t="s">
        <v>122</v>
      </c>
      <c r="M1704" s="48"/>
      <c r="N1704" s="30"/>
      <c r="O1704" s="30"/>
      <c r="P1704" s="30"/>
    </row>
    <row r="1705" spans="1:16" ht="45" customHeight="1">
      <c r="A1705" s="30" t="s">
        <v>3496</v>
      </c>
      <c r="B1705" s="47" t="s">
        <v>1297</v>
      </c>
      <c r="C1705" s="48" t="s">
        <v>3786</v>
      </c>
      <c r="D1705" s="30"/>
      <c r="E1705" s="30"/>
      <c r="F1705" s="30"/>
      <c r="G1705" s="30"/>
      <c r="H1705" s="30" t="s">
        <v>149</v>
      </c>
      <c r="I1705" s="30" t="s">
        <v>30</v>
      </c>
      <c r="J1705" s="30" t="s">
        <v>144</v>
      </c>
      <c r="K1705" s="30" t="s">
        <v>117</v>
      </c>
      <c r="L1705" s="30" t="s">
        <v>122</v>
      </c>
      <c r="M1705" s="48"/>
      <c r="N1705" s="30"/>
      <c r="O1705" s="30"/>
      <c r="P1705" s="30"/>
    </row>
    <row r="1706" spans="1:16" ht="75" customHeight="1">
      <c r="A1706" s="30" t="s">
        <v>3497</v>
      </c>
      <c r="B1706" s="47" t="s">
        <v>1297</v>
      </c>
      <c r="C1706" s="48" t="s">
        <v>3787</v>
      </c>
      <c r="D1706" s="30"/>
      <c r="E1706" s="30"/>
      <c r="F1706" s="30"/>
      <c r="G1706" s="30" t="s">
        <v>4038</v>
      </c>
      <c r="H1706" s="30" t="s">
        <v>149</v>
      </c>
      <c r="I1706" s="30" t="s">
        <v>30</v>
      </c>
      <c r="J1706" s="30" t="s">
        <v>142</v>
      </c>
      <c r="K1706" s="30" t="s">
        <v>116</v>
      </c>
      <c r="L1706" s="30" t="s">
        <v>143</v>
      </c>
      <c r="M1706" s="48"/>
      <c r="N1706" s="30"/>
      <c r="O1706" s="30"/>
      <c r="P1706" s="30"/>
    </row>
    <row r="1707" spans="1:16" ht="45" customHeight="1">
      <c r="A1707" s="30" t="s">
        <v>3498</v>
      </c>
      <c r="B1707" s="47" t="s">
        <v>1297</v>
      </c>
      <c r="C1707" s="48" t="s">
        <v>3788</v>
      </c>
      <c r="D1707" s="30"/>
      <c r="E1707" s="30"/>
      <c r="F1707" s="30"/>
      <c r="G1707" s="30"/>
      <c r="H1707" s="30" t="s">
        <v>149</v>
      </c>
      <c r="I1707" s="30" t="s">
        <v>30</v>
      </c>
      <c r="J1707" s="30" t="s">
        <v>144</v>
      </c>
      <c r="K1707" s="30" t="s">
        <v>117</v>
      </c>
      <c r="L1707" s="30" t="s">
        <v>122</v>
      </c>
      <c r="M1707" s="48"/>
      <c r="N1707" s="30"/>
      <c r="O1707" s="30"/>
      <c r="P1707" s="30"/>
    </row>
    <row r="1708" spans="1:16" ht="45" customHeight="1">
      <c r="A1708" s="30" t="s">
        <v>3499</v>
      </c>
      <c r="B1708" s="47" t="s">
        <v>1297</v>
      </c>
      <c r="C1708" s="48" t="s">
        <v>3789</v>
      </c>
      <c r="D1708" s="30"/>
      <c r="E1708" s="30"/>
      <c r="F1708" s="30"/>
      <c r="G1708" s="30"/>
      <c r="H1708" s="30" t="s">
        <v>149</v>
      </c>
      <c r="I1708" s="30" t="s">
        <v>30</v>
      </c>
      <c r="J1708" s="30" t="s">
        <v>144</v>
      </c>
      <c r="K1708" s="30" t="s">
        <v>117</v>
      </c>
      <c r="L1708" s="30" t="s">
        <v>122</v>
      </c>
      <c r="M1708" s="48"/>
      <c r="N1708" s="30"/>
      <c r="O1708" s="30"/>
      <c r="P1708" s="30"/>
    </row>
    <row r="1709" spans="1:16" ht="45" customHeight="1">
      <c r="A1709" s="30" t="s">
        <v>3500</v>
      </c>
      <c r="B1709" s="47" t="s">
        <v>1297</v>
      </c>
      <c r="C1709" s="48" t="s">
        <v>3790</v>
      </c>
      <c r="D1709" s="30"/>
      <c r="E1709" s="30"/>
      <c r="F1709" s="30"/>
      <c r="G1709" s="30"/>
      <c r="H1709" s="30" t="s">
        <v>149</v>
      </c>
      <c r="I1709" s="30" t="s">
        <v>30</v>
      </c>
      <c r="J1709" s="30" t="s">
        <v>144</v>
      </c>
      <c r="K1709" s="30" t="s">
        <v>117</v>
      </c>
      <c r="L1709" s="30" t="s">
        <v>122</v>
      </c>
      <c r="M1709" s="48"/>
      <c r="N1709" s="30"/>
      <c r="O1709" s="30"/>
      <c r="P1709" s="30"/>
    </row>
    <row r="1710" spans="1:16" ht="30" customHeight="1">
      <c r="A1710" s="30" t="s">
        <v>3501</v>
      </c>
      <c r="B1710" s="47" t="s">
        <v>1297</v>
      </c>
      <c r="C1710" s="48" t="s">
        <v>3791</v>
      </c>
      <c r="D1710" s="30"/>
      <c r="E1710" s="30"/>
      <c r="F1710" s="30"/>
      <c r="G1710" s="30"/>
      <c r="H1710" s="30" t="s">
        <v>149</v>
      </c>
      <c r="I1710" s="30" t="s">
        <v>31</v>
      </c>
      <c r="J1710" s="30" t="s">
        <v>144</v>
      </c>
      <c r="K1710" s="30" t="s">
        <v>117</v>
      </c>
      <c r="L1710" s="30" t="s">
        <v>122</v>
      </c>
      <c r="M1710" s="48"/>
      <c r="N1710" s="30"/>
      <c r="O1710" s="30"/>
      <c r="P1710" s="30"/>
    </row>
    <row r="1711" spans="1:16" ht="45" customHeight="1">
      <c r="A1711" s="30" t="s">
        <v>3502</v>
      </c>
      <c r="B1711" s="47" t="s">
        <v>1297</v>
      </c>
      <c r="C1711" s="48" t="s">
        <v>3792</v>
      </c>
      <c r="D1711" s="30"/>
      <c r="E1711" s="30"/>
      <c r="F1711" s="30"/>
      <c r="G1711" s="30"/>
      <c r="H1711" s="30" t="s">
        <v>149</v>
      </c>
      <c r="I1711" s="30" t="s">
        <v>30</v>
      </c>
      <c r="J1711" s="30" t="s">
        <v>144</v>
      </c>
      <c r="K1711" s="30" t="s">
        <v>117</v>
      </c>
      <c r="L1711" s="30" t="s">
        <v>122</v>
      </c>
      <c r="M1711" s="48"/>
      <c r="N1711" s="30"/>
      <c r="O1711" s="30"/>
      <c r="P1711" s="30"/>
    </row>
    <row r="1712" spans="1:16" ht="60" customHeight="1">
      <c r="A1712" s="30" t="s">
        <v>3503</v>
      </c>
      <c r="B1712" s="47" t="s">
        <v>1297</v>
      </c>
      <c r="C1712" s="48" t="s">
        <v>3795</v>
      </c>
      <c r="D1712" s="30"/>
      <c r="E1712" s="30"/>
      <c r="F1712" s="30"/>
      <c r="G1712" s="30"/>
      <c r="H1712" s="30" t="s">
        <v>149</v>
      </c>
      <c r="I1712" s="30" t="s">
        <v>31</v>
      </c>
      <c r="J1712" s="30" t="s">
        <v>144</v>
      </c>
      <c r="K1712" s="30" t="s">
        <v>117</v>
      </c>
      <c r="L1712" s="30" t="s">
        <v>122</v>
      </c>
      <c r="M1712" s="48"/>
      <c r="N1712" s="30"/>
      <c r="O1712" s="30"/>
      <c r="P1712" s="30"/>
    </row>
    <row r="1713" spans="1:16" ht="45" customHeight="1">
      <c r="A1713" s="30" t="s">
        <v>3504</v>
      </c>
      <c r="B1713" s="47" t="s">
        <v>1297</v>
      </c>
      <c r="C1713" s="48" t="s">
        <v>3794</v>
      </c>
      <c r="D1713" s="30"/>
      <c r="E1713" s="30"/>
      <c r="F1713" s="30"/>
      <c r="G1713" s="30"/>
      <c r="H1713" s="30" t="s">
        <v>149</v>
      </c>
      <c r="I1713" s="30" t="s">
        <v>30</v>
      </c>
      <c r="J1713" s="30" t="s">
        <v>144</v>
      </c>
      <c r="K1713" s="30" t="s">
        <v>117</v>
      </c>
      <c r="L1713" s="30" t="s">
        <v>122</v>
      </c>
      <c r="M1713" s="48"/>
      <c r="N1713" s="30"/>
      <c r="O1713" s="30"/>
      <c r="P1713" s="30"/>
    </row>
    <row r="1714" spans="1:16" ht="150" customHeight="1">
      <c r="A1714" s="30" t="s">
        <v>3505</v>
      </c>
      <c r="B1714" s="47" t="s">
        <v>1297</v>
      </c>
      <c r="C1714" s="48" t="s">
        <v>3793</v>
      </c>
      <c r="D1714" s="30"/>
      <c r="E1714" s="30"/>
      <c r="F1714" s="30"/>
      <c r="G1714" s="30" t="s">
        <v>4038</v>
      </c>
      <c r="H1714" s="30" t="s">
        <v>149</v>
      </c>
      <c r="I1714" s="30" t="s">
        <v>30</v>
      </c>
      <c r="J1714" s="30" t="s">
        <v>142</v>
      </c>
      <c r="K1714" s="30" t="s">
        <v>116</v>
      </c>
      <c r="L1714" s="30" t="s">
        <v>143</v>
      </c>
      <c r="M1714" s="48"/>
      <c r="N1714" s="30"/>
      <c r="O1714" s="30"/>
      <c r="P1714" s="30"/>
    </row>
    <row r="1715" spans="1:16" ht="30" customHeight="1">
      <c r="A1715" s="30" t="s">
        <v>3506</v>
      </c>
      <c r="B1715" s="47" t="s">
        <v>1297</v>
      </c>
      <c r="C1715" s="48" t="s">
        <v>3796</v>
      </c>
      <c r="D1715" s="30"/>
      <c r="E1715" s="30"/>
      <c r="F1715" s="30"/>
      <c r="G1715" s="30"/>
      <c r="H1715" s="30" t="s">
        <v>149</v>
      </c>
      <c r="I1715" s="30" t="s">
        <v>30</v>
      </c>
      <c r="J1715" s="30" t="s">
        <v>144</v>
      </c>
      <c r="K1715" s="30" t="s">
        <v>117</v>
      </c>
      <c r="L1715" s="30" t="s">
        <v>122</v>
      </c>
      <c r="M1715" s="48"/>
      <c r="N1715" s="30"/>
      <c r="O1715" s="30"/>
      <c r="P1715" s="30"/>
    </row>
    <row r="1716" spans="1:16" ht="75" customHeight="1">
      <c r="A1716" s="30" t="s">
        <v>3507</v>
      </c>
      <c r="B1716" s="47" t="s">
        <v>1297</v>
      </c>
      <c r="C1716" s="48" t="s">
        <v>3797</v>
      </c>
      <c r="D1716" s="30"/>
      <c r="E1716" s="30"/>
      <c r="F1716" s="30"/>
      <c r="G1716" s="30"/>
      <c r="H1716" s="30" t="s">
        <v>149</v>
      </c>
      <c r="I1716" s="30" t="s">
        <v>31</v>
      </c>
      <c r="J1716" s="30" t="s">
        <v>142</v>
      </c>
      <c r="K1716" s="30" t="s">
        <v>116</v>
      </c>
      <c r="L1716" s="30" t="s">
        <v>122</v>
      </c>
      <c r="M1716" s="48" t="s">
        <v>314</v>
      </c>
      <c r="N1716" s="30"/>
      <c r="O1716" s="30"/>
      <c r="P1716" s="30"/>
    </row>
    <row r="1717" spans="1:16" ht="345" customHeight="1">
      <c r="A1717" s="30" t="s">
        <v>3508</v>
      </c>
      <c r="B1717" s="47" t="s">
        <v>1297</v>
      </c>
      <c r="C1717" s="48" t="s">
        <v>3798</v>
      </c>
      <c r="D1717" s="30"/>
      <c r="E1717" s="30"/>
      <c r="F1717" s="30"/>
      <c r="G1717" s="30" t="s">
        <v>4038</v>
      </c>
      <c r="H1717" s="30" t="s">
        <v>149</v>
      </c>
      <c r="I1717" s="30" t="s">
        <v>30</v>
      </c>
      <c r="J1717" s="30" t="s">
        <v>142</v>
      </c>
      <c r="K1717" s="30" t="s">
        <v>116</v>
      </c>
      <c r="L1717" s="30" t="s">
        <v>143</v>
      </c>
      <c r="M1717" s="48"/>
      <c r="N1717" s="30"/>
      <c r="O1717" s="30"/>
      <c r="P1717" s="30"/>
    </row>
    <row r="1718" spans="1:16" ht="45" customHeight="1">
      <c r="A1718" s="30" t="s">
        <v>3509</v>
      </c>
      <c r="B1718" s="47" t="s">
        <v>1297</v>
      </c>
      <c r="C1718" s="48" t="s">
        <v>3807</v>
      </c>
      <c r="D1718" s="30"/>
      <c r="E1718" s="30"/>
      <c r="F1718" s="30"/>
      <c r="G1718" s="30"/>
      <c r="H1718" s="30" t="s">
        <v>149</v>
      </c>
      <c r="I1718" s="30" t="s">
        <v>30</v>
      </c>
      <c r="J1718" s="30" t="s">
        <v>144</v>
      </c>
      <c r="K1718" s="30" t="s">
        <v>117</v>
      </c>
      <c r="L1718" s="30" t="s">
        <v>122</v>
      </c>
      <c r="M1718" s="48"/>
      <c r="N1718" s="30"/>
      <c r="O1718" s="30"/>
      <c r="P1718" s="30"/>
    </row>
    <row r="1719" spans="1:16" ht="30" customHeight="1">
      <c r="A1719" s="30" t="s">
        <v>3510</v>
      </c>
      <c r="B1719" s="47" t="s">
        <v>1297</v>
      </c>
      <c r="C1719" s="48" t="s">
        <v>3808</v>
      </c>
      <c r="D1719" s="30"/>
      <c r="E1719" s="30"/>
      <c r="F1719" s="30"/>
      <c r="G1719" s="30"/>
      <c r="H1719" s="30" t="s">
        <v>149</v>
      </c>
      <c r="I1719" s="30" t="s">
        <v>30</v>
      </c>
      <c r="J1719" s="30" t="s">
        <v>144</v>
      </c>
      <c r="K1719" s="30" t="s">
        <v>117</v>
      </c>
      <c r="L1719" s="30" t="s">
        <v>122</v>
      </c>
      <c r="M1719" s="48"/>
      <c r="N1719" s="30"/>
      <c r="O1719" s="30"/>
      <c r="P1719" s="30"/>
    </row>
    <row r="1720" spans="1:16" ht="45" customHeight="1">
      <c r="A1720" s="30" t="s">
        <v>3511</v>
      </c>
      <c r="B1720" s="47" t="s">
        <v>1297</v>
      </c>
      <c r="C1720" s="48" t="s">
        <v>3810</v>
      </c>
      <c r="D1720" s="30"/>
      <c r="E1720" s="30"/>
      <c r="F1720" s="30"/>
      <c r="G1720" s="30"/>
      <c r="H1720" s="30" t="s">
        <v>149</v>
      </c>
      <c r="I1720" s="30" t="s">
        <v>30</v>
      </c>
      <c r="J1720" s="30" t="s">
        <v>144</v>
      </c>
      <c r="K1720" s="30" t="s">
        <v>117</v>
      </c>
      <c r="L1720" s="30" t="s">
        <v>122</v>
      </c>
      <c r="M1720" s="48"/>
      <c r="N1720" s="30"/>
      <c r="O1720" s="30"/>
      <c r="P1720" s="30"/>
    </row>
    <row r="1721" spans="1:16" ht="30" customHeight="1">
      <c r="A1721" s="30" t="s">
        <v>3512</v>
      </c>
      <c r="B1721" s="47" t="s">
        <v>1297</v>
      </c>
      <c r="C1721" s="48" t="s">
        <v>3811</v>
      </c>
      <c r="D1721" s="30"/>
      <c r="E1721" s="30"/>
      <c r="F1721" s="30"/>
      <c r="G1721" s="30"/>
      <c r="H1721" s="30" t="s">
        <v>149</v>
      </c>
      <c r="I1721" s="30" t="s">
        <v>30</v>
      </c>
      <c r="J1721" s="30" t="s">
        <v>144</v>
      </c>
      <c r="K1721" s="30" t="s">
        <v>117</v>
      </c>
      <c r="L1721" s="30" t="s">
        <v>122</v>
      </c>
      <c r="M1721" s="48"/>
      <c r="N1721" s="30"/>
      <c r="O1721" s="30"/>
      <c r="P1721" s="30"/>
    </row>
    <row r="1722" spans="1:16" ht="45" customHeight="1">
      <c r="A1722" s="30" t="s">
        <v>3513</v>
      </c>
      <c r="B1722" s="47" t="s">
        <v>1297</v>
      </c>
      <c r="C1722" s="48" t="s">
        <v>3812</v>
      </c>
      <c r="D1722" s="30"/>
      <c r="E1722" s="30"/>
      <c r="F1722" s="30"/>
      <c r="G1722" s="30" t="s">
        <v>4038</v>
      </c>
      <c r="H1722" s="30" t="s">
        <v>149</v>
      </c>
      <c r="I1722" s="30" t="s">
        <v>30</v>
      </c>
      <c r="J1722" s="30" t="s">
        <v>142</v>
      </c>
      <c r="K1722" s="30" t="s">
        <v>116</v>
      </c>
      <c r="L1722" s="30" t="s">
        <v>143</v>
      </c>
      <c r="M1722" s="48"/>
      <c r="N1722" s="30"/>
      <c r="O1722" s="30"/>
      <c r="P1722" s="30"/>
    </row>
    <row r="1723" spans="1:16" ht="30" customHeight="1">
      <c r="A1723" s="30" t="s">
        <v>3514</v>
      </c>
      <c r="B1723" s="47" t="s">
        <v>1297</v>
      </c>
      <c r="C1723" s="48" t="s">
        <v>3815</v>
      </c>
      <c r="D1723" s="30"/>
      <c r="E1723" s="30"/>
      <c r="F1723" s="30"/>
      <c r="G1723" s="30"/>
      <c r="H1723" s="30" t="s">
        <v>149</v>
      </c>
      <c r="I1723" s="30" t="s">
        <v>31</v>
      </c>
      <c r="J1723" s="30" t="s">
        <v>142</v>
      </c>
      <c r="K1723" s="30" t="s">
        <v>116</v>
      </c>
      <c r="L1723" s="30" t="s">
        <v>122</v>
      </c>
      <c r="M1723" s="48" t="s">
        <v>314</v>
      </c>
      <c r="N1723" s="30"/>
      <c r="O1723" s="30"/>
      <c r="P1723" s="30"/>
    </row>
    <row r="1724" spans="1:16" ht="30" customHeight="1">
      <c r="A1724" s="30" t="s">
        <v>3515</v>
      </c>
      <c r="B1724" s="47" t="s">
        <v>1297</v>
      </c>
      <c r="C1724" s="48" t="s">
        <v>3816</v>
      </c>
      <c r="D1724" s="30"/>
      <c r="E1724" s="30"/>
      <c r="F1724" s="30"/>
      <c r="G1724" s="30" t="s">
        <v>4038</v>
      </c>
      <c r="H1724" s="30" t="s">
        <v>149</v>
      </c>
      <c r="I1724" s="30" t="s">
        <v>30</v>
      </c>
      <c r="J1724" s="30" t="s">
        <v>142</v>
      </c>
      <c r="K1724" s="30" t="s">
        <v>116</v>
      </c>
      <c r="L1724" s="30" t="s">
        <v>146</v>
      </c>
      <c r="M1724" s="48"/>
      <c r="N1724" s="30"/>
      <c r="O1724" s="30"/>
      <c r="P1724" s="30"/>
    </row>
    <row r="1725" spans="1:16" ht="45" customHeight="1">
      <c r="A1725" s="30" t="s">
        <v>3516</v>
      </c>
      <c r="B1725" s="47" t="s">
        <v>1297</v>
      </c>
      <c r="C1725" s="48" t="s">
        <v>3817</v>
      </c>
      <c r="D1725" s="30"/>
      <c r="E1725" s="30"/>
      <c r="F1725" s="30"/>
      <c r="G1725" s="30"/>
      <c r="H1725" s="30" t="s">
        <v>149</v>
      </c>
      <c r="I1725" s="30" t="s">
        <v>30</v>
      </c>
      <c r="J1725" s="30" t="s">
        <v>144</v>
      </c>
      <c r="K1725" s="30" t="s">
        <v>117</v>
      </c>
      <c r="L1725" s="30" t="s">
        <v>122</v>
      </c>
      <c r="M1725" s="48"/>
      <c r="N1725" s="30"/>
      <c r="O1725" s="30"/>
      <c r="P1725" s="30"/>
    </row>
    <row r="1726" spans="1:16" ht="45" customHeight="1">
      <c r="A1726" s="30" t="s">
        <v>3517</v>
      </c>
      <c r="B1726" s="47" t="s">
        <v>1297</v>
      </c>
      <c r="C1726" s="48" t="s">
        <v>3818</v>
      </c>
      <c r="D1726" s="30"/>
      <c r="E1726" s="30"/>
      <c r="F1726" s="30"/>
      <c r="G1726" s="30"/>
      <c r="H1726" s="30" t="s">
        <v>149</v>
      </c>
      <c r="I1726" s="30" t="s">
        <v>31</v>
      </c>
      <c r="J1726" s="30" t="s">
        <v>144</v>
      </c>
      <c r="K1726" s="30" t="s">
        <v>117</v>
      </c>
      <c r="L1726" s="30" t="s">
        <v>122</v>
      </c>
      <c r="M1726" s="48"/>
      <c r="N1726" s="30"/>
      <c r="O1726" s="30"/>
      <c r="P1726" s="30"/>
    </row>
    <row r="1727" spans="1:16" ht="60" customHeight="1">
      <c r="A1727" s="30" t="s">
        <v>3518</v>
      </c>
      <c r="B1727" s="47" t="s">
        <v>1297</v>
      </c>
      <c r="C1727" s="48" t="s">
        <v>3821</v>
      </c>
      <c r="D1727" s="30"/>
      <c r="E1727" s="30"/>
      <c r="F1727" s="30"/>
      <c r="G1727" s="30"/>
      <c r="H1727" s="30" t="s">
        <v>149</v>
      </c>
      <c r="I1727" s="30" t="s">
        <v>30</v>
      </c>
      <c r="J1727" s="30" t="s">
        <v>144</v>
      </c>
      <c r="K1727" s="30" t="s">
        <v>117</v>
      </c>
      <c r="L1727" s="30" t="s">
        <v>122</v>
      </c>
      <c r="M1727" s="48"/>
      <c r="N1727" s="30"/>
      <c r="O1727" s="30"/>
      <c r="P1727" s="30"/>
    </row>
    <row r="1728" spans="1:16" ht="60" customHeight="1">
      <c r="A1728" s="30" t="s">
        <v>3519</v>
      </c>
      <c r="B1728" s="47" t="s">
        <v>1297</v>
      </c>
      <c r="C1728" s="48" t="s">
        <v>3822</v>
      </c>
      <c r="D1728" s="30"/>
      <c r="E1728" s="30"/>
      <c r="F1728" s="30"/>
      <c r="G1728" s="30"/>
      <c r="H1728" s="30" t="s">
        <v>149</v>
      </c>
      <c r="I1728" s="30" t="s">
        <v>30</v>
      </c>
      <c r="J1728" s="30" t="s">
        <v>144</v>
      </c>
      <c r="K1728" s="30" t="s">
        <v>117</v>
      </c>
      <c r="L1728" s="30" t="s">
        <v>122</v>
      </c>
      <c r="M1728" s="48"/>
      <c r="N1728" s="30"/>
      <c r="O1728" s="30"/>
      <c r="P1728" s="30"/>
    </row>
    <row r="1729" spans="1:16" s="31" customFormat="1" ht="60">
      <c r="A1729" s="30" t="s">
        <v>3520</v>
      </c>
      <c r="B1729" s="47" t="s">
        <v>1297</v>
      </c>
      <c r="C1729" s="48" t="s">
        <v>3826</v>
      </c>
      <c r="D1729" s="30"/>
      <c r="E1729" s="30"/>
      <c r="F1729" s="30"/>
      <c r="G1729" s="30"/>
      <c r="H1729" s="30" t="s">
        <v>149</v>
      </c>
      <c r="I1729" s="30" t="s">
        <v>30</v>
      </c>
      <c r="J1729" s="30" t="s">
        <v>142</v>
      </c>
      <c r="K1729" s="30" t="s">
        <v>116</v>
      </c>
      <c r="L1729" s="30" t="s">
        <v>121</v>
      </c>
      <c r="M1729" s="48" t="s">
        <v>706</v>
      </c>
      <c r="N1729" s="30"/>
      <c r="O1729" s="30"/>
      <c r="P1729" s="30"/>
    </row>
    <row r="1730" spans="1:16" ht="75" customHeight="1">
      <c r="A1730" s="30" t="s">
        <v>3521</v>
      </c>
      <c r="B1730" s="47" t="s">
        <v>1297</v>
      </c>
      <c r="C1730" s="48" t="s">
        <v>3827</v>
      </c>
      <c r="D1730" s="30"/>
      <c r="E1730" s="30"/>
      <c r="F1730" s="30"/>
      <c r="G1730" s="30"/>
      <c r="H1730" s="30" t="s">
        <v>149</v>
      </c>
      <c r="I1730" s="30" t="s">
        <v>30</v>
      </c>
      <c r="J1730" s="30" t="s">
        <v>144</v>
      </c>
      <c r="K1730" s="30" t="s">
        <v>117</v>
      </c>
      <c r="L1730" s="30" t="s">
        <v>122</v>
      </c>
      <c r="M1730" s="48"/>
      <c r="N1730" s="30"/>
      <c r="O1730" s="30"/>
      <c r="P1730" s="30"/>
    </row>
    <row r="1731" spans="1:16" ht="45" customHeight="1">
      <c r="A1731" s="30" t="s">
        <v>3522</v>
      </c>
      <c r="B1731" s="47" t="s">
        <v>1297</v>
      </c>
      <c r="C1731" s="48" t="s">
        <v>3828</v>
      </c>
      <c r="D1731" s="30"/>
      <c r="E1731" s="30"/>
      <c r="F1731" s="30"/>
      <c r="G1731" s="30"/>
      <c r="H1731" s="30" t="s">
        <v>149</v>
      </c>
      <c r="I1731" s="30" t="s">
        <v>30</v>
      </c>
      <c r="J1731" s="30" t="s">
        <v>144</v>
      </c>
      <c r="K1731" s="30" t="s">
        <v>117</v>
      </c>
      <c r="L1731" s="30" t="s">
        <v>122</v>
      </c>
      <c r="M1731" s="48"/>
      <c r="N1731" s="30"/>
      <c r="O1731" s="30"/>
      <c r="P1731" s="30"/>
    </row>
    <row r="1732" spans="1:16" ht="30" customHeight="1">
      <c r="A1732" s="30" t="s">
        <v>3523</v>
      </c>
      <c r="B1732" s="47" t="s">
        <v>1297</v>
      </c>
      <c r="C1732" s="48" t="s">
        <v>3829</v>
      </c>
      <c r="D1732" s="30"/>
      <c r="E1732" s="30"/>
      <c r="F1732" s="30"/>
      <c r="G1732" s="30"/>
      <c r="H1732" s="30" t="s">
        <v>149</v>
      </c>
      <c r="I1732" s="30" t="s">
        <v>30</v>
      </c>
      <c r="J1732" s="30" t="s">
        <v>144</v>
      </c>
      <c r="K1732" s="30" t="s">
        <v>117</v>
      </c>
      <c r="L1732" s="30" t="s">
        <v>122</v>
      </c>
      <c r="M1732" s="48"/>
      <c r="N1732" s="30"/>
      <c r="O1732" s="30"/>
      <c r="P1732" s="30"/>
    </row>
    <row r="1733" spans="1:16" ht="45" customHeight="1">
      <c r="A1733" s="30" t="s">
        <v>3524</v>
      </c>
      <c r="B1733" s="47" t="s">
        <v>1297</v>
      </c>
      <c r="C1733" s="48" t="s">
        <v>3830</v>
      </c>
      <c r="D1733" s="30"/>
      <c r="E1733" s="30"/>
      <c r="F1733" s="30"/>
      <c r="G1733" s="30" t="s">
        <v>4039</v>
      </c>
      <c r="H1733" s="30" t="s">
        <v>149</v>
      </c>
      <c r="I1733" s="30" t="s">
        <v>30</v>
      </c>
      <c r="J1733" s="30" t="s">
        <v>142</v>
      </c>
      <c r="K1733" s="30" t="s">
        <v>116</v>
      </c>
      <c r="L1733" s="30" t="s">
        <v>143</v>
      </c>
      <c r="M1733" s="48"/>
      <c r="N1733" s="30"/>
      <c r="O1733" s="30"/>
      <c r="P1733" s="30"/>
    </row>
    <row r="1734" spans="1:16" ht="45" customHeight="1">
      <c r="A1734" s="30" t="s">
        <v>3525</v>
      </c>
      <c r="B1734" s="47" t="s">
        <v>1297</v>
      </c>
      <c r="C1734" s="48" t="s">
        <v>3831</v>
      </c>
      <c r="D1734" s="30"/>
      <c r="E1734" s="30"/>
      <c r="F1734" s="30"/>
      <c r="G1734" s="30" t="s">
        <v>4039</v>
      </c>
      <c r="H1734" s="30" t="s">
        <v>149</v>
      </c>
      <c r="I1734" s="30" t="s">
        <v>30</v>
      </c>
      <c r="J1734" s="30" t="s">
        <v>142</v>
      </c>
      <c r="K1734" s="30" t="s">
        <v>116</v>
      </c>
      <c r="L1734" s="30" t="s">
        <v>143</v>
      </c>
      <c r="M1734" s="48"/>
      <c r="N1734" s="30"/>
      <c r="O1734" s="30"/>
      <c r="P1734" s="30"/>
    </row>
    <row r="1735" spans="1:16" ht="30" customHeight="1">
      <c r="A1735" s="30" t="s">
        <v>3526</v>
      </c>
      <c r="B1735" s="47" t="s">
        <v>1297</v>
      </c>
      <c r="C1735" s="48" t="s">
        <v>3832</v>
      </c>
      <c r="D1735" s="30"/>
      <c r="E1735" s="30"/>
      <c r="F1735" s="30"/>
      <c r="G1735" s="30"/>
      <c r="H1735" s="30" t="s">
        <v>149</v>
      </c>
      <c r="I1735" s="30" t="s">
        <v>31</v>
      </c>
      <c r="J1735" s="30" t="s">
        <v>144</v>
      </c>
      <c r="K1735" s="30" t="s">
        <v>117</v>
      </c>
      <c r="L1735" s="30" t="s">
        <v>122</v>
      </c>
      <c r="M1735" s="48"/>
      <c r="N1735" s="30"/>
      <c r="O1735" s="30"/>
      <c r="P1735" s="30"/>
    </row>
    <row r="1736" spans="1:16" s="31" customFormat="1" ht="30">
      <c r="A1736" s="30" t="s">
        <v>3527</v>
      </c>
      <c r="B1736" s="47" t="s">
        <v>1297</v>
      </c>
      <c r="C1736" s="48" t="s">
        <v>3833</v>
      </c>
      <c r="D1736" s="30"/>
      <c r="E1736" s="30"/>
      <c r="F1736" s="30"/>
      <c r="G1736" s="30"/>
      <c r="H1736" s="30" t="s">
        <v>149</v>
      </c>
      <c r="I1736" s="30" t="s">
        <v>30</v>
      </c>
      <c r="J1736" s="30" t="s">
        <v>142</v>
      </c>
      <c r="K1736" s="30" t="s">
        <v>116</v>
      </c>
      <c r="L1736" s="30" t="s">
        <v>121</v>
      </c>
      <c r="M1736" s="48" t="s">
        <v>4230</v>
      </c>
      <c r="N1736" s="30"/>
      <c r="O1736" s="30"/>
      <c r="P1736" s="30"/>
    </row>
    <row r="1737" spans="1:16" s="31" customFormat="1">
      <c r="A1737" s="30" t="s">
        <v>3528</v>
      </c>
      <c r="B1737" s="47" t="s">
        <v>1297</v>
      </c>
      <c r="C1737" s="48" t="s">
        <v>3834</v>
      </c>
      <c r="D1737" s="30"/>
      <c r="E1737" s="30"/>
      <c r="F1737" s="30" t="s">
        <v>3529</v>
      </c>
      <c r="G1737" s="30" t="s">
        <v>138</v>
      </c>
      <c r="H1737" s="30" t="s">
        <v>149</v>
      </c>
      <c r="I1737" s="30" t="s">
        <v>30</v>
      </c>
      <c r="J1737" s="30" t="s">
        <v>142</v>
      </c>
      <c r="K1737" s="30" t="s">
        <v>116</v>
      </c>
      <c r="L1737" s="30" t="s">
        <v>143</v>
      </c>
      <c r="M1737" s="48"/>
      <c r="N1737" s="30"/>
      <c r="O1737" s="30"/>
      <c r="P1737" s="30"/>
    </row>
    <row r="1738" spans="1:16" ht="45" customHeight="1">
      <c r="A1738" s="30" t="s">
        <v>3530</v>
      </c>
      <c r="B1738" s="47" t="s">
        <v>1297</v>
      </c>
      <c r="C1738" s="48" t="s">
        <v>3835</v>
      </c>
      <c r="D1738" s="30"/>
      <c r="E1738" s="30"/>
      <c r="F1738" s="30"/>
      <c r="G1738" s="30"/>
      <c r="H1738" s="30" t="s">
        <v>149</v>
      </c>
      <c r="I1738" s="30" t="s">
        <v>30</v>
      </c>
      <c r="J1738" s="30" t="s">
        <v>144</v>
      </c>
      <c r="K1738" s="30" t="s">
        <v>117</v>
      </c>
      <c r="L1738" s="30" t="s">
        <v>122</v>
      </c>
      <c r="M1738" s="48"/>
      <c r="N1738" s="30"/>
      <c r="O1738" s="30"/>
      <c r="P1738" s="30"/>
    </row>
    <row r="1739" spans="1:16" ht="30" customHeight="1">
      <c r="A1739" s="30" t="s">
        <v>3531</v>
      </c>
      <c r="B1739" s="47" t="s">
        <v>1297</v>
      </c>
      <c r="C1739" s="48" t="s">
        <v>3836</v>
      </c>
      <c r="D1739" s="30"/>
      <c r="E1739" s="30"/>
      <c r="F1739" s="30"/>
      <c r="G1739" s="30"/>
      <c r="H1739" s="30" t="s">
        <v>149</v>
      </c>
      <c r="I1739" s="30" t="s">
        <v>30</v>
      </c>
      <c r="J1739" s="30" t="s">
        <v>144</v>
      </c>
      <c r="K1739" s="30" t="s">
        <v>117</v>
      </c>
      <c r="L1739" s="30" t="s">
        <v>122</v>
      </c>
      <c r="M1739" s="48"/>
      <c r="N1739" s="30"/>
      <c r="O1739" s="30"/>
      <c r="P1739" s="30"/>
    </row>
    <row r="1740" spans="1:16" ht="45" customHeight="1">
      <c r="A1740" s="30" t="s">
        <v>3532</v>
      </c>
      <c r="B1740" s="47" t="s">
        <v>1297</v>
      </c>
      <c r="C1740" s="48" t="s">
        <v>3837</v>
      </c>
      <c r="D1740" s="30"/>
      <c r="E1740" s="30"/>
      <c r="F1740" s="30"/>
      <c r="G1740" s="30"/>
      <c r="H1740" s="30" t="s">
        <v>149</v>
      </c>
      <c r="I1740" s="30" t="s">
        <v>30</v>
      </c>
      <c r="J1740" s="30" t="s">
        <v>144</v>
      </c>
      <c r="K1740" s="30" t="s">
        <v>117</v>
      </c>
      <c r="L1740" s="30" t="s">
        <v>122</v>
      </c>
      <c r="M1740" s="48"/>
      <c r="N1740" s="30"/>
      <c r="O1740" s="30"/>
      <c r="P1740" s="30"/>
    </row>
    <row r="1741" spans="1:16" ht="45" customHeight="1">
      <c r="A1741" s="30" t="s">
        <v>3533</v>
      </c>
      <c r="B1741" s="47" t="s">
        <v>1297</v>
      </c>
      <c r="C1741" s="48" t="s">
        <v>3838</v>
      </c>
      <c r="D1741" s="30"/>
      <c r="E1741" s="30"/>
      <c r="F1741" s="30"/>
      <c r="G1741" s="30"/>
      <c r="H1741" s="30" t="s">
        <v>149</v>
      </c>
      <c r="I1741" s="30" t="s">
        <v>30</v>
      </c>
      <c r="J1741" s="30" t="s">
        <v>144</v>
      </c>
      <c r="K1741" s="30" t="s">
        <v>117</v>
      </c>
      <c r="L1741" s="30" t="s">
        <v>122</v>
      </c>
      <c r="M1741" s="48"/>
      <c r="N1741" s="30"/>
      <c r="O1741" s="30"/>
      <c r="P1741" s="30"/>
    </row>
    <row r="1742" spans="1:16" ht="60" customHeight="1">
      <c r="A1742" s="30" t="s">
        <v>3534</v>
      </c>
      <c r="B1742" s="47" t="s">
        <v>1297</v>
      </c>
      <c r="C1742" s="48" t="s">
        <v>3839</v>
      </c>
      <c r="D1742" s="30"/>
      <c r="E1742" s="30"/>
      <c r="F1742" s="30"/>
      <c r="G1742" s="30"/>
      <c r="H1742" s="30" t="s">
        <v>149</v>
      </c>
      <c r="I1742" s="30" t="s">
        <v>30</v>
      </c>
      <c r="J1742" s="30" t="s">
        <v>144</v>
      </c>
      <c r="K1742" s="30" t="s">
        <v>117</v>
      </c>
      <c r="L1742" s="30" t="s">
        <v>122</v>
      </c>
      <c r="M1742" s="48"/>
      <c r="N1742" s="30"/>
      <c r="O1742" s="30"/>
      <c r="P1742" s="30"/>
    </row>
    <row r="1743" spans="1:16" ht="75" customHeight="1">
      <c r="A1743" s="30" t="s">
        <v>3535</v>
      </c>
      <c r="B1743" s="47" t="s">
        <v>1297</v>
      </c>
      <c r="C1743" s="48" t="s">
        <v>3840</v>
      </c>
      <c r="D1743" s="30"/>
      <c r="E1743" s="30"/>
      <c r="F1743" s="30"/>
      <c r="G1743" s="30"/>
      <c r="H1743" s="30" t="s">
        <v>149</v>
      </c>
      <c r="I1743" s="30" t="s">
        <v>30</v>
      </c>
      <c r="J1743" s="30" t="s">
        <v>144</v>
      </c>
      <c r="K1743" s="30" t="s">
        <v>117</v>
      </c>
      <c r="L1743" s="30" t="s">
        <v>122</v>
      </c>
      <c r="M1743" s="48"/>
      <c r="N1743" s="30"/>
      <c r="O1743" s="30"/>
      <c r="P1743" s="30"/>
    </row>
    <row r="1744" spans="1:16" ht="60" customHeight="1">
      <c r="A1744" s="30" t="s">
        <v>3536</v>
      </c>
      <c r="B1744" s="47" t="s">
        <v>1297</v>
      </c>
      <c r="C1744" s="48" t="s">
        <v>3841</v>
      </c>
      <c r="D1744" s="30"/>
      <c r="E1744" s="30"/>
      <c r="F1744" s="30"/>
      <c r="G1744" s="30"/>
      <c r="H1744" s="30" t="s">
        <v>149</v>
      </c>
      <c r="I1744" s="30" t="s">
        <v>30</v>
      </c>
      <c r="J1744" s="30" t="s">
        <v>144</v>
      </c>
      <c r="K1744" s="30" t="s">
        <v>117</v>
      </c>
      <c r="L1744" s="30" t="s">
        <v>122</v>
      </c>
      <c r="M1744" s="48"/>
      <c r="N1744" s="30"/>
      <c r="O1744" s="30"/>
      <c r="P1744" s="30"/>
    </row>
    <row r="1745" spans="1:16" ht="45" customHeight="1">
      <c r="A1745" s="30" t="s">
        <v>3537</v>
      </c>
      <c r="B1745" s="50" t="s">
        <v>148</v>
      </c>
      <c r="C1745" s="52" t="s">
        <v>3843</v>
      </c>
      <c r="D1745" s="30"/>
      <c r="E1745" s="30"/>
      <c r="F1745" s="30"/>
      <c r="G1745" s="30"/>
      <c r="H1745" s="30" t="s">
        <v>149</v>
      </c>
      <c r="I1745" s="53" t="s">
        <v>30</v>
      </c>
      <c r="J1745" s="30" t="s">
        <v>142</v>
      </c>
      <c r="K1745" s="30" t="s">
        <v>116</v>
      </c>
      <c r="L1745" s="53" t="s">
        <v>121</v>
      </c>
      <c r="M1745" s="63" t="s">
        <v>4075</v>
      </c>
      <c r="N1745" s="30"/>
      <c r="O1745" s="30"/>
      <c r="P1745" s="30"/>
    </row>
    <row r="1746" spans="1:16" ht="45" customHeight="1">
      <c r="A1746" s="30" t="s">
        <v>3538</v>
      </c>
      <c r="B1746" s="50" t="s">
        <v>148</v>
      </c>
      <c r="C1746" s="52" t="s">
        <v>3844</v>
      </c>
      <c r="D1746" s="30"/>
      <c r="E1746" s="30"/>
      <c r="F1746" s="30"/>
      <c r="G1746" s="30"/>
      <c r="H1746" s="30" t="s">
        <v>149</v>
      </c>
      <c r="I1746" s="53" t="s">
        <v>30</v>
      </c>
      <c r="J1746" s="30" t="s">
        <v>142</v>
      </c>
      <c r="K1746" s="30" t="s">
        <v>116</v>
      </c>
      <c r="L1746" s="53" t="s">
        <v>121</v>
      </c>
      <c r="M1746" s="63" t="s">
        <v>4075</v>
      </c>
      <c r="N1746" s="30"/>
      <c r="O1746" s="30"/>
      <c r="P1746" s="30"/>
    </row>
    <row r="1747" spans="1:16" ht="45" customHeight="1">
      <c r="A1747" s="30" t="s">
        <v>3539</v>
      </c>
      <c r="B1747" s="50" t="s">
        <v>148</v>
      </c>
      <c r="C1747" s="52" t="s">
        <v>3846</v>
      </c>
      <c r="D1747" s="30"/>
      <c r="E1747" s="30"/>
      <c r="F1747" s="30"/>
      <c r="G1747" s="30"/>
      <c r="H1747" s="30" t="s">
        <v>149</v>
      </c>
      <c r="I1747" s="30" t="s">
        <v>30</v>
      </c>
      <c r="J1747" s="30" t="s">
        <v>142</v>
      </c>
      <c r="K1747" s="30" t="s">
        <v>116</v>
      </c>
      <c r="L1747" s="53" t="s">
        <v>121</v>
      </c>
      <c r="M1747" s="63" t="s">
        <v>4075</v>
      </c>
      <c r="N1747" s="30"/>
      <c r="O1747" s="30"/>
      <c r="P1747" s="30"/>
    </row>
    <row r="1748" spans="1:16" ht="45" customHeight="1">
      <c r="A1748" s="30" t="s">
        <v>3540</v>
      </c>
      <c r="B1748" s="50" t="s">
        <v>148</v>
      </c>
      <c r="C1748" s="52" t="s">
        <v>3847</v>
      </c>
      <c r="D1748" s="30"/>
      <c r="E1748" s="30"/>
      <c r="F1748" s="30"/>
      <c r="G1748" s="30"/>
      <c r="H1748" s="30" t="s">
        <v>149</v>
      </c>
      <c r="I1748" s="30" t="s">
        <v>30</v>
      </c>
      <c r="J1748" s="30" t="s">
        <v>142</v>
      </c>
      <c r="K1748" s="30" t="s">
        <v>116</v>
      </c>
      <c r="L1748" s="53" t="s">
        <v>121</v>
      </c>
      <c r="M1748" s="63" t="s">
        <v>4075</v>
      </c>
      <c r="N1748" s="30"/>
      <c r="O1748" s="30"/>
      <c r="P1748" s="30"/>
    </row>
    <row r="1749" spans="1:16" ht="45" customHeight="1">
      <c r="A1749" s="30" t="s">
        <v>3541</v>
      </c>
      <c r="B1749" s="47">
        <v>6</v>
      </c>
      <c r="C1749" s="48" t="s">
        <v>3850</v>
      </c>
      <c r="D1749" s="30"/>
      <c r="E1749" s="30"/>
      <c r="F1749" s="30"/>
      <c r="G1749" s="30"/>
      <c r="H1749" s="30" t="s">
        <v>149</v>
      </c>
      <c r="I1749" s="30" t="s">
        <v>31</v>
      </c>
      <c r="J1749" s="30" t="s">
        <v>142</v>
      </c>
      <c r="K1749" s="30" t="s">
        <v>116</v>
      </c>
      <c r="L1749" s="30" t="s">
        <v>122</v>
      </c>
      <c r="M1749" s="48" t="s">
        <v>184</v>
      </c>
      <c r="N1749" s="30"/>
      <c r="O1749" s="30"/>
      <c r="P1749" s="30"/>
    </row>
    <row r="1750" spans="1:16" ht="90" customHeight="1">
      <c r="A1750" s="30" t="s">
        <v>3542</v>
      </c>
      <c r="B1750" s="47">
        <v>6</v>
      </c>
      <c r="C1750" s="48" t="s">
        <v>3852</v>
      </c>
      <c r="D1750" s="30"/>
      <c r="E1750" s="30"/>
      <c r="F1750" s="30"/>
      <c r="G1750" s="30"/>
      <c r="H1750" s="30" t="s">
        <v>149</v>
      </c>
      <c r="I1750" s="30" t="s">
        <v>31</v>
      </c>
      <c r="J1750" s="30" t="s">
        <v>142</v>
      </c>
      <c r="K1750" s="30" t="s">
        <v>116</v>
      </c>
      <c r="L1750" s="30" t="s">
        <v>122</v>
      </c>
      <c r="M1750" s="48" t="s">
        <v>184</v>
      </c>
      <c r="N1750" s="30"/>
      <c r="O1750" s="30"/>
      <c r="P1750" s="30"/>
    </row>
    <row r="1751" spans="1:16" ht="75" customHeight="1">
      <c r="A1751" s="30" t="s">
        <v>3543</v>
      </c>
      <c r="B1751" s="50" t="s">
        <v>148</v>
      </c>
      <c r="C1751" s="52" t="s">
        <v>3854</v>
      </c>
      <c r="D1751" s="30"/>
      <c r="E1751" s="30"/>
      <c r="F1751" s="30"/>
      <c r="G1751" s="30"/>
      <c r="H1751" s="30" t="s">
        <v>149</v>
      </c>
      <c r="I1751" s="30" t="s">
        <v>31</v>
      </c>
      <c r="J1751" s="30" t="s">
        <v>142</v>
      </c>
      <c r="K1751" s="30" t="s">
        <v>116</v>
      </c>
      <c r="L1751" s="30" t="s">
        <v>122</v>
      </c>
      <c r="M1751" s="48" t="s">
        <v>184</v>
      </c>
      <c r="N1751" s="30"/>
      <c r="O1751" s="30"/>
      <c r="P1751" s="30"/>
    </row>
    <row r="1752" spans="1:16" ht="75" customHeight="1">
      <c r="A1752" s="30" t="s">
        <v>3544</v>
      </c>
      <c r="B1752" s="50" t="s">
        <v>148</v>
      </c>
      <c r="C1752" s="52" t="s">
        <v>3855</v>
      </c>
      <c r="D1752" s="30"/>
      <c r="E1752" s="30"/>
      <c r="F1752" s="30"/>
      <c r="G1752" s="30"/>
      <c r="H1752" s="30" t="s">
        <v>149</v>
      </c>
      <c r="I1752" s="30" t="s">
        <v>31</v>
      </c>
      <c r="J1752" s="30" t="s">
        <v>142</v>
      </c>
      <c r="K1752" s="30" t="s">
        <v>116</v>
      </c>
      <c r="L1752" s="30" t="s">
        <v>122</v>
      </c>
      <c r="M1752" s="48" t="s">
        <v>184</v>
      </c>
      <c r="N1752" s="30"/>
      <c r="O1752" s="30"/>
      <c r="P1752" s="30"/>
    </row>
    <row r="1753" spans="1:16" ht="75" customHeight="1">
      <c r="A1753" s="30" t="s">
        <v>3545</v>
      </c>
      <c r="B1753" s="47" t="s">
        <v>148</v>
      </c>
      <c r="C1753" s="48" t="s">
        <v>3856</v>
      </c>
      <c r="D1753" s="30"/>
      <c r="E1753" s="30"/>
      <c r="F1753" s="30"/>
      <c r="G1753" s="30"/>
      <c r="H1753" s="30" t="s">
        <v>149</v>
      </c>
      <c r="I1753" s="30" t="s">
        <v>31</v>
      </c>
      <c r="J1753" s="30" t="s">
        <v>142</v>
      </c>
      <c r="K1753" s="30" t="s">
        <v>116</v>
      </c>
      <c r="L1753" s="30" t="s">
        <v>122</v>
      </c>
      <c r="M1753" s="48" t="s">
        <v>184</v>
      </c>
      <c r="N1753" s="30"/>
      <c r="O1753" s="30"/>
      <c r="P1753" s="30"/>
    </row>
    <row r="1754" spans="1:16" ht="30" customHeight="1">
      <c r="A1754" s="30" t="s">
        <v>3546</v>
      </c>
      <c r="B1754" s="50" t="s">
        <v>148</v>
      </c>
      <c r="C1754" s="52" t="s">
        <v>3860</v>
      </c>
      <c r="D1754" s="30"/>
      <c r="E1754" s="30"/>
      <c r="F1754" s="30"/>
      <c r="G1754" s="30"/>
      <c r="H1754" s="30" t="s">
        <v>149</v>
      </c>
      <c r="I1754" s="30" t="s">
        <v>22</v>
      </c>
      <c r="J1754" s="30" t="s">
        <v>142</v>
      </c>
      <c r="K1754" s="30" t="s">
        <v>116</v>
      </c>
      <c r="L1754" s="30" t="s">
        <v>121</v>
      </c>
      <c r="M1754" s="63" t="s">
        <v>4092</v>
      </c>
      <c r="N1754" s="30"/>
      <c r="O1754" s="30"/>
      <c r="P1754" s="30"/>
    </row>
    <row r="1755" spans="1:16" ht="45" customHeight="1">
      <c r="A1755" s="30" t="s">
        <v>3547</v>
      </c>
      <c r="B1755" s="50" t="s">
        <v>148</v>
      </c>
      <c r="C1755" s="52" t="s">
        <v>3861</v>
      </c>
      <c r="D1755" s="30"/>
      <c r="E1755" s="30"/>
      <c r="F1755" s="30"/>
      <c r="G1755" s="30"/>
      <c r="H1755" s="30" t="s">
        <v>149</v>
      </c>
      <c r="I1755" s="30" t="s">
        <v>31</v>
      </c>
      <c r="J1755" s="30" t="s">
        <v>142</v>
      </c>
      <c r="K1755" s="30" t="s">
        <v>116</v>
      </c>
      <c r="L1755" s="30" t="s">
        <v>122</v>
      </c>
      <c r="M1755" s="48" t="s">
        <v>184</v>
      </c>
      <c r="N1755" s="30"/>
      <c r="O1755" s="30"/>
      <c r="P1755" s="30"/>
    </row>
    <row r="1756" spans="1:16" ht="45" customHeight="1">
      <c r="A1756" s="30" t="s">
        <v>3548</v>
      </c>
      <c r="B1756" s="50" t="s">
        <v>148</v>
      </c>
      <c r="C1756" s="52" t="s">
        <v>3862</v>
      </c>
      <c r="D1756" s="30"/>
      <c r="E1756" s="30"/>
      <c r="F1756" s="30"/>
      <c r="G1756" s="30"/>
      <c r="H1756" s="30" t="s">
        <v>149</v>
      </c>
      <c r="I1756" s="30" t="s">
        <v>30</v>
      </c>
      <c r="J1756" s="30" t="s">
        <v>142</v>
      </c>
      <c r="K1756" s="30" t="s">
        <v>116</v>
      </c>
      <c r="L1756" s="30" t="s">
        <v>121</v>
      </c>
      <c r="M1756" s="48" t="s">
        <v>4093</v>
      </c>
      <c r="N1756" s="30"/>
      <c r="O1756" s="30"/>
      <c r="P1756" s="30"/>
    </row>
    <row r="1757" spans="1:16" ht="45" customHeight="1">
      <c r="A1757" s="30" t="s">
        <v>3549</v>
      </c>
      <c r="B1757" s="47" t="s">
        <v>148</v>
      </c>
      <c r="C1757" s="48" t="s">
        <v>3863</v>
      </c>
      <c r="D1757" s="30"/>
      <c r="E1757" s="30"/>
      <c r="F1757" s="30"/>
      <c r="G1757" s="30"/>
      <c r="H1757" s="30" t="s">
        <v>149</v>
      </c>
      <c r="I1757" s="30" t="s">
        <v>30</v>
      </c>
      <c r="J1757" s="30" t="s">
        <v>144</v>
      </c>
      <c r="K1757" s="30" t="s">
        <v>117</v>
      </c>
      <c r="L1757" s="30" t="s">
        <v>3664</v>
      </c>
      <c r="M1757" s="51" t="s">
        <v>4045</v>
      </c>
      <c r="N1757" s="30"/>
      <c r="O1757" s="30"/>
      <c r="P1757" s="30"/>
    </row>
    <row r="1758" spans="1:16" ht="60" customHeight="1">
      <c r="A1758" s="30" t="s">
        <v>3550</v>
      </c>
      <c r="B1758" s="50" t="s">
        <v>148</v>
      </c>
      <c r="C1758" s="52" t="s">
        <v>3864</v>
      </c>
      <c r="D1758" s="30"/>
      <c r="E1758" s="30"/>
      <c r="F1758" s="30"/>
      <c r="G1758" s="30"/>
      <c r="H1758" s="30" t="s">
        <v>149</v>
      </c>
      <c r="I1758" s="30" t="s">
        <v>22</v>
      </c>
      <c r="J1758" s="30" t="s">
        <v>144</v>
      </c>
      <c r="K1758" s="30" t="s">
        <v>117</v>
      </c>
      <c r="L1758" s="30" t="s">
        <v>122</v>
      </c>
      <c r="M1758" s="48"/>
      <c r="N1758" s="30"/>
      <c r="O1758" s="30"/>
      <c r="P1758" s="30"/>
    </row>
    <row r="1759" spans="1:16" ht="30" customHeight="1">
      <c r="A1759" s="30" t="s">
        <v>3551</v>
      </c>
      <c r="B1759" s="47" t="s">
        <v>148</v>
      </c>
      <c r="C1759" s="48" t="s">
        <v>3866</v>
      </c>
      <c r="D1759" s="30"/>
      <c r="E1759" s="30"/>
      <c r="F1759" s="30"/>
      <c r="G1759" s="30"/>
      <c r="H1759" s="30" t="s">
        <v>149</v>
      </c>
      <c r="I1759" s="30" t="s">
        <v>31</v>
      </c>
      <c r="J1759" s="30" t="s">
        <v>142</v>
      </c>
      <c r="K1759" s="30" t="s">
        <v>116</v>
      </c>
      <c r="L1759" s="30" t="s">
        <v>122</v>
      </c>
      <c r="M1759" s="48" t="s">
        <v>184</v>
      </c>
      <c r="N1759" s="30"/>
      <c r="O1759" s="30"/>
      <c r="P1759" s="30"/>
    </row>
    <row r="1760" spans="1:16" ht="30" customHeight="1">
      <c r="A1760" s="30" t="s">
        <v>3552</v>
      </c>
      <c r="B1760" s="50" t="s">
        <v>148</v>
      </c>
      <c r="C1760" s="52" t="s">
        <v>3868</v>
      </c>
      <c r="D1760" s="30"/>
      <c r="E1760" s="30"/>
      <c r="F1760" s="30"/>
      <c r="G1760" s="30"/>
      <c r="H1760" s="30" t="s">
        <v>149</v>
      </c>
      <c r="I1760" s="53" t="s">
        <v>31</v>
      </c>
      <c r="J1760" s="30" t="s">
        <v>142</v>
      </c>
      <c r="K1760" s="30" t="s">
        <v>116</v>
      </c>
      <c r="L1760" s="53" t="s">
        <v>122</v>
      </c>
      <c r="M1760" s="48" t="s">
        <v>184</v>
      </c>
      <c r="N1760" s="30"/>
      <c r="O1760" s="30"/>
      <c r="P1760" s="30"/>
    </row>
    <row r="1761" spans="1:16" ht="75" customHeight="1">
      <c r="A1761" s="30" t="s">
        <v>3553</v>
      </c>
      <c r="B1761" s="50" t="s">
        <v>148</v>
      </c>
      <c r="C1761" s="52" t="s">
        <v>3869</v>
      </c>
      <c r="D1761" s="30"/>
      <c r="E1761" s="30"/>
      <c r="F1761" s="30"/>
      <c r="G1761" s="30"/>
      <c r="H1761" s="30" t="s">
        <v>149</v>
      </c>
      <c r="I1761" s="30" t="s">
        <v>31</v>
      </c>
      <c r="J1761" s="30" t="s">
        <v>142</v>
      </c>
      <c r="K1761" s="30" t="s">
        <v>116</v>
      </c>
      <c r="L1761" s="30" t="s">
        <v>122</v>
      </c>
      <c r="M1761" s="48" t="s">
        <v>184</v>
      </c>
      <c r="N1761" s="30"/>
      <c r="O1761" s="30"/>
      <c r="P1761" s="30"/>
    </row>
    <row r="1762" spans="1:16" ht="45" customHeight="1">
      <c r="A1762" s="30" t="s">
        <v>3554</v>
      </c>
      <c r="B1762" s="50" t="s">
        <v>148</v>
      </c>
      <c r="C1762" s="52" t="s">
        <v>3871</v>
      </c>
      <c r="D1762" s="30"/>
      <c r="E1762" s="30"/>
      <c r="F1762" s="30"/>
      <c r="G1762" s="30"/>
      <c r="H1762" s="30" t="s">
        <v>149</v>
      </c>
      <c r="I1762" s="30" t="s">
        <v>31</v>
      </c>
      <c r="J1762" s="30" t="s">
        <v>142</v>
      </c>
      <c r="K1762" s="30" t="s">
        <v>116</v>
      </c>
      <c r="L1762" s="30" t="s">
        <v>122</v>
      </c>
      <c r="M1762" s="48" t="s">
        <v>184</v>
      </c>
      <c r="N1762" s="30"/>
      <c r="O1762" s="30"/>
      <c r="P1762" s="30"/>
    </row>
    <row r="1763" spans="1:16" ht="45" customHeight="1">
      <c r="A1763" s="30" t="s">
        <v>3555</v>
      </c>
      <c r="B1763" s="50" t="s">
        <v>148</v>
      </c>
      <c r="C1763" s="52" t="s">
        <v>3872</v>
      </c>
      <c r="D1763" s="30"/>
      <c r="E1763" s="30"/>
      <c r="F1763" s="30"/>
      <c r="G1763" s="30"/>
      <c r="H1763" s="30" t="s">
        <v>149</v>
      </c>
      <c r="I1763" s="30" t="s">
        <v>31</v>
      </c>
      <c r="J1763" s="30" t="s">
        <v>144</v>
      </c>
      <c r="K1763" s="30" t="s">
        <v>117</v>
      </c>
      <c r="L1763" s="30" t="s">
        <v>122</v>
      </c>
      <c r="M1763" s="48"/>
      <c r="N1763" s="30"/>
      <c r="O1763" s="30"/>
      <c r="P1763" s="30"/>
    </row>
    <row r="1764" spans="1:16" ht="60" customHeight="1">
      <c r="A1764" s="30" t="s">
        <v>3556</v>
      </c>
      <c r="B1764" s="47" t="s">
        <v>148</v>
      </c>
      <c r="C1764" s="48" t="s">
        <v>3874</v>
      </c>
      <c r="D1764" s="30"/>
      <c r="E1764" s="30"/>
      <c r="F1764" s="30"/>
      <c r="G1764" s="30" t="s">
        <v>4040</v>
      </c>
      <c r="H1764" s="30" t="s">
        <v>149</v>
      </c>
      <c r="I1764" s="30" t="s">
        <v>30</v>
      </c>
      <c r="J1764" s="30" t="s">
        <v>142</v>
      </c>
      <c r="K1764" s="30" t="s">
        <v>116</v>
      </c>
      <c r="L1764" s="30" t="s">
        <v>143</v>
      </c>
      <c r="M1764" s="48"/>
      <c r="N1764" s="30"/>
      <c r="O1764" s="30"/>
      <c r="P1764" s="30"/>
    </row>
    <row r="1765" spans="1:16" ht="60" customHeight="1">
      <c r="A1765" s="30" t="s">
        <v>3557</v>
      </c>
      <c r="B1765" s="50" t="s">
        <v>148</v>
      </c>
      <c r="C1765" s="52" t="s">
        <v>3876</v>
      </c>
      <c r="D1765" s="30"/>
      <c r="E1765" s="30"/>
      <c r="F1765" s="30"/>
      <c r="G1765" s="30"/>
      <c r="H1765" s="30" t="s">
        <v>149</v>
      </c>
      <c r="I1765" s="30" t="s">
        <v>31</v>
      </c>
      <c r="J1765" s="30" t="s">
        <v>142</v>
      </c>
      <c r="K1765" s="30" t="s">
        <v>116</v>
      </c>
      <c r="L1765" s="30" t="s">
        <v>122</v>
      </c>
      <c r="M1765" s="48" t="s">
        <v>184</v>
      </c>
      <c r="N1765" s="30"/>
      <c r="O1765" s="30"/>
      <c r="P1765" s="30"/>
    </row>
    <row r="1766" spans="1:16" ht="45" customHeight="1">
      <c r="A1766" s="30" t="s">
        <v>3558</v>
      </c>
      <c r="B1766" s="50" t="s">
        <v>148</v>
      </c>
      <c r="C1766" s="52" t="s">
        <v>3877</v>
      </c>
      <c r="D1766" s="30"/>
      <c r="E1766" s="30"/>
      <c r="F1766" s="30"/>
      <c r="G1766" s="30"/>
      <c r="H1766" s="30" t="s">
        <v>149</v>
      </c>
      <c r="I1766" s="30" t="s">
        <v>31</v>
      </c>
      <c r="J1766" s="30" t="s">
        <v>142</v>
      </c>
      <c r="K1766" s="30" t="s">
        <v>116</v>
      </c>
      <c r="L1766" s="30" t="s">
        <v>122</v>
      </c>
      <c r="M1766" s="48" t="s">
        <v>184</v>
      </c>
      <c r="N1766" s="30"/>
      <c r="O1766" s="30"/>
      <c r="P1766" s="30"/>
    </row>
    <row r="1767" spans="1:16" ht="60" customHeight="1">
      <c r="A1767" s="30" t="s">
        <v>3559</v>
      </c>
      <c r="B1767" s="50" t="s">
        <v>148</v>
      </c>
      <c r="C1767" s="52" t="s">
        <v>3880</v>
      </c>
      <c r="D1767" s="30"/>
      <c r="E1767" s="30"/>
      <c r="F1767" s="30"/>
      <c r="G1767" s="30"/>
      <c r="H1767" s="30" t="s">
        <v>149</v>
      </c>
      <c r="I1767" s="30" t="s">
        <v>31</v>
      </c>
      <c r="J1767" s="30" t="s">
        <v>142</v>
      </c>
      <c r="K1767" s="30" t="s">
        <v>116</v>
      </c>
      <c r="L1767" s="30" t="s">
        <v>122</v>
      </c>
      <c r="M1767" s="48" t="s">
        <v>184</v>
      </c>
      <c r="N1767" s="30"/>
      <c r="O1767" s="30"/>
      <c r="P1767" s="30"/>
    </row>
    <row r="1768" spans="1:16" ht="45" customHeight="1">
      <c r="A1768" s="30" t="s">
        <v>3560</v>
      </c>
      <c r="B1768" s="47" t="s">
        <v>148</v>
      </c>
      <c r="C1768" s="48" t="s">
        <v>3881</v>
      </c>
      <c r="D1768" s="30"/>
      <c r="E1768" s="30"/>
      <c r="F1768" s="30"/>
      <c r="G1768" s="30"/>
      <c r="H1768" s="30" t="s">
        <v>149</v>
      </c>
      <c r="I1768" s="30" t="s">
        <v>31</v>
      </c>
      <c r="J1768" s="30" t="s">
        <v>142</v>
      </c>
      <c r="K1768" s="30" t="s">
        <v>116</v>
      </c>
      <c r="L1768" s="30" t="s">
        <v>122</v>
      </c>
      <c r="M1768" s="48" t="s">
        <v>184</v>
      </c>
      <c r="N1768" s="30"/>
      <c r="O1768" s="30"/>
      <c r="P1768" s="30"/>
    </row>
    <row r="1769" spans="1:16" ht="45" customHeight="1">
      <c r="A1769" s="30" t="s">
        <v>3561</v>
      </c>
      <c r="B1769" s="47" t="s">
        <v>148</v>
      </c>
      <c r="C1769" s="48" t="s">
        <v>3884</v>
      </c>
      <c r="D1769" s="30"/>
      <c r="E1769" s="30"/>
      <c r="F1769" s="30"/>
      <c r="G1769" s="30"/>
      <c r="H1769" s="30" t="s">
        <v>149</v>
      </c>
      <c r="I1769" s="30" t="s">
        <v>31</v>
      </c>
      <c r="J1769" s="30" t="s">
        <v>142</v>
      </c>
      <c r="K1769" s="30" t="s">
        <v>116</v>
      </c>
      <c r="L1769" s="30" t="s">
        <v>122</v>
      </c>
      <c r="M1769" s="48" t="s">
        <v>184</v>
      </c>
      <c r="N1769" s="30"/>
      <c r="O1769" s="30"/>
      <c r="P1769" s="30"/>
    </row>
    <row r="1770" spans="1:16" ht="30" customHeight="1">
      <c r="A1770" s="30" t="s">
        <v>3562</v>
      </c>
      <c r="B1770" s="47" t="s">
        <v>148</v>
      </c>
      <c r="C1770" s="48" t="s">
        <v>3885</v>
      </c>
      <c r="D1770" s="30"/>
      <c r="E1770" s="30"/>
      <c r="F1770" s="30"/>
      <c r="G1770" s="30"/>
      <c r="H1770" s="30" t="s">
        <v>149</v>
      </c>
      <c r="I1770" s="30" t="s">
        <v>31</v>
      </c>
      <c r="J1770" s="30" t="s">
        <v>142</v>
      </c>
      <c r="K1770" s="30" t="s">
        <v>116</v>
      </c>
      <c r="L1770" s="30" t="s">
        <v>122</v>
      </c>
      <c r="M1770" s="48" t="s">
        <v>184</v>
      </c>
      <c r="N1770" s="30"/>
      <c r="O1770" s="30"/>
      <c r="P1770" s="30"/>
    </row>
    <row r="1771" spans="1:16" ht="75" customHeight="1">
      <c r="A1771" s="30" t="s">
        <v>3563</v>
      </c>
      <c r="B1771" s="50" t="s">
        <v>148</v>
      </c>
      <c r="C1771" s="52" t="s">
        <v>3888</v>
      </c>
      <c r="D1771" s="30"/>
      <c r="E1771" s="30"/>
      <c r="F1771" s="30"/>
      <c r="G1771" s="30"/>
      <c r="H1771" s="30" t="s">
        <v>149</v>
      </c>
      <c r="I1771" s="30" t="s">
        <v>31</v>
      </c>
      <c r="J1771" s="30" t="s">
        <v>142</v>
      </c>
      <c r="K1771" s="30" t="s">
        <v>116</v>
      </c>
      <c r="L1771" s="30" t="s">
        <v>122</v>
      </c>
      <c r="M1771" s="48" t="s">
        <v>184</v>
      </c>
      <c r="N1771" s="30"/>
      <c r="O1771" s="30"/>
      <c r="P1771" s="30"/>
    </row>
    <row r="1772" spans="1:16" ht="45" customHeight="1">
      <c r="A1772" s="30" t="s">
        <v>3564</v>
      </c>
      <c r="B1772" s="47" t="s">
        <v>148</v>
      </c>
      <c r="C1772" s="48" t="s">
        <v>3892</v>
      </c>
      <c r="D1772" s="30"/>
      <c r="E1772" s="30"/>
      <c r="F1772" s="30"/>
      <c r="G1772" s="30"/>
      <c r="H1772" s="30" t="s">
        <v>149</v>
      </c>
      <c r="I1772" s="30" t="s">
        <v>31</v>
      </c>
      <c r="J1772" s="30" t="s">
        <v>142</v>
      </c>
      <c r="K1772" s="30" t="s">
        <v>116</v>
      </c>
      <c r="L1772" s="30" t="s">
        <v>122</v>
      </c>
      <c r="M1772" s="48" t="s">
        <v>184</v>
      </c>
      <c r="N1772" s="30"/>
      <c r="O1772" s="30"/>
      <c r="P1772" s="30"/>
    </row>
    <row r="1773" spans="1:16" s="31" customFormat="1" ht="75" customHeight="1">
      <c r="A1773" s="30" t="s">
        <v>3565</v>
      </c>
      <c r="B1773" s="50" t="s">
        <v>148</v>
      </c>
      <c r="C1773" s="52" t="s">
        <v>3893</v>
      </c>
      <c r="D1773" s="30"/>
      <c r="E1773" s="30"/>
      <c r="F1773" s="30"/>
      <c r="G1773" s="30"/>
      <c r="H1773" s="30" t="s">
        <v>149</v>
      </c>
      <c r="I1773" s="30" t="s">
        <v>30</v>
      </c>
      <c r="J1773" s="30" t="s">
        <v>144</v>
      </c>
      <c r="K1773" s="30" t="s">
        <v>117</v>
      </c>
      <c r="L1773" s="53" t="s">
        <v>3664</v>
      </c>
      <c r="M1773" s="51" t="s">
        <v>4204</v>
      </c>
      <c r="N1773" s="66"/>
      <c r="O1773" s="30"/>
      <c r="P1773" s="30"/>
    </row>
    <row r="1774" spans="1:16" s="31" customFormat="1" ht="75" customHeight="1">
      <c r="A1774" s="30" t="s">
        <v>3566</v>
      </c>
      <c r="B1774" s="50" t="s">
        <v>148</v>
      </c>
      <c r="C1774" s="52" t="s">
        <v>3894</v>
      </c>
      <c r="D1774" s="30"/>
      <c r="E1774" s="30"/>
      <c r="F1774" s="30"/>
      <c r="G1774" s="30"/>
      <c r="H1774" s="30" t="s">
        <v>149</v>
      </c>
      <c r="I1774" s="30" t="s">
        <v>30</v>
      </c>
      <c r="J1774" s="30" t="s">
        <v>144</v>
      </c>
      <c r="K1774" s="30" t="s">
        <v>117</v>
      </c>
      <c r="L1774" s="53" t="s">
        <v>3664</v>
      </c>
      <c r="M1774" s="51" t="s">
        <v>4204</v>
      </c>
      <c r="N1774" s="66"/>
      <c r="O1774" s="30"/>
      <c r="P1774" s="30"/>
    </row>
    <row r="1775" spans="1:16" ht="45" customHeight="1">
      <c r="A1775" s="30" t="s">
        <v>3567</v>
      </c>
      <c r="B1775" s="47" t="s">
        <v>148</v>
      </c>
      <c r="C1775" s="48" t="s">
        <v>3898</v>
      </c>
      <c r="D1775" s="30"/>
      <c r="E1775" s="30"/>
      <c r="F1775" s="30"/>
      <c r="G1775" s="30"/>
      <c r="H1775" s="30" t="s">
        <v>149</v>
      </c>
      <c r="I1775" s="30" t="s">
        <v>31</v>
      </c>
      <c r="J1775" s="30" t="s">
        <v>142</v>
      </c>
      <c r="K1775" s="30" t="s">
        <v>116</v>
      </c>
      <c r="L1775" s="30" t="s">
        <v>122</v>
      </c>
      <c r="M1775" s="48" t="s">
        <v>184</v>
      </c>
      <c r="N1775" s="30"/>
      <c r="O1775" s="30"/>
      <c r="P1775" s="30"/>
    </row>
    <row r="1776" spans="1:16" ht="45" customHeight="1">
      <c r="A1776" s="30" t="s">
        <v>3568</v>
      </c>
      <c r="B1776" s="47" t="s">
        <v>148</v>
      </c>
      <c r="C1776" s="48" t="s">
        <v>3902</v>
      </c>
      <c r="D1776" s="30"/>
      <c r="E1776" s="30"/>
      <c r="F1776" s="30"/>
      <c r="G1776" s="30"/>
      <c r="H1776" s="30" t="s">
        <v>149</v>
      </c>
      <c r="I1776" s="30" t="s">
        <v>31</v>
      </c>
      <c r="J1776" s="30" t="s">
        <v>142</v>
      </c>
      <c r="K1776" s="30" t="s">
        <v>116</v>
      </c>
      <c r="L1776" s="30" t="s">
        <v>122</v>
      </c>
      <c r="M1776" s="48" t="s">
        <v>184</v>
      </c>
      <c r="N1776" s="30"/>
      <c r="O1776" s="30"/>
      <c r="P1776" s="30"/>
    </row>
    <row r="1777" spans="1:16" ht="75" customHeight="1">
      <c r="A1777" s="30" t="s">
        <v>3569</v>
      </c>
      <c r="B1777" s="55" t="s">
        <v>148</v>
      </c>
      <c r="C1777" s="52" t="s">
        <v>3905</v>
      </c>
      <c r="D1777" s="30"/>
      <c r="E1777" s="30"/>
      <c r="F1777" s="30"/>
      <c r="G1777" s="30"/>
      <c r="H1777" s="30" t="s">
        <v>149</v>
      </c>
      <c r="I1777" s="30" t="s">
        <v>31</v>
      </c>
      <c r="J1777" s="30" t="s">
        <v>142</v>
      </c>
      <c r="K1777" s="30" t="s">
        <v>116</v>
      </c>
      <c r="L1777" s="30" t="s">
        <v>122</v>
      </c>
      <c r="M1777" s="48" t="s">
        <v>184</v>
      </c>
      <c r="N1777" s="30"/>
      <c r="O1777" s="30"/>
      <c r="P1777" s="30"/>
    </row>
    <row r="1778" spans="1:16" ht="75" customHeight="1">
      <c r="A1778" s="30" t="s">
        <v>3570</v>
      </c>
      <c r="B1778" s="55" t="s">
        <v>148</v>
      </c>
      <c r="C1778" s="52" t="s">
        <v>3906</v>
      </c>
      <c r="D1778" s="30"/>
      <c r="E1778" s="30"/>
      <c r="F1778" s="30"/>
      <c r="G1778" s="30"/>
      <c r="H1778" s="30" t="s">
        <v>149</v>
      </c>
      <c r="I1778" s="30" t="s">
        <v>31</v>
      </c>
      <c r="J1778" s="30" t="s">
        <v>142</v>
      </c>
      <c r="K1778" s="30" t="s">
        <v>116</v>
      </c>
      <c r="L1778" s="30" t="s">
        <v>122</v>
      </c>
      <c r="M1778" s="48" t="s">
        <v>184</v>
      </c>
      <c r="N1778" s="30"/>
      <c r="O1778" s="30"/>
      <c r="P1778" s="30"/>
    </row>
    <row r="1779" spans="1:16" ht="45" customHeight="1">
      <c r="A1779" s="30" t="s">
        <v>3571</v>
      </c>
      <c r="B1779" s="47" t="s">
        <v>148</v>
      </c>
      <c r="C1779" s="48" t="s">
        <v>3909</v>
      </c>
      <c r="D1779" s="30"/>
      <c r="E1779" s="30"/>
      <c r="F1779" s="30"/>
      <c r="G1779" s="30" t="s">
        <v>4041</v>
      </c>
      <c r="H1779" s="30" t="s">
        <v>149</v>
      </c>
      <c r="I1779" s="30" t="s">
        <v>30</v>
      </c>
      <c r="J1779" s="30" t="s">
        <v>142</v>
      </c>
      <c r="K1779" s="30" t="s">
        <v>116</v>
      </c>
      <c r="L1779" s="30" t="s">
        <v>143</v>
      </c>
      <c r="M1779" s="48" t="s">
        <v>4124</v>
      </c>
      <c r="N1779" s="30"/>
      <c r="O1779" s="30"/>
      <c r="P1779" s="30"/>
    </row>
    <row r="1780" spans="1:16" ht="45" customHeight="1">
      <c r="A1780" s="30" t="s">
        <v>3572</v>
      </c>
      <c r="B1780" s="47" t="s">
        <v>148</v>
      </c>
      <c r="C1780" s="48" t="s">
        <v>3910</v>
      </c>
      <c r="D1780" s="30"/>
      <c r="E1780" s="30"/>
      <c r="F1780" s="30"/>
      <c r="G1780" s="30" t="s">
        <v>4041</v>
      </c>
      <c r="H1780" s="30" t="s">
        <v>149</v>
      </c>
      <c r="I1780" s="30" t="s">
        <v>30</v>
      </c>
      <c r="J1780" s="30" t="s">
        <v>142</v>
      </c>
      <c r="K1780" s="30" t="s">
        <v>116</v>
      </c>
      <c r="L1780" s="30" t="s">
        <v>146</v>
      </c>
      <c r="M1780" s="48"/>
      <c r="N1780" s="30"/>
      <c r="O1780" s="30"/>
      <c r="P1780" s="30"/>
    </row>
    <row r="1781" spans="1:16" ht="45" customHeight="1">
      <c r="A1781" s="30" t="s">
        <v>3573</v>
      </c>
      <c r="B1781" s="47" t="s">
        <v>148</v>
      </c>
      <c r="C1781" s="48" t="s">
        <v>3911</v>
      </c>
      <c r="D1781" s="30"/>
      <c r="E1781" s="30"/>
      <c r="F1781" s="30"/>
      <c r="G1781" s="30"/>
      <c r="H1781" s="30" t="s">
        <v>149</v>
      </c>
      <c r="I1781" s="30" t="s">
        <v>31</v>
      </c>
      <c r="J1781" s="30" t="s">
        <v>144</v>
      </c>
      <c r="K1781" s="30" t="s">
        <v>117</v>
      </c>
      <c r="L1781" s="30" t="s">
        <v>122</v>
      </c>
      <c r="M1781" s="48"/>
      <c r="N1781" s="30"/>
      <c r="O1781" s="30"/>
      <c r="P1781" s="30"/>
    </row>
    <row r="1782" spans="1:16" ht="60" customHeight="1">
      <c r="A1782" s="30" t="s">
        <v>3574</v>
      </c>
      <c r="B1782" s="47" t="s">
        <v>148</v>
      </c>
      <c r="C1782" s="48" t="s">
        <v>3912</v>
      </c>
      <c r="D1782" s="30"/>
      <c r="E1782" s="30"/>
      <c r="F1782" s="30"/>
      <c r="G1782" s="30"/>
      <c r="H1782" s="30" t="s">
        <v>149</v>
      </c>
      <c r="I1782" s="30" t="s">
        <v>31</v>
      </c>
      <c r="J1782" s="30" t="s">
        <v>144</v>
      </c>
      <c r="K1782" s="30" t="s">
        <v>117</v>
      </c>
      <c r="L1782" s="30" t="s">
        <v>122</v>
      </c>
      <c r="M1782" s="48"/>
      <c r="N1782" s="30"/>
      <c r="O1782" s="30"/>
      <c r="P1782" s="30"/>
    </row>
    <row r="1783" spans="1:16" ht="45" customHeight="1">
      <c r="A1783" s="30" t="s">
        <v>3575</v>
      </c>
      <c r="B1783" s="47" t="s">
        <v>148</v>
      </c>
      <c r="C1783" s="48" t="s">
        <v>3913</v>
      </c>
      <c r="D1783" s="30"/>
      <c r="E1783" s="30"/>
      <c r="F1783" s="30"/>
      <c r="G1783" s="30"/>
      <c r="H1783" s="30" t="s">
        <v>149</v>
      </c>
      <c r="I1783" s="30" t="s">
        <v>30</v>
      </c>
      <c r="J1783" s="30" t="s">
        <v>144</v>
      </c>
      <c r="K1783" s="30" t="s">
        <v>117</v>
      </c>
      <c r="L1783" s="30" t="s">
        <v>122</v>
      </c>
      <c r="M1783" s="48"/>
      <c r="N1783" s="30"/>
      <c r="O1783" s="30"/>
      <c r="P1783" s="30"/>
    </row>
    <row r="1784" spans="1:16" ht="90" customHeight="1">
      <c r="A1784" s="30" t="s">
        <v>3576</v>
      </c>
      <c r="B1784" s="47" t="s">
        <v>1297</v>
      </c>
      <c r="C1784" s="48" t="s">
        <v>3916</v>
      </c>
      <c r="D1784" s="30"/>
      <c r="E1784" s="30"/>
      <c r="F1784" s="30"/>
      <c r="G1784" s="30"/>
      <c r="H1784" s="30" t="s">
        <v>149</v>
      </c>
      <c r="I1784" s="30" t="s">
        <v>31</v>
      </c>
      <c r="J1784" s="30" t="s">
        <v>142</v>
      </c>
      <c r="K1784" s="30" t="s">
        <v>116</v>
      </c>
      <c r="L1784" s="30" t="s">
        <v>122</v>
      </c>
      <c r="M1784" s="48" t="s">
        <v>184</v>
      </c>
      <c r="N1784" s="30"/>
      <c r="O1784" s="30"/>
      <c r="P1784" s="30"/>
    </row>
    <row r="1785" spans="1:16" ht="60" customHeight="1">
      <c r="A1785" s="30" t="s">
        <v>3577</v>
      </c>
      <c r="B1785" s="47" t="s">
        <v>1297</v>
      </c>
      <c r="C1785" s="48" t="s">
        <v>3919</v>
      </c>
      <c r="D1785" s="30"/>
      <c r="E1785" s="30"/>
      <c r="F1785" s="30"/>
      <c r="G1785" s="30" t="s">
        <v>4041</v>
      </c>
      <c r="H1785" s="30" t="s">
        <v>149</v>
      </c>
      <c r="I1785" s="30" t="s">
        <v>30</v>
      </c>
      <c r="J1785" s="30" t="s">
        <v>142</v>
      </c>
      <c r="K1785" s="30" t="s">
        <v>116</v>
      </c>
      <c r="L1785" s="30" t="s">
        <v>146</v>
      </c>
      <c r="M1785" s="48"/>
      <c r="N1785" s="30"/>
      <c r="O1785" s="30"/>
      <c r="P1785" s="30"/>
    </row>
    <row r="1786" spans="1:16" ht="45" customHeight="1">
      <c r="A1786" s="30" t="s">
        <v>3578</v>
      </c>
      <c r="B1786" s="55" t="s">
        <v>148</v>
      </c>
      <c r="C1786" s="52" t="s">
        <v>3920</v>
      </c>
      <c r="D1786" s="30"/>
      <c r="E1786" s="30"/>
      <c r="F1786" s="30"/>
      <c r="G1786" s="30"/>
      <c r="H1786" s="30" t="s">
        <v>149</v>
      </c>
      <c r="I1786" s="30" t="s">
        <v>30</v>
      </c>
      <c r="J1786" s="30" t="s">
        <v>144</v>
      </c>
      <c r="K1786" s="30" t="s">
        <v>117</v>
      </c>
      <c r="L1786" s="30" t="s">
        <v>122</v>
      </c>
      <c r="M1786" s="48"/>
      <c r="N1786" s="30"/>
      <c r="O1786" s="30"/>
      <c r="P1786" s="30"/>
    </row>
    <row r="1787" spans="1:16" ht="45" customHeight="1">
      <c r="A1787" s="30" t="s">
        <v>3579</v>
      </c>
      <c r="B1787" s="47" t="s">
        <v>148</v>
      </c>
      <c r="C1787" s="48" t="s">
        <v>3923</v>
      </c>
      <c r="D1787" s="30"/>
      <c r="E1787" s="30"/>
      <c r="F1787" s="30"/>
      <c r="G1787" s="30"/>
      <c r="H1787" s="30" t="s">
        <v>149</v>
      </c>
      <c r="I1787" s="30" t="s">
        <v>31</v>
      </c>
      <c r="J1787" s="30" t="s">
        <v>142</v>
      </c>
      <c r="K1787" s="30" t="s">
        <v>116</v>
      </c>
      <c r="L1787" s="30" t="s">
        <v>122</v>
      </c>
      <c r="M1787" s="48" t="s">
        <v>184</v>
      </c>
      <c r="N1787" s="30"/>
      <c r="O1787" s="30"/>
      <c r="P1787" s="30"/>
    </row>
    <row r="1788" spans="1:16" ht="60" customHeight="1">
      <c r="A1788" s="30" t="s">
        <v>3580</v>
      </c>
      <c r="B1788" s="47" t="s">
        <v>148</v>
      </c>
      <c r="C1788" s="48" t="s">
        <v>3924</v>
      </c>
      <c r="D1788" s="30"/>
      <c r="E1788" s="30"/>
      <c r="F1788" s="30"/>
      <c r="G1788" s="30" t="s">
        <v>4041</v>
      </c>
      <c r="H1788" s="30" t="s">
        <v>149</v>
      </c>
      <c r="I1788" s="30" t="s">
        <v>30</v>
      </c>
      <c r="J1788" s="30" t="s">
        <v>142</v>
      </c>
      <c r="K1788" s="30" t="s">
        <v>116</v>
      </c>
      <c r="L1788" s="30" t="s">
        <v>143</v>
      </c>
      <c r="M1788" s="48" t="s">
        <v>4131</v>
      </c>
      <c r="N1788" s="30"/>
      <c r="O1788" s="30"/>
      <c r="P1788" s="30"/>
    </row>
    <row r="1789" spans="1:16" s="31" customFormat="1" ht="30">
      <c r="A1789" s="30" t="s">
        <v>3581</v>
      </c>
      <c r="B1789" s="47" t="s">
        <v>148</v>
      </c>
      <c r="C1789" s="48" t="s">
        <v>3925</v>
      </c>
      <c r="D1789" s="30"/>
      <c r="E1789" s="30"/>
      <c r="F1789" s="30"/>
      <c r="G1789" s="30" t="s">
        <v>4041</v>
      </c>
      <c r="H1789" s="30" t="s">
        <v>149</v>
      </c>
      <c r="I1789" s="30" t="s">
        <v>30</v>
      </c>
      <c r="J1789" s="30" t="s">
        <v>142</v>
      </c>
      <c r="K1789" s="30" t="s">
        <v>116</v>
      </c>
      <c r="L1789" s="30" t="s">
        <v>143</v>
      </c>
      <c r="M1789" s="48" t="s">
        <v>4220</v>
      </c>
      <c r="N1789" s="30"/>
      <c r="O1789" s="30"/>
      <c r="P1789" s="30"/>
    </row>
    <row r="1790" spans="1:16" ht="45" customHeight="1">
      <c r="A1790" s="30" t="s">
        <v>3582</v>
      </c>
      <c r="B1790" s="47" t="s">
        <v>148</v>
      </c>
      <c r="C1790" s="48" t="s">
        <v>3926</v>
      </c>
      <c r="D1790" s="30"/>
      <c r="E1790" s="30"/>
      <c r="F1790" s="30"/>
      <c r="G1790" s="30" t="s">
        <v>4041</v>
      </c>
      <c r="H1790" s="30" t="s">
        <v>149</v>
      </c>
      <c r="I1790" s="30" t="s">
        <v>30</v>
      </c>
      <c r="J1790" s="30" t="s">
        <v>142</v>
      </c>
      <c r="K1790" s="30" t="s">
        <v>116</v>
      </c>
      <c r="L1790" s="30" t="s">
        <v>143</v>
      </c>
      <c r="M1790" s="48" t="s">
        <v>4131</v>
      </c>
      <c r="N1790" s="30"/>
      <c r="O1790" s="30"/>
      <c r="P1790" s="30"/>
    </row>
    <row r="1791" spans="1:16" ht="45" customHeight="1">
      <c r="A1791" s="30" t="s">
        <v>3583</v>
      </c>
      <c r="B1791" s="47" t="s">
        <v>148</v>
      </c>
      <c r="C1791" s="48" t="s">
        <v>3927</v>
      </c>
      <c r="D1791" s="30"/>
      <c r="E1791" s="30"/>
      <c r="F1791" s="30"/>
      <c r="G1791" s="30" t="s">
        <v>4041</v>
      </c>
      <c r="H1791" s="30" t="s">
        <v>149</v>
      </c>
      <c r="I1791" s="30" t="s">
        <v>30</v>
      </c>
      <c r="J1791" s="30" t="s">
        <v>142</v>
      </c>
      <c r="K1791" s="30" t="s">
        <v>116</v>
      </c>
      <c r="L1791" s="30" t="s">
        <v>143</v>
      </c>
      <c r="M1791" s="48" t="s">
        <v>4131</v>
      </c>
      <c r="N1791" s="30"/>
      <c r="O1791" s="30"/>
      <c r="P1791" s="30"/>
    </row>
    <row r="1792" spans="1:16" ht="105" customHeight="1">
      <c r="A1792" s="30" t="s">
        <v>3584</v>
      </c>
      <c r="B1792" s="47" t="s">
        <v>148</v>
      </c>
      <c r="C1792" s="48" t="s">
        <v>3928</v>
      </c>
      <c r="D1792" s="30"/>
      <c r="E1792" s="30"/>
      <c r="F1792" s="30"/>
      <c r="G1792" s="30" t="s">
        <v>4041</v>
      </c>
      <c r="H1792" s="30" t="s">
        <v>149</v>
      </c>
      <c r="I1792" s="30" t="s">
        <v>30</v>
      </c>
      <c r="J1792" s="30" t="s">
        <v>142</v>
      </c>
      <c r="K1792" s="30" t="s">
        <v>116</v>
      </c>
      <c r="L1792" s="30" t="s">
        <v>143</v>
      </c>
      <c r="M1792" s="48" t="s">
        <v>4131</v>
      </c>
      <c r="N1792" s="30"/>
      <c r="O1792" s="30"/>
      <c r="P1792" s="30"/>
    </row>
    <row r="1793" spans="1:16" ht="105" customHeight="1">
      <c r="A1793" s="30" t="s">
        <v>3585</v>
      </c>
      <c r="B1793" s="47" t="s">
        <v>148</v>
      </c>
      <c r="C1793" s="48" t="s">
        <v>3929</v>
      </c>
      <c r="D1793" s="30"/>
      <c r="E1793" s="30"/>
      <c r="F1793" s="30"/>
      <c r="G1793" s="30" t="s">
        <v>4041</v>
      </c>
      <c r="H1793" s="30" t="s">
        <v>149</v>
      </c>
      <c r="I1793" s="30" t="s">
        <v>30</v>
      </c>
      <c r="J1793" s="30" t="s">
        <v>142</v>
      </c>
      <c r="K1793" s="30" t="s">
        <v>116</v>
      </c>
      <c r="L1793" s="30" t="s">
        <v>143</v>
      </c>
      <c r="M1793" s="48" t="s">
        <v>4131</v>
      </c>
      <c r="N1793" s="30"/>
      <c r="O1793" s="30"/>
      <c r="P1793" s="30"/>
    </row>
    <row r="1794" spans="1:16" ht="105" customHeight="1">
      <c r="A1794" s="30" t="s">
        <v>3586</v>
      </c>
      <c r="B1794" s="47" t="s">
        <v>148</v>
      </c>
      <c r="C1794" s="48" t="s">
        <v>3930</v>
      </c>
      <c r="D1794" s="30"/>
      <c r="E1794" s="30"/>
      <c r="F1794" s="30"/>
      <c r="G1794" s="30" t="s">
        <v>4041</v>
      </c>
      <c r="H1794" s="30" t="s">
        <v>149</v>
      </c>
      <c r="I1794" s="30" t="s">
        <v>30</v>
      </c>
      <c r="J1794" s="30" t="s">
        <v>142</v>
      </c>
      <c r="K1794" s="30" t="s">
        <v>116</v>
      </c>
      <c r="L1794" s="30" t="s">
        <v>143</v>
      </c>
      <c r="M1794" s="48" t="s">
        <v>4131</v>
      </c>
      <c r="N1794" s="30"/>
      <c r="O1794" s="30"/>
      <c r="P1794" s="30"/>
    </row>
    <row r="1795" spans="1:16" ht="105" customHeight="1">
      <c r="A1795" s="30" t="s">
        <v>3587</v>
      </c>
      <c r="B1795" s="47" t="s">
        <v>148</v>
      </c>
      <c r="C1795" s="48" t="s">
        <v>3931</v>
      </c>
      <c r="D1795" s="30"/>
      <c r="E1795" s="30"/>
      <c r="F1795" s="30"/>
      <c r="G1795" s="30" t="s">
        <v>4041</v>
      </c>
      <c r="H1795" s="30" t="s">
        <v>149</v>
      </c>
      <c r="I1795" s="30" t="s">
        <v>30</v>
      </c>
      <c r="J1795" s="30" t="s">
        <v>142</v>
      </c>
      <c r="K1795" s="30" t="s">
        <v>116</v>
      </c>
      <c r="L1795" s="30" t="s">
        <v>143</v>
      </c>
      <c r="M1795" s="48" t="s">
        <v>4131</v>
      </c>
      <c r="N1795" s="30"/>
      <c r="O1795" s="30"/>
      <c r="P1795" s="30"/>
    </row>
    <row r="1796" spans="1:16" ht="105" customHeight="1">
      <c r="A1796" s="30" t="s">
        <v>3588</v>
      </c>
      <c r="B1796" s="47" t="s">
        <v>148</v>
      </c>
      <c r="C1796" s="48" t="s">
        <v>3932</v>
      </c>
      <c r="D1796" s="30"/>
      <c r="E1796" s="30"/>
      <c r="F1796" s="30"/>
      <c r="G1796" s="30" t="s">
        <v>4041</v>
      </c>
      <c r="H1796" s="30" t="s">
        <v>149</v>
      </c>
      <c r="I1796" s="30" t="s">
        <v>30</v>
      </c>
      <c r="J1796" s="30" t="s">
        <v>142</v>
      </c>
      <c r="K1796" s="30" t="s">
        <v>116</v>
      </c>
      <c r="L1796" s="30" t="s">
        <v>143</v>
      </c>
      <c r="M1796" s="48" t="s">
        <v>4131</v>
      </c>
      <c r="N1796" s="30"/>
      <c r="O1796" s="30"/>
      <c r="P1796" s="30"/>
    </row>
    <row r="1797" spans="1:16" ht="105" customHeight="1">
      <c r="A1797" s="30" t="s">
        <v>3589</v>
      </c>
      <c r="B1797" s="47" t="s">
        <v>148</v>
      </c>
      <c r="C1797" s="48" t="s">
        <v>3933</v>
      </c>
      <c r="D1797" s="30"/>
      <c r="E1797" s="30"/>
      <c r="F1797" s="30"/>
      <c r="G1797" s="30" t="s">
        <v>4041</v>
      </c>
      <c r="H1797" s="30" t="s">
        <v>149</v>
      </c>
      <c r="I1797" s="30" t="s">
        <v>30</v>
      </c>
      <c r="J1797" s="30" t="s">
        <v>142</v>
      </c>
      <c r="K1797" s="30" t="s">
        <v>116</v>
      </c>
      <c r="L1797" s="30" t="s">
        <v>143</v>
      </c>
      <c r="M1797" s="48" t="s">
        <v>4131</v>
      </c>
      <c r="N1797" s="30"/>
      <c r="O1797" s="30"/>
      <c r="P1797" s="30"/>
    </row>
    <row r="1798" spans="1:16" ht="105" customHeight="1">
      <c r="A1798" s="30" t="s">
        <v>3590</v>
      </c>
      <c r="B1798" s="47" t="s">
        <v>148</v>
      </c>
      <c r="C1798" s="48" t="s">
        <v>3934</v>
      </c>
      <c r="D1798" s="30"/>
      <c r="E1798" s="30"/>
      <c r="F1798" s="30"/>
      <c r="G1798" s="30" t="s">
        <v>4041</v>
      </c>
      <c r="H1798" s="30" t="s">
        <v>149</v>
      </c>
      <c r="I1798" s="30" t="s">
        <v>30</v>
      </c>
      <c r="J1798" s="30" t="s">
        <v>142</v>
      </c>
      <c r="K1798" s="30" t="s">
        <v>116</v>
      </c>
      <c r="L1798" s="30" t="s">
        <v>143</v>
      </c>
      <c r="M1798" s="48" t="s">
        <v>4131</v>
      </c>
      <c r="N1798" s="30"/>
      <c r="O1798" s="30"/>
      <c r="P1798" s="30"/>
    </row>
    <row r="1799" spans="1:16" ht="105" customHeight="1">
      <c r="A1799" s="30" t="s">
        <v>3591</v>
      </c>
      <c r="B1799" s="47" t="s">
        <v>148</v>
      </c>
      <c r="C1799" s="48" t="s">
        <v>3935</v>
      </c>
      <c r="D1799" s="30"/>
      <c r="E1799" s="30"/>
      <c r="F1799" s="30"/>
      <c r="G1799" s="30" t="s">
        <v>4041</v>
      </c>
      <c r="H1799" s="30" t="s">
        <v>149</v>
      </c>
      <c r="I1799" s="30" t="s">
        <v>30</v>
      </c>
      <c r="J1799" s="30" t="s">
        <v>142</v>
      </c>
      <c r="K1799" s="30" t="s">
        <v>116</v>
      </c>
      <c r="L1799" s="30" t="s">
        <v>143</v>
      </c>
      <c r="M1799" s="48" t="s">
        <v>4131</v>
      </c>
      <c r="N1799" s="30"/>
      <c r="O1799" s="30"/>
      <c r="P1799" s="30"/>
    </row>
    <row r="1800" spans="1:16" ht="105" customHeight="1">
      <c r="A1800" s="30" t="s">
        <v>3592</v>
      </c>
      <c r="B1800" s="47" t="s">
        <v>148</v>
      </c>
      <c r="C1800" s="48" t="s">
        <v>3936</v>
      </c>
      <c r="D1800" s="30"/>
      <c r="E1800" s="30"/>
      <c r="F1800" s="30"/>
      <c r="G1800" s="30" t="s">
        <v>4041</v>
      </c>
      <c r="H1800" s="30" t="s">
        <v>149</v>
      </c>
      <c r="I1800" s="30" t="s">
        <v>30</v>
      </c>
      <c r="J1800" s="30" t="s">
        <v>142</v>
      </c>
      <c r="K1800" s="30" t="s">
        <v>116</v>
      </c>
      <c r="L1800" s="30" t="s">
        <v>143</v>
      </c>
      <c r="M1800" s="48" t="s">
        <v>4131</v>
      </c>
      <c r="N1800" s="30"/>
      <c r="O1800" s="30"/>
      <c r="P1800" s="30"/>
    </row>
    <row r="1801" spans="1:16" ht="60" customHeight="1">
      <c r="A1801" s="30" t="s">
        <v>3593</v>
      </c>
      <c r="B1801" s="55" t="s">
        <v>148</v>
      </c>
      <c r="C1801" s="52" t="s">
        <v>3939</v>
      </c>
      <c r="D1801" s="30"/>
      <c r="E1801" s="30"/>
      <c r="F1801" s="30"/>
      <c r="G1801" s="30" t="s">
        <v>4041</v>
      </c>
      <c r="H1801" s="30" t="s">
        <v>149</v>
      </c>
      <c r="I1801" s="30" t="s">
        <v>30</v>
      </c>
      <c r="J1801" s="30" t="s">
        <v>142</v>
      </c>
      <c r="K1801" s="30" t="s">
        <v>116</v>
      </c>
      <c r="L1801" s="30" t="s">
        <v>143</v>
      </c>
      <c r="M1801" s="48" t="s">
        <v>4131</v>
      </c>
      <c r="N1801" s="30"/>
      <c r="O1801" s="30"/>
      <c r="P1801" s="30"/>
    </row>
    <row r="1802" spans="1:16" ht="90" customHeight="1">
      <c r="A1802" s="30" t="s">
        <v>3594</v>
      </c>
      <c r="B1802" s="47" t="s">
        <v>148</v>
      </c>
      <c r="C1802" s="48" t="s">
        <v>3940</v>
      </c>
      <c r="D1802" s="30"/>
      <c r="E1802" s="30"/>
      <c r="F1802" s="30"/>
      <c r="G1802" s="30" t="s">
        <v>4041</v>
      </c>
      <c r="H1802" s="30" t="s">
        <v>149</v>
      </c>
      <c r="I1802" s="30" t="s">
        <v>30</v>
      </c>
      <c r="J1802" s="30" t="s">
        <v>142</v>
      </c>
      <c r="K1802" s="30" t="s">
        <v>116</v>
      </c>
      <c r="L1802" s="30" t="s">
        <v>146</v>
      </c>
      <c r="M1802" s="48"/>
      <c r="N1802" s="30"/>
      <c r="O1802" s="30"/>
      <c r="P1802" s="30"/>
    </row>
    <row r="1803" spans="1:16" ht="75" customHeight="1">
      <c r="A1803" s="30" t="s">
        <v>3595</v>
      </c>
      <c r="B1803" s="47" t="s">
        <v>148</v>
      </c>
      <c r="C1803" s="48" t="s">
        <v>3941</v>
      </c>
      <c r="D1803" s="30"/>
      <c r="E1803" s="30"/>
      <c r="F1803" s="30"/>
      <c r="G1803" s="30"/>
      <c r="H1803" s="30" t="s">
        <v>149</v>
      </c>
      <c r="I1803" s="30" t="s">
        <v>30</v>
      </c>
      <c r="J1803" s="30" t="s">
        <v>142</v>
      </c>
      <c r="K1803" s="30" t="s">
        <v>116</v>
      </c>
      <c r="L1803" s="30" t="s">
        <v>121</v>
      </c>
      <c r="M1803" s="48" t="s">
        <v>4046</v>
      </c>
      <c r="N1803" s="30"/>
      <c r="O1803" s="30"/>
      <c r="P1803" s="30"/>
    </row>
    <row r="1804" spans="1:16" ht="75" customHeight="1">
      <c r="A1804" s="30" t="s">
        <v>3596</v>
      </c>
      <c r="B1804" s="47" t="s">
        <v>148</v>
      </c>
      <c r="C1804" s="48" t="s">
        <v>3942</v>
      </c>
      <c r="D1804" s="30"/>
      <c r="E1804" s="30"/>
      <c r="F1804" s="30"/>
      <c r="G1804" s="30"/>
      <c r="H1804" s="30" t="s">
        <v>149</v>
      </c>
      <c r="I1804" s="30" t="s">
        <v>30</v>
      </c>
      <c r="J1804" s="30" t="s">
        <v>144</v>
      </c>
      <c r="K1804" s="30" t="s">
        <v>117</v>
      </c>
      <c r="L1804" s="30" t="s">
        <v>3664</v>
      </c>
      <c r="M1804" s="51" t="s">
        <v>4045</v>
      </c>
      <c r="N1804" s="30"/>
      <c r="O1804" s="30"/>
      <c r="P1804" s="30"/>
    </row>
    <row r="1805" spans="1:16" ht="90" customHeight="1">
      <c r="A1805" s="30" t="s">
        <v>3597</v>
      </c>
      <c r="B1805" s="47" t="s">
        <v>148</v>
      </c>
      <c r="C1805" s="48" t="s">
        <v>3943</v>
      </c>
      <c r="D1805" s="30"/>
      <c r="E1805" s="30"/>
      <c r="F1805" s="30"/>
      <c r="G1805" s="30"/>
      <c r="H1805" s="30" t="s">
        <v>149</v>
      </c>
      <c r="I1805" s="30" t="s">
        <v>30</v>
      </c>
      <c r="J1805" s="30" t="s">
        <v>144</v>
      </c>
      <c r="K1805" s="30" t="s">
        <v>117</v>
      </c>
      <c r="L1805" s="30" t="s">
        <v>122</v>
      </c>
      <c r="M1805" s="48"/>
      <c r="N1805" s="30"/>
      <c r="O1805" s="30"/>
      <c r="P1805" s="30"/>
    </row>
    <row r="1806" spans="1:16" ht="60" customHeight="1">
      <c r="A1806" s="30" t="s">
        <v>3598</v>
      </c>
      <c r="B1806" s="55" t="s">
        <v>148</v>
      </c>
      <c r="C1806" s="52" t="s">
        <v>3944</v>
      </c>
      <c r="D1806" s="30"/>
      <c r="E1806" s="30"/>
      <c r="F1806" s="30"/>
      <c r="G1806" s="30" t="s">
        <v>4041</v>
      </c>
      <c r="H1806" s="30" t="s">
        <v>149</v>
      </c>
      <c r="I1806" s="30" t="s">
        <v>30</v>
      </c>
      <c r="J1806" s="30" t="s">
        <v>142</v>
      </c>
      <c r="K1806" s="30" t="s">
        <v>116</v>
      </c>
      <c r="L1806" s="30" t="s">
        <v>146</v>
      </c>
      <c r="M1806" s="48"/>
      <c r="N1806" s="30"/>
      <c r="O1806" s="30"/>
      <c r="P1806" s="30"/>
    </row>
    <row r="1807" spans="1:16" ht="60" customHeight="1">
      <c r="A1807" s="30" t="s">
        <v>3599</v>
      </c>
      <c r="B1807" s="55" t="s">
        <v>148</v>
      </c>
      <c r="C1807" s="52" t="s">
        <v>3945</v>
      </c>
      <c r="D1807" s="30"/>
      <c r="E1807" s="30"/>
      <c r="F1807" s="30"/>
      <c r="G1807" s="30" t="s">
        <v>4041</v>
      </c>
      <c r="H1807" s="30" t="s">
        <v>149</v>
      </c>
      <c r="I1807" s="30" t="s">
        <v>30</v>
      </c>
      <c r="J1807" s="30" t="s">
        <v>142</v>
      </c>
      <c r="K1807" s="30" t="s">
        <v>116</v>
      </c>
      <c r="L1807" s="30" t="s">
        <v>146</v>
      </c>
      <c r="M1807" s="48"/>
      <c r="N1807" s="30"/>
      <c r="O1807" s="30"/>
      <c r="P1807" s="30"/>
    </row>
    <row r="1808" spans="1:16" ht="75" customHeight="1">
      <c r="A1808" s="30" t="s">
        <v>3600</v>
      </c>
      <c r="B1808" s="55" t="s">
        <v>148</v>
      </c>
      <c r="C1808" s="52" t="s">
        <v>3952</v>
      </c>
      <c r="D1808" s="30"/>
      <c r="E1808" s="30"/>
      <c r="F1808" s="30"/>
      <c r="G1808" s="30" t="s">
        <v>4041</v>
      </c>
      <c r="H1808" s="30" t="s">
        <v>149</v>
      </c>
      <c r="I1808" s="30" t="s">
        <v>30</v>
      </c>
      <c r="J1808" s="30" t="s">
        <v>142</v>
      </c>
      <c r="K1808" s="30" t="s">
        <v>116</v>
      </c>
      <c r="L1808" s="30" t="s">
        <v>143</v>
      </c>
      <c r="M1808" s="48"/>
      <c r="N1808" s="30"/>
      <c r="O1808" s="30"/>
      <c r="P1808" s="30"/>
    </row>
    <row r="1809" spans="1:16" ht="90" customHeight="1">
      <c r="A1809" s="30" t="s">
        <v>3601</v>
      </c>
      <c r="B1809" s="47" t="s">
        <v>148</v>
      </c>
      <c r="C1809" s="48" t="s">
        <v>3955</v>
      </c>
      <c r="D1809" s="30"/>
      <c r="E1809" s="30"/>
      <c r="F1809" s="30"/>
      <c r="G1809" s="30"/>
      <c r="H1809" s="30" t="s">
        <v>149</v>
      </c>
      <c r="I1809" s="30" t="s">
        <v>30</v>
      </c>
      <c r="J1809" s="30" t="s">
        <v>142</v>
      </c>
      <c r="K1809" s="30" t="s">
        <v>116</v>
      </c>
      <c r="L1809" s="30" t="s">
        <v>121</v>
      </c>
      <c r="M1809" s="48" t="s">
        <v>4092</v>
      </c>
      <c r="N1809" s="30"/>
      <c r="O1809" s="30"/>
      <c r="P1809" s="30"/>
    </row>
    <row r="1810" spans="1:16" ht="90" customHeight="1">
      <c r="A1810" s="30" t="s">
        <v>3602</v>
      </c>
      <c r="B1810" s="47" t="s">
        <v>148</v>
      </c>
      <c r="C1810" s="48" t="s">
        <v>3956</v>
      </c>
      <c r="D1810" s="30"/>
      <c r="E1810" s="30"/>
      <c r="F1810" s="30"/>
      <c r="G1810" s="30"/>
      <c r="H1810" s="30" t="s">
        <v>149</v>
      </c>
      <c r="I1810" s="30" t="s">
        <v>30</v>
      </c>
      <c r="J1810" s="30" t="s">
        <v>142</v>
      </c>
      <c r="K1810" s="30" t="s">
        <v>116</v>
      </c>
      <c r="L1810" s="30" t="s">
        <v>121</v>
      </c>
      <c r="M1810" s="48" t="s">
        <v>4092</v>
      </c>
      <c r="N1810" s="30"/>
      <c r="O1810" s="30"/>
      <c r="P1810" s="30"/>
    </row>
    <row r="1811" spans="1:16" ht="90" customHeight="1">
      <c r="A1811" s="30" t="s">
        <v>3603</v>
      </c>
      <c r="B1811" s="47" t="s">
        <v>148</v>
      </c>
      <c r="C1811" s="48" t="s">
        <v>3957</v>
      </c>
      <c r="D1811" s="30"/>
      <c r="E1811" s="30"/>
      <c r="F1811" s="30"/>
      <c r="G1811" s="30"/>
      <c r="H1811" s="30" t="s">
        <v>149</v>
      </c>
      <c r="I1811" s="30" t="s">
        <v>30</v>
      </c>
      <c r="J1811" s="30" t="s">
        <v>142</v>
      </c>
      <c r="K1811" s="30" t="s">
        <v>116</v>
      </c>
      <c r="L1811" s="30" t="s">
        <v>121</v>
      </c>
      <c r="M1811" s="48" t="s">
        <v>4092</v>
      </c>
      <c r="N1811" s="30"/>
      <c r="O1811" s="30"/>
      <c r="P1811" s="30"/>
    </row>
    <row r="1812" spans="1:16" ht="90" customHeight="1">
      <c r="A1812" s="30" t="s">
        <v>3604</v>
      </c>
      <c r="B1812" s="47" t="s">
        <v>148</v>
      </c>
      <c r="C1812" s="48" t="s">
        <v>3958</v>
      </c>
      <c r="D1812" s="30"/>
      <c r="E1812" s="30"/>
      <c r="F1812" s="30"/>
      <c r="G1812" s="30"/>
      <c r="H1812" s="30" t="s">
        <v>149</v>
      </c>
      <c r="I1812" s="30" t="s">
        <v>30</v>
      </c>
      <c r="J1812" s="30" t="s">
        <v>142</v>
      </c>
      <c r="K1812" s="30" t="s">
        <v>116</v>
      </c>
      <c r="L1812" s="30" t="s">
        <v>121</v>
      </c>
      <c r="M1812" s="48" t="s">
        <v>4092</v>
      </c>
      <c r="N1812" s="30"/>
      <c r="O1812" s="30"/>
      <c r="P1812" s="30"/>
    </row>
    <row r="1813" spans="1:16" ht="90" customHeight="1">
      <c r="A1813" s="30" t="s">
        <v>3605</v>
      </c>
      <c r="B1813" s="47" t="s">
        <v>148</v>
      </c>
      <c r="C1813" s="48" t="s">
        <v>3959</v>
      </c>
      <c r="D1813" s="30"/>
      <c r="E1813" s="30"/>
      <c r="F1813" s="30"/>
      <c r="G1813" s="30"/>
      <c r="H1813" s="30" t="s">
        <v>149</v>
      </c>
      <c r="I1813" s="30" t="s">
        <v>30</v>
      </c>
      <c r="J1813" s="30" t="s">
        <v>142</v>
      </c>
      <c r="K1813" s="30" t="s">
        <v>116</v>
      </c>
      <c r="L1813" s="30" t="s">
        <v>121</v>
      </c>
      <c r="M1813" s="48" t="s">
        <v>4092</v>
      </c>
      <c r="N1813" s="30"/>
      <c r="O1813" s="30"/>
      <c r="P1813" s="30"/>
    </row>
    <row r="1814" spans="1:16" ht="90" customHeight="1">
      <c r="A1814" s="30" t="s">
        <v>3606</v>
      </c>
      <c r="B1814" s="47" t="s">
        <v>148</v>
      </c>
      <c r="C1814" s="48" t="s">
        <v>3960</v>
      </c>
      <c r="D1814" s="30"/>
      <c r="E1814" s="30"/>
      <c r="F1814" s="30"/>
      <c r="G1814" s="30"/>
      <c r="H1814" s="30" t="s">
        <v>149</v>
      </c>
      <c r="I1814" s="30" t="s">
        <v>30</v>
      </c>
      <c r="J1814" s="30" t="s">
        <v>142</v>
      </c>
      <c r="K1814" s="30" t="s">
        <v>116</v>
      </c>
      <c r="L1814" s="30" t="s">
        <v>121</v>
      </c>
      <c r="M1814" s="48" t="s">
        <v>4092</v>
      </c>
      <c r="N1814" s="30"/>
      <c r="O1814" s="30"/>
      <c r="P1814" s="30"/>
    </row>
    <row r="1815" spans="1:16" ht="30" customHeight="1">
      <c r="A1815" s="30" t="s">
        <v>3607</v>
      </c>
      <c r="B1815" s="47" t="s">
        <v>148</v>
      </c>
      <c r="C1815" s="48" t="s">
        <v>3961</v>
      </c>
      <c r="D1815" s="30"/>
      <c r="E1815" s="30"/>
      <c r="F1815" s="30"/>
      <c r="G1815" s="30"/>
      <c r="H1815" s="30" t="s">
        <v>149</v>
      </c>
      <c r="I1815" s="30" t="s">
        <v>30</v>
      </c>
      <c r="J1815" s="30" t="s">
        <v>144</v>
      </c>
      <c r="K1815" s="30" t="s">
        <v>117</v>
      </c>
      <c r="L1815" s="30" t="s">
        <v>122</v>
      </c>
      <c r="M1815" s="48"/>
      <c r="N1815" s="30"/>
      <c r="O1815" s="30"/>
      <c r="P1815" s="30"/>
    </row>
    <row r="1816" spans="1:16" ht="45" customHeight="1">
      <c r="A1816" s="30" t="s">
        <v>3608</v>
      </c>
      <c r="B1816" s="47" t="s">
        <v>148</v>
      </c>
      <c r="C1816" s="48" t="s">
        <v>3962</v>
      </c>
      <c r="D1816" s="30"/>
      <c r="E1816" s="30"/>
      <c r="F1816" s="30"/>
      <c r="G1816" s="30"/>
      <c r="H1816" s="30" t="s">
        <v>149</v>
      </c>
      <c r="I1816" s="30" t="s">
        <v>30</v>
      </c>
      <c r="J1816" s="30" t="s">
        <v>144</v>
      </c>
      <c r="K1816" s="30" t="s">
        <v>117</v>
      </c>
      <c r="L1816" s="30" t="s">
        <v>122</v>
      </c>
      <c r="M1816" s="48"/>
      <c r="N1816" s="30"/>
      <c r="O1816" s="30"/>
      <c r="P1816" s="30"/>
    </row>
    <row r="1817" spans="1:16" ht="60" customHeight="1">
      <c r="A1817" s="30" t="s">
        <v>3609</v>
      </c>
      <c r="B1817" s="47" t="s">
        <v>148</v>
      </c>
      <c r="C1817" s="48" t="s">
        <v>3966</v>
      </c>
      <c r="D1817" s="30"/>
      <c r="E1817" s="30"/>
      <c r="F1817" s="30"/>
      <c r="G1817" s="30" t="s">
        <v>4041</v>
      </c>
      <c r="H1817" s="30" t="s">
        <v>149</v>
      </c>
      <c r="I1817" s="30" t="s">
        <v>30</v>
      </c>
      <c r="J1817" s="30" t="s">
        <v>142</v>
      </c>
      <c r="K1817" s="30" t="s">
        <v>116</v>
      </c>
      <c r="L1817" s="30" t="s">
        <v>146</v>
      </c>
      <c r="M1817" s="48"/>
      <c r="N1817" s="30"/>
      <c r="O1817" s="30"/>
      <c r="P1817" s="30"/>
    </row>
    <row r="1818" spans="1:16" ht="90" customHeight="1">
      <c r="A1818" s="30" t="s">
        <v>3610</v>
      </c>
      <c r="B1818" s="47" t="s">
        <v>148</v>
      </c>
      <c r="C1818" s="48" t="s">
        <v>3964</v>
      </c>
      <c r="D1818" s="30"/>
      <c r="E1818" s="30"/>
      <c r="F1818" s="30"/>
      <c r="G1818" s="30"/>
      <c r="H1818" s="30" t="s">
        <v>149</v>
      </c>
      <c r="I1818" s="30" t="s">
        <v>30</v>
      </c>
      <c r="J1818" s="30" t="s">
        <v>142</v>
      </c>
      <c r="K1818" s="30" t="s">
        <v>116</v>
      </c>
      <c r="L1818" s="30" t="s">
        <v>121</v>
      </c>
      <c r="M1818" s="63" t="s">
        <v>4092</v>
      </c>
      <c r="N1818" s="30"/>
      <c r="O1818" s="30"/>
      <c r="P1818" s="30"/>
    </row>
    <row r="1819" spans="1:16" ht="75" customHeight="1">
      <c r="A1819" s="30" t="s">
        <v>3611</v>
      </c>
      <c r="B1819" s="47" t="s">
        <v>148</v>
      </c>
      <c r="C1819" s="48" t="s">
        <v>3965</v>
      </c>
      <c r="D1819" s="30"/>
      <c r="E1819" s="30"/>
      <c r="F1819" s="30"/>
      <c r="G1819" s="30"/>
      <c r="H1819" s="30" t="s">
        <v>149</v>
      </c>
      <c r="I1819" s="30" t="s">
        <v>30</v>
      </c>
      <c r="J1819" s="30" t="s">
        <v>142</v>
      </c>
      <c r="K1819" s="30" t="s">
        <v>116</v>
      </c>
      <c r="L1819" s="30" t="s">
        <v>121</v>
      </c>
      <c r="M1819" s="63" t="s">
        <v>4092</v>
      </c>
      <c r="N1819" s="30"/>
      <c r="O1819" s="30"/>
      <c r="P1819" s="30"/>
    </row>
    <row r="1820" spans="1:16" ht="90" customHeight="1">
      <c r="A1820" s="30" t="s">
        <v>3612</v>
      </c>
      <c r="B1820" s="47" t="s">
        <v>148</v>
      </c>
      <c r="C1820" s="48" t="s">
        <v>3969</v>
      </c>
      <c r="D1820" s="30"/>
      <c r="E1820" s="30"/>
      <c r="F1820" s="30"/>
      <c r="G1820" s="30"/>
      <c r="H1820" s="30" t="s">
        <v>149</v>
      </c>
      <c r="I1820" s="30" t="s">
        <v>30</v>
      </c>
      <c r="J1820" s="30" t="s">
        <v>142</v>
      </c>
      <c r="K1820" s="30" t="s">
        <v>116</v>
      </c>
      <c r="L1820" s="30" t="s">
        <v>121</v>
      </c>
      <c r="M1820" s="63" t="s">
        <v>4092</v>
      </c>
      <c r="N1820" s="30"/>
      <c r="O1820" s="30"/>
      <c r="P1820" s="30"/>
    </row>
    <row r="1821" spans="1:16" ht="90" customHeight="1">
      <c r="A1821" s="30" t="s">
        <v>3613</v>
      </c>
      <c r="B1821" s="47" t="s">
        <v>148</v>
      </c>
      <c r="C1821" s="48" t="s">
        <v>3970</v>
      </c>
      <c r="D1821" s="30"/>
      <c r="E1821" s="30"/>
      <c r="F1821" s="30"/>
      <c r="G1821" s="30"/>
      <c r="H1821" s="30" t="s">
        <v>149</v>
      </c>
      <c r="I1821" s="30" t="s">
        <v>30</v>
      </c>
      <c r="J1821" s="30" t="s">
        <v>142</v>
      </c>
      <c r="K1821" s="30" t="s">
        <v>116</v>
      </c>
      <c r="L1821" s="30" t="s">
        <v>121</v>
      </c>
      <c r="M1821" s="63" t="s">
        <v>4092</v>
      </c>
      <c r="N1821" s="30"/>
      <c r="O1821" s="30"/>
      <c r="P1821" s="30"/>
    </row>
    <row r="1822" spans="1:16" s="31" customFormat="1" ht="120" customHeight="1">
      <c r="A1822" s="30" t="s">
        <v>3614</v>
      </c>
      <c r="B1822" s="47" t="s">
        <v>148</v>
      </c>
      <c r="C1822" s="48" t="s">
        <v>4190</v>
      </c>
      <c r="D1822" s="30"/>
      <c r="E1822" s="30"/>
      <c r="F1822" s="30"/>
      <c r="G1822" s="30"/>
      <c r="H1822" s="30" t="s">
        <v>149</v>
      </c>
      <c r="I1822" s="30" t="s">
        <v>30</v>
      </c>
      <c r="J1822" s="30" t="s">
        <v>142</v>
      </c>
      <c r="K1822" s="30" t="s">
        <v>116</v>
      </c>
      <c r="L1822" s="30" t="s">
        <v>122</v>
      </c>
      <c r="M1822" s="31" t="s">
        <v>4216</v>
      </c>
      <c r="N1822" s="66"/>
      <c r="O1822" s="30"/>
      <c r="P1822" s="30"/>
    </row>
    <row r="1823" spans="1:16" s="31" customFormat="1" ht="90" customHeight="1">
      <c r="A1823" s="30" t="s">
        <v>4191</v>
      </c>
      <c r="B1823" s="47" t="s">
        <v>148</v>
      </c>
      <c r="C1823" s="48" t="s">
        <v>4192</v>
      </c>
      <c r="D1823" s="30"/>
      <c r="E1823" s="30"/>
      <c r="F1823" s="30"/>
      <c r="G1823" s="30"/>
      <c r="H1823" s="30" t="s">
        <v>149</v>
      </c>
      <c r="I1823" s="30" t="s">
        <v>30</v>
      </c>
      <c r="J1823" s="30" t="s">
        <v>142</v>
      </c>
      <c r="K1823" s="30" t="s">
        <v>116</v>
      </c>
      <c r="L1823" s="30" t="s">
        <v>122</v>
      </c>
      <c r="M1823" s="31" t="s">
        <v>4216</v>
      </c>
      <c r="N1823" s="66"/>
      <c r="O1823" s="30"/>
      <c r="P1823" s="30"/>
    </row>
    <row r="1824" spans="1:16" s="31" customFormat="1" ht="90" customHeight="1">
      <c r="A1824" s="30" t="s">
        <v>4193</v>
      </c>
      <c r="B1824" s="47" t="s">
        <v>148</v>
      </c>
      <c r="C1824" s="48" t="s">
        <v>4194</v>
      </c>
      <c r="D1824" s="30"/>
      <c r="E1824" s="30"/>
      <c r="F1824" s="30"/>
      <c r="G1824" s="30"/>
      <c r="H1824" s="30" t="s">
        <v>149</v>
      </c>
      <c r="I1824" s="30" t="s">
        <v>30</v>
      </c>
      <c r="J1824" s="30" t="s">
        <v>142</v>
      </c>
      <c r="K1824" s="30" t="s">
        <v>116</v>
      </c>
      <c r="L1824" s="30" t="s">
        <v>122</v>
      </c>
      <c r="M1824" s="31" t="s">
        <v>4216</v>
      </c>
      <c r="N1824" s="66"/>
      <c r="O1824" s="30"/>
      <c r="P1824" s="30"/>
    </row>
    <row r="1825" spans="1:16" ht="30" customHeight="1">
      <c r="A1825" s="30" t="s">
        <v>3615</v>
      </c>
      <c r="B1825" s="55" t="s">
        <v>148</v>
      </c>
      <c r="C1825" s="52" t="s">
        <v>3971</v>
      </c>
      <c r="D1825" s="30"/>
      <c r="E1825" s="30"/>
      <c r="F1825" s="30"/>
      <c r="G1825" s="30"/>
      <c r="H1825" s="30" t="s">
        <v>149</v>
      </c>
      <c r="I1825" s="30" t="s">
        <v>30</v>
      </c>
      <c r="J1825" s="30" t="s">
        <v>142</v>
      </c>
      <c r="K1825" s="30" t="s">
        <v>116</v>
      </c>
      <c r="L1825" s="30" t="s">
        <v>121</v>
      </c>
      <c r="M1825" s="48" t="s">
        <v>4109</v>
      </c>
      <c r="N1825" s="30"/>
      <c r="O1825" s="30"/>
      <c r="P1825" s="30"/>
    </row>
    <row r="1826" spans="1:16" ht="90" customHeight="1">
      <c r="A1826" s="30" t="s">
        <v>3616</v>
      </c>
      <c r="B1826" s="47" t="s">
        <v>148</v>
      </c>
      <c r="C1826" s="48" t="s">
        <v>3972</v>
      </c>
      <c r="D1826" s="30"/>
      <c r="E1826" s="30"/>
      <c r="F1826" s="30"/>
      <c r="G1826" s="30"/>
      <c r="H1826" s="30" t="s">
        <v>149</v>
      </c>
      <c r="I1826" s="30" t="s">
        <v>30</v>
      </c>
      <c r="J1826" s="30" t="s">
        <v>142</v>
      </c>
      <c r="K1826" s="30" t="s">
        <v>116</v>
      </c>
      <c r="L1826" s="30" t="s">
        <v>121</v>
      </c>
      <c r="M1826" s="64" t="s">
        <v>4091</v>
      </c>
      <c r="N1826" s="30"/>
      <c r="O1826" s="30"/>
      <c r="P1826" s="30"/>
    </row>
    <row r="1827" spans="1:16" ht="90" customHeight="1">
      <c r="A1827" s="30" t="s">
        <v>3617</v>
      </c>
      <c r="B1827" s="47" t="s">
        <v>148</v>
      </c>
      <c r="C1827" s="48" t="s">
        <v>3973</v>
      </c>
      <c r="D1827" s="30"/>
      <c r="E1827" s="30"/>
      <c r="F1827" s="30"/>
      <c r="G1827" s="30"/>
      <c r="H1827" s="30" t="s">
        <v>149</v>
      </c>
      <c r="I1827" s="30" t="s">
        <v>30</v>
      </c>
      <c r="J1827" s="30" t="s">
        <v>142</v>
      </c>
      <c r="K1827" s="30" t="s">
        <v>116</v>
      </c>
      <c r="L1827" s="30" t="s">
        <v>121</v>
      </c>
      <c r="M1827" s="64" t="s">
        <v>4091</v>
      </c>
      <c r="N1827" s="30"/>
      <c r="O1827" s="30"/>
      <c r="P1827" s="30"/>
    </row>
    <row r="1828" spans="1:16" ht="30" customHeight="1">
      <c r="A1828" s="30" t="s">
        <v>3618</v>
      </c>
      <c r="B1828" s="55" t="s">
        <v>148</v>
      </c>
      <c r="C1828" s="52" t="s">
        <v>3974</v>
      </c>
      <c r="D1828" s="30"/>
      <c r="E1828" s="30"/>
      <c r="F1828" s="30"/>
      <c r="G1828" s="30"/>
      <c r="H1828" s="30" t="s">
        <v>149</v>
      </c>
      <c r="I1828" s="30" t="s">
        <v>30</v>
      </c>
      <c r="J1828" s="30" t="s">
        <v>144</v>
      </c>
      <c r="K1828" s="30" t="s">
        <v>117</v>
      </c>
      <c r="L1828" s="30" t="s">
        <v>122</v>
      </c>
      <c r="M1828" s="48"/>
      <c r="N1828" s="30"/>
      <c r="O1828" s="30"/>
      <c r="P1828" s="30"/>
    </row>
    <row r="1829" spans="1:16" ht="30" customHeight="1">
      <c r="A1829" s="30" t="s">
        <v>3619</v>
      </c>
      <c r="B1829" s="55" t="s">
        <v>148</v>
      </c>
      <c r="C1829" s="52" t="s">
        <v>3975</v>
      </c>
      <c r="D1829" s="30"/>
      <c r="E1829" s="30"/>
      <c r="F1829" s="30"/>
      <c r="G1829" s="30"/>
      <c r="H1829" s="30" t="s">
        <v>149</v>
      </c>
      <c r="I1829" s="30" t="s">
        <v>31</v>
      </c>
      <c r="J1829" s="30" t="s">
        <v>144</v>
      </c>
      <c r="K1829" s="30" t="s">
        <v>117</v>
      </c>
      <c r="L1829" s="30" t="s">
        <v>122</v>
      </c>
      <c r="M1829" s="48"/>
      <c r="N1829" s="30"/>
      <c r="O1829" s="30"/>
      <c r="P1829" s="30"/>
    </row>
    <row r="1830" spans="1:16" ht="60" customHeight="1">
      <c r="A1830" s="30" t="s">
        <v>3620</v>
      </c>
      <c r="B1830" s="47" t="s">
        <v>148</v>
      </c>
      <c r="C1830" s="48" t="s">
        <v>3976</v>
      </c>
      <c r="D1830" s="30"/>
      <c r="E1830" s="30"/>
      <c r="F1830" s="30"/>
      <c r="G1830" s="30"/>
      <c r="H1830" s="30" t="s">
        <v>149</v>
      </c>
      <c r="I1830" s="30" t="s">
        <v>31</v>
      </c>
      <c r="J1830" s="30" t="s">
        <v>144</v>
      </c>
      <c r="K1830" s="30" t="s">
        <v>117</v>
      </c>
      <c r="L1830" s="30" t="s">
        <v>122</v>
      </c>
      <c r="M1830" s="48"/>
      <c r="N1830" s="30"/>
      <c r="O1830" s="30"/>
      <c r="P1830" s="30"/>
    </row>
    <row r="1831" spans="1:16" ht="60" customHeight="1">
      <c r="A1831" s="30" t="s">
        <v>3621</v>
      </c>
      <c r="B1831" s="47" t="s">
        <v>148</v>
      </c>
      <c r="C1831" s="48" t="s">
        <v>3977</v>
      </c>
      <c r="D1831" s="30"/>
      <c r="E1831" s="30"/>
      <c r="F1831" s="30"/>
      <c r="G1831" s="30" t="s">
        <v>4041</v>
      </c>
      <c r="H1831" s="30" t="s">
        <v>149</v>
      </c>
      <c r="I1831" s="30" t="s">
        <v>30</v>
      </c>
      <c r="J1831" s="30" t="s">
        <v>142</v>
      </c>
      <c r="K1831" s="30" t="s">
        <v>116</v>
      </c>
      <c r="L1831" s="30" t="s">
        <v>146</v>
      </c>
      <c r="M1831" s="48"/>
      <c r="N1831" s="30"/>
      <c r="O1831" s="30"/>
      <c r="P1831" s="30"/>
    </row>
    <row r="1832" spans="1:16" ht="75" customHeight="1">
      <c r="A1832" s="30" t="s">
        <v>3622</v>
      </c>
      <c r="B1832" s="55" t="s">
        <v>148</v>
      </c>
      <c r="C1832" s="52" t="s">
        <v>3978</v>
      </c>
      <c r="D1832" s="30"/>
      <c r="E1832" s="30"/>
      <c r="F1832" s="30"/>
      <c r="G1832" s="30"/>
      <c r="H1832" s="30" t="s">
        <v>149</v>
      </c>
      <c r="I1832" s="30" t="s">
        <v>30</v>
      </c>
      <c r="J1832" s="30" t="s">
        <v>144</v>
      </c>
      <c r="K1832" s="30" t="s">
        <v>117</v>
      </c>
      <c r="L1832" s="30" t="s">
        <v>122</v>
      </c>
      <c r="M1832" s="48"/>
      <c r="N1832" s="30"/>
      <c r="O1832" s="30"/>
      <c r="P1832" s="30"/>
    </row>
    <row r="1833" spans="1:16" ht="90" customHeight="1">
      <c r="A1833" s="30" t="s">
        <v>3623</v>
      </c>
      <c r="B1833" s="55" t="s">
        <v>148</v>
      </c>
      <c r="C1833" s="52" t="s">
        <v>3979</v>
      </c>
      <c r="D1833" s="30"/>
      <c r="E1833" s="30"/>
      <c r="F1833" s="30"/>
      <c r="G1833" s="30"/>
      <c r="H1833" s="30" t="s">
        <v>149</v>
      </c>
      <c r="I1833" s="30" t="s">
        <v>30</v>
      </c>
      <c r="J1833" s="30" t="s">
        <v>144</v>
      </c>
      <c r="K1833" s="30" t="s">
        <v>117</v>
      </c>
      <c r="L1833" s="30" t="s">
        <v>122</v>
      </c>
      <c r="M1833" s="48"/>
      <c r="N1833" s="30"/>
      <c r="O1833" s="30"/>
      <c r="P1833" s="30"/>
    </row>
    <row r="1834" spans="1:16" ht="90" customHeight="1">
      <c r="A1834" s="30" t="s">
        <v>3624</v>
      </c>
      <c r="B1834" s="47" t="s">
        <v>148</v>
      </c>
      <c r="C1834" s="48" t="s">
        <v>3980</v>
      </c>
      <c r="D1834" s="30"/>
      <c r="E1834" s="30"/>
      <c r="F1834" s="30"/>
      <c r="G1834" s="30" t="s">
        <v>4041</v>
      </c>
      <c r="H1834" s="30" t="s">
        <v>149</v>
      </c>
      <c r="I1834" s="30" t="s">
        <v>30</v>
      </c>
      <c r="J1834" s="30" t="s">
        <v>142</v>
      </c>
      <c r="K1834" s="30" t="s">
        <v>116</v>
      </c>
      <c r="L1834" s="30" t="s">
        <v>143</v>
      </c>
      <c r="M1834" s="48" t="s">
        <v>4120</v>
      </c>
      <c r="N1834" s="30"/>
      <c r="O1834" s="30"/>
      <c r="P1834" s="30"/>
    </row>
    <row r="1835" spans="1:16" s="31" customFormat="1" ht="120" customHeight="1">
      <c r="A1835" s="30" t="s">
        <v>3625</v>
      </c>
      <c r="B1835" s="47" t="s">
        <v>148</v>
      </c>
      <c r="C1835" s="48" t="s">
        <v>3981</v>
      </c>
      <c r="D1835" s="30"/>
      <c r="E1835" s="30"/>
      <c r="F1835" s="30"/>
      <c r="G1835" s="30" t="s">
        <v>4041</v>
      </c>
      <c r="H1835" s="30" t="s">
        <v>149</v>
      </c>
      <c r="I1835" s="30" t="s">
        <v>30</v>
      </c>
      <c r="J1835" s="30" t="s">
        <v>142</v>
      </c>
      <c r="K1835" s="30" t="s">
        <v>116</v>
      </c>
      <c r="L1835" s="30" t="s">
        <v>143</v>
      </c>
      <c r="M1835" s="48"/>
      <c r="N1835" s="66"/>
      <c r="O1835" s="30"/>
      <c r="P1835" s="30"/>
    </row>
    <row r="1836" spans="1:16" s="31" customFormat="1" ht="75" customHeight="1">
      <c r="A1836" s="30" t="s">
        <v>3626</v>
      </c>
      <c r="B1836" s="47" t="s">
        <v>148</v>
      </c>
      <c r="C1836" s="48" t="s">
        <v>4142</v>
      </c>
      <c r="D1836" s="30"/>
      <c r="E1836" s="30"/>
      <c r="F1836" s="30"/>
      <c r="G1836" s="30" t="s">
        <v>4041</v>
      </c>
      <c r="H1836" s="30" t="s">
        <v>149</v>
      </c>
      <c r="I1836" s="30" t="s">
        <v>30</v>
      </c>
      <c r="J1836" s="30" t="s">
        <v>142</v>
      </c>
      <c r="K1836" s="30" t="s">
        <v>116</v>
      </c>
      <c r="L1836" s="30" t="s">
        <v>143</v>
      </c>
      <c r="M1836" s="48"/>
      <c r="N1836" s="66"/>
      <c r="O1836" s="30"/>
      <c r="P1836" s="30"/>
    </row>
    <row r="1837" spans="1:16" s="31" customFormat="1" ht="90" customHeight="1">
      <c r="A1837" s="30" t="s">
        <v>3627</v>
      </c>
      <c r="B1837" s="47" t="s">
        <v>148</v>
      </c>
      <c r="C1837" s="48" t="s">
        <v>3982</v>
      </c>
      <c r="D1837" s="30"/>
      <c r="E1837" s="30"/>
      <c r="F1837" s="30"/>
      <c r="G1837" s="30" t="s">
        <v>4041</v>
      </c>
      <c r="H1837" s="30" t="s">
        <v>149</v>
      </c>
      <c r="I1837" s="30" t="s">
        <v>30</v>
      </c>
      <c r="J1837" s="30" t="s">
        <v>142</v>
      </c>
      <c r="K1837" s="30" t="s">
        <v>116</v>
      </c>
      <c r="L1837" s="30" t="s">
        <v>143</v>
      </c>
      <c r="M1837" s="48"/>
      <c r="N1837" s="66"/>
      <c r="O1837" s="30"/>
      <c r="P1837" s="30"/>
    </row>
    <row r="1838" spans="1:16" ht="60" customHeight="1">
      <c r="A1838" s="30" t="s">
        <v>3628</v>
      </c>
      <c r="B1838" s="55" t="s">
        <v>148</v>
      </c>
      <c r="C1838" s="52" t="s">
        <v>3983</v>
      </c>
      <c r="D1838" s="30"/>
      <c r="E1838" s="30"/>
      <c r="F1838" s="30"/>
      <c r="G1838" s="30"/>
      <c r="H1838" s="30" t="s">
        <v>149</v>
      </c>
      <c r="I1838" s="30" t="s">
        <v>30</v>
      </c>
      <c r="J1838" s="30" t="s">
        <v>144</v>
      </c>
      <c r="K1838" s="30" t="s">
        <v>117</v>
      </c>
      <c r="L1838" s="30" t="s">
        <v>122</v>
      </c>
      <c r="M1838" s="48" t="s">
        <v>3629</v>
      </c>
      <c r="N1838" s="30"/>
      <c r="O1838" s="30"/>
      <c r="P1838" s="30"/>
    </row>
    <row r="1839" spans="1:16" ht="30" customHeight="1">
      <c r="A1839" s="30" t="s">
        <v>3630</v>
      </c>
      <c r="B1839" s="55" t="s">
        <v>148</v>
      </c>
      <c r="C1839" s="52" t="s">
        <v>3984</v>
      </c>
      <c r="D1839" s="30"/>
      <c r="E1839" s="30"/>
      <c r="F1839" s="30"/>
      <c r="G1839" s="30"/>
      <c r="H1839" s="30" t="s">
        <v>149</v>
      </c>
      <c r="I1839" s="30" t="s">
        <v>30</v>
      </c>
      <c r="J1839" s="30" t="s">
        <v>144</v>
      </c>
      <c r="K1839" s="30" t="s">
        <v>117</v>
      </c>
      <c r="L1839" s="30" t="s">
        <v>122</v>
      </c>
      <c r="M1839" s="48" t="s">
        <v>3629</v>
      </c>
      <c r="N1839" s="30"/>
      <c r="O1839" s="30"/>
      <c r="P1839" s="30"/>
    </row>
    <row r="1840" spans="1:16" ht="60" customHeight="1">
      <c r="A1840" s="30" t="s">
        <v>3631</v>
      </c>
      <c r="B1840" s="47" t="s">
        <v>148</v>
      </c>
      <c r="C1840" s="48" t="s">
        <v>3985</v>
      </c>
      <c r="D1840" s="30"/>
      <c r="E1840" s="30"/>
      <c r="F1840" s="30"/>
      <c r="G1840" s="30"/>
      <c r="H1840" s="30" t="s">
        <v>149</v>
      </c>
      <c r="I1840" s="30" t="s">
        <v>30</v>
      </c>
      <c r="J1840" s="30" t="s">
        <v>144</v>
      </c>
      <c r="K1840" s="30" t="s">
        <v>117</v>
      </c>
      <c r="L1840" s="30" t="s">
        <v>122</v>
      </c>
      <c r="M1840" s="48"/>
      <c r="N1840" s="30"/>
      <c r="O1840" s="30"/>
      <c r="P1840" s="30"/>
    </row>
    <row r="1841" spans="1:16" ht="60" customHeight="1">
      <c r="A1841" s="30" t="s">
        <v>3632</v>
      </c>
      <c r="B1841" s="47" t="s">
        <v>148</v>
      </c>
      <c r="C1841" s="48" t="s">
        <v>3986</v>
      </c>
      <c r="D1841" s="30"/>
      <c r="E1841" s="30"/>
      <c r="F1841" s="30"/>
      <c r="G1841" s="30"/>
      <c r="H1841" s="30" t="s">
        <v>149</v>
      </c>
      <c r="I1841" s="30" t="s">
        <v>30</v>
      </c>
      <c r="J1841" s="30" t="s">
        <v>144</v>
      </c>
      <c r="K1841" s="30" t="s">
        <v>117</v>
      </c>
      <c r="L1841" s="30" t="s">
        <v>122</v>
      </c>
      <c r="M1841" s="48"/>
      <c r="N1841" s="30"/>
      <c r="O1841" s="30"/>
      <c r="P1841" s="30"/>
    </row>
    <row r="1842" spans="1:16" ht="60" customHeight="1">
      <c r="A1842" s="30" t="s">
        <v>3633</v>
      </c>
      <c r="B1842" s="55" t="s">
        <v>148</v>
      </c>
      <c r="C1842" s="52" t="s">
        <v>3987</v>
      </c>
      <c r="D1842" s="30"/>
      <c r="E1842" s="30"/>
      <c r="F1842" s="30"/>
      <c r="G1842" s="30"/>
      <c r="H1842" s="30" t="s">
        <v>149</v>
      </c>
      <c r="I1842" s="30" t="s">
        <v>30</v>
      </c>
      <c r="J1842" s="30" t="s">
        <v>144</v>
      </c>
      <c r="K1842" s="30" t="s">
        <v>117</v>
      </c>
      <c r="L1842" s="30" t="s">
        <v>122</v>
      </c>
      <c r="M1842" s="48"/>
      <c r="N1842" s="30"/>
      <c r="O1842" s="30"/>
      <c r="P1842" s="30"/>
    </row>
    <row r="1843" spans="1:16" ht="60" customHeight="1">
      <c r="A1843" s="30" t="s">
        <v>3634</v>
      </c>
      <c r="B1843" s="55" t="s">
        <v>148</v>
      </c>
      <c r="C1843" s="52" t="s">
        <v>3988</v>
      </c>
      <c r="D1843" s="30"/>
      <c r="E1843" s="30"/>
      <c r="F1843" s="30"/>
      <c r="G1843" s="30"/>
      <c r="H1843" s="30" t="s">
        <v>149</v>
      </c>
      <c r="I1843" s="30" t="s">
        <v>30</v>
      </c>
      <c r="J1843" s="30" t="s">
        <v>144</v>
      </c>
      <c r="K1843" s="30" t="s">
        <v>117</v>
      </c>
      <c r="L1843" s="30" t="s">
        <v>122</v>
      </c>
      <c r="M1843" s="48"/>
      <c r="N1843" s="30"/>
      <c r="O1843" s="30"/>
      <c r="P1843" s="30"/>
    </row>
    <row r="1844" spans="1:16" ht="60" customHeight="1">
      <c r="A1844" s="30" t="s">
        <v>3635</v>
      </c>
      <c r="B1844" s="55" t="s">
        <v>148</v>
      </c>
      <c r="C1844" s="52" t="s">
        <v>3989</v>
      </c>
      <c r="D1844" s="30"/>
      <c r="E1844" s="30"/>
      <c r="F1844" s="30"/>
      <c r="G1844" s="30"/>
      <c r="H1844" s="30" t="s">
        <v>149</v>
      </c>
      <c r="I1844" s="30" t="s">
        <v>30</v>
      </c>
      <c r="J1844" s="30" t="s">
        <v>144</v>
      </c>
      <c r="K1844" s="30" t="s">
        <v>117</v>
      </c>
      <c r="L1844" s="30" t="s">
        <v>122</v>
      </c>
      <c r="M1844" s="48"/>
      <c r="N1844" s="30"/>
      <c r="O1844" s="30"/>
      <c r="P1844" s="30"/>
    </row>
    <row r="1845" spans="1:16" ht="60" customHeight="1">
      <c r="A1845" s="30" t="s">
        <v>3636</v>
      </c>
      <c r="B1845" s="55" t="s">
        <v>148</v>
      </c>
      <c r="C1845" s="52" t="s">
        <v>3990</v>
      </c>
      <c r="D1845" s="30"/>
      <c r="E1845" s="30"/>
      <c r="F1845" s="30"/>
      <c r="G1845" s="30"/>
      <c r="H1845" s="30" t="s">
        <v>149</v>
      </c>
      <c r="I1845" s="30" t="s">
        <v>30</v>
      </c>
      <c r="J1845" s="30" t="s">
        <v>144</v>
      </c>
      <c r="K1845" s="30" t="s">
        <v>117</v>
      </c>
      <c r="L1845" s="30" t="s">
        <v>122</v>
      </c>
      <c r="M1845" s="48"/>
      <c r="N1845" s="30"/>
      <c r="O1845" s="30"/>
      <c r="P1845" s="30"/>
    </row>
    <row r="1846" spans="1:16" ht="60" customHeight="1">
      <c r="A1846" s="30" t="s">
        <v>3637</v>
      </c>
      <c r="B1846" s="55" t="s">
        <v>148</v>
      </c>
      <c r="C1846" s="52" t="s">
        <v>3991</v>
      </c>
      <c r="D1846" s="30"/>
      <c r="E1846" s="30"/>
      <c r="F1846" s="30"/>
      <c r="G1846" s="30"/>
      <c r="H1846" s="30" t="s">
        <v>149</v>
      </c>
      <c r="I1846" s="30" t="s">
        <v>30</v>
      </c>
      <c r="J1846" s="30" t="s">
        <v>144</v>
      </c>
      <c r="K1846" s="30" t="s">
        <v>117</v>
      </c>
      <c r="L1846" s="30" t="s">
        <v>122</v>
      </c>
      <c r="M1846" s="48"/>
      <c r="N1846" s="30"/>
      <c r="O1846" s="30"/>
      <c r="P1846" s="30"/>
    </row>
    <row r="1847" spans="1:16" ht="60" customHeight="1">
      <c r="A1847" s="30" t="s">
        <v>3638</v>
      </c>
      <c r="B1847" s="47" t="s">
        <v>148</v>
      </c>
      <c r="C1847" s="48" t="s">
        <v>3992</v>
      </c>
      <c r="D1847" s="30"/>
      <c r="E1847" s="30"/>
      <c r="F1847" s="30"/>
      <c r="G1847" s="30"/>
      <c r="H1847" s="30" t="s">
        <v>149</v>
      </c>
      <c r="I1847" s="30" t="s">
        <v>30</v>
      </c>
      <c r="J1847" s="30" t="s">
        <v>142</v>
      </c>
      <c r="K1847" s="30" t="s">
        <v>116</v>
      </c>
      <c r="L1847" s="30" t="s">
        <v>121</v>
      </c>
      <c r="M1847" s="48" t="s">
        <v>3663</v>
      </c>
      <c r="N1847" s="30"/>
      <c r="O1847" s="30"/>
      <c r="P1847" s="30"/>
    </row>
    <row r="1848" spans="1:16" ht="105" customHeight="1">
      <c r="A1848" s="30" t="s">
        <v>3639</v>
      </c>
      <c r="B1848" s="47" t="s">
        <v>148</v>
      </c>
      <c r="C1848" s="48" t="s">
        <v>3993</v>
      </c>
      <c r="D1848" s="30"/>
      <c r="E1848" s="30"/>
      <c r="F1848" s="30"/>
      <c r="G1848" s="30"/>
      <c r="H1848" s="30" t="s">
        <v>149</v>
      </c>
      <c r="I1848" s="30" t="s">
        <v>30</v>
      </c>
      <c r="J1848" s="30" t="s">
        <v>142</v>
      </c>
      <c r="K1848" s="30" t="s">
        <v>116</v>
      </c>
      <c r="L1848" s="30" t="s">
        <v>121</v>
      </c>
      <c r="M1848" s="48" t="s">
        <v>3663</v>
      </c>
      <c r="N1848" s="30"/>
      <c r="O1848" s="30"/>
      <c r="P1848" s="30"/>
    </row>
    <row r="1849" spans="1:16" ht="75" customHeight="1">
      <c r="A1849" s="30" t="s">
        <v>3640</v>
      </c>
      <c r="B1849" s="47" t="s">
        <v>148</v>
      </c>
      <c r="C1849" s="48" t="s">
        <v>3994</v>
      </c>
      <c r="D1849" s="30"/>
      <c r="E1849" s="30"/>
      <c r="F1849" s="30"/>
      <c r="G1849" s="30"/>
      <c r="H1849" s="30" t="s">
        <v>149</v>
      </c>
      <c r="I1849" s="30" t="s">
        <v>30</v>
      </c>
      <c r="J1849" s="30" t="s">
        <v>142</v>
      </c>
      <c r="K1849" s="30" t="s">
        <v>116</v>
      </c>
      <c r="L1849" s="30" t="s">
        <v>121</v>
      </c>
      <c r="M1849" s="48" t="s">
        <v>3663</v>
      </c>
      <c r="N1849" s="30"/>
      <c r="O1849" s="30"/>
      <c r="P1849" s="30"/>
    </row>
    <row r="1850" spans="1:16" ht="90" customHeight="1">
      <c r="A1850" s="30" t="s">
        <v>3641</v>
      </c>
      <c r="B1850" s="47" t="s">
        <v>148</v>
      </c>
      <c r="C1850" s="48" t="s">
        <v>3995</v>
      </c>
      <c r="D1850" s="30"/>
      <c r="E1850" s="30"/>
      <c r="F1850" s="30"/>
      <c r="G1850" s="30"/>
      <c r="H1850" s="30" t="s">
        <v>149</v>
      </c>
      <c r="I1850" s="30" t="s">
        <v>30</v>
      </c>
      <c r="J1850" s="30" t="s">
        <v>142</v>
      </c>
      <c r="K1850" s="30" t="s">
        <v>116</v>
      </c>
      <c r="L1850" s="30" t="s">
        <v>121</v>
      </c>
      <c r="M1850" s="48" t="s">
        <v>3663</v>
      </c>
      <c r="N1850" s="30"/>
      <c r="O1850" s="30"/>
      <c r="P1850" s="30"/>
    </row>
    <row r="1851" spans="1:16" ht="75" customHeight="1">
      <c r="A1851" s="30" t="s">
        <v>3642</v>
      </c>
      <c r="B1851" s="47" t="s">
        <v>148</v>
      </c>
      <c r="C1851" s="48" t="s">
        <v>3996</v>
      </c>
      <c r="D1851" s="30"/>
      <c r="E1851" s="30"/>
      <c r="F1851" s="30"/>
      <c r="G1851" s="30"/>
      <c r="H1851" s="30" t="s">
        <v>149</v>
      </c>
      <c r="I1851" s="30" t="s">
        <v>30</v>
      </c>
      <c r="J1851" s="30" t="s">
        <v>142</v>
      </c>
      <c r="K1851" s="30" t="s">
        <v>116</v>
      </c>
      <c r="L1851" s="30" t="s">
        <v>121</v>
      </c>
      <c r="M1851" s="48" t="s">
        <v>3663</v>
      </c>
      <c r="N1851" s="30"/>
      <c r="O1851" s="30"/>
      <c r="P1851" s="30"/>
    </row>
    <row r="1852" spans="1:16" ht="75" customHeight="1">
      <c r="A1852" s="30" t="s">
        <v>3643</v>
      </c>
      <c r="B1852" s="47" t="s">
        <v>148</v>
      </c>
      <c r="C1852" s="48" t="s">
        <v>3997</v>
      </c>
      <c r="D1852" s="30"/>
      <c r="E1852" s="30"/>
      <c r="F1852" s="30"/>
      <c r="G1852" s="30"/>
      <c r="H1852" s="30" t="s">
        <v>149</v>
      </c>
      <c r="I1852" s="30" t="s">
        <v>30</v>
      </c>
      <c r="J1852" s="30" t="s">
        <v>142</v>
      </c>
      <c r="K1852" s="30" t="s">
        <v>116</v>
      </c>
      <c r="L1852" s="30" t="s">
        <v>121</v>
      </c>
      <c r="M1852" s="48" t="s">
        <v>3663</v>
      </c>
      <c r="N1852" s="30"/>
      <c r="O1852" s="30"/>
      <c r="P1852" s="30"/>
    </row>
    <row r="1853" spans="1:16" ht="45" customHeight="1">
      <c r="A1853" s="30" t="s">
        <v>3644</v>
      </c>
      <c r="B1853" s="47" t="s">
        <v>148</v>
      </c>
      <c r="C1853" s="48" t="s">
        <v>3998</v>
      </c>
      <c r="D1853" s="30"/>
      <c r="E1853" s="30"/>
      <c r="F1853" s="30"/>
      <c r="G1853" s="30" t="s">
        <v>4041</v>
      </c>
      <c r="H1853" s="30" t="s">
        <v>149</v>
      </c>
      <c r="I1853" s="30" t="s">
        <v>30</v>
      </c>
      <c r="J1853" s="30" t="s">
        <v>142</v>
      </c>
      <c r="K1853" s="30" t="s">
        <v>116</v>
      </c>
      <c r="L1853" s="30" t="s">
        <v>146</v>
      </c>
      <c r="M1853" s="48"/>
      <c r="N1853" s="30"/>
      <c r="O1853" s="30"/>
      <c r="P1853" s="30"/>
    </row>
    <row r="1854" spans="1:16" ht="90" customHeight="1">
      <c r="A1854" s="30" t="s">
        <v>3645</v>
      </c>
      <c r="B1854" s="47" t="s">
        <v>148</v>
      </c>
      <c r="C1854" s="48" t="s">
        <v>3999</v>
      </c>
      <c r="D1854" s="30"/>
      <c r="E1854" s="30"/>
      <c r="F1854" s="30"/>
      <c r="G1854" s="30"/>
      <c r="H1854" s="30" t="s">
        <v>149</v>
      </c>
      <c r="I1854" s="30" t="s">
        <v>30</v>
      </c>
      <c r="J1854" s="30" t="s">
        <v>142</v>
      </c>
      <c r="K1854" s="30" t="s">
        <v>116</v>
      </c>
      <c r="L1854" s="30" t="s">
        <v>121</v>
      </c>
      <c r="M1854" s="48" t="s">
        <v>3663</v>
      </c>
      <c r="N1854" s="30"/>
      <c r="O1854" s="30"/>
      <c r="P1854" s="30"/>
    </row>
    <row r="1855" spans="1:16" ht="105" customHeight="1">
      <c r="A1855" s="30" t="s">
        <v>3646</v>
      </c>
      <c r="B1855" s="47" t="s">
        <v>148</v>
      </c>
      <c r="C1855" s="48" t="s">
        <v>4000</v>
      </c>
      <c r="D1855" s="30"/>
      <c r="E1855" s="30"/>
      <c r="F1855" s="30"/>
      <c r="G1855" s="30"/>
      <c r="H1855" s="30" t="s">
        <v>149</v>
      </c>
      <c r="I1855" s="30" t="s">
        <v>30</v>
      </c>
      <c r="J1855" s="30" t="s">
        <v>142</v>
      </c>
      <c r="K1855" s="30" t="s">
        <v>116</v>
      </c>
      <c r="L1855" s="30" t="s">
        <v>121</v>
      </c>
      <c r="M1855" s="48" t="s">
        <v>3663</v>
      </c>
      <c r="N1855" s="30"/>
      <c r="O1855" s="30"/>
      <c r="P1855" s="30"/>
    </row>
    <row r="1856" spans="1:16" ht="90" customHeight="1">
      <c r="A1856" s="30" t="s">
        <v>3647</v>
      </c>
      <c r="B1856" s="55" t="s">
        <v>148</v>
      </c>
      <c r="C1856" s="52" t="s">
        <v>4001</v>
      </c>
      <c r="D1856" s="30"/>
      <c r="E1856" s="30"/>
      <c r="F1856" s="30"/>
      <c r="G1856" s="30"/>
      <c r="H1856" s="30" t="s">
        <v>149</v>
      </c>
      <c r="I1856" s="30" t="s">
        <v>30</v>
      </c>
      <c r="J1856" s="30" t="s">
        <v>142</v>
      </c>
      <c r="K1856" s="30" t="s">
        <v>116</v>
      </c>
      <c r="L1856" s="30" t="s">
        <v>121</v>
      </c>
      <c r="M1856" s="48" t="s">
        <v>4110</v>
      </c>
      <c r="N1856" s="30"/>
      <c r="O1856" s="30"/>
      <c r="P1856" s="30"/>
    </row>
    <row r="1857" spans="1:16" ht="60" customHeight="1">
      <c r="A1857" s="30" t="s">
        <v>3648</v>
      </c>
      <c r="B1857" s="47" t="s">
        <v>148</v>
      </c>
      <c r="C1857" s="48" t="s">
        <v>4002</v>
      </c>
      <c r="D1857" s="30"/>
      <c r="E1857" s="30"/>
      <c r="F1857" s="30"/>
      <c r="G1857" s="30"/>
      <c r="H1857" s="30" t="s">
        <v>149</v>
      </c>
      <c r="I1857" s="30" t="s">
        <v>30</v>
      </c>
      <c r="J1857" s="30" t="s">
        <v>142</v>
      </c>
      <c r="K1857" s="30" t="s">
        <v>116</v>
      </c>
      <c r="L1857" s="30" t="s">
        <v>121</v>
      </c>
      <c r="M1857" s="48" t="s">
        <v>3663</v>
      </c>
      <c r="N1857" s="30"/>
      <c r="O1857" s="30"/>
      <c r="P1857" s="30"/>
    </row>
    <row r="1858" spans="1:16" ht="120" customHeight="1">
      <c r="A1858" s="30" t="s">
        <v>3649</v>
      </c>
      <c r="B1858" s="47" t="s">
        <v>148</v>
      </c>
      <c r="C1858" s="48" t="s">
        <v>4003</v>
      </c>
      <c r="D1858" s="30"/>
      <c r="E1858" s="30"/>
      <c r="F1858" s="30"/>
      <c r="G1858" s="30"/>
      <c r="H1858" s="30" t="s">
        <v>149</v>
      </c>
      <c r="I1858" s="30" t="s">
        <v>30</v>
      </c>
      <c r="J1858" s="30" t="s">
        <v>142</v>
      </c>
      <c r="K1858" s="30" t="s">
        <v>116</v>
      </c>
      <c r="L1858" s="30" t="s">
        <v>121</v>
      </c>
      <c r="M1858" s="48" t="s">
        <v>3663</v>
      </c>
      <c r="N1858" s="30"/>
      <c r="O1858" s="30"/>
      <c r="P1858" s="30"/>
    </row>
    <row r="1859" spans="1:16" ht="90" customHeight="1">
      <c r="A1859" s="30" t="s">
        <v>3650</v>
      </c>
      <c r="B1859" s="47" t="s">
        <v>148</v>
      </c>
      <c r="C1859" s="48" t="s">
        <v>4004</v>
      </c>
      <c r="D1859" s="30"/>
      <c r="E1859" s="30"/>
      <c r="F1859" s="30"/>
      <c r="G1859" s="30"/>
      <c r="H1859" s="30" t="s">
        <v>149</v>
      </c>
      <c r="I1859" s="30" t="s">
        <v>30</v>
      </c>
      <c r="J1859" s="30" t="s">
        <v>142</v>
      </c>
      <c r="K1859" s="30" t="s">
        <v>116</v>
      </c>
      <c r="L1859" s="30" t="s">
        <v>121</v>
      </c>
      <c r="M1859" s="48" t="s">
        <v>3663</v>
      </c>
      <c r="N1859" s="30"/>
      <c r="O1859" s="30"/>
      <c r="P1859" s="30"/>
    </row>
    <row r="1860" spans="1:16" ht="90" customHeight="1">
      <c r="A1860" s="30" t="s">
        <v>3651</v>
      </c>
      <c r="B1860" s="47" t="s">
        <v>148</v>
      </c>
      <c r="C1860" s="48" t="s">
        <v>4005</v>
      </c>
      <c r="D1860" s="30"/>
      <c r="E1860" s="30"/>
      <c r="F1860" s="30"/>
      <c r="G1860" s="30"/>
      <c r="H1860" s="30" t="s">
        <v>149</v>
      </c>
      <c r="I1860" s="30" t="s">
        <v>30</v>
      </c>
      <c r="J1860" s="30" t="s">
        <v>142</v>
      </c>
      <c r="K1860" s="30" t="s">
        <v>116</v>
      </c>
      <c r="L1860" s="30" t="s">
        <v>121</v>
      </c>
      <c r="M1860" s="48" t="s">
        <v>3663</v>
      </c>
      <c r="N1860" s="30"/>
      <c r="O1860" s="30"/>
      <c r="P1860" s="30"/>
    </row>
    <row r="1861" spans="1:16" ht="90" customHeight="1">
      <c r="A1861" s="30" t="s">
        <v>3652</v>
      </c>
      <c r="B1861" s="47" t="s">
        <v>148</v>
      </c>
      <c r="C1861" s="48" t="s">
        <v>4006</v>
      </c>
      <c r="D1861" s="30"/>
      <c r="E1861" s="30"/>
      <c r="F1861" s="30"/>
      <c r="G1861" s="30"/>
      <c r="H1861" s="30" t="s">
        <v>149</v>
      </c>
      <c r="I1861" s="30" t="s">
        <v>30</v>
      </c>
      <c r="J1861" s="30" t="s">
        <v>142</v>
      </c>
      <c r="K1861" s="30" t="s">
        <v>116</v>
      </c>
      <c r="L1861" s="30" t="s">
        <v>121</v>
      </c>
      <c r="M1861" s="48" t="s">
        <v>3663</v>
      </c>
      <c r="N1861" s="30"/>
      <c r="O1861" s="30"/>
      <c r="P1861" s="30"/>
    </row>
    <row r="1862" spans="1:16" ht="75" customHeight="1">
      <c r="A1862" s="30" t="s">
        <v>3653</v>
      </c>
      <c r="B1862" s="47" t="s">
        <v>148</v>
      </c>
      <c r="C1862" s="48" t="s">
        <v>4007</v>
      </c>
      <c r="D1862" s="30"/>
      <c r="E1862" s="30"/>
      <c r="F1862" s="30"/>
      <c r="G1862" s="30"/>
      <c r="H1862" s="30" t="s">
        <v>149</v>
      </c>
      <c r="I1862" s="30" t="s">
        <v>30</v>
      </c>
      <c r="J1862" s="30" t="s">
        <v>142</v>
      </c>
      <c r="K1862" s="30" t="s">
        <v>116</v>
      </c>
      <c r="L1862" s="30" t="s">
        <v>121</v>
      </c>
      <c r="M1862" s="48" t="s">
        <v>3663</v>
      </c>
      <c r="N1862" s="30"/>
      <c r="O1862" s="30"/>
      <c r="P1862" s="30"/>
    </row>
    <row r="1863" spans="1:16" ht="45" customHeight="1">
      <c r="A1863" s="30" t="s">
        <v>3654</v>
      </c>
      <c r="B1863" s="47" t="s">
        <v>148</v>
      </c>
      <c r="C1863" s="48" t="s">
        <v>4011</v>
      </c>
      <c r="D1863" s="30"/>
      <c r="E1863" s="30"/>
      <c r="F1863" s="30"/>
      <c r="G1863" s="30" t="s">
        <v>4041</v>
      </c>
      <c r="H1863" s="30" t="s">
        <v>149</v>
      </c>
      <c r="I1863" s="30" t="s">
        <v>30</v>
      </c>
      <c r="J1863" s="30" t="s">
        <v>142</v>
      </c>
      <c r="K1863" s="30" t="s">
        <v>116</v>
      </c>
      <c r="L1863" s="30" t="s">
        <v>146</v>
      </c>
      <c r="M1863" s="48"/>
      <c r="N1863" s="30"/>
      <c r="O1863" s="30"/>
      <c r="P1863" s="30"/>
    </row>
    <row r="1864" spans="1:16" ht="90" customHeight="1">
      <c r="A1864" s="30" t="s">
        <v>3655</v>
      </c>
      <c r="B1864" s="47" t="s">
        <v>148</v>
      </c>
      <c r="C1864" s="48" t="s">
        <v>4010</v>
      </c>
      <c r="D1864" s="30"/>
      <c r="E1864" s="30"/>
      <c r="F1864" s="30"/>
      <c r="G1864" s="30"/>
      <c r="H1864" s="30" t="s">
        <v>149</v>
      </c>
      <c r="I1864" s="30" t="s">
        <v>30</v>
      </c>
      <c r="J1864" s="30" t="s">
        <v>142</v>
      </c>
      <c r="K1864" s="30" t="s">
        <v>116</v>
      </c>
      <c r="L1864" s="30" t="s">
        <v>121</v>
      </c>
      <c r="M1864" s="48" t="s">
        <v>3663</v>
      </c>
      <c r="N1864" s="30"/>
      <c r="O1864" s="30"/>
      <c r="P1864" s="30"/>
    </row>
    <row r="1865" spans="1:16" ht="105" customHeight="1">
      <c r="A1865" s="30" t="s">
        <v>3656</v>
      </c>
      <c r="B1865" s="47" t="s">
        <v>148</v>
      </c>
      <c r="C1865" s="48" t="s">
        <v>4009</v>
      </c>
      <c r="D1865" s="30"/>
      <c r="E1865" s="30"/>
      <c r="F1865" s="30"/>
      <c r="G1865" s="30"/>
      <c r="H1865" s="30" t="s">
        <v>149</v>
      </c>
      <c r="I1865" s="30" t="s">
        <v>30</v>
      </c>
      <c r="J1865" s="30" t="s">
        <v>142</v>
      </c>
      <c r="K1865" s="30" t="s">
        <v>116</v>
      </c>
      <c r="L1865" s="30" t="s">
        <v>121</v>
      </c>
      <c r="M1865" s="48" t="s">
        <v>3663</v>
      </c>
      <c r="N1865" s="30"/>
      <c r="O1865" s="30"/>
      <c r="P1865" s="30"/>
    </row>
    <row r="1866" spans="1:16" ht="60" customHeight="1">
      <c r="A1866" s="30" t="s">
        <v>3657</v>
      </c>
      <c r="B1866" s="55" t="s">
        <v>148</v>
      </c>
      <c r="C1866" s="52" t="s">
        <v>4008</v>
      </c>
      <c r="D1866" s="30"/>
      <c r="E1866" s="30"/>
      <c r="F1866" s="30"/>
      <c r="G1866" s="30" t="s">
        <v>4041</v>
      </c>
      <c r="H1866" s="30" t="s">
        <v>149</v>
      </c>
      <c r="I1866" s="30" t="s">
        <v>30</v>
      </c>
      <c r="J1866" s="30" t="s">
        <v>142</v>
      </c>
      <c r="K1866" s="30" t="s">
        <v>116</v>
      </c>
      <c r="L1866" s="30" t="s">
        <v>143</v>
      </c>
      <c r="M1866" s="48"/>
      <c r="N1866" s="30"/>
      <c r="O1866" s="30"/>
      <c r="P1866" s="30"/>
    </row>
    <row r="1867" spans="1:16" ht="30">
      <c r="A1867" s="30" t="s">
        <v>4234</v>
      </c>
      <c r="B1867" s="47" t="s">
        <v>4235</v>
      </c>
      <c r="C1867" s="49" t="s">
        <v>4236</v>
      </c>
      <c r="D1867" s="30"/>
      <c r="E1867" s="30"/>
      <c r="F1867" s="30"/>
      <c r="G1867" s="30" t="s">
        <v>4028</v>
      </c>
      <c r="H1867" s="30" t="s">
        <v>141</v>
      </c>
      <c r="I1867" s="30" t="s">
        <v>30</v>
      </c>
      <c r="J1867" s="30" t="s">
        <v>142</v>
      </c>
      <c r="K1867" s="30" t="s">
        <v>116</v>
      </c>
      <c r="L1867" s="30" t="s">
        <v>143</v>
      </c>
      <c r="M1867" s="48"/>
      <c r="N1867" s="30"/>
      <c r="O1867" s="30"/>
      <c r="P1867" s="30"/>
    </row>
    <row r="1868" spans="1:16" ht="75">
      <c r="A1868" s="30" t="s">
        <v>4237</v>
      </c>
      <c r="B1868" s="47" t="s">
        <v>4238</v>
      </c>
      <c r="C1868" s="49" t="s">
        <v>4239</v>
      </c>
      <c r="D1868" s="30"/>
      <c r="E1868" s="30"/>
      <c r="F1868" s="30"/>
      <c r="G1868" s="30" t="s">
        <v>4028</v>
      </c>
      <c r="H1868" s="30" t="s">
        <v>141</v>
      </c>
      <c r="I1868" s="30" t="s">
        <v>30</v>
      </c>
      <c r="J1868" s="30" t="s">
        <v>142</v>
      </c>
      <c r="K1868" s="30" t="s">
        <v>116</v>
      </c>
      <c r="L1868" s="30" t="s">
        <v>146</v>
      </c>
      <c r="M1868" s="48"/>
      <c r="N1868" s="30"/>
      <c r="O1868" s="30"/>
      <c r="P1868" s="30"/>
    </row>
    <row r="1869" spans="1:16" ht="30">
      <c r="A1869" s="30" t="s">
        <v>4240</v>
      </c>
      <c r="B1869" s="47" t="s">
        <v>4238</v>
      </c>
      <c r="C1869" s="49" t="s">
        <v>4241</v>
      </c>
      <c r="D1869" s="30"/>
      <c r="E1869" s="30"/>
      <c r="F1869" s="30"/>
      <c r="G1869" s="30" t="s">
        <v>4028</v>
      </c>
      <c r="H1869" s="30" t="s">
        <v>141</v>
      </c>
      <c r="I1869" s="30" t="s">
        <v>30</v>
      </c>
      <c r="J1869" s="30" t="s">
        <v>142</v>
      </c>
      <c r="K1869" s="30" t="s">
        <v>116</v>
      </c>
      <c r="L1869" s="30" t="s">
        <v>143</v>
      </c>
      <c r="M1869" s="48"/>
      <c r="N1869" s="30"/>
      <c r="O1869" s="30"/>
      <c r="P1869" s="30"/>
    </row>
    <row r="1870" spans="1:16" ht="30">
      <c r="A1870" s="30" t="s">
        <v>4242</v>
      </c>
      <c r="B1870" s="47" t="s">
        <v>4243</v>
      </c>
      <c r="C1870" s="49" t="s">
        <v>4244</v>
      </c>
      <c r="D1870" s="30"/>
      <c r="E1870" s="30"/>
      <c r="F1870" s="30"/>
      <c r="G1870" s="30" t="s">
        <v>4028</v>
      </c>
      <c r="H1870" s="30" t="s">
        <v>141</v>
      </c>
      <c r="I1870" s="30" t="s">
        <v>30</v>
      </c>
      <c r="J1870" s="30" t="s">
        <v>144</v>
      </c>
      <c r="K1870" s="30" t="s">
        <v>116</v>
      </c>
      <c r="L1870" s="30" t="s">
        <v>143</v>
      </c>
      <c r="M1870" s="48"/>
      <c r="N1870" s="30"/>
      <c r="O1870" s="30"/>
      <c r="P1870" s="30"/>
    </row>
    <row r="1871" spans="1:16" ht="30">
      <c r="A1871" s="30" t="s">
        <v>4245</v>
      </c>
      <c r="B1871" s="47" t="s">
        <v>4243</v>
      </c>
      <c r="C1871" s="49" t="s">
        <v>4246</v>
      </c>
      <c r="D1871" s="30"/>
      <c r="E1871" s="30"/>
      <c r="F1871" s="30" t="s">
        <v>4247</v>
      </c>
      <c r="G1871" s="30" t="s">
        <v>4028</v>
      </c>
      <c r="H1871" s="30" t="s">
        <v>149</v>
      </c>
      <c r="I1871" s="30" t="s">
        <v>30</v>
      </c>
      <c r="J1871" s="30" t="s">
        <v>144</v>
      </c>
      <c r="K1871" s="30" t="s">
        <v>116</v>
      </c>
      <c r="L1871" s="30" t="s">
        <v>143</v>
      </c>
      <c r="M1871" s="48"/>
      <c r="N1871" s="30"/>
      <c r="O1871" s="30"/>
      <c r="P1871" s="30"/>
    </row>
    <row r="1872" spans="1:16" ht="30">
      <c r="A1872" s="30" t="s">
        <v>4248</v>
      </c>
      <c r="B1872" s="47" t="s">
        <v>4249</v>
      </c>
      <c r="C1872" s="49" t="s">
        <v>4250</v>
      </c>
      <c r="D1872" s="30"/>
      <c r="E1872" s="30"/>
      <c r="F1872" s="30"/>
      <c r="G1872" s="30" t="s">
        <v>4028</v>
      </c>
      <c r="H1872" s="30" t="s">
        <v>141</v>
      </c>
      <c r="I1872" s="30" t="s">
        <v>30</v>
      </c>
      <c r="J1872" s="30" t="s">
        <v>142</v>
      </c>
      <c r="K1872" s="30" t="s">
        <v>116</v>
      </c>
      <c r="L1872" s="30" t="s">
        <v>146</v>
      </c>
      <c r="M1872" s="48"/>
      <c r="N1872" s="30"/>
      <c r="O1872" s="30"/>
      <c r="P1872" s="30"/>
    </row>
    <row r="1873" spans="1:16" ht="30">
      <c r="A1873" s="30" t="s">
        <v>4251</v>
      </c>
      <c r="B1873" s="47" t="s">
        <v>4249</v>
      </c>
      <c r="C1873" s="49" t="s">
        <v>4252</v>
      </c>
      <c r="D1873" s="30"/>
      <c r="E1873" s="30"/>
      <c r="F1873" s="30"/>
      <c r="G1873" s="30" t="s">
        <v>4028</v>
      </c>
      <c r="H1873" s="30" t="s">
        <v>141</v>
      </c>
      <c r="I1873" s="30" t="s">
        <v>30</v>
      </c>
      <c r="J1873" s="30" t="s">
        <v>142</v>
      </c>
      <c r="K1873" s="30" t="s">
        <v>116</v>
      </c>
      <c r="L1873" s="30" t="s">
        <v>146</v>
      </c>
      <c r="M1873" s="48"/>
      <c r="N1873" s="30"/>
      <c r="O1873" s="30"/>
      <c r="P1873" s="30"/>
    </row>
    <row r="1874" spans="1:16">
      <c r="A1874" s="30" t="s">
        <v>4253</v>
      </c>
      <c r="B1874" s="47" t="s">
        <v>4254</v>
      </c>
      <c r="C1874" s="49" t="s">
        <v>4255</v>
      </c>
      <c r="D1874" s="30"/>
      <c r="E1874" s="30"/>
      <c r="F1874" s="30"/>
      <c r="G1874" s="30" t="s">
        <v>4028</v>
      </c>
      <c r="H1874" s="30" t="s">
        <v>141</v>
      </c>
      <c r="I1874" s="30" t="s">
        <v>30</v>
      </c>
      <c r="J1874" s="30" t="s">
        <v>142</v>
      </c>
      <c r="K1874" s="30" t="s">
        <v>116</v>
      </c>
      <c r="L1874" s="30" t="s">
        <v>143</v>
      </c>
      <c r="M1874" s="48"/>
      <c r="N1874" s="30"/>
      <c r="O1874" s="30"/>
      <c r="P1874" s="30"/>
    </row>
    <row r="1875" spans="1:16" ht="30">
      <c r="A1875" s="30" t="s">
        <v>4256</v>
      </c>
      <c r="B1875" s="47" t="s">
        <v>4254</v>
      </c>
      <c r="C1875" s="49" t="s">
        <v>4257</v>
      </c>
      <c r="D1875" s="30"/>
      <c r="E1875" s="30"/>
      <c r="F1875" s="30"/>
      <c r="G1875" s="30" t="s">
        <v>4028</v>
      </c>
      <c r="H1875" s="30" t="s">
        <v>141</v>
      </c>
      <c r="I1875" s="30" t="s">
        <v>30</v>
      </c>
      <c r="J1875" s="30" t="s">
        <v>142</v>
      </c>
      <c r="K1875" s="30" t="s">
        <v>116</v>
      </c>
      <c r="L1875" s="30" t="s">
        <v>143</v>
      </c>
      <c r="M1875" s="48"/>
      <c r="N1875" s="30"/>
      <c r="O1875" s="30"/>
      <c r="P1875" s="30"/>
    </row>
    <row r="1876" spans="1:16">
      <c r="A1876" s="30" t="s">
        <v>4258</v>
      </c>
      <c r="B1876" s="47" t="s">
        <v>4254</v>
      </c>
      <c r="C1876" s="49" t="s">
        <v>4259</v>
      </c>
      <c r="D1876" s="30"/>
      <c r="E1876" s="30"/>
      <c r="F1876" s="30"/>
      <c r="G1876" s="30" t="s">
        <v>4028</v>
      </c>
      <c r="H1876" s="30" t="s">
        <v>141</v>
      </c>
      <c r="I1876" s="30" t="s">
        <v>30</v>
      </c>
      <c r="J1876" s="30" t="s">
        <v>142</v>
      </c>
      <c r="K1876" s="30" t="s">
        <v>116</v>
      </c>
      <c r="L1876" s="30" t="s">
        <v>143</v>
      </c>
      <c r="M1876" s="48"/>
      <c r="N1876" s="30"/>
      <c r="O1876" s="30"/>
      <c r="P1876" s="30"/>
    </row>
    <row r="1877" spans="1:16" ht="30">
      <c r="A1877" s="30" t="s">
        <v>4260</v>
      </c>
      <c r="B1877" s="47" t="s">
        <v>4254</v>
      </c>
      <c r="C1877" s="49" t="s">
        <v>4261</v>
      </c>
      <c r="D1877" s="30"/>
      <c r="E1877" s="30"/>
      <c r="F1877" s="30"/>
      <c r="G1877" s="30" t="s">
        <v>4028</v>
      </c>
      <c r="H1877" s="30" t="s">
        <v>141</v>
      </c>
      <c r="I1877" s="30" t="s">
        <v>30</v>
      </c>
      <c r="J1877" s="30" t="s">
        <v>142</v>
      </c>
      <c r="K1877" s="30" t="s">
        <v>116</v>
      </c>
      <c r="L1877" s="30" t="s">
        <v>143</v>
      </c>
      <c r="M1877" s="48"/>
      <c r="N1877" s="30"/>
      <c r="O1877" s="30"/>
      <c r="P1877" s="30"/>
    </row>
    <row r="1878" spans="1:16" ht="30">
      <c r="A1878" s="30" t="s">
        <v>4262</v>
      </c>
      <c r="B1878" s="47" t="s">
        <v>4254</v>
      </c>
      <c r="C1878" s="49" t="s">
        <v>4263</v>
      </c>
      <c r="D1878" s="30"/>
      <c r="E1878" s="30"/>
      <c r="F1878" s="30"/>
      <c r="G1878" s="30" t="s">
        <v>4028</v>
      </c>
      <c r="H1878" s="30" t="s">
        <v>141</v>
      </c>
      <c r="I1878" s="30" t="s">
        <v>30</v>
      </c>
      <c r="J1878" s="30" t="s">
        <v>142</v>
      </c>
      <c r="K1878" s="30" t="s">
        <v>116</v>
      </c>
      <c r="L1878" s="30" t="s">
        <v>143</v>
      </c>
      <c r="M1878" s="48"/>
      <c r="N1878" s="30"/>
      <c r="O1878" s="30"/>
      <c r="P1878" s="30"/>
    </row>
    <row r="1879" spans="1:16" ht="30">
      <c r="A1879" s="30" t="s">
        <v>4264</v>
      </c>
      <c r="B1879" s="47" t="s">
        <v>4254</v>
      </c>
      <c r="C1879" s="49" t="s">
        <v>4265</v>
      </c>
      <c r="D1879" s="30"/>
      <c r="E1879" s="30"/>
      <c r="F1879" s="30"/>
      <c r="G1879" s="30" t="s">
        <v>4028</v>
      </c>
      <c r="H1879" s="30" t="s">
        <v>141</v>
      </c>
      <c r="I1879" s="30" t="s">
        <v>30</v>
      </c>
      <c r="J1879" s="30" t="s">
        <v>142</v>
      </c>
      <c r="K1879" s="30" t="s">
        <v>116</v>
      </c>
      <c r="L1879" s="30" t="s">
        <v>143</v>
      </c>
      <c r="M1879" s="48"/>
      <c r="N1879" s="30"/>
      <c r="O1879" s="30"/>
      <c r="P1879" s="30"/>
    </row>
    <row r="1880" spans="1:16" ht="30">
      <c r="A1880" s="30" t="s">
        <v>4266</v>
      </c>
      <c r="B1880" s="47" t="s">
        <v>4254</v>
      </c>
      <c r="C1880" s="49" t="s">
        <v>4267</v>
      </c>
      <c r="D1880" s="30"/>
      <c r="E1880" s="30"/>
      <c r="F1880" s="30"/>
      <c r="G1880" s="30" t="s">
        <v>4028</v>
      </c>
      <c r="H1880" s="30" t="s">
        <v>141</v>
      </c>
      <c r="I1880" s="30" t="s">
        <v>30</v>
      </c>
      <c r="J1880" s="30" t="s">
        <v>142</v>
      </c>
      <c r="K1880" s="30" t="s">
        <v>116</v>
      </c>
      <c r="L1880" s="30" t="s">
        <v>143</v>
      </c>
      <c r="M1880" s="48"/>
      <c r="N1880" s="30"/>
      <c r="O1880" s="30"/>
      <c r="P1880" s="30"/>
    </row>
    <row r="1881" spans="1:16" ht="30">
      <c r="A1881" s="30" t="s">
        <v>4268</v>
      </c>
      <c r="B1881" s="47" t="s">
        <v>4254</v>
      </c>
      <c r="C1881" s="49" t="s">
        <v>4269</v>
      </c>
      <c r="D1881" s="30"/>
      <c r="E1881" s="30"/>
      <c r="F1881" s="30"/>
      <c r="G1881" s="30" t="s">
        <v>4028</v>
      </c>
      <c r="H1881" s="30" t="s">
        <v>141</v>
      </c>
      <c r="I1881" s="30" t="s">
        <v>30</v>
      </c>
      <c r="J1881" s="30" t="s">
        <v>142</v>
      </c>
      <c r="K1881" s="30" t="s">
        <v>116</v>
      </c>
      <c r="L1881" s="30" t="s">
        <v>143</v>
      </c>
      <c r="M1881" s="48"/>
      <c r="N1881" s="30"/>
      <c r="O1881" s="30"/>
      <c r="P1881" s="30"/>
    </row>
    <row r="1882" spans="1:16">
      <c r="A1882" s="30" t="s">
        <v>4270</v>
      </c>
      <c r="B1882" s="47" t="s">
        <v>4254</v>
      </c>
      <c r="C1882" s="49" t="s">
        <v>4271</v>
      </c>
      <c r="D1882" s="30"/>
      <c r="E1882" s="30"/>
      <c r="F1882" s="30"/>
      <c r="G1882" s="30" t="s">
        <v>4028</v>
      </c>
      <c r="H1882" s="30" t="s">
        <v>141</v>
      </c>
      <c r="I1882" s="30" t="s">
        <v>30</v>
      </c>
      <c r="J1882" s="30" t="s">
        <v>142</v>
      </c>
      <c r="K1882" s="30" t="s">
        <v>116</v>
      </c>
      <c r="L1882" s="30" t="s">
        <v>143</v>
      </c>
      <c r="M1882" s="48"/>
      <c r="N1882" s="30"/>
      <c r="O1882" s="30"/>
      <c r="P1882" s="30"/>
    </row>
    <row r="1883" spans="1:16" ht="30">
      <c r="A1883" s="30" t="s">
        <v>4272</v>
      </c>
      <c r="B1883" s="47" t="s">
        <v>4254</v>
      </c>
      <c r="C1883" s="49" t="s">
        <v>4273</v>
      </c>
      <c r="D1883" s="30"/>
      <c r="E1883" s="30"/>
      <c r="F1883" s="30"/>
      <c r="G1883" s="30" t="s">
        <v>4028</v>
      </c>
      <c r="H1883" s="30" t="s">
        <v>141</v>
      </c>
      <c r="I1883" s="30" t="s">
        <v>30</v>
      </c>
      <c r="J1883" s="30" t="s">
        <v>142</v>
      </c>
      <c r="K1883" s="30" t="s">
        <v>116</v>
      </c>
      <c r="L1883" s="30" t="s">
        <v>146</v>
      </c>
      <c r="M1883" s="48"/>
      <c r="N1883" s="30"/>
      <c r="O1883" s="30"/>
      <c r="P1883" s="30"/>
    </row>
    <row r="1884" spans="1:16">
      <c r="A1884" s="30" t="s">
        <v>4274</v>
      </c>
      <c r="B1884" s="47" t="s">
        <v>4254</v>
      </c>
      <c r="C1884" s="49" t="s">
        <v>4275</v>
      </c>
      <c r="D1884" s="30"/>
      <c r="E1884" s="30"/>
      <c r="F1884" s="30"/>
      <c r="G1884" s="30" t="s">
        <v>4028</v>
      </c>
      <c r="H1884" s="30" t="s">
        <v>141</v>
      </c>
      <c r="I1884" s="30" t="s">
        <v>30</v>
      </c>
      <c r="J1884" s="30" t="s">
        <v>142</v>
      </c>
      <c r="K1884" s="30" t="s">
        <v>116</v>
      </c>
      <c r="L1884" s="30" t="s">
        <v>146</v>
      </c>
      <c r="M1884" s="48"/>
      <c r="N1884" s="30"/>
      <c r="O1884" s="30"/>
      <c r="P1884" s="30"/>
    </row>
    <row r="1885" spans="1:16" ht="30">
      <c r="A1885" s="30" t="s">
        <v>4276</v>
      </c>
      <c r="B1885" s="47" t="s">
        <v>4277</v>
      </c>
      <c r="C1885" s="49" t="s">
        <v>4278</v>
      </c>
      <c r="D1885" s="30"/>
      <c r="E1885" s="30"/>
      <c r="F1885" s="30"/>
      <c r="G1885" s="30" t="s">
        <v>4028</v>
      </c>
      <c r="H1885" s="30" t="s">
        <v>141</v>
      </c>
      <c r="I1885" s="30" t="s">
        <v>30</v>
      </c>
      <c r="J1885" s="30" t="s">
        <v>142</v>
      </c>
      <c r="K1885" s="30" t="s">
        <v>116</v>
      </c>
      <c r="L1885" s="30" t="s">
        <v>146</v>
      </c>
      <c r="M1885" s="48"/>
      <c r="N1885" s="30"/>
      <c r="O1885" s="30"/>
      <c r="P1885" s="30"/>
    </row>
    <row r="1886" spans="1:16" ht="30">
      <c r="A1886" s="30" t="s">
        <v>4279</v>
      </c>
      <c r="B1886" s="47" t="s">
        <v>4277</v>
      </c>
      <c r="C1886" s="49" t="s">
        <v>4280</v>
      </c>
      <c r="D1886" s="30"/>
      <c r="E1886" s="30"/>
      <c r="F1886" s="30"/>
      <c r="G1886" s="30" t="s">
        <v>4028</v>
      </c>
      <c r="H1886" s="30" t="s">
        <v>141</v>
      </c>
      <c r="I1886" s="30" t="s">
        <v>30</v>
      </c>
      <c r="J1886" s="30" t="s">
        <v>142</v>
      </c>
      <c r="K1886" s="30" t="s">
        <v>116</v>
      </c>
      <c r="L1886" s="30" t="s">
        <v>143</v>
      </c>
      <c r="M1886" s="48"/>
      <c r="N1886" s="30"/>
      <c r="O1886" s="30"/>
      <c r="P1886" s="30"/>
    </row>
    <row r="1887" spans="1:16" ht="30">
      <c r="A1887" s="30" t="s">
        <v>4281</v>
      </c>
      <c r="B1887" s="47" t="s">
        <v>4277</v>
      </c>
      <c r="C1887" s="49" t="s">
        <v>4282</v>
      </c>
      <c r="D1887" s="30"/>
      <c r="E1887" s="30"/>
      <c r="F1887" s="30"/>
      <c r="G1887" s="30" t="s">
        <v>4028</v>
      </c>
      <c r="H1887" s="30" t="s">
        <v>141</v>
      </c>
      <c r="I1887" s="30" t="s">
        <v>30</v>
      </c>
      <c r="J1887" s="30" t="s">
        <v>142</v>
      </c>
      <c r="K1887" s="30" t="s">
        <v>116</v>
      </c>
      <c r="L1887" s="30" t="s">
        <v>146</v>
      </c>
      <c r="M1887" s="48"/>
      <c r="N1887" s="30"/>
      <c r="O1887" s="30"/>
      <c r="P1887" s="30"/>
    </row>
    <row r="1888" spans="1:16" ht="45">
      <c r="A1888" s="30" t="s">
        <v>4283</v>
      </c>
      <c r="B1888" s="47" t="s">
        <v>4277</v>
      </c>
      <c r="C1888" s="49" t="s">
        <v>4284</v>
      </c>
      <c r="D1888" s="30"/>
      <c r="E1888" s="30"/>
      <c r="F1888" s="30"/>
      <c r="G1888" s="30" t="s">
        <v>4028</v>
      </c>
      <c r="H1888" s="30" t="s">
        <v>141</v>
      </c>
      <c r="I1888" s="30" t="s">
        <v>30</v>
      </c>
      <c r="J1888" s="30" t="s">
        <v>142</v>
      </c>
      <c r="K1888" s="30" t="s">
        <v>116</v>
      </c>
      <c r="L1888" s="30" t="s">
        <v>146</v>
      </c>
      <c r="M1888" s="48"/>
      <c r="N1888" s="30"/>
      <c r="O1888" s="30"/>
      <c r="P1888" s="30"/>
    </row>
    <row r="1889" spans="1:16" ht="45">
      <c r="A1889" s="30" t="s">
        <v>4285</v>
      </c>
      <c r="B1889" s="47" t="s">
        <v>4277</v>
      </c>
      <c r="C1889" s="49" t="s">
        <v>4286</v>
      </c>
      <c r="D1889" s="30"/>
      <c r="E1889" s="30"/>
      <c r="F1889" s="30"/>
      <c r="G1889" s="30" t="s">
        <v>4028</v>
      </c>
      <c r="H1889" s="30" t="s">
        <v>141</v>
      </c>
      <c r="I1889" s="30" t="s">
        <v>30</v>
      </c>
      <c r="J1889" s="30" t="s">
        <v>142</v>
      </c>
      <c r="K1889" s="30" t="s">
        <v>116</v>
      </c>
      <c r="L1889" s="30" t="s">
        <v>146</v>
      </c>
      <c r="M1889" s="48"/>
      <c r="N1889" s="30"/>
      <c r="O1889" s="30"/>
      <c r="P1889" s="30"/>
    </row>
    <row r="1890" spans="1:16" ht="30">
      <c r="A1890" s="30" t="s">
        <v>4287</v>
      </c>
      <c r="B1890" s="47" t="s">
        <v>4277</v>
      </c>
      <c r="C1890" s="49" t="s">
        <v>4288</v>
      </c>
      <c r="D1890" s="30"/>
      <c r="E1890" s="30"/>
      <c r="F1890" s="30"/>
      <c r="G1890" s="30" t="s">
        <v>4028</v>
      </c>
      <c r="H1890" s="30" t="s">
        <v>141</v>
      </c>
      <c r="I1890" s="30" t="s">
        <v>30</v>
      </c>
      <c r="J1890" s="30" t="s">
        <v>142</v>
      </c>
      <c r="K1890" s="30" t="s">
        <v>116</v>
      </c>
      <c r="L1890" s="30" t="s">
        <v>146</v>
      </c>
      <c r="M1890" s="48"/>
      <c r="N1890" s="30"/>
      <c r="O1890" s="30"/>
      <c r="P1890" s="30"/>
    </row>
    <row r="1891" spans="1:16">
      <c r="A1891" s="30" t="s">
        <v>4289</v>
      </c>
      <c r="B1891" s="47" t="s">
        <v>4277</v>
      </c>
      <c r="C1891" s="49" t="s">
        <v>4290</v>
      </c>
      <c r="D1891" s="30"/>
      <c r="E1891" s="30"/>
      <c r="F1891" s="30"/>
      <c r="G1891" s="30" t="s">
        <v>4028</v>
      </c>
      <c r="H1891" s="30" t="s">
        <v>141</v>
      </c>
      <c r="I1891" s="30" t="s">
        <v>30</v>
      </c>
      <c r="J1891" s="30" t="s">
        <v>142</v>
      </c>
      <c r="K1891" s="30" t="s">
        <v>116</v>
      </c>
      <c r="L1891" s="30" t="s">
        <v>146</v>
      </c>
      <c r="M1891" s="48"/>
      <c r="N1891" s="30"/>
      <c r="O1891" s="30"/>
      <c r="P1891" s="30"/>
    </row>
    <row r="1892" spans="1:16" ht="30">
      <c r="A1892" s="30" t="s">
        <v>4291</v>
      </c>
      <c r="B1892" s="47" t="s">
        <v>4292</v>
      </c>
      <c r="C1892" s="49" t="s">
        <v>4293</v>
      </c>
      <c r="D1892" s="30"/>
      <c r="E1892" s="30"/>
      <c r="F1892" s="30"/>
      <c r="G1892" s="30" t="s">
        <v>4028</v>
      </c>
      <c r="H1892" s="30" t="s">
        <v>141</v>
      </c>
      <c r="I1892" s="30" t="s">
        <v>30</v>
      </c>
      <c r="J1892" s="30" t="s">
        <v>142</v>
      </c>
      <c r="K1892" s="30" t="s">
        <v>116</v>
      </c>
      <c r="L1892" s="30" t="s">
        <v>146</v>
      </c>
      <c r="M1892" s="48"/>
      <c r="N1892" s="30"/>
      <c r="O1892" s="30"/>
      <c r="P1892" s="30"/>
    </row>
    <row r="1893" spans="1:16" ht="30">
      <c r="A1893" s="30" t="s">
        <v>4294</v>
      </c>
      <c r="B1893" s="47" t="s">
        <v>4295</v>
      </c>
      <c r="C1893" s="49" t="s">
        <v>4296</v>
      </c>
      <c r="D1893" s="30"/>
      <c r="E1893" s="30"/>
      <c r="F1893" s="30"/>
      <c r="G1893" s="30" t="s">
        <v>4028</v>
      </c>
      <c r="H1893" s="30" t="s">
        <v>141</v>
      </c>
      <c r="I1893" s="30" t="s">
        <v>30</v>
      </c>
      <c r="J1893" s="30" t="s">
        <v>142</v>
      </c>
      <c r="K1893" s="30" t="s">
        <v>116</v>
      </c>
      <c r="L1893" s="30" t="s">
        <v>146</v>
      </c>
      <c r="M1893" s="48"/>
      <c r="N1893" s="30"/>
      <c r="O1893" s="30"/>
      <c r="P1893" s="30"/>
    </row>
    <row r="1894" spans="1:16" ht="30">
      <c r="A1894" s="30" t="s">
        <v>4297</v>
      </c>
      <c r="B1894" s="47" t="s">
        <v>4295</v>
      </c>
      <c r="C1894" s="49" t="s">
        <v>4298</v>
      </c>
      <c r="D1894" s="30"/>
      <c r="E1894" s="30"/>
      <c r="F1894" s="30"/>
      <c r="G1894" s="30" t="s">
        <v>4028</v>
      </c>
      <c r="H1894" s="30" t="s">
        <v>141</v>
      </c>
      <c r="I1894" s="30" t="s">
        <v>30</v>
      </c>
      <c r="J1894" s="30" t="s">
        <v>142</v>
      </c>
      <c r="K1894" s="30" t="s">
        <v>116</v>
      </c>
      <c r="L1894" s="30" t="s">
        <v>143</v>
      </c>
      <c r="M1894" s="48"/>
      <c r="N1894" s="30"/>
      <c r="O1894" s="30"/>
      <c r="P1894" s="30"/>
    </row>
    <row r="1895" spans="1:16" ht="30">
      <c r="A1895" s="30" t="s">
        <v>4299</v>
      </c>
      <c r="B1895" s="47" t="s">
        <v>4295</v>
      </c>
      <c r="C1895" s="49" t="s">
        <v>4300</v>
      </c>
      <c r="D1895" s="30"/>
      <c r="E1895" s="30"/>
      <c r="F1895" s="30"/>
      <c r="G1895" s="30" t="s">
        <v>4028</v>
      </c>
      <c r="H1895" s="30" t="s">
        <v>141</v>
      </c>
      <c r="I1895" s="30" t="s">
        <v>30</v>
      </c>
      <c r="J1895" s="30" t="s">
        <v>142</v>
      </c>
      <c r="K1895" s="30" t="s">
        <v>116</v>
      </c>
      <c r="L1895" s="30" t="s">
        <v>143</v>
      </c>
      <c r="M1895" s="48"/>
      <c r="N1895" s="30"/>
      <c r="O1895" s="30"/>
      <c r="P1895" s="30"/>
    </row>
    <row r="1896" spans="1:16" ht="30">
      <c r="A1896" s="30" t="s">
        <v>4301</v>
      </c>
      <c r="B1896" s="47" t="s">
        <v>4302</v>
      </c>
      <c r="C1896" s="49" t="s">
        <v>4303</v>
      </c>
      <c r="D1896" s="30"/>
      <c r="E1896" s="30"/>
      <c r="F1896" s="30"/>
      <c r="G1896" s="30" t="s">
        <v>4028</v>
      </c>
      <c r="H1896" s="30" t="s">
        <v>141</v>
      </c>
      <c r="I1896" s="30" t="s">
        <v>30</v>
      </c>
      <c r="J1896" s="30" t="s">
        <v>142</v>
      </c>
      <c r="K1896" s="30" t="s">
        <v>116</v>
      </c>
      <c r="L1896" s="30" t="s">
        <v>146</v>
      </c>
      <c r="M1896" s="48"/>
      <c r="N1896" s="30"/>
      <c r="O1896" s="30"/>
      <c r="P1896" s="30"/>
    </row>
    <row r="1897" spans="1:16" ht="30">
      <c r="A1897" s="30" t="s">
        <v>4304</v>
      </c>
      <c r="B1897" s="47" t="s">
        <v>4305</v>
      </c>
      <c r="C1897" s="49" t="s">
        <v>4306</v>
      </c>
      <c r="D1897" s="30"/>
      <c r="E1897" s="30"/>
      <c r="F1897" s="30"/>
      <c r="G1897" s="30" t="s">
        <v>4028</v>
      </c>
      <c r="H1897" s="30" t="s">
        <v>141</v>
      </c>
      <c r="I1897" s="30" t="s">
        <v>30</v>
      </c>
      <c r="J1897" s="30" t="s">
        <v>142</v>
      </c>
      <c r="K1897" s="30" t="s">
        <v>116</v>
      </c>
      <c r="L1897" s="30" t="s">
        <v>146</v>
      </c>
      <c r="M1897" s="48"/>
      <c r="N1897" s="30"/>
      <c r="O1897" s="30"/>
      <c r="P1897" s="30"/>
    </row>
    <row r="1898" spans="1:16" ht="30">
      <c r="A1898" s="30" t="s">
        <v>4307</v>
      </c>
      <c r="B1898" s="47" t="s">
        <v>4305</v>
      </c>
      <c r="C1898" s="49" t="s">
        <v>4308</v>
      </c>
      <c r="D1898" s="30"/>
      <c r="E1898" s="30"/>
      <c r="F1898" s="30"/>
      <c r="G1898" s="30" t="s">
        <v>4028</v>
      </c>
      <c r="H1898" s="30" t="s">
        <v>141</v>
      </c>
      <c r="I1898" s="30" t="s">
        <v>30</v>
      </c>
      <c r="J1898" s="30" t="s">
        <v>142</v>
      </c>
      <c r="K1898" s="30" t="s">
        <v>116</v>
      </c>
      <c r="L1898" s="30" t="s">
        <v>146</v>
      </c>
      <c r="M1898" s="48"/>
      <c r="N1898" s="30"/>
      <c r="O1898" s="30"/>
      <c r="P1898" s="30"/>
    </row>
    <row r="1899" spans="1:16">
      <c r="A1899" s="30" t="s">
        <v>4309</v>
      </c>
      <c r="B1899" s="47" t="s">
        <v>4310</v>
      </c>
      <c r="C1899" s="49" t="s">
        <v>4311</v>
      </c>
      <c r="D1899" s="30"/>
      <c r="E1899" s="30"/>
      <c r="F1899" s="30"/>
      <c r="G1899" s="30" t="s">
        <v>4028</v>
      </c>
      <c r="H1899" s="30" t="s">
        <v>141</v>
      </c>
      <c r="I1899" s="30" t="s">
        <v>30</v>
      </c>
      <c r="J1899" s="30" t="s">
        <v>142</v>
      </c>
      <c r="K1899" s="30" t="s">
        <v>116</v>
      </c>
      <c r="L1899" s="30" t="s">
        <v>143</v>
      </c>
      <c r="M1899" s="48"/>
      <c r="N1899" s="30"/>
      <c r="O1899" s="30"/>
      <c r="P1899" s="30"/>
    </row>
    <row r="1900" spans="1:16" ht="30">
      <c r="A1900" s="30" t="s">
        <v>4312</v>
      </c>
      <c r="B1900" s="47" t="s">
        <v>4310</v>
      </c>
      <c r="C1900" s="49" t="s">
        <v>4313</v>
      </c>
      <c r="D1900" s="30"/>
      <c r="E1900" s="30"/>
      <c r="F1900" s="30"/>
      <c r="G1900" s="30" t="s">
        <v>4028</v>
      </c>
      <c r="H1900" s="30" t="s">
        <v>141</v>
      </c>
      <c r="I1900" s="30" t="s">
        <v>30</v>
      </c>
      <c r="J1900" s="30" t="s">
        <v>142</v>
      </c>
      <c r="K1900" s="30" t="s">
        <v>116</v>
      </c>
      <c r="L1900" s="30" t="s">
        <v>143</v>
      </c>
      <c r="M1900" s="48"/>
      <c r="N1900" s="30"/>
      <c r="O1900" s="30"/>
      <c r="P1900" s="30"/>
    </row>
    <row r="1901" spans="1:16" ht="30">
      <c r="A1901" s="30" t="s">
        <v>4314</v>
      </c>
      <c r="B1901" s="47" t="s">
        <v>4310</v>
      </c>
      <c r="C1901" s="49" t="s">
        <v>4315</v>
      </c>
      <c r="D1901" s="30"/>
      <c r="E1901" s="30"/>
      <c r="F1901" s="30"/>
      <c r="G1901" s="30" t="s">
        <v>4028</v>
      </c>
      <c r="H1901" s="30" t="s">
        <v>141</v>
      </c>
      <c r="I1901" s="30" t="s">
        <v>30</v>
      </c>
      <c r="J1901" s="30" t="s">
        <v>142</v>
      </c>
      <c r="K1901" s="30" t="s">
        <v>116</v>
      </c>
      <c r="L1901" s="30" t="s">
        <v>143</v>
      </c>
      <c r="M1901" s="48"/>
      <c r="N1901" s="30"/>
      <c r="O1901" s="30"/>
      <c r="P1901" s="30"/>
    </row>
    <row r="1902" spans="1:16" ht="30">
      <c r="A1902" s="30" t="s">
        <v>4316</v>
      </c>
      <c r="B1902" s="47" t="s">
        <v>4310</v>
      </c>
      <c r="C1902" s="49" t="s">
        <v>4317</v>
      </c>
      <c r="D1902" s="30"/>
      <c r="E1902" s="30"/>
      <c r="F1902" s="30"/>
      <c r="G1902" s="30" t="s">
        <v>4028</v>
      </c>
      <c r="H1902" s="30" t="s">
        <v>141</v>
      </c>
      <c r="I1902" s="30" t="s">
        <v>30</v>
      </c>
      <c r="J1902" s="30" t="s">
        <v>142</v>
      </c>
      <c r="K1902" s="30" t="s">
        <v>116</v>
      </c>
      <c r="L1902" s="30" t="s">
        <v>143</v>
      </c>
      <c r="M1902" s="48"/>
      <c r="N1902" s="30"/>
      <c r="O1902" s="30"/>
      <c r="P1902" s="30"/>
    </row>
    <row r="1903" spans="1:16" ht="30">
      <c r="A1903" s="30" t="s">
        <v>4318</v>
      </c>
      <c r="B1903" s="47" t="s">
        <v>4310</v>
      </c>
      <c r="C1903" s="49" t="s">
        <v>4319</v>
      </c>
      <c r="D1903" s="30"/>
      <c r="E1903" s="30"/>
      <c r="F1903" s="30"/>
      <c r="G1903" s="30" t="s">
        <v>4028</v>
      </c>
      <c r="H1903" s="30" t="s">
        <v>141</v>
      </c>
      <c r="I1903" s="30" t="s">
        <v>30</v>
      </c>
      <c r="J1903" s="30" t="s">
        <v>142</v>
      </c>
      <c r="K1903" s="30" t="s">
        <v>116</v>
      </c>
      <c r="L1903" s="30" t="s">
        <v>143</v>
      </c>
      <c r="M1903" s="48"/>
      <c r="N1903" s="30"/>
      <c r="O1903" s="30"/>
      <c r="P1903" s="30"/>
    </row>
    <row r="1904" spans="1:16" ht="30">
      <c r="A1904" s="30" t="s">
        <v>4320</v>
      </c>
      <c r="B1904" s="47" t="s">
        <v>4310</v>
      </c>
      <c r="C1904" s="49" t="s">
        <v>4321</v>
      </c>
      <c r="D1904" s="30"/>
      <c r="E1904" s="30"/>
      <c r="F1904" s="30"/>
      <c r="G1904" s="30" t="s">
        <v>4028</v>
      </c>
      <c r="H1904" s="30" t="s">
        <v>141</v>
      </c>
      <c r="I1904" s="30" t="s">
        <v>30</v>
      </c>
      <c r="J1904" s="30" t="s">
        <v>142</v>
      </c>
      <c r="K1904" s="30" t="s">
        <v>116</v>
      </c>
      <c r="L1904" s="30" t="s">
        <v>146</v>
      </c>
      <c r="M1904" s="48"/>
      <c r="N1904" s="30"/>
      <c r="O1904" s="30"/>
      <c r="P1904" s="30"/>
    </row>
    <row r="1905" spans="1:16" ht="30">
      <c r="A1905" s="30" t="s">
        <v>4322</v>
      </c>
      <c r="B1905" s="47" t="s">
        <v>4310</v>
      </c>
      <c r="C1905" s="49" t="s">
        <v>4323</v>
      </c>
      <c r="D1905" s="30"/>
      <c r="E1905" s="30"/>
      <c r="F1905" s="30"/>
      <c r="G1905" s="30" t="s">
        <v>4028</v>
      </c>
      <c r="H1905" s="30" t="s">
        <v>141</v>
      </c>
      <c r="I1905" s="30" t="s">
        <v>30</v>
      </c>
      <c r="J1905" s="30" t="s">
        <v>142</v>
      </c>
      <c r="K1905" s="30" t="s">
        <v>116</v>
      </c>
      <c r="L1905" s="30" t="s">
        <v>146</v>
      </c>
      <c r="M1905" s="48"/>
      <c r="N1905" s="30"/>
      <c r="O1905" s="30"/>
      <c r="P1905" s="30"/>
    </row>
    <row r="1906" spans="1:16" ht="30">
      <c r="A1906" s="30" t="s">
        <v>4324</v>
      </c>
      <c r="B1906" s="47" t="s">
        <v>4310</v>
      </c>
      <c r="C1906" s="49" t="s">
        <v>4325</v>
      </c>
      <c r="D1906" s="30"/>
      <c r="E1906" s="30"/>
      <c r="F1906" s="30"/>
      <c r="G1906" s="30" t="s">
        <v>4028</v>
      </c>
      <c r="H1906" s="30" t="s">
        <v>141</v>
      </c>
      <c r="I1906" s="30" t="s">
        <v>30</v>
      </c>
      <c r="J1906" s="30" t="s">
        <v>142</v>
      </c>
      <c r="K1906" s="30" t="s">
        <v>116</v>
      </c>
      <c r="L1906" s="30" t="s">
        <v>146</v>
      </c>
      <c r="M1906" s="48"/>
      <c r="N1906" s="30"/>
      <c r="O1906" s="30"/>
      <c r="P1906" s="30"/>
    </row>
    <row r="1907" spans="1:16" ht="45">
      <c r="A1907" s="30" t="s">
        <v>4326</v>
      </c>
      <c r="B1907" s="47" t="s">
        <v>4310</v>
      </c>
      <c r="C1907" s="49" t="s">
        <v>4327</v>
      </c>
      <c r="D1907" s="30"/>
      <c r="E1907" s="30"/>
      <c r="F1907" s="30"/>
      <c r="G1907" s="30" t="s">
        <v>4028</v>
      </c>
      <c r="H1907" s="30" t="s">
        <v>141</v>
      </c>
      <c r="I1907" s="30" t="s">
        <v>30</v>
      </c>
      <c r="J1907" s="30" t="s">
        <v>142</v>
      </c>
      <c r="K1907" s="30" t="s">
        <v>116</v>
      </c>
      <c r="L1907" s="30" t="s">
        <v>143</v>
      </c>
      <c r="M1907" s="48"/>
      <c r="N1907" s="30"/>
      <c r="O1907" s="30"/>
      <c r="P1907" s="30"/>
    </row>
    <row r="1908" spans="1:16" ht="30">
      <c r="A1908" s="30" t="s">
        <v>4328</v>
      </c>
      <c r="B1908" s="47" t="s">
        <v>4310</v>
      </c>
      <c r="C1908" s="49" t="s">
        <v>4329</v>
      </c>
      <c r="D1908" s="30"/>
      <c r="E1908" s="30"/>
      <c r="F1908" s="30"/>
      <c r="G1908" s="30" t="s">
        <v>4028</v>
      </c>
      <c r="H1908" s="30" t="s">
        <v>141</v>
      </c>
      <c r="I1908" s="30" t="s">
        <v>30</v>
      </c>
      <c r="J1908" s="30" t="s">
        <v>142</v>
      </c>
      <c r="K1908" s="30" t="s">
        <v>116</v>
      </c>
      <c r="L1908" s="30" t="s">
        <v>143</v>
      </c>
      <c r="M1908" s="48"/>
      <c r="N1908" s="30"/>
      <c r="O1908" s="30"/>
      <c r="P1908" s="30"/>
    </row>
    <row r="1909" spans="1:16" ht="30">
      <c r="A1909" s="30" t="s">
        <v>4330</v>
      </c>
      <c r="B1909" s="47" t="s">
        <v>4310</v>
      </c>
      <c r="C1909" s="49" t="s">
        <v>4331</v>
      </c>
      <c r="D1909" s="30"/>
      <c r="E1909" s="30"/>
      <c r="F1909" s="30"/>
      <c r="G1909" s="30" t="s">
        <v>4028</v>
      </c>
      <c r="H1909" s="30" t="s">
        <v>141</v>
      </c>
      <c r="I1909" s="30" t="s">
        <v>30</v>
      </c>
      <c r="J1909" s="30" t="s">
        <v>142</v>
      </c>
      <c r="K1909" s="30" t="s">
        <v>116</v>
      </c>
      <c r="L1909" s="30" t="s">
        <v>146</v>
      </c>
      <c r="M1909" s="48"/>
      <c r="N1909" s="30"/>
      <c r="O1909" s="30"/>
      <c r="P1909" s="30"/>
    </row>
    <row r="1910" spans="1:16">
      <c r="A1910" s="30" t="s">
        <v>4332</v>
      </c>
      <c r="B1910" s="47" t="s">
        <v>4310</v>
      </c>
      <c r="C1910" s="49" t="s">
        <v>4333</v>
      </c>
      <c r="D1910" s="30"/>
      <c r="E1910" s="30"/>
      <c r="F1910" s="30"/>
      <c r="G1910" s="30" t="s">
        <v>4028</v>
      </c>
      <c r="H1910" s="30" t="s">
        <v>141</v>
      </c>
      <c r="I1910" s="30" t="s">
        <v>30</v>
      </c>
      <c r="J1910" s="30" t="s">
        <v>142</v>
      </c>
      <c r="K1910" s="30" t="s">
        <v>116</v>
      </c>
      <c r="L1910" s="30" t="s">
        <v>146</v>
      </c>
      <c r="M1910" s="48"/>
      <c r="N1910" s="30"/>
      <c r="O1910" s="30"/>
      <c r="P1910" s="30"/>
    </row>
    <row r="1911" spans="1:16" ht="30">
      <c r="A1911" s="30" t="s">
        <v>4334</v>
      </c>
      <c r="B1911" s="47" t="s">
        <v>4335</v>
      </c>
      <c r="C1911" s="49" t="s">
        <v>4336</v>
      </c>
      <c r="D1911" s="30"/>
      <c r="E1911" s="30"/>
      <c r="F1911" s="30"/>
      <c r="G1911" s="30" t="s">
        <v>4028</v>
      </c>
      <c r="H1911" s="30" t="s">
        <v>141</v>
      </c>
      <c r="I1911" s="30" t="s">
        <v>30</v>
      </c>
      <c r="J1911" s="30" t="s">
        <v>142</v>
      </c>
      <c r="K1911" s="30" t="s">
        <v>116</v>
      </c>
      <c r="L1911" s="30" t="s">
        <v>143</v>
      </c>
      <c r="M1911" s="48"/>
      <c r="N1911" s="30"/>
      <c r="O1911" s="30"/>
      <c r="P1911" s="30"/>
    </row>
    <row r="1912" spans="1:16" ht="30">
      <c r="A1912" s="30" t="s">
        <v>4337</v>
      </c>
      <c r="B1912" s="47" t="s">
        <v>4338</v>
      </c>
      <c r="C1912" s="49" t="s">
        <v>4339</v>
      </c>
      <c r="D1912" s="30"/>
      <c r="E1912" s="30"/>
      <c r="F1912" s="30"/>
      <c r="G1912" s="30" t="s">
        <v>4028</v>
      </c>
      <c r="H1912" s="30" t="s">
        <v>141</v>
      </c>
      <c r="I1912" s="30" t="s">
        <v>30</v>
      </c>
      <c r="J1912" s="30" t="s">
        <v>142</v>
      </c>
      <c r="K1912" s="30" t="s">
        <v>116</v>
      </c>
      <c r="L1912" s="30" t="s">
        <v>146</v>
      </c>
      <c r="M1912" s="48"/>
      <c r="N1912" s="30"/>
      <c r="O1912" s="30"/>
      <c r="P1912" s="30"/>
    </row>
    <row r="1913" spans="1:16" ht="30">
      <c r="A1913" s="30" t="s">
        <v>4340</v>
      </c>
      <c r="B1913" s="47" t="s">
        <v>4338</v>
      </c>
      <c r="C1913" s="49" t="s">
        <v>4341</v>
      </c>
      <c r="D1913" s="30"/>
      <c r="E1913" s="30"/>
      <c r="F1913" s="30"/>
      <c r="G1913" s="30" t="s">
        <v>4028</v>
      </c>
      <c r="H1913" s="30" t="s">
        <v>141</v>
      </c>
      <c r="I1913" s="30" t="s">
        <v>30</v>
      </c>
      <c r="J1913" s="30" t="s">
        <v>142</v>
      </c>
      <c r="K1913" s="30" t="s">
        <v>116</v>
      </c>
      <c r="L1913" s="30" t="s">
        <v>146</v>
      </c>
      <c r="M1913" s="48"/>
      <c r="N1913" s="30"/>
      <c r="O1913" s="30"/>
      <c r="P1913" s="30"/>
    </row>
    <row r="1914" spans="1:16" ht="30">
      <c r="A1914" s="30" t="s">
        <v>4342</v>
      </c>
      <c r="B1914" s="47" t="s">
        <v>4338</v>
      </c>
      <c r="C1914" s="49" t="s">
        <v>4343</v>
      </c>
      <c r="D1914" s="30"/>
      <c r="E1914" s="30"/>
      <c r="F1914" s="30"/>
      <c r="G1914" s="30" t="s">
        <v>4028</v>
      </c>
      <c r="H1914" s="30" t="s">
        <v>141</v>
      </c>
      <c r="I1914" s="30" t="s">
        <v>30</v>
      </c>
      <c r="J1914" s="30" t="s">
        <v>142</v>
      </c>
      <c r="K1914" s="30" t="s">
        <v>4344</v>
      </c>
      <c r="L1914" s="30" t="s">
        <v>146</v>
      </c>
      <c r="M1914" s="48"/>
      <c r="N1914" s="30"/>
      <c r="O1914" s="30"/>
      <c r="P1914" s="30"/>
    </row>
    <row r="1915" spans="1:16" ht="45">
      <c r="A1915" s="30" t="s">
        <v>4345</v>
      </c>
      <c r="B1915" s="47" t="s">
        <v>4338</v>
      </c>
      <c r="C1915" s="49" t="s">
        <v>4346</v>
      </c>
      <c r="D1915" s="30"/>
      <c r="E1915" s="30"/>
      <c r="F1915" s="30"/>
      <c r="G1915" s="30" t="s">
        <v>4028</v>
      </c>
      <c r="H1915" s="30" t="s">
        <v>141</v>
      </c>
      <c r="I1915" s="30" t="s">
        <v>30</v>
      </c>
      <c r="J1915" s="30" t="s">
        <v>142</v>
      </c>
      <c r="K1915" s="30" t="s">
        <v>116</v>
      </c>
      <c r="L1915" s="30" t="s">
        <v>143</v>
      </c>
      <c r="M1915" s="48"/>
      <c r="N1915" s="30"/>
      <c r="O1915" s="30"/>
      <c r="P1915" s="30"/>
    </row>
    <row r="1916" spans="1:16" ht="30">
      <c r="A1916" s="30" t="s">
        <v>4347</v>
      </c>
      <c r="B1916" s="47" t="s">
        <v>4338</v>
      </c>
      <c r="C1916" s="49" t="s">
        <v>4348</v>
      </c>
      <c r="D1916" s="30"/>
      <c r="E1916" s="30"/>
      <c r="F1916" s="30"/>
      <c r="G1916" s="30" t="s">
        <v>4028</v>
      </c>
      <c r="H1916" s="30" t="s">
        <v>141</v>
      </c>
      <c r="I1916" s="30" t="s">
        <v>30</v>
      </c>
      <c r="J1916" s="30" t="s">
        <v>142</v>
      </c>
      <c r="K1916" s="30" t="s">
        <v>116</v>
      </c>
      <c r="L1916" s="30" t="s">
        <v>143</v>
      </c>
      <c r="M1916" s="48"/>
      <c r="N1916" s="30"/>
      <c r="O1916" s="30"/>
      <c r="P1916" s="30"/>
    </row>
    <row r="1917" spans="1:16" ht="30">
      <c r="A1917" s="30" t="s">
        <v>4349</v>
      </c>
      <c r="B1917" s="47" t="s">
        <v>4338</v>
      </c>
      <c r="C1917" s="49" t="s">
        <v>4350</v>
      </c>
      <c r="D1917" s="30"/>
      <c r="E1917" s="30"/>
      <c r="F1917" s="30"/>
      <c r="G1917" s="30" t="s">
        <v>4028</v>
      </c>
      <c r="H1917" s="30" t="s">
        <v>141</v>
      </c>
      <c r="I1917" s="30" t="s">
        <v>30</v>
      </c>
      <c r="J1917" s="30" t="s">
        <v>142</v>
      </c>
      <c r="K1917" s="30" t="s">
        <v>116</v>
      </c>
      <c r="L1917" s="30" t="s">
        <v>146</v>
      </c>
      <c r="M1917" s="48"/>
      <c r="N1917" s="30"/>
      <c r="O1917" s="30"/>
      <c r="P1917" s="30"/>
    </row>
    <row r="1918" spans="1:16" ht="30">
      <c r="A1918" s="30" t="s">
        <v>4351</v>
      </c>
      <c r="B1918" s="47" t="s">
        <v>4338</v>
      </c>
      <c r="C1918" s="49" t="s">
        <v>4352</v>
      </c>
      <c r="D1918" s="30"/>
      <c r="E1918" s="30"/>
      <c r="F1918" s="30"/>
      <c r="G1918" s="30" t="s">
        <v>4028</v>
      </c>
      <c r="H1918" s="30" t="s">
        <v>141</v>
      </c>
      <c r="I1918" s="30" t="s">
        <v>30</v>
      </c>
      <c r="J1918" s="30" t="s">
        <v>142</v>
      </c>
      <c r="K1918" s="30" t="s">
        <v>116</v>
      </c>
      <c r="L1918" s="30" t="s">
        <v>143</v>
      </c>
      <c r="M1918" s="48"/>
      <c r="N1918" s="30"/>
      <c r="O1918" s="30"/>
      <c r="P1918" s="30"/>
    </row>
    <row r="1919" spans="1:16">
      <c r="A1919" s="30" t="s">
        <v>4353</v>
      </c>
      <c r="B1919" s="47" t="s">
        <v>4338</v>
      </c>
      <c r="C1919" s="49" t="s">
        <v>4354</v>
      </c>
      <c r="D1919" s="30"/>
      <c r="E1919" s="30"/>
      <c r="F1919" s="30"/>
      <c r="G1919" s="30" t="s">
        <v>4028</v>
      </c>
      <c r="H1919" s="30" t="s">
        <v>141</v>
      </c>
      <c r="I1919" s="30" t="s">
        <v>30</v>
      </c>
      <c r="J1919" s="30" t="s">
        <v>142</v>
      </c>
      <c r="K1919" s="30" t="s">
        <v>116</v>
      </c>
      <c r="L1919" s="30" t="s">
        <v>143</v>
      </c>
      <c r="M1919" s="48"/>
      <c r="N1919" s="30"/>
      <c r="O1919" s="30"/>
      <c r="P1919" s="30"/>
    </row>
    <row r="1920" spans="1:16">
      <c r="A1920" s="30" t="s">
        <v>4355</v>
      </c>
      <c r="B1920" s="47" t="s">
        <v>4338</v>
      </c>
      <c r="C1920" s="49" t="s">
        <v>4356</v>
      </c>
      <c r="D1920" s="30"/>
      <c r="E1920" s="30"/>
      <c r="F1920" s="30"/>
      <c r="G1920" s="30" t="s">
        <v>4028</v>
      </c>
      <c r="H1920" s="30" t="s">
        <v>141</v>
      </c>
      <c r="I1920" s="30" t="s">
        <v>30</v>
      </c>
      <c r="J1920" s="30" t="s">
        <v>142</v>
      </c>
      <c r="K1920" s="30" t="s">
        <v>116</v>
      </c>
      <c r="L1920" s="30" t="s">
        <v>146</v>
      </c>
      <c r="M1920" s="48"/>
      <c r="N1920" s="30"/>
      <c r="O1920" s="30"/>
      <c r="P1920" s="30"/>
    </row>
    <row r="1921" spans="1:16" ht="45">
      <c r="A1921" s="30" t="s">
        <v>4357</v>
      </c>
      <c r="B1921" s="47" t="s">
        <v>4358</v>
      </c>
      <c r="C1921" s="49" t="s">
        <v>4359</v>
      </c>
      <c r="D1921" s="30"/>
      <c r="E1921" s="30"/>
      <c r="F1921" s="30"/>
      <c r="G1921" s="30" t="s">
        <v>4028</v>
      </c>
      <c r="H1921" s="30" t="s">
        <v>141</v>
      </c>
      <c r="I1921" s="30" t="s">
        <v>30</v>
      </c>
      <c r="J1921" s="30" t="s">
        <v>142</v>
      </c>
      <c r="K1921" s="30" t="s">
        <v>116</v>
      </c>
      <c r="L1921" s="30" t="s">
        <v>146</v>
      </c>
      <c r="M1921" s="48"/>
      <c r="N1921" s="30"/>
      <c r="O1921" s="30"/>
      <c r="P1921" s="30"/>
    </row>
    <row r="1922" spans="1:16" ht="30">
      <c r="A1922" s="30" t="s">
        <v>4360</v>
      </c>
      <c r="B1922" s="47" t="s">
        <v>4358</v>
      </c>
      <c r="C1922" s="49" t="s">
        <v>4361</v>
      </c>
      <c r="D1922" s="30"/>
      <c r="E1922" s="30"/>
      <c r="F1922" s="30"/>
      <c r="G1922" s="30" t="s">
        <v>4028</v>
      </c>
      <c r="H1922" s="30" t="s">
        <v>141</v>
      </c>
      <c r="I1922" s="30" t="s">
        <v>30</v>
      </c>
      <c r="J1922" s="30" t="s">
        <v>142</v>
      </c>
      <c r="K1922" s="30" t="s">
        <v>116</v>
      </c>
      <c r="L1922" s="30" t="s">
        <v>143</v>
      </c>
      <c r="M1922" s="48"/>
      <c r="N1922" s="30"/>
      <c r="O1922" s="30"/>
      <c r="P1922" s="30"/>
    </row>
    <row r="1923" spans="1:16" ht="30">
      <c r="A1923" s="30" t="s">
        <v>4362</v>
      </c>
      <c r="B1923" s="47" t="s">
        <v>4358</v>
      </c>
      <c r="C1923" s="49" t="s">
        <v>4363</v>
      </c>
      <c r="D1923" s="30"/>
      <c r="E1923" s="30"/>
      <c r="F1923" s="30"/>
      <c r="G1923" s="30" t="s">
        <v>4028</v>
      </c>
      <c r="H1923" s="30" t="s">
        <v>141</v>
      </c>
      <c r="I1923" s="30" t="s">
        <v>30</v>
      </c>
      <c r="J1923" s="30" t="s">
        <v>142</v>
      </c>
      <c r="K1923" s="30" t="s">
        <v>116</v>
      </c>
      <c r="L1923" s="30" t="s">
        <v>146</v>
      </c>
      <c r="M1923" s="48"/>
      <c r="N1923" s="30"/>
      <c r="O1923" s="30"/>
      <c r="P1923" s="30"/>
    </row>
    <row r="1924" spans="1:16" ht="30">
      <c r="A1924" s="30" t="s">
        <v>4364</v>
      </c>
      <c r="B1924" s="47" t="s">
        <v>4358</v>
      </c>
      <c r="C1924" s="49" t="s">
        <v>4365</v>
      </c>
      <c r="D1924" s="30"/>
      <c r="E1924" s="30"/>
      <c r="F1924" s="30"/>
      <c r="G1924" s="30" t="s">
        <v>4028</v>
      </c>
      <c r="H1924" s="30" t="s">
        <v>141</v>
      </c>
      <c r="I1924" s="30" t="s">
        <v>30</v>
      </c>
      <c r="J1924" s="30" t="s">
        <v>142</v>
      </c>
      <c r="K1924" s="30" t="s">
        <v>116</v>
      </c>
      <c r="L1924" s="30" t="s">
        <v>146</v>
      </c>
      <c r="M1924" s="48"/>
      <c r="N1924" s="30"/>
      <c r="O1924" s="30"/>
      <c r="P1924" s="30"/>
    </row>
    <row r="1925" spans="1:16" ht="30">
      <c r="A1925" s="30" t="s">
        <v>4366</v>
      </c>
      <c r="B1925" s="47" t="s">
        <v>4358</v>
      </c>
      <c r="C1925" s="49" t="s">
        <v>4367</v>
      </c>
      <c r="D1925" s="30"/>
      <c r="E1925" s="30"/>
      <c r="F1925" s="30"/>
      <c r="G1925" s="30" t="s">
        <v>4028</v>
      </c>
      <c r="H1925" s="30" t="s">
        <v>141</v>
      </c>
      <c r="I1925" s="30" t="s">
        <v>30</v>
      </c>
      <c r="J1925" s="30" t="s">
        <v>142</v>
      </c>
      <c r="K1925" s="30" t="s">
        <v>116</v>
      </c>
      <c r="L1925" s="30" t="s">
        <v>143</v>
      </c>
      <c r="M1925" s="48"/>
      <c r="N1925" s="30"/>
      <c r="O1925" s="30"/>
      <c r="P1925" s="30"/>
    </row>
    <row r="1926" spans="1:16" ht="30">
      <c r="A1926" s="30" t="s">
        <v>4368</v>
      </c>
      <c r="B1926" s="47" t="s">
        <v>4358</v>
      </c>
      <c r="C1926" s="49" t="s">
        <v>4369</v>
      </c>
      <c r="D1926" s="30"/>
      <c r="E1926" s="30"/>
      <c r="F1926" s="30"/>
      <c r="G1926" s="30" t="s">
        <v>4028</v>
      </c>
      <c r="H1926" s="30" t="s">
        <v>141</v>
      </c>
      <c r="I1926" s="30" t="s">
        <v>30</v>
      </c>
      <c r="J1926" s="30" t="s">
        <v>142</v>
      </c>
      <c r="K1926" s="30" t="s">
        <v>116</v>
      </c>
      <c r="L1926" s="30" t="s">
        <v>146</v>
      </c>
      <c r="M1926" s="48"/>
      <c r="N1926" s="30"/>
      <c r="O1926" s="30"/>
      <c r="P1926" s="30"/>
    </row>
    <row r="1927" spans="1:16" ht="30">
      <c r="A1927" s="30" t="s">
        <v>4370</v>
      </c>
      <c r="B1927" s="47" t="s">
        <v>4358</v>
      </c>
      <c r="C1927" s="49" t="s">
        <v>4371</v>
      </c>
      <c r="D1927" s="30"/>
      <c r="E1927" s="30"/>
      <c r="F1927" s="30"/>
      <c r="G1927" s="30" t="s">
        <v>4028</v>
      </c>
      <c r="H1927" s="30" t="s">
        <v>141</v>
      </c>
      <c r="I1927" s="30" t="s">
        <v>30</v>
      </c>
      <c r="J1927" s="30" t="s">
        <v>142</v>
      </c>
      <c r="K1927" s="30" t="s">
        <v>116</v>
      </c>
      <c r="L1927" s="30" t="s">
        <v>143</v>
      </c>
      <c r="M1927" s="48"/>
      <c r="N1927" s="30"/>
      <c r="O1927" s="30"/>
      <c r="P1927" s="30"/>
    </row>
    <row r="1928" spans="1:16" ht="30">
      <c r="A1928" s="30" t="s">
        <v>4372</v>
      </c>
      <c r="B1928" s="47" t="s">
        <v>4358</v>
      </c>
      <c r="C1928" s="49" t="s">
        <v>4373</v>
      </c>
      <c r="D1928" s="30"/>
      <c r="E1928" s="30"/>
      <c r="F1928" s="30"/>
      <c r="G1928" s="30" t="s">
        <v>4028</v>
      </c>
      <c r="H1928" s="30" t="s">
        <v>141</v>
      </c>
      <c r="I1928" s="30" t="s">
        <v>30</v>
      </c>
      <c r="J1928" s="30" t="s">
        <v>142</v>
      </c>
      <c r="K1928" s="30" t="s">
        <v>116</v>
      </c>
      <c r="L1928" s="30" t="s">
        <v>143</v>
      </c>
      <c r="M1928" s="48"/>
      <c r="N1928" s="30"/>
      <c r="O1928" s="30"/>
      <c r="P1928" s="30"/>
    </row>
    <row r="1929" spans="1:16" ht="30">
      <c r="A1929" s="30" t="s">
        <v>4374</v>
      </c>
      <c r="B1929" s="47" t="s">
        <v>4375</v>
      </c>
      <c r="C1929" s="49" t="s">
        <v>4376</v>
      </c>
      <c r="D1929" s="30"/>
      <c r="E1929" s="30"/>
      <c r="F1929" s="30"/>
      <c r="G1929" s="30" t="s">
        <v>4028</v>
      </c>
      <c r="H1929" s="30" t="s">
        <v>141</v>
      </c>
      <c r="I1929" s="30" t="s">
        <v>30</v>
      </c>
      <c r="J1929" s="30" t="s">
        <v>142</v>
      </c>
      <c r="K1929" s="30" t="s">
        <v>116</v>
      </c>
      <c r="L1929" s="30" t="s">
        <v>143</v>
      </c>
      <c r="M1929" s="48"/>
      <c r="N1929" s="30"/>
      <c r="O1929" s="30"/>
      <c r="P1929" s="30"/>
    </row>
    <row r="1930" spans="1:16">
      <c r="A1930" s="30" t="s">
        <v>4377</v>
      </c>
      <c r="B1930" s="47" t="s">
        <v>4378</v>
      </c>
      <c r="C1930" s="49" t="s">
        <v>4379</v>
      </c>
      <c r="D1930" s="30"/>
      <c r="E1930" s="30"/>
      <c r="F1930" s="30"/>
      <c r="G1930" s="30" t="s">
        <v>4028</v>
      </c>
      <c r="H1930" s="30" t="s">
        <v>141</v>
      </c>
      <c r="I1930" s="30" t="s">
        <v>30</v>
      </c>
      <c r="J1930" s="30" t="s">
        <v>142</v>
      </c>
      <c r="K1930" s="30" t="s">
        <v>116</v>
      </c>
      <c r="L1930" s="30" t="s">
        <v>143</v>
      </c>
      <c r="M1930" s="48"/>
      <c r="N1930" s="30"/>
      <c r="O1930" s="30"/>
      <c r="P1930" s="30"/>
    </row>
    <row r="1931" spans="1:16" ht="30">
      <c r="A1931" s="30" t="s">
        <v>4380</v>
      </c>
      <c r="B1931" s="47" t="s">
        <v>4378</v>
      </c>
      <c r="C1931" s="49" t="s">
        <v>4381</v>
      </c>
      <c r="D1931" s="30"/>
      <c r="E1931" s="30"/>
      <c r="F1931" s="30"/>
      <c r="G1931" s="30" t="s">
        <v>4028</v>
      </c>
      <c r="H1931" s="30" t="s">
        <v>141</v>
      </c>
      <c r="I1931" s="30" t="s">
        <v>30</v>
      </c>
      <c r="J1931" s="30" t="s">
        <v>142</v>
      </c>
      <c r="K1931" s="30" t="s">
        <v>116</v>
      </c>
      <c r="L1931" s="30" t="s">
        <v>146</v>
      </c>
      <c r="M1931" s="48"/>
      <c r="N1931" s="30"/>
      <c r="O1931" s="30"/>
      <c r="P1931" s="30"/>
    </row>
    <row r="1932" spans="1:16" ht="30">
      <c r="A1932" s="30" t="s">
        <v>4382</v>
      </c>
      <c r="B1932" s="47" t="s">
        <v>4378</v>
      </c>
      <c r="C1932" s="49" t="s">
        <v>4383</v>
      </c>
      <c r="D1932" s="30"/>
      <c r="E1932" s="30"/>
      <c r="F1932" s="30"/>
      <c r="G1932" s="30" t="s">
        <v>4028</v>
      </c>
      <c r="H1932" s="30" t="s">
        <v>141</v>
      </c>
      <c r="I1932" s="30" t="s">
        <v>30</v>
      </c>
      <c r="J1932" s="30" t="s">
        <v>142</v>
      </c>
      <c r="K1932" s="30" t="s">
        <v>116</v>
      </c>
      <c r="L1932" s="30" t="s">
        <v>146</v>
      </c>
      <c r="M1932" s="48"/>
      <c r="N1932" s="30"/>
      <c r="O1932" s="30"/>
      <c r="P1932" s="30"/>
    </row>
    <row r="1933" spans="1:16" ht="30">
      <c r="A1933" s="30" t="s">
        <v>4384</v>
      </c>
      <c r="B1933" s="47" t="s">
        <v>4378</v>
      </c>
      <c r="C1933" s="49" t="s">
        <v>4385</v>
      </c>
      <c r="D1933" s="30"/>
      <c r="E1933" s="30"/>
      <c r="F1933" s="30"/>
      <c r="G1933" s="30" t="s">
        <v>4028</v>
      </c>
      <c r="H1933" s="30" t="s">
        <v>141</v>
      </c>
      <c r="I1933" s="30" t="s">
        <v>30</v>
      </c>
      <c r="J1933" s="30" t="s">
        <v>142</v>
      </c>
      <c r="K1933" s="30" t="s">
        <v>116</v>
      </c>
      <c r="L1933" s="30" t="s">
        <v>146</v>
      </c>
      <c r="M1933" s="48"/>
      <c r="N1933" s="30"/>
      <c r="O1933" s="30"/>
      <c r="P1933" s="30"/>
    </row>
    <row r="1934" spans="1:16" ht="30">
      <c r="A1934" s="30" t="s">
        <v>4386</v>
      </c>
      <c r="B1934" s="47" t="s">
        <v>4378</v>
      </c>
      <c r="C1934" s="49" t="s">
        <v>4387</v>
      </c>
      <c r="D1934" s="30"/>
      <c r="E1934" s="30"/>
      <c r="F1934" s="30"/>
      <c r="G1934" s="30" t="s">
        <v>4028</v>
      </c>
      <c r="H1934" s="30" t="s">
        <v>141</v>
      </c>
      <c r="I1934" s="30" t="s">
        <v>30</v>
      </c>
      <c r="J1934" s="30" t="s">
        <v>142</v>
      </c>
      <c r="K1934" s="30" t="s">
        <v>116</v>
      </c>
      <c r="L1934" s="30" t="s">
        <v>143</v>
      </c>
      <c r="M1934" s="48"/>
      <c r="N1934" s="30"/>
      <c r="O1934" s="30"/>
      <c r="P1934" s="30"/>
    </row>
    <row r="1935" spans="1:16" ht="30">
      <c r="A1935" s="30" t="s">
        <v>4388</v>
      </c>
      <c r="B1935" s="47" t="s">
        <v>4378</v>
      </c>
      <c r="C1935" s="49" t="s">
        <v>4389</v>
      </c>
      <c r="D1935" s="30"/>
      <c r="E1935" s="30"/>
      <c r="F1935" s="30"/>
      <c r="G1935" s="30" t="s">
        <v>4028</v>
      </c>
      <c r="H1935" s="30" t="s">
        <v>141</v>
      </c>
      <c r="I1935" s="30" t="s">
        <v>30</v>
      </c>
      <c r="J1935" s="30" t="s">
        <v>142</v>
      </c>
      <c r="K1935" s="30" t="s">
        <v>116</v>
      </c>
      <c r="L1935" s="30" t="s">
        <v>146</v>
      </c>
      <c r="M1935" s="48"/>
      <c r="N1935" s="30"/>
      <c r="O1935" s="30"/>
      <c r="P1935" s="30"/>
    </row>
    <row r="1936" spans="1:16" ht="30">
      <c r="A1936" s="30" t="s">
        <v>4390</v>
      </c>
      <c r="B1936" s="47" t="s">
        <v>4378</v>
      </c>
      <c r="C1936" s="49" t="s">
        <v>4391</v>
      </c>
      <c r="D1936" s="30"/>
      <c r="E1936" s="30"/>
      <c r="F1936" s="30"/>
      <c r="G1936" s="30" t="s">
        <v>4028</v>
      </c>
      <c r="H1936" s="30" t="s">
        <v>141</v>
      </c>
      <c r="I1936" s="30" t="s">
        <v>30</v>
      </c>
      <c r="J1936" s="30" t="s">
        <v>142</v>
      </c>
      <c r="K1936" s="30" t="s">
        <v>116</v>
      </c>
      <c r="L1936" s="30" t="s">
        <v>143</v>
      </c>
      <c r="M1936" s="48"/>
      <c r="N1936" s="30"/>
      <c r="O1936" s="30"/>
      <c r="P1936" s="30"/>
    </row>
    <row r="1937" spans="1:16" ht="30">
      <c r="A1937" s="30" t="s">
        <v>4392</v>
      </c>
      <c r="B1937" s="47" t="s">
        <v>4358</v>
      </c>
      <c r="C1937" s="49" t="s">
        <v>4393</v>
      </c>
      <c r="D1937" s="30"/>
      <c r="E1937" s="30"/>
      <c r="F1937" s="30"/>
      <c r="G1937" s="30" t="s">
        <v>4028</v>
      </c>
      <c r="H1937" s="30" t="s">
        <v>141</v>
      </c>
      <c r="I1937" s="30" t="s">
        <v>30</v>
      </c>
      <c r="J1937" s="30" t="s">
        <v>142</v>
      </c>
      <c r="K1937" s="30" t="s">
        <v>116</v>
      </c>
      <c r="L1937" s="30" t="s">
        <v>143</v>
      </c>
      <c r="M1937" s="48"/>
      <c r="N1937" s="30"/>
      <c r="O1937" s="30"/>
      <c r="P1937" s="30"/>
    </row>
    <row r="1938" spans="1:16" ht="30">
      <c r="A1938" s="30" t="s">
        <v>4394</v>
      </c>
      <c r="B1938" s="47" t="s">
        <v>4378</v>
      </c>
      <c r="C1938" s="49" t="s">
        <v>4395</v>
      </c>
      <c r="D1938" s="30"/>
      <c r="E1938" s="30"/>
      <c r="F1938" s="30"/>
      <c r="G1938" s="30" t="s">
        <v>4028</v>
      </c>
      <c r="H1938" s="30" t="s">
        <v>141</v>
      </c>
      <c r="I1938" s="30" t="s">
        <v>30</v>
      </c>
      <c r="J1938" s="30" t="s">
        <v>142</v>
      </c>
      <c r="K1938" s="30" t="s">
        <v>116</v>
      </c>
      <c r="L1938" s="30" t="s">
        <v>143</v>
      </c>
      <c r="M1938" s="48"/>
      <c r="N1938" s="30"/>
      <c r="O1938" s="30"/>
      <c r="P1938" s="30"/>
    </row>
    <row r="1939" spans="1:16">
      <c r="A1939" s="30" t="s">
        <v>4396</v>
      </c>
      <c r="B1939" s="47" t="s">
        <v>4397</v>
      </c>
      <c r="C1939" s="49" t="s">
        <v>4398</v>
      </c>
      <c r="D1939" s="30"/>
      <c r="E1939" s="30"/>
      <c r="F1939" s="30"/>
      <c r="G1939" s="30" t="s">
        <v>4028</v>
      </c>
      <c r="H1939" s="30" t="s">
        <v>141</v>
      </c>
      <c r="I1939" s="30" t="s">
        <v>30</v>
      </c>
      <c r="J1939" s="30" t="s">
        <v>142</v>
      </c>
      <c r="K1939" s="30" t="s">
        <v>116</v>
      </c>
      <c r="L1939" s="30" t="s">
        <v>146</v>
      </c>
      <c r="M1939" s="48"/>
      <c r="N1939" s="30"/>
      <c r="O1939" s="30"/>
      <c r="P1939" s="30"/>
    </row>
    <row r="1940" spans="1:16" ht="45">
      <c r="A1940" s="30" t="s">
        <v>4399</v>
      </c>
      <c r="B1940" s="47" t="s">
        <v>4397</v>
      </c>
      <c r="C1940" s="49" t="s">
        <v>4400</v>
      </c>
      <c r="D1940" s="30"/>
      <c r="E1940" s="30"/>
      <c r="F1940" s="30"/>
      <c r="G1940" s="30" t="s">
        <v>4028</v>
      </c>
      <c r="H1940" s="30" t="s">
        <v>141</v>
      </c>
      <c r="I1940" s="30" t="s">
        <v>30</v>
      </c>
      <c r="J1940" s="30" t="s">
        <v>142</v>
      </c>
      <c r="K1940" s="30" t="s">
        <v>116</v>
      </c>
      <c r="L1940" s="30" t="s">
        <v>146</v>
      </c>
      <c r="M1940" s="48"/>
      <c r="N1940" s="30"/>
      <c r="O1940" s="30"/>
      <c r="P1940" s="30"/>
    </row>
    <row r="1941" spans="1:16" ht="30">
      <c r="A1941" s="30" t="s">
        <v>4401</v>
      </c>
      <c r="B1941" s="47" t="s">
        <v>4397</v>
      </c>
      <c r="C1941" s="49" t="s">
        <v>4402</v>
      </c>
      <c r="D1941" s="30"/>
      <c r="E1941" s="30"/>
      <c r="F1941" s="30"/>
      <c r="G1941" s="30" t="s">
        <v>4028</v>
      </c>
      <c r="H1941" s="30" t="s">
        <v>141</v>
      </c>
      <c r="I1941" s="30" t="s">
        <v>30</v>
      </c>
      <c r="J1941" s="30" t="s">
        <v>142</v>
      </c>
      <c r="K1941" s="30" t="s">
        <v>116</v>
      </c>
      <c r="L1941" s="30" t="s">
        <v>143</v>
      </c>
      <c r="M1941" s="48"/>
      <c r="N1941" s="30"/>
      <c r="O1941" s="30"/>
      <c r="P1941" s="30"/>
    </row>
    <row r="1942" spans="1:16" ht="45">
      <c r="A1942" s="30" t="s">
        <v>4403</v>
      </c>
      <c r="B1942" s="47" t="s">
        <v>4397</v>
      </c>
      <c r="C1942" s="49" t="s">
        <v>4404</v>
      </c>
      <c r="D1942" s="30"/>
      <c r="E1942" s="30"/>
      <c r="F1942" s="30"/>
      <c r="G1942" s="30" t="s">
        <v>4028</v>
      </c>
      <c r="H1942" s="30" t="s">
        <v>141</v>
      </c>
      <c r="I1942" s="30" t="s">
        <v>30</v>
      </c>
      <c r="J1942" s="30" t="s">
        <v>142</v>
      </c>
      <c r="K1942" s="30" t="s">
        <v>116</v>
      </c>
      <c r="L1942" s="30" t="s">
        <v>146</v>
      </c>
      <c r="M1942" s="48"/>
      <c r="N1942" s="30"/>
      <c r="O1942" s="30"/>
      <c r="P1942" s="30"/>
    </row>
    <row r="1943" spans="1:16" ht="30">
      <c r="A1943" s="30" t="s">
        <v>4405</v>
      </c>
      <c r="B1943" s="47" t="s">
        <v>4397</v>
      </c>
      <c r="C1943" s="49" t="s">
        <v>4406</v>
      </c>
      <c r="D1943" s="30"/>
      <c r="E1943" s="30"/>
      <c r="F1943" s="30"/>
      <c r="G1943" s="30" t="s">
        <v>4028</v>
      </c>
      <c r="H1943" s="30" t="s">
        <v>141</v>
      </c>
      <c r="I1943" s="30" t="s">
        <v>30</v>
      </c>
      <c r="J1943" s="30" t="s">
        <v>142</v>
      </c>
      <c r="K1943" s="30" t="s">
        <v>116</v>
      </c>
      <c r="L1943" s="30" t="s">
        <v>143</v>
      </c>
      <c r="M1943" s="48"/>
      <c r="N1943" s="30"/>
      <c r="O1943" s="30"/>
      <c r="P1943" s="30"/>
    </row>
    <row r="1944" spans="1:16" ht="30">
      <c r="A1944" s="30" t="s">
        <v>4407</v>
      </c>
      <c r="B1944" s="47" t="s">
        <v>4397</v>
      </c>
      <c r="C1944" s="49" t="s">
        <v>4408</v>
      </c>
      <c r="D1944" s="30"/>
      <c r="E1944" s="30"/>
      <c r="F1944" s="30"/>
      <c r="G1944" s="30" t="s">
        <v>4028</v>
      </c>
      <c r="H1944" s="30" t="s">
        <v>141</v>
      </c>
      <c r="I1944" s="30" t="s">
        <v>30</v>
      </c>
      <c r="J1944" s="30" t="s">
        <v>142</v>
      </c>
      <c r="K1944" s="30" t="s">
        <v>116</v>
      </c>
      <c r="L1944" s="30" t="s">
        <v>146</v>
      </c>
      <c r="M1944" s="48"/>
      <c r="N1944" s="30"/>
      <c r="O1944" s="30"/>
      <c r="P1944" s="30"/>
    </row>
    <row r="1945" spans="1:16" ht="30">
      <c r="A1945" s="30" t="s">
        <v>4409</v>
      </c>
      <c r="B1945" s="47" t="s">
        <v>4397</v>
      </c>
      <c r="C1945" s="49" t="s">
        <v>4410</v>
      </c>
      <c r="D1945" s="30"/>
      <c r="E1945" s="30"/>
      <c r="F1945" s="30"/>
      <c r="G1945" s="30" t="s">
        <v>4028</v>
      </c>
      <c r="H1945" s="30" t="s">
        <v>141</v>
      </c>
      <c r="I1945" s="30" t="s">
        <v>30</v>
      </c>
      <c r="J1945" s="30" t="s">
        <v>142</v>
      </c>
      <c r="K1945" s="30" t="s">
        <v>116</v>
      </c>
      <c r="L1945" s="30" t="s">
        <v>143</v>
      </c>
      <c r="M1945" s="48"/>
      <c r="N1945" s="30"/>
      <c r="O1945" s="30"/>
      <c r="P1945" s="30"/>
    </row>
    <row r="1946" spans="1:16" ht="30">
      <c r="A1946" s="30" t="s">
        <v>4411</v>
      </c>
      <c r="B1946" s="47" t="s">
        <v>4397</v>
      </c>
      <c r="C1946" s="49" t="s">
        <v>4412</v>
      </c>
      <c r="D1946" s="30"/>
      <c r="E1946" s="30"/>
      <c r="F1946" s="30"/>
      <c r="G1946" s="30" t="s">
        <v>4028</v>
      </c>
      <c r="H1946" s="30" t="s">
        <v>141</v>
      </c>
      <c r="I1946" s="30" t="s">
        <v>30</v>
      </c>
      <c r="J1946" s="30" t="s">
        <v>142</v>
      </c>
      <c r="K1946" s="30" t="s">
        <v>116</v>
      </c>
      <c r="L1946" s="30" t="s">
        <v>146</v>
      </c>
      <c r="M1946" s="48"/>
      <c r="N1946" s="30"/>
      <c r="O1946" s="30"/>
      <c r="P1946" s="30"/>
    </row>
    <row r="1947" spans="1:16" ht="30">
      <c r="A1947" s="30" t="s">
        <v>4413</v>
      </c>
      <c r="B1947" s="47" t="s">
        <v>4397</v>
      </c>
      <c r="C1947" s="49" t="s">
        <v>4414</v>
      </c>
      <c r="D1947" s="30"/>
      <c r="E1947" s="30"/>
      <c r="F1947" s="30"/>
      <c r="G1947" s="30" t="s">
        <v>4028</v>
      </c>
      <c r="H1947" s="30" t="s">
        <v>141</v>
      </c>
      <c r="I1947" s="30" t="s">
        <v>30</v>
      </c>
      <c r="J1947" s="30" t="s">
        <v>142</v>
      </c>
      <c r="K1947" s="30" t="s">
        <v>116</v>
      </c>
      <c r="L1947" s="30" t="s">
        <v>146</v>
      </c>
      <c r="M1947" s="48"/>
      <c r="N1947" s="30"/>
      <c r="O1947" s="30"/>
      <c r="P1947" s="30"/>
    </row>
    <row r="1948" spans="1:16">
      <c r="A1948" s="30" t="s">
        <v>4415</v>
      </c>
      <c r="B1948" s="47" t="s">
        <v>4416</v>
      </c>
      <c r="C1948" s="49" t="s">
        <v>4417</v>
      </c>
      <c r="D1948" s="30"/>
      <c r="E1948" s="30"/>
      <c r="F1948" s="30"/>
      <c r="G1948" s="30" t="s">
        <v>4028</v>
      </c>
      <c r="H1948" s="30" t="s">
        <v>141</v>
      </c>
      <c r="I1948" s="30" t="s">
        <v>30</v>
      </c>
      <c r="J1948" s="30" t="s">
        <v>142</v>
      </c>
      <c r="K1948" s="30" t="s">
        <v>116</v>
      </c>
      <c r="L1948" s="30" t="s">
        <v>146</v>
      </c>
      <c r="M1948" s="48"/>
      <c r="N1948" s="30"/>
      <c r="O1948" s="30"/>
      <c r="P1948" s="30"/>
    </row>
    <row r="1949" spans="1:16" ht="30">
      <c r="A1949" s="30" t="s">
        <v>4418</v>
      </c>
      <c r="B1949" s="47" t="s">
        <v>4416</v>
      </c>
      <c r="C1949" s="49" t="s">
        <v>4419</v>
      </c>
      <c r="D1949" s="30"/>
      <c r="E1949" s="30"/>
      <c r="F1949" s="30"/>
      <c r="G1949" s="30" t="s">
        <v>4028</v>
      </c>
      <c r="H1949" s="30" t="s">
        <v>141</v>
      </c>
      <c r="I1949" s="30" t="s">
        <v>30</v>
      </c>
      <c r="J1949" s="30" t="s">
        <v>142</v>
      </c>
      <c r="K1949" s="30" t="s">
        <v>116</v>
      </c>
      <c r="L1949" s="30" t="s">
        <v>146</v>
      </c>
      <c r="M1949" s="48"/>
      <c r="N1949" s="30"/>
      <c r="O1949" s="30"/>
      <c r="P1949" s="30"/>
    </row>
    <row r="1950" spans="1:16" ht="30">
      <c r="A1950" s="30" t="s">
        <v>4420</v>
      </c>
      <c r="B1950" s="47" t="s">
        <v>4416</v>
      </c>
      <c r="C1950" s="49" t="s">
        <v>4421</v>
      </c>
      <c r="D1950" s="30"/>
      <c r="E1950" s="30"/>
      <c r="F1950" s="30"/>
      <c r="G1950" s="30" t="s">
        <v>4028</v>
      </c>
      <c r="H1950" s="30" t="s">
        <v>141</v>
      </c>
      <c r="I1950" s="30" t="s">
        <v>30</v>
      </c>
      <c r="J1950" s="30" t="s">
        <v>142</v>
      </c>
      <c r="K1950" s="30" t="s">
        <v>116</v>
      </c>
      <c r="L1950" s="30" t="s">
        <v>146</v>
      </c>
      <c r="M1950" s="48"/>
      <c r="N1950" s="30"/>
      <c r="O1950" s="30"/>
      <c r="P1950" s="30"/>
    </row>
    <row r="1951" spans="1:16" ht="30">
      <c r="A1951" s="30" t="s">
        <v>4422</v>
      </c>
      <c r="B1951" s="47" t="s">
        <v>4416</v>
      </c>
      <c r="C1951" s="49" t="s">
        <v>4423</v>
      </c>
      <c r="D1951" s="30"/>
      <c r="E1951" s="30"/>
      <c r="F1951" s="30"/>
      <c r="G1951" s="30" t="s">
        <v>4028</v>
      </c>
      <c r="H1951" s="30" t="s">
        <v>141</v>
      </c>
      <c r="I1951" s="30" t="s">
        <v>30</v>
      </c>
      <c r="J1951" s="30" t="s">
        <v>142</v>
      </c>
      <c r="K1951" s="30" t="s">
        <v>116</v>
      </c>
      <c r="L1951" s="30" t="s">
        <v>143</v>
      </c>
      <c r="M1951" s="48"/>
      <c r="N1951" s="30"/>
      <c r="O1951" s="30"/>
      <c r="P1951" s="30"/>
    </row>
    <row r="1952" spans="1:16">
      <c r="A1952" s="30" t="s">
        <v>4424</v>
      </c>
      <c r="B1952" s="47" t="s">
        <v>4425</v>
      </c>
      <c r="C1952" s="49" t="s">
        <v>4426</v>
      </c>
      <c r="D1952" s="30"/>
      <c r="E1952" s="30"/>
      <c r="F1952" s="30"/>
      <c r="G1952" s="30" t="s">
        <v>4028</v>
      </c>
      <c r="H1952" s="30" t="s">
        <v>141</v>
      </c>
      <c r="I1952" s="30" t="s">
        <v>30</v>
      </c>
      <c r="J1952" s="30" t="s">
        <v>142</v>
      </c>
      <c r="K1952" s="30" t="s">
        <v>116</v>
      </c>
      <c r="L1952" s="30" t="s">
        <v>146</v>
      </c>
      <c r="M1952" s="48"/>
      <c r="N1952" s="30"/>
      <c r="O1952" s="30"/>
      <c r="P1952" s="30"/>
    </row>
    <row r="1953" spans="1:16" ht="30">
      <c r="A1953" s="30" t="s">
        <v>4427</v>
      </c>
      <c r="B1953" s="47" t="s">
        <v>4425</v>
      </c>
      <c r="C1953" s="49" t="s">
        <v>4428</v>
      </c>
      <c r="D1953" s="30"/>
      <c r="E1953" s="30"/>
      <c r="F1953" s="30"/>
      <c r="G1953" s="30" t="s">
        <v>4028</v>
      </c>
      <c r="H1953" s="30" t="s">
        <v>141</v>
      </c>
      <c r="I1953" s="30" t="s">
        <v>30</v>
      </c>
      <c r="J1953" s="30" t="s">
        <v>142</v>
      </c>
      <c r="K1953" s="30" t="s">
        <v>116</v>
      </c>
      <c r="L1953" s="30" t="s">
        <v>146</v>
      </c>
      <c r="M1953" s="48"/>
      <c r="N1953" s="30"/>
      <c r="O1953" s="30"/>
      <c r="P1953" s="30"/>
    </row>
    <row r="1954" spans="1:16" ht="30">
      <c r="A1954" s="30" t="s">
        <v>4429</v>
      </c>
      <c r="B1954" s="47" t="s">
        <v>4425</v>
      </c>
      <c r="C1954" s="49" t="s">
        <v>4430</v>
      </c>
      <c r="D1954" s="30"/>
      <c r="E1954" s="30"/>
      <c r="F1954" s="30"/>
      <c r="G1954" s="30" t="s">
        <v>4028</v>
      </c>
      <c r="H1954" s="30" t="s">
        <v>141</v>
      </c>
      <c r="I1954" s="30" t="s">
        <v>30</v>
      </c>
      <c r="J1954" s="30" t="s">
        <v>142</v>
      </c>
      <c r="K1954" s="30" t="s">
        <v>116</v>
      </c>
      <c r="L1954" s="30" t="s">
        <v>143</v>
      </c>
      <c r="M1954" s="48"/>
      <c r="N1954" s="30"/>
      <c r="O1954" s="30"/>
      <c r="P1954" s="30"/>
    </row>
    <row r="1955" spans="1:16" ht="45">
      <c r="A1955" s="30" t="s">
        <v>4431</v>
      </c>
      <c r="B1955" s="47" t="s">
        <v>4425</v>
      </c>
      <c r="C1955" s="49" t="s">
        <v>4432</v>
      </c>
      <c r="D1955" s="30"/>
      <c r="E1955" s="30"/>
      <c r="F1955" s="30"/>
      <c r="G1955" s="30" t="s">
        <v>4028</v>
      </c>
      <c r="H1955" s="30" t="s">
        <v>141</v>
      </c>
      <c r="I1955" s="30" t="s">
        <v>30</v>
      </c>
      <c r="J1955" s="30" t="s">
        <v>142</v>
      </c>
      <c r="K1955" s="30" t="s">
        <v>116</v>
      </c>
      <c r="L1955" s="30" t="s">
        <v>146</v>
      </c>
      <c r="M1955" s="48"/>
      <c r="N1955" s="30"/>
      <c r="O1955" s="30"/>
      <c r="P1955" s="30"/>
    </row>
    <row r="1956" spans="1:16" ht="30">
      <c r="A1956" s="30" t="s">
        <v>4433</v>
      </c>
      <c r="B1956" s="47" t="s">
        <v>4425</v>
      </c>
      <c r="C1956" s="49" t="s">
        <v>4434</v>
      </c>
      <c r="D1956" s="30"/>
      <c r="E1956" s="30"/>
      <c r="F1956" s="30"/>
      <c r="G1956" s="30" t="s">
        <v>4028</v>
      </c>
      <c r="H1956" s="30" t="s">
        <v>141</v>
      </c>
      <c r="I1956" s="30" t="s">
        <v>30</v>
      </c>
      <c r="J1956" s="30" t="s">
        <v>142</v>
      </c>
      <c r="K1956" s="30" t="s">
        <v>116</v>
      </c>
      <c r="L1956" s="30" t="s">
        <v>143</v>
      </c>
      <c r="M1956" s="48"/>
      <c r="N1956" s="30"/>
      <c r="O1956" s="30"/>
      <c r="P1956" s="30"/>
    </row>
    <row r="1957" spans="1:16" ht="30">
      <c r="A1957" s="30" t="s">
        <v>4435</v>
      </c>
      <c r="B1957" s="47" t="s">
        <v>4425</v>
      </c>
      <c r="C1957" s="49" t="s">
        <v>4436</v>
      </c>
      <c r="D1957" s="30"/>
      <c r="E1957" s="30"/>
      <c r="F1957" s="30"/>
      <c r="G1957" s="30" t="s">
        <v>4028</v>
      </c>
      <c r="H1957" s="30" t="s">
        <v>141</v>
      </c>
      <c r="I1957" s="30" t="s">
        <v>30</v>
      </c>
      <c r="J1957" s="30" t="s">
        <v>142</v>
      </c>
      <c r="K1957" s="30" t="s">
        <v>116</v>
      </c>
      <c r="L1957" s="30" t="s">
        <v>146</v>
      </c>
      <c r="M1957" s="48"/>
      <c r="N1957" s="30"/>
      <c r="O1957" s="30"/>
      <c r="P1957" s="30"/>
    </row>
    <row r="1958" spans="1:16" ht="30">
      <c r="A1958" s="30" t="s">
        <v>4437</v>
      </c>
      <c r="B1958" s="47" t="s">
        <v>4425</v>
      </c>
      <c r="C1958" s="49" t="s">
        <v>4438</v>
      </c>
      <c r="D1958" s="30"/>
      <c r="E1958" s="30"/>
      <c r="F1958" s="30"/>
      <c r="G1958" s="30" t="s">
        <v>4028</v>
      </c>
      <c r="H1958" s="30" t="s">
        <v>141</v>
      </c>
      <c r="I1958" s="30" t="s">
        <v>30</v>
      </c>
      <c r="J1958" s="30" t="s">
        <v>142</v>
      </c>
      <c r="K1958" s="30" t="s">
        <v>116</v>
      </c>
      <c r="L1958" s="30" t="s">
        <v>146</v>
      </c>
      <c r="M1958" s="48"/>
      <c r="N1958" s="30"/>
      <c r="O1958" s="30"/>
      <c r="P1958" s="30"/>
    </row>
    <row r="1959" spans="1:16">
      <c r="A1959" s="30" t="s">
        <v>4439</v>
      </c>
      <c r="B1959" s="47" t="s">
        <v>4440</v>
      </c>
      <c r="C1959" s="49" t="s">
        <v>4441</v>
      </c>
      <c r="D1959" s="30"/>
      <c r="E1959" s="30"/>
      <c r="F1959" s="30"/>
      <c r="G1959" s="30" t="s">
        <v>4028</v>
      </c>
      <c r="H1959" s="30" t="s">
        <v>141</v>
      </c>
      <c r="I1959" s="30" t="s">
        <v>30</v>
      </c>
      <c r="J1959" s="30" t="s">
        <v>142</v>
      </c>
      <c r="K1959" s="30" t="s">
        <v>116</v>
      </c>
      <c r="L1959" s="30" t="s">
        <v>146</v>
      </c>
      <c r="M1959" s="48"/>
      <c r="N1959" s="30"/>
      <c r="O1959" s="30"/>
      <c r="P1959" s="30"/>
    </row>
    <row r="1960" spans="1:16">
      <c r="A1960" s="30" t="s">
        <v>4442</v>
      </c>
      <c r="B1960" s="47" t="s">
        <v>4440</v>
      </c>
      <c r="C1960" s="49" t="s">
        <v>4443</v>
      </c>
      <c r="D1960" s="30"/>
      <c r="E1960" s="30"/>
      <c r="F1960" s="30"/>
      <c r="G1960" s="30" t="s">
        <v>4028</v>
      </c>
      <c r="H1960" s="30" t="s">
        <v>141</v>
      </c>
      <c r="I1960" s="30" t="s">
        <v>30</v>
      </c>
      <c r="J1960" s="30" t="s">
        <v>142</v>
      </c>
      <c r="K1960" s="30" t="s">
        <v>116</v>
      </c>
      <c r="L1960" s="30" t="s">
        <v>143</v>
      </c>
      <c r="M1960" s="48"/>
      <c r="N1960" s="30"/>
      <c r="O1960" s="30"/>
      <c r="P1960" s="30"/>
    </row>
    <row r="1961" spans="1:16" ht="30">
      <c r="A1961" s="30" t="s">
        <v>4444</v>
      </c>
      <c r="B1961" s="47" t="s">
        <v>4440</v>
      </c>
      <c r="C1961" s="49" t="s">
        <v>4445</v>
      </c>
      <c r="D1961" s="30"/>
      <c r="E1961" s="30"/>
      <c r="F1961" s="30"/>
      <c r="G1961" s="30" t="s">
        <v>4028</v>
      </c>
      <c r="H1961" s="30" t="s">
        <v>141</v>
      </c>
      <c r="I1961" s="30" t="s">
        <v>30</v>
      </c>
      <c r="J1961" s="30" t="s">
        <v>142</v>
      </c>
      <c r="K1961" s="30" t="s">
        <v>116</v>
      </c>
      <c r="L1961" s="30" t="s">
        <v>143</v>
      </c>
      <c r="M1961" s="48"/>
      <c r="N1961" s="30"/>
      <c r="O1961" s="30"/>
      <c r="P1961" s="30"/>
    </row>
    <row r="1962" spans="1:16" ht="30">
      <c r="A1962" s="30" t="s">
        <v>4446</v>
      </c>
      <c r="B1962" s="47" t="s">
        <v>4440</v>
      </c>
      <c r="C1962" s="49" t="s">
        <v>4447</v>
      </c>
      <c r="D1962" s="30"/>
      <c r="E1962" s="30"/>
      <c r="F1962" s="30"/>
      <c r="G1962" s="30" t="s">
        <v>4028</v>
      </c>
      <c r="H1962" s="30" t="s">
        <v>141</v>
      </c>
      <c r="I1962" s="30" t="s">
        <v>30</v>
      </c>
      <c r="J1962" s="30" t="s">
        <v>142</v>
      </c>
      <c r="K1962" s="30" t="s">
        <v>116</v>
      </c>
      <c r="L1962" s="30" t="s">
        <v>146</v>
      </c>
      <c r="M1962" s="48"/>
      <c r="N1962" s="30"/>
      <c r="O1962" s="30"/>
      <c r="P1962" s="30"/>
    </row>
    <row r="1963" spans="1:16" ht="30">
      <c r="A1963" s="30" t="s">
        <v>4448</v>
      </c>
      <c r="B1963" s="47" t="s">
        <v>4440</v>
      </c>
      <c r="C1963" s="49" t="s">
        <v>4449</v>
      </c>
      <c r="D1963" s="30"/>
      <c r="E1963" s="30"/>
      <c r="F1963" s="30"/>
      <c r="G1963" s="30" t="s">
        <v>4028</v>
      </c>
      <c r="H1963" s="30" t="s">
        <v>141</v>
      </c>
      <c r="I1963" s="30" t="s">
        <v>30</v>
      </c>
      <c r="J1963" s="30" t="s">
        <v>142</v>
      </c>
      <c r="K1963" s="30" t="s">
        <v>116</v>
      </c>
      <c r="L1963" s="30" t="s">
        <v>146</v>
      </c>
      <c r="M1963" s="48"/>
      <c r="N1963" s="30"/>
      <c r="O1963" s="30"/>
      <c r="P1963" s="30"/>
    </row>
    <row r="1964" spans="1:16" ht="30">
      <c r="A1964" s="30" t="s">
        <v>4450</v>
      </c>
      <c r="B1964" s="47" t="s">
        <v>4440</v>
      </c>
      <c r="C1964" s="49" t="s">
        <v>4451</v>
      </c>
      <c r="D1964" s="30"/>
      <c r="E1964" s="30"/>
      <c r="F1964" s="30"/>
      <c r="G1964" s="30" t="s">
        <v>4028</v>
      </c>
      <c r="H1964" s="30" t="s">
        <v>141</v>
      </c>
      <c r="I1964" s="30" t="s">
        <v>30</v>
      </c>
      <c r="J1964" s="30" t="s">
        <v>142</v>
      </c>
      <c r="K1964" s="30" t="s">
        <v>4344</v>
      </c>
      <c r="L1964" s="30" t="s">
        <v>146</v>
      </c>
      <c r="M1964" s="48"/>
      <c r="N1964" s="30"/>
      <c r="O1964" s="30"/>
      <c r="P1964" s="30"/>
    </row>
    <row r="1965" spans="1:16" ht="30">
      <c r="A1965" s="30" t="s">
        <v>4452</v>
      </c>
      <c r="B1965" s="47" t="s">
        <v>4440</v>
      </c>
      <c r="C1965" s="49" t="s">
        <v>4453</v>
      </c>
      <c r="D1965" s="30"/>
      <c r="E1965" s="30"/>
      <c r="F1965" s="30"/>
      <c r="G1965" s="30" t="s">
        <v>4028</v>
      </c>
      <c r="H1965" s="30" t="s">
        <v>141</v>
      </c>
      <c r="I1965" s="30" t="s">
        <v>30</v>
      </c>
      <c r="J1965" s="30" t="s">
        <v>142</v>
      </c>
      <c r="K1965" s="30" t="s">
        <v>116</v>
      </c>
      <c r="L1965" s="30" t="s">
        <v>143</v>
      </c>
      <c r="M1965" s="48"/>
      <c r="N1965" s="30"/>
      <c r="O1965" s="30"/>
      <c r="P1965" s="30"/>
    </row>
    <row r="1966" spans="1:16">
      <c r="A1966" s="30" t="s">
        <v>4454</v>
      </c>
      <c r="B1966" s="47" t="s">
        <v>4455</v>
      </c>
      <c r="C1966" s="49" t="s">
        <v>4456</v>
      </c>
      <c r="D1966" s="30"/>
      <c r="E1966" s="30"/>
      <c r="F1966" s="30"/>
      <c r="G1966" s="30" t="s">
        <v>4028</v>
      </c>
      <c r="H1966" s="30" t="s">
        <v>141</v>
      </c>
      <c r="I1966" s="30" t="s">
        <v>30</v>
      </c>
      <c r="J1966" s="30" t="s">
        <v>142</v>
      </c>
      <c r="K1966" s="30" t="s">
        <v>116</v>
      </c>
      <c r="L1966" s="30" t="s">
        <v>146</v>
      </c>
      <c r="M1966" s="48"/>
      <c r="N1966" s="30"/>
      <c r="O1966" s="30"/>
      <c r="P1966" s="30"/>
    </row>
    <row r="1967" spans="1:16" ht="30">
      <c r="A1967" s="30" t="s">
        <v>4457</v>
      </c>
      <c r="B1967" s="47" t="s">
        <v>4455</v>
      </c>
      <c r="C1967" s="49" t="s">
        <v>4458</v>
      </c>
      <c r="D1967" s="30"/>
      <c r="E1967" s="30"/>
      <c r="F1967" s="30"/>
      <c r="G1967" s="30" t="s">
        <v>4028</v>
      </c>
      <c r="H1967" s="30" t="s">
        <v>141</v>
      </c>
      <c r="I1967" s="30" t="s">
        <v>30</v>
      </c>
      <c r="J1967" s="30" t="s">
        <v>142</v>
      </c>
      <c r="K1967" s="30" t="s">
        <v>116</v>
      </c>
      <c r="L1967" s="30" t="s">
        <v>143</v>
      </c>
      <c r="M1967" s="48"/>
      <c r="N1967" s="30"/>
      <c r="O1967" s="30"/>
      <c r="P1967" s="30"/>
    </row>
    <row r="1968" spans="1:16" ht="90">
      <c r="A1968" s="30" t="s">
        <v>4459</v>
      </c>
      <c r="B1968" s="47" t="s">
        <v>4455</v>
      </c>
      <c r="C1968" s="49" t="s">
        <v>4460</v>
      </c>
      <c r="D1968" s="30"/>
      <c r="E1968" s="30"/>
      <c r="F1968" s="30"/>
      <c r="G1968" s="30" t="s">
        <v>4028</v>
      </c>
      <c r="H1968" s="30" t="s">
        <v>141</v>
      </c>
      <c r="I1968" s="30" t="s">
        <v>30</v>
      </c>
      <c r="J1968" s="30" t="s">
        <v>142</v>
      </c>
      <c r="K1968" s="30" t="s">
        <v>116</v>
      </c>
      <c r="L1968" s="30" t="s">
        <v>146</v>
      </c>
      <c r="M1968" s="48"/>
      <c r="N1968" s="30"/>
      <c r="O1968" s="30"/>
      <c r="P1968" s="30"/>
    </row>
    <row r="1969" spans="1:16" ht="45">
      <c r="A1969" s="30" t="s">
        <v>4461</v>
      </c>
      <c r="B1969" s="47" t="s">
        <v>4462</v>
      </c>
      <c r="C1969" s="49" t="s">
        <v>4463</v>
      </c>
      <c r="D1969" s="30"/>
      <c r="E1969" s="30"/>
      <c r="F1969" s="30"/>
      <c r="G1969" s="30" t="s">
        <v>4028</v>
      </c>
      <c r="H1969" s="30" t="s">
        <v>149</v>
      </c>
      <c r="I1969" s="30" t="s">
        <v>30</v>
      </c>
      <c r="J1969" s="30" t="s">
        <v>142</v>
      </c>
      <c r="K1969" s="30" t="s">
        <v>116</v>
      </c>
      <c r="L1969" s="30" t="s">
        <v>143</v>
      </c>
      <c r="M1969" s="48"/>
      <c r="N1969" s="30"/>
      <c r="O1969" s="30"/>
      <c r="P1969" s="30"/>
    </row>
    <row r="1970" spans="1:16" ht="30">
      <c r="A1970" s="30" t="s">
        <v>4464</v>
      </c>
      <c r="B1970" s="47" t="s">
        <v>4462</v>
      </c>
      <c r="C1970" s="49" t="s">
        <v>4465</v>
      </c>
      <c r="D1970" s="30"/>
      <c r="E1970" s="30"/>
      <c r="F1970" s="30"/>
      <c r="G1970" s="30" t="s">
        <v>4028</v>
      </c>
      <c r="H1970" s="30" t="s">
        <v>149</v>
      </c>
      <c r="I1970" s="30" t="s">
        <v>30</v>
      </c>
      <c r="J1970" s="30" t="s">
        <v>142</v>
      </c>
      <c r="K1970" s="30" t="s">
        <v>116</v>
      </c>
      <c r="L1970" s="30" t="s">
        <v>143</v>
      </c>
      <c r="M1970" s="48"/>
      <c r="N1970" s="30"/>
      <c r="O1970" s="30"/>
      <c r="P1970" s="30"/>
    </row>
    <row r="1971" spans="1:16" ht="30">
      <c r="A1971" s="30" t="s">
        <v>4466</v>
      </c>
      <c r="B1971" s="47" t="s">
        <v>4462</v>
      </c>
      <c r="C1971" s="49" t="s">
        <v>4467</v>
      </c>
      <c r="D1971" s="30"/>
      <c r="E1971" s="30"/>
      <c r="F1971" s="30"/>
      <c r="G1971" s="30" t="s">
        <v>4028</v>
      </c>
      <c r="H1971" s="30" t="s">
        <v>149</v>
      </c>
      <c r="I1971" s="30" t="s">
        <v>30</v>
      </c>
      <c r="J1971" s="30" t="s">
        <v>142</v>
      </c>
      <c r="K1971" s="30" t="s">
        <v>116</v>
      </c>
      <c r="L1971" s="30" t="s">
        <v>143</v>
      </c>
      <c r="M1971" s="48"/>
      <c r="N1971" s="30"/>
      <c r="O1971" s="30"/>
      <c r="P1971" s="30"/>
    </row>
    <row r="1972" spans="1:16" ht="30">
      <c r="A1972" s="30" t="s">
        <v>4468</v>
      </c>
      <c r="B1972" s="47" t="s">
        <v>4462</v>
      </c>
      <c r="C1972" s="49" t="s">
        <v>4469</v>
      </c>
      <c r="D1972" s="30"/>
      <c r="E1972" s="30"/>
      <c r="F1972" s="30"/>
      <c r="G1972" s="30" t="s">
        <v>4028</v>
      </c>
      <c r="H1972" s="30" t="s">
        <v>149</v>
      </c>
      <c r="I1972" s="30" t="s">
        <v>30</v>
      </c>
      <c r="J1972" s="30" t="s">
        <v>142</v>
      </c>
      <c r="K1972" s="30" t="s">
        <v>116</v>
      </c>
      <c r="L1972" s="30" t="s">
        <v>143</v>
      </c>
      <c r="M1972" s="48"/>
      <c r="N1972" s="30"/>
      <c r="O1972" s="30"/>
      <c r="P1972" s="30"/>
    </row>
    <row r="1973" spans="1:16" ht="30">
      <c r="A1973" s="30" t="s">
        <v>4470</v>
      </c>
      <c r="B1973" s="47" t="s">
        <v>4471</v>
      </c>
      <c r="C1973" s="49" t="s">
        <v>4472</v>
      </c>
      <c r="D1973" s="30"/>
      <c r="E1973" s="30"/>
      <c r="F1973" s="30"/>
      <c r="G1973" s="30" t="s">
        <v>4028</v>
      </c>
      <c r="H1973" s="30" t="s">
        <v>141</v>
      </c>
      <c r="I1973" s="30" t="s">
        <v>30</v>
      </c>
      <c r="J1973" s="30" t="s">
        <v>142</v>
      </c>
      <c r="K1973" s="30" t="s">
        <v>116</v>
      </c>
      <c r="L1973" s="30" t="s">
        <v>146</v>
      </c>
      <c r="M1973" s="48"/>
      <c r="N1973" s="30"/>
      <c r="O1973" s="30"/>
      <c r="P1973" s="30"/>
    </row>
    <row r="1974" spans="1:16" ht="45">
      <c r="A1974" s="30" t="s">
        <v>4473</v>
      </c>
      <c r="B1974" s="47" t="s">
        <v>4471</v>
      </c>
      <c r="C1974" s="49" t="s">
        <v>4474</v>
      </c>
      <c r="D1974" s="30"/>
      <c r="E1974" s="30"/>
      <c r="F1974" s="30"/>
      <c r="G1974" s="30" t="s">
        <v>4028</v>
      </c>
      <c r="H1974" s="30" t="s">
        <v>141</v>
      </c>
      <c r="I1974" s="30" t="s">
        <v>30</v>
      </c>
      <c r="J1974" s="30" t="s">
        <v>142</v>
      </c>
      <c r="K1974" s="30" t="s">
        <v>116</v>
      </c>
      <c r="L1974" s="30" t="s">
        <v>143</v>
      </c>
      <c r="M1974" s="48"/>
      <c r="N1974" s="30"/>
      <c r="O1974" s="30"/>
      <c r="P1974" s="30"/>
    </row>
    <row r="1975" spans="1:16" ht="30">
      <c r="A1975" s="30" t="s">
        <v>4475</v>
      </c>
      <c r="B1975" s="47" t="s">
        <v>4476</v>
      </c>
      <c r="C1975" s="49" t="s">
        <v>4477</v>
      </c>
      <c r="D1975" s="30"/>
      <c r="E1975" s="30"/>
      <c r="F1975" s="30"/>
      <c r="G1975" s="30" t="s">
        <v>4028</v>
      </c>
      <c r="H1975" s="30" t="s">
        <v>141</v>
      </c>
      <c r="I1975" s="30" t="s">
        <v>30</v>
      </c>
      <c r="J1975" s="30" t="s">
        <v>142</v>
      </c>
      <c r="K1975" s="30" t="s">
        <v>116</v>
      </c>
      <c r="L1975" s="30" t="s">
        <v>146</v>
      </c>
      <c r="M1975" s="48"/>
      <c r="N1975" s="30"/>
      <c r="O1975" s="30"/>
      <c r="P1975" s="30"/>
    </row>
    <row r="1976" spans="1:16" ht="45">
      <c r="A1976" s="30" t="s">
        <v>4478</v>
      </c>
      <c r="B1976" s="47" t="s">
        <v>4476</v>
      </c>
      <c r="C1976" s="49" t="s">
        <v>4479</v>
      </c>
      <c r="D1976" s="30"/>
      <c r="E1976" s="30"/>
      <c r="F1976" s="30"/>
      <c r="G1976" s="30" t="s">
        <v>4028</v>
      </c>
      <c r="H1976" s="30" t="s">
        <v>141</v>
      </c>
      <c r="I1976" s="30" t="s">
        <v>30</v>
      </c>
      <c r="J1976" s="30" t="s">
        <v>142</v>
      </c>
      <c r="K1976" s="30" t="s">
        <v>116</v>
      </c>
      <c r="L1976" s="30" t="s">
        <v>143</v>
      </c>
      <c r="M1976" s="48"/>
      <c r="N1976" s="30"/>
      <c r="O1976" s="30"/>
      <c r="P1976" s="30"/>
    </row>
    <row r="1977" spans="1:16" ht="45">
      <c r="A1977" s="30" t="s">
        <v>4480</v>
      </c>
      <c r="B1977" s="47" t="s">
        <v>4481</v>
      </c>
      <c r="C1977" s="49" t="s">
        <v>4482</v>
      </c>
      <c r="D1977" s="30"/>
      <c r="E1977" s="30"/>
      <c r="F1977" s="30"/>
      <c r="G1977" s="30" t="s">
        <v>4028</v>
      </c>
      <c r="H1977" s="30" t="s">
        <v>141</v>
      </c>
      <c r="I1977" s="30" t="s">
        <v>30</v>
      </c>
      <c r="J1977" s="30" t="s">
        <v>142</v>
      </c>
      <c r="K1977" s="30" t="s">
        <v>116</v>
      </c>
      <c r="L1977" s="30" t="s">
        <v>146</v>
      </c>
      <c r="M1977" s="48"/>
      <c r="N1977" s="30"/>
      <c r="O1977" s="30"/>
      <c r="P1977" s="30"/>
    </row>
    <row r="1978" spans="1:16" ht="30">
      <c r="A1978" s="30" t="s">
        <v>4483</v>
      </c>
      <c r="B1978" s="47" t="s">
        <v>4481</v>
      </c>
      <c r="C1978" s="49" t="s">
        <v>4484</v>
      </c>
      <c r="D1978" s="30"/>
      <c r="E1978" s="30"/>
      <c r="F1978" s="30"/>
      <c r="G1978" s="30" t="s">
        <v>4028</v>
      </c>
      <c r="H1978" s="30" t="s">
        <v>141</v>
      </c>
      <c r="I1978" s="30" t="s">
        <v>30</v>
      </c>
      <c r="J1978" s="30" t="s">
        <v>142</v>
      </c>
      <c r="K1978" s="30" t="s">
        <v>116</v>
      </c>
      <c r="L1978" s="30" t="s">
        <v>143</v>
      </c>
      <c r="M1978" s="48"/>
      <c r="N1978" s="30"/>
      <c r="O1978" s="30"/>
      <c r="P1978" s="30"/>
    </row>
    <row r="1979" spans="1:16" ht="45">
      <c r="A1979" s="30" t="s">
        <v>4485</v>
      </c>
      <c r="B1979" s="47" t="s">
        <v>4486</v>
      </c>
      <c r="C1979" s="49" t="s">
        <v>4487</v>
      </c>
      <c r="D1979" s="30"/>
      <c r="E1979" s="30"/>
      <c r="F1979" s="30"/>
      <c r="G1979" s="30" t="s">
        <v>4028</v>
      </c>
      <c r="H1979" s="30" t="s">
        <v>141</v>
      </c>
      <c r="I1979" s="30" t="s">
        <v>30</v>
      </c>
      <c r="J1979" s="30" t="s">
        <v>142</v>
      </c>
      <c r="K1979" s="30" t="s">
        <v>116</v>
      </c>
      <c r="L1979" s="30" t="s">
        <v>143</v>
      </c>
      <c r="M1979" s="48"/>
      <c r="N1979" s="30"/>
      <c r="O1979" s="30"/>
      <c r="P1979" s="30"/>
    </row>
    <row r="1980" spans="1:16" ht="45">
      <c r="A1980" s="30" t="s">
        <v>4488</v>
      </c>
      <c r="B1980" s="47" t="s">
        <v>4489</v>
      </c>
      <c r="C1980" s="49" t="s">
        <v>4490</v>
      </c>
      <c r="D1980" s="30"/>
      <c r="E1980" s="30"/>
      <c r="F1980" s="30"/>
      <c r="G1980" s="30" t="s">
        <v>4028</v>
      </c>
      <c r="H1980" s="30" t="s">
        <v>141</v>
      </c>
      <c r="I1980" s="30" t="s">
        <v>30</v>
      </c>
      <c r="J1980" s="30" t="s">
        <v>142</v>
      </c>
      <c r="K1980" s="30" t="s">
        <v>116</v>
      </c>
      <c r="L1980" s="30" t="s">
        <v>143</v>
      </c>
      <c r="M1980" s="48"/>
      <c r="N1980" s="30"/>
      <c r="O1980" s="30"/>
      <c r="P1980" s="30"/>
    </row>
    <row r="1981" spans="1:16" ht="45">
      <c r="A1981" s="30" t="s">
        <v>4491</v>
      </c>
      <c r="B1981" s="47" t="s">
        <v>4492</v>
      </c>
      <c r="C1981" s="49" t="s">
        <v>4493</v>
      </c>
      <c r="D1981" s="30"/>
      <c r="E1981" s="30"/>
      <c r="F1981" s="30"/>
      <c r="G1981" s="30" t="s">
        <v>4028</v>
      </c>
      <c r="H1981" s="30" t="s">
        <v>141</v>
      </c>
      <c r="I1981" s="30" t="s">
        <v>30</v>
      </c>
      <c r="J1981" s="30" t="s">
        <v>142</v>
      </c>
      <c r="K1981" s="30" t="s">
        <v>116</v>
      </c>
      <c r="L1981" s="30" t="s">
        <v>143</v>
      </c>
      <c r="M1981" s="48"/>
      <c r="N1981" s="30"/>
      <c r="O1981" s="30"/>
      <c r="P1981" s="30"/>
    </row>
    <row r="1982" spans="1:16" ht="30">
      <c r="A1982" s="30" t="s">
        <v>4494</v>
      </c>
      <c r="B1982" s="47" t="s">
        <v>4492</v>
      </c>
      <c r="C1982" s="49" t="s">
        <v>4495</v>
      </c>
      <c r="D1982" s="30"/>
      <c r="E1982" s="30"/>
      <c r="F1982" s="30"/>
      <c r="G1982" s="30" t="s">
        <v>4028</v>
      </c>
      <c r="H1982" s="30" t="s">
        <v>141</v>
      </c>
      <c r="I1982" s="30" t="s">
        <v>30</v>
      </c>
      <c r="J1982" s="30" t="s">
        <v>142</v>
      </c>
      <c r="K1982" s="30" t="s">
        <v>116</v>
      </c>
      <c r="L1982" s="30" t="s">
        <v>143</v>
      </c>
      <c r="M1982" s="48"/>
      <c r="N1982" s="30"/>
      <c r="O1982" s="30"/>
      <c r="P1982" s="30"/>
    </row>
    <row r="1983" spans="1:16">
      <c r="A1983" s="30" t="s">
        <v>4496</v>
      </c>
      <c r="B1983" s="47" t="s">
        <v>4492</v>
      </c>
      <c r="C1983" s="49" t="s">
        <v>4497</v>
      </c>
      <c r="D1983" s="30"/>
      <c r="E1983" s="30"/>
      <c r="F1983" s="30"/>
      <c r="G1983" s="30" t="s">
        <v>4028</v>
      </c>
      <c r="H1983" s="30" t="s">
        <v>141</v>
      </c>
      <c r="I1983" s="30" t="s">
        <v>30</v>
      </c>
      <c r="J1983" s="30" t="s">
        <v>142</v>
      </c>
      <c r="K1983" s="30" t="s">
        <v>116</v>
      </c>
      <c r="L1983" s="30" t="s">
        <v>146</v>
      </c>
      <c r="M1983" s="48"/>
      <c r="N1983" s="30"/>
      <c r="O1983" s="30"/>
      <c r="P1983" s="30"/>
    </row>
    <row r="1984" spans="1:16" ht="45">
      <c r="A1984" s="30" t="s">
        <v>4498</v>
      </c>
      <c r="B1984" s="47" t="s">
        <v>4492</v>
      </c>
      <c r="C1984" s="49" t="s">
        <v>4499</v>
      </c>
      <c r="D1984" s="30"/>
      <c r="E1984" s="30"/>
      <c r="F1984" s="30"/>
      <c r="G1984" s="30" t="s">
        <v>4028</v>
      </c>
      <c r="H1984" s="30" t="s">
        <v>141</v>
      </c>
      <c r="I1984" s="30" t="s">
        <v>30</v>
      </c>
      <c r="J1984" s="30" t="s">
        <v>142</v>
      </c>
      <c r="K1984" s="30" t="s">
        <v>116</v>
      </c>
      <c r="L1984" s="30" t="s">
        <v>146</v>
      </c>
      <c r="M1984" s="48"/>
      <c r="N1984" s="30"/>
      <c r="O1984" s="30"/>
      <c r="P1984" s="30"/>
    </row>
    <row r="1985" spans="1:16" ht="30">
      <c r="A1985" s="30" t="s">
        <v>4500</v>
      </c>
      <c r="B1985" s="47" t="s">
        <v>4492</v>
      </c>
      <c r="C1985" s="49" t="s">
        <v>4501</v>
      </c>
      <c r="D1985" s="30"/>
      <c r="E1985" s="30"/>
      <c r="F1985" s="30"/>
      <c r="G1985" s="30" t="s">
        <v>4028</v>
      </c>
      <c r="H1985" s="30" t="s">
        <v>141</v>
      </c>
      <c r="I1985" s="30" t="s">
        <v>30</v>
      </c>
      <c r="J1985" s="30" t="s">
        <v>142</v>
      </c>
      <c r="K1985" s="30" t="s">
        <v>116</v>
      </c>
      <c r="L1985" s="30" t="s">
        <v>146</v>
      </c>
      <c r="M1985" s="48"/>
      <c r="N1985" s="30"/>
      <c r="O1985" s="30"/>
      <c r="P1985" s="30"/>
    </row>
    <row r="1986" spans="1:16" ht="30">
      <c r="A1986" s="30" t="s">
        <v>4502</v>
      </c>
      <c r="B1986" s="47" t="s">
        <v>4492</v>
      </c>
      <c r="C1986" s="49" t="s">
        <v>4503</v>
      </c>
      <c r="D1986" s="30"/>
      <c r="E1986" s="30"/>
      <c r="F1986" s="30"/>
      <c r="G1986" s="30" t="s">
        <v>4028</v>
      </c>
      <c r="H1986" s="30" t="s">
        <v>141</v>
      </c>
      <c r="I1986" s="30" t="s">
        <v>30</v>
      </c>
      <c r="J1986" s="30" t="s">
        <v>142</v>
      </c>
      <c r="K1986" s="30" t="s">
        <v>116</v>
      </c>
      <c r="L1986" s="30" t="s">
        <v>146</v>
      </c>
      <c r="M1986" s="48"/>
      <c r="N1986" s="30"/>
      <c r="O1986" s="30"/>
      <c r="P1986" s="30"/>
    </row>
    <row r="1987" spans="1:16" ht="30">
      <c r="A1987" s="30" t="s">
        <v>4504</v>
      </c>
      <c r="B1987" s="47" t="s">
        <v>4492</v>
      </c>
      <c r="C1987" s="49" t="s">
        <v>4505</v>
      </c>
      <c r="D1987" s="30"/>
      <c r="E1987" s="30"/>
      <c r="F1987" s="30"/>
      <c r="G1987" s="30" t="s">
        <v>4028</v>
      </c>
      <c r="H1987" s="30" t="s">
        <v>141</v>
      </c>
      <c r="I1987" s="30" t="s">
        <v>30</v>
      </c>
      <c r="J1987" s="30" t="s">
        <v>142</v>
      </c>
      <c r="K1987" s="30" t="s">
        <v>116</v>
      </c>
      <c r="L1987" s="30" t="s">
        <v>146</v>
      </c>
      <c r="M1987" s="48"/>
      <c r="N1987" s="30"/>
      <c r="O1987" s="30"/>
      <c r="P1987" s="30"/>
    </row>
    <row r="1988" spans="1:16" ht="30">
      <c r="A1988" s="30" t="s">
        <v>4506</v>
      </c>
      <c r="B1988" s="47" t="s">
        <v>4492</v>
      </c>
      <c r="C1988" s="49" t="s">
        <v>4507</v>
      </c>
      <c r="D1988" s="30"/>
      <c r="E1988" s="30"/>
      <c r="F1988" s="30"/>
      <c r="G1988" s="30" t="s">
        <v>4028</v>
      </c>
      <c r="H1988" s="30" t="s">
        <v>141</v>
      </c>
      <c r="I1988" s="30" t="s">
        <v>30</v>
      </c>
      <c r="J1988" s="30" t="s">
        <v>142</v>
      </c>
      <c r="K1988" s="30" t="s">
        <v>116</v>
      </c>
      <c r="L1988" s="30" t="s">
        <v>146</v>
      </c>
      <c r="M1988" s="48"/>
      <c r="N1988" s="30"/>
      <c r="O1988" s="30"/>
      <c r="P1988" s="30"/>
    </row>
    <row r="1989" spans="1:16" ht="30">
      <c r="A1989" s="30" t="s">
        <v>4508</v>
      </c>
      <c r="B1989" s="47" t="s">
        <v>4492</v>
      </c>
      <c r="C1989" s="49" t="s">
        <v>4509</v>
      </c>
      <c r="D1989" s="30"/>
      <c r="E1989" s="30"/>
      <c r="F1989" s="30"/>
      <c r="G1989" s="30" t="s">
        <v>4028</v>
      </c>
      <c r="H1989" s="30" t="s">
        <v>141</v>
      </c>
      <c r="I1989" s="30" t="s">
        <v>30</v>
      </c>
      <c r="J1989" s="30" t="s">
        <v>142</v>
      </c>
      <c r="K1989" s="30" t="s">
        <v>116</v>
      </c>
      <c r="L1989" s="30" t="s">
        <v>146</v>
      </c>
      <c r="M1989" s="48"/>
      <c r="N1989" s="30"/>
      <c r="O1989" s="30"/>
      <c r="P1989" s="30"/>
    </row>
    <row r="1990" spans="1:16" ht="30">
      <c r="A1990" s="30" t="s">
        <v>4510</v>
      </c>
      <c r="B1990" s="47" t="s">
        <v>4492</v>
      </c>
      <c r="C1990" s="49" t="s">
        <v>4511</v>
      </c>
      <c r="D1990" s="30"/>
      <c r="E1990" s="30"/>
      <c r="F1990" s="30"/>
      <c r="G1990" s="30" t="s">
        <v>4028</v>
      </c>
      <c r="H1990" s="30" t="s">
        <v>141</v>
      </c>
      <c r="I1990" s="30" t="s">
        <v>30</v>
      </c>
      <c r="J1990" s="30" t="s">
        <v>142</v>
      </c>
      <c r="K1990" s="30" t="s">
        <v>116</v>
      </c>
      <c r="L1990" s="30" t="s">
        <v>146</v>
      </c>
      <c r="M1990" s="48"/>
      <c r="N1990" s="30"/>
      <c r="O1990" s="30"/>
      <c r="P1990" s="30"/>
    </row>
    <row r="1991" spans="1:16" ht="30">
      <c r="A1991" s="30" t="s">
        <v>4512</v>
      </c>
      <c r="B1991" s="47" t="s">
        <v>4492</v>
      </c>
      <c r="C1991" s="49" t="s">
        <v>4513</v>
      </c>
      <c r="D1991" s="30"/>
      <c r="E1991" s="30"/>
      <c r="F1991" s="30"/>
      <c r="G1991" s="30" t="s">
        <v>4028</v>
      </c>
      <c r="H1991" s="30" t="s">
        <v>141</v>
      </c>
      <c r="I1991" s="30" t="s">
        <v>30</v>
      </c>
      <c r="J1991" s="30" t="s">
        <v>142</v>
      </c>
      <c r="K1991" s="30" t="s">
        <v>116</v>
      </c>
      <c r="L1991" s="30" t="s">
        <v>146</v>
      </c>
      <c r="M1991" s="48"/>
      <c r="N1991" s="30"/>
      <c r="O1991" s="30"/>
      <c r="P1991" s="30"/>
    </row>
    <row r="1992" spans="1:16" ht="30">
      <c r="A1992" s="30" t="s">
        <v>4514</v>
      </c>
      <c r="B1992" s="47" t="s">
        <v>4492</v>
      </c>
      <c r="C1992" s="49" t="s">
        <v>4515</v>
      </c>
      <c r="D1992" s="30"/>
      <c r="E1992" s="30"/>
      <c r="F1992" s="30"/>
      <c r="G1992" s="30" t="s">
        <v>4028</v>
      </c>
      <c r="H1992" s="30" t="s">
        <v>141</v>
      </c>
      <c r="I1992" s="30" t="s">
        <v>30</v>
      </c>
      <c r="J1992" s="30" t="s">
        <v>142</v>
      </c>
      <c r="K1992" s="30" t="s">
        <v>116</v>
      </c>
      <c r="L1992" s="30" t="s">
        <v>146</v>
      </c>
      <c r="M1992" s="48"/>
      <c r="N1992" s="30"/>
      <c r="O1992" s="30"/>
      <c r="P1992" s="30"/>
    </row>
    <row r="1993" spans="1:16" ht="30">
      <c r="A1993" s="30" t="s">
        <v>4516</v>
      </c>
      <c r="B1993" s="47" t="s">
        <v>4492</v>
      </c>
      <c r="C1993" s="49" t="s">
        <v>4517</v>
      </c>
      <c r="D1993" s="30"/>
      <c r="E1993" s="30"/>
      <c r="F1993" s="30"/>
      <c r="G1993" s="30" t="s">
        <v>4028</v>
      </c>
      <c r="H1993" s="30" t="s">
        <v>141</v>
      </c>
      <c r="I1993" s="30" t="s">
        <v>30</v>
      </c>
      <c r="J1993" s="30" t="s">
        <v>142</v>
      </c>
      <c r="K1993" s="30" t="s">
        <v>116</v>
      </c>
      <c r="L1993" s="30" t="s">
        <v>146</v>
      </c>
      <c r="M1993" s="48"/>
      <c r="N1993" s="30"/>
      <c r="O1993" s="30"/>
      <c r="P1993" s="30"/>
    </row>
    <row r="1994" spans="1:16" ht="30">
      <c r="A1994" s="30" t="s">
        <v>4518</v>
      </c>
      <c r="B1994" s="47" t="s">
        <v>4519</v>
      </c>
      <c r="C1994" s="49" t="s">
        <v>4520</v>
      </c>
      <c r="D1994" s="30"/>
      <c r="E1994" s="30"/>
      <c r="F1994" s="30"/>
      <c r="G1994" s="30" t="s">
        <v>4028</v>
      </c>
      <c r="H1994" s="30" t="s">
        <v>141</v>
      </c>
      <c r="I1994" s="30" t="s">
        <v>30</v>
      </c>
      <c r="J1994" s="30" t="s">
        <v>142</v>
      </c>
      <c r="K1994" s="30" t="s">
        <v>116</v>
      </c>
      <c r="L1994" s="30" t="s">
        <v>143</v>
      </c>
      <c r="M1994" s="48"/>
      <c r="N1994" s="30"/>
      <c r="O1994" s="30"/>
      <c r="P1994" s="30"/>
    </row>
    <row r="1995" spans="1:16" ht="30">
      <c r="A1995" s="30" t="s">
        <v>4521</v>
      </c>
      <c r="B1995" s="47" t="s">
        <v>4519</v>
      </c>
      <c r="C1995" s="49" t="s">
        <v>4522</v>
      </c>
      <c r="D1995" s="30"/>
      <c r="E1995" s="30"/>
      <c r="F1995" s="30"/>
      <c r="G1995" s="30" t="s">
        <v>4028</v>
      </c>
      <c r="H1995" s="30" t="s">
        <v>141</v>
      </c>
      <c r="I1995" s="30" t="s">
        <v>30</v>
      </c>
      <c r="J1995" s="30" t="s">
        <v>142</v>
      </c>
      <c r="K1995" s="30" t="s">
        <v>116</v>
      </c>
      <c r="L1995" s="30" t="s">
        <v>146</v>
      </c>
      <c r="M1995" s="48"/>
      <c r="N1995" s="30"/>
      <c r="O1995" s="30"/>
      <c r="P1995" s="30"/>
    </row>
    <row r="1996" spans="1:16" ht="30">
      <c r="A1996" s="30" t="s">
        <v>4523</v>
      </c>
      <c r="B1996" s="47" t="s">
        <v>4519</v>
      </c>
      <c r="C1996" s="49" t="s">
        <v>4524</v>
      </c>
      <c r="D1996" s="30"/>
      <c r="E1996" s="30"/>
      <c r="F1996" s="30"/>
      <c r="G1996" s="30" t="s">
        <v>4028</v>
      </c>
      <c r="H1996" s="30" t="s">
        <v>141</v>
      </c>
      <c r="I1996" s="30" t="s">
        <v>30</v>
      </c>
      <c r="J1996" s="30" t="s">
        <v>142</v>
      </c>
      <c r="K1996" s="30" t="s">
        <v>116</v>
      </c>
      <c r="L1996" s="30" t="s">
        <v>146</v>
      </c>
      <c r="M1996" s="48"/>
      <c r="N1996" s="30"/>
      <c r="O1996" s="30"/>
      <c r="P1996" s="30"/>
    </row>
    <row r="1997" spans="1:16" ht="30">
      <c r="A1997" s="30" t="s">
        <v>4525</v>
      </c>
      <c r="B1997" s="47" t="s">
        <v>4519</v>
      </c>
      <c r="C1997" s="49" t="s">
        <v>4526</v>
      </c>
      <c r="D1997" s="30"/>
      <c r="E1997" s="30"/>
      <c r="F1997" s="30"/>
      <c r="G1997" s="30" t="s">
        <v>4028</v>
      </c>
      <c r="H1997" s="30" t="s">
        <v>141</v>
      </c>
      <c r="I1997" s="30" t="s">
        <v>30</v>
      </c>
      <c r="J1997" s="30" t="s">
        <v>142</v>
      </c>
      <c r="K1997" s="30" t="s">
        <v>116</v>
      </c>
      <c r="L1997" s="30" t="s">
        <v>146</v>
      </c>
      <c r="M1997" s="48"/>
      <c r="N1997" s="30"/>
      <c r="O1997" s="30"/>
      <c r="P1997" s="30"/>
    </row>
    <row r="1998" spans="1:16" ht="30">
      <c r="A1998" s="30" t="s">
        <v>4527</v>
      </c>
      <c r="B1998" s="47" t="s">
        <v>4519</v>
      </c>
      <c r="C1998" s="49" t="s">
        <v>4528</v>
      </c>
      <c r="D1998" s="30"/>
      <c r="E1998" s="30"/>
      <c r="F1998" s="30"/>
      <c r="G1998" s="30" t="s">
        <v>4028</v>
      </c>
      <c r="H1998" s="30" t="s">
        <v>141</v>
      </c>
      <c r="I1998" s="30" t="s">
        <v>30</v>
      </c>
      <c r="J1998" s="30" t="s">
        <v>142</v>
      </c>
      <c r="K1998" s="30" t="s">
        <v>116</v>
      </c>
      <c r="L1998" s="30" t="s">
        <v>146</v>
      </c>
      <c r="M1998" s="48"/>
      <c r="N1998" s="30"/>
      <c r="O1998" s="30"/>
      <c r="P1998" s="30"/>
    </row>
    <row r="1999" spans="1:16" ht="30">
      <c r="A1999" s="30" t="s">
        <v>4529</v>
      </c>
      <c r="B1999" s="47" t="s">
        <v>4519</v>
      </c>
      <c r="C1999" s="49" t="s">
        <v>4530</v>
      </c>
      <c r="D1999" s="30"/>
      <c r="E1999" s="30"/>
      <c r="F1999" s="30"/>
      <c r="G1999" s="30" t="s">
        <v>4028</v>
      </c>
      <c r="H1999" s="30" t="s">
        <v>141</v>
      </c>
      <c r="I1999" s="30" t="s">
        <v>30</v>
      </c>
      <c r="J1999" s="30" t="s">
        <v>142</v>
      </c>
      <c r="K1999" s="30" t="s">
        <v>116</v>
      </c>
      <c r="L1999" s="30" t="s">
        <v>146</v>
      </c>
      <c r="M1999" s="48"/>
      <c r="N1999" s="30"/>
      <c r="O1999" s="30"/>
      <c r="P1999" s="30"/>
    </row>
    <row r="2000" spans="1:16" ht="30">
      <c r="A2000" s="30" t="s">
        <v>4531</v>
      </c>
      <c r="B2000" s="47" t="s">
        <v>4519</v>
      </c>
      <c r="C2000" s="49" t="s">
        <v>4532</v>
      </c>
      <c r="D2000" s="30"/>
      <c r="E2000" s="30"/>
      <c r="F2000" s="30"/>
      <c r="G2000" s="30" t="s">
        <v>4028</v>
      </c>
      <c r="H2000" s="30" t="s">
        <v>141</v>
      </c>
      <c r="I2000" s="30" t="s">
        <v>30</v>
      </c>
      <c r="J2000" s="30" t="s">
        <v>142</v>
      </c>
      <c r="K2000" s="30" t="s">
        <v>116</v>
      </c>
      <c r="L2000" s="30" t="s">
        <v>146</v>
      </c>
      <c r="M2000" s="48"/>
      <c r="N2000" s="30"/>
      <c r="O2000" s="30"/>
      <c r="P2000" s="30"/>
    </row>
    <row r="2001" spans="1:16" ht="30">
      <c r="A2001" s="30" t="s">
        <v>4533</v>
      </c>
      <c r="B2001" s="47" t="s">
        <v>4519</v>
      </c>
      <c r="C2001" s="49" t="s">
        <v>4534</v>
      </c>
      <c r="D2001" s="30"/>
      <c r="E2001" s="30"/>
      <c r="F2001" s="30"/>
      <c r="G2001" s="30" t="s">
        <v>4028</v>
      </c>
      <c r="H2001" s="30" t="s">
        <v>141</v>
      </c>
      <c r="I2001" s="30" t="s">
        <v>30</v>
      </c>
      <c r="J2001" s="30" t="s">
        <v>142</v>
      </c>
      <c r="K2001" s="30" t="s">
        <v>116</v>
      </c>
      <c r="L2001" s="30" t="s">
        <v>146</v>
      </c>
      <c r="M2001" s="48"/>
      <c r="N2001" s="30"/>
      <c r="O2001" s="30"/>
      <c r="P2001" s="30"/>
    </row>
    <row r="2002" spans="1:16" ht="30">
      <c r="A2002" s="30" t="s">
        <v>4535</v>
      </c>
      <c r="B2002" s="47" t="s">
        <v>4519</v>
      </c>
      <c r="C2002" s="49" t="s">
        <v>4536</v>
      </c>
      <c r="D2002" s="30"/>
      <c r="E2002" s="30"/>
      <c r="F2002" s="30"/>
      <c r="G2002" s="30" t="s">
        <v>4028</v>
      </c>
      <c r="H2002" s="30" t="s">
        <v>141</v>
      </c>
      <c r="I2002" s="30" t="s">
        <v>30</v>
      </c>
      <c r="J2002" s="30" t="s">
        <v>142</v>
      </c>
      <c r="K2002" s="30" t="s">
        <v>116</v>
      </c>
      <c r="L2002" s="30" t="s">
        <v>146</v>
      </c>
      <c r="M2002" s="48"/>
      <c r="N2002" s="30"/>
      <c r="O2002" s="30"/>
      <c r="P2002" s="30"/>
    </row>
    <row r="2003" spans="1:16" ht="30">
      <c r="A2003" s="30" t="s">
        <v>4537</v>
      </c>
      <c r="B2003" s="47" t="s">
        <v>4519</v>
      </c>
      <c r="C2003" s="49" t="s">
        <v>4538</v>
      </c>
      <c r="D2003" s="30"/>
      <c r="E2003" s="30"/>
      <c r="F2003" s="30"/>
      <c r="G2003" s="30" t="s">
        <v>4028</v>
      </c>
      <c r="H2003" s="30" t="s">
        <v>141</v>
      </c>
      <c r="I2003" s="30" t="s">
        <v>30</v>
      </c>
      <c r="J2003" s="30" t="s">
        <v>142</v>
      </c>
      <c r="K2003" s="30" t="s">
        <v>116</v>
      </c>
      <c r="L2003" s="30" t="s">
        <v>146</v>
      </c>
      <c r="M2003" s="48"/>
      <c r="N2003" s="30"/>
      <c r="O2003" s="30"/>
      <c r="P2003" s="30"/>
    </row>
    <row r="2004" spans="1:16" ht="30">
      <c r="A2004" s="30" t="s">
        <v>4539</v>
      </c>
      <c r="B2004" s="47" t="s">
        <v>4519</v>
      </c>
      <c r="C2004" s="49" t="s">
        <v>4540</v>
      </c>
      <c r="D2004" s="30"/>
      <c r="E2004" s="30"/>
      <c r="F2004" s="30"/>
      <c r="G2004" s="30" t="s">
        <v>4028</v>
      </c>
      <c r="H2004" s="30" t="s">
        <v>141</v>
      </c>
      <c r="I2004" s="30" t="s">
        <v>30</v>
      </c>
      <c r="J2004" s="30" t="s">
        <v>142</v>
      </c>
      <c r="K2004" s="30" t="s">
        <v>116</v>
      </c>
      <c r="L2004" s="30" t="s">
        <v>146</v>
      </c>
      <c r="M2004" s="48"/>
      <c r="N2004" s="30"/>
      <c r="O2004" s="30"/>
      <c r="P2004" s="30"/>
    </row>
    <row r="2005" spans="1:16" ht="30">
      <c r="A2005" s="30" t="s">
        <v>4541</v>
      </c>
      <c r="B2005" s="47" t="s">
        <v>4519</v>
      </c>
      <c r="C2005" s="49" t="s">
        <v>4542</v>
      </c>
      <c r="D2005" s="30"/>
      <c r="E2005" s="30"/>
      <c r="F2005" s="30"/>
      <c r="G2005" s="30" t="s">
        <v>4028</v>
      </c>
      <c r="H2005" s="30" t="s">
        <v>141</v>
      </c>
      <c r="I2005" s="30" t="s">
        <v>30</v>
      </c>
      <c r="J2005" s="30" t="s">
        <v>142</v>
      </c>
      <c r="K2005" s="30" t="s">
        <v>116</v>
      </c>
      <c r="L2005" s="30" t="s">
        <v>146</v>
      </c>
      <c r="M2005" s="48"/>
      <c r="N2005" s="30"/>
      <c r="O2005" s="30"/>
      <c r="P2005" s="30"/>
    </row>
    <row r="2006" spans="1:16" ht="30">
      <c r="A2006" s="30" t="s">
        <v>4543</v>
      </c>
      <c r="B2006" s="47" t="s">
        <v>4519</v>
      </c>
      <c r="C2006" s="49" t="s">
        <v>4544</v>
      </c>
      <c r="D2006" s="30"/>
      <c r="E2006" s="30"/>
      <c r="F2006" s="30"/>
      <c r="G2006" s="30" t="s">
        <v>4028</v>
      </c>
      <c r="H2006" s="30" t="s">
        <v>141</v>
      </c>
      <c r="I2006" s="30" t="s">
        <v>30</v>
      </c>
      <c r="J2006" s="30" t="s">
        <v>142</v>
      </c>
      <c r="K2006" s="30" t="s">
        <v>116</v>
      </c>
      <c r="L2006" s="30" t="s">
        <v>146</v>
      </c>
      <c r="M2006" s="48"/>
      <c r="N2006" s="30"/>
      <c r="O2006" s="30"/>
      <c r="P2006" s="30"/>
    </row>
    <row r="2007" spans="1:16" ht="30">
      <c r="A2007" s="30" t="s">
        <v>4545</v>
      </c>
      <c r="B2007" s="47" t="s">
        <v>4519</v>
      </c>
      <c r="C2007" s="49" t="s">
        <v>4546</v>
      </c>
      <c r="D2007" s="30"/>
      <c r="E2007" s="30"/>
      <c r="F2007" s="30"/>
      <c r="G2007" s="30" t="s">
        <v>4028</v>
      </c>
      <c r="H2007" s="30" t="s">
        <v>141</v>
      </c>
      <c r="I2007" s="30" t="s">
        <v>30</v>
      </c>
      <c r="J2007" s="30" t="s">
        <v>142</v>
      </c>
      <c r="K2007" s="30" t="s">
        <v>116</v>
      </c>
      <c r="L2007" s="30" t="s">
        <v>146</v>
      </c>
      <c r="M2007" s="48"/>
      <c r="N2007" s="30"/>
      <c r="O2007" s="30"/>
      <c r="P2007" s="30"/>
    </row>
    <row r="2008" spans="1:16" ht="30">
      <c r="A2008" s="30" t="s">
        <v>4547</v>
      </c>
      <c r="B2008" s="47" t="s">
        <v>4519</v>
      </c>
      <c r="C2008" s="49" t="s">
        <v>4548</v>
      </c>
      <c r="D2008" s="30"/>
      <c r="E2008" s="30"/>
      <c r="F2008" s="30"/>
      <c r="G2008" s="30" t="s">
        <v>4028</v>
      </c>
      <c r="H2008" s="30" t="s">
        <v>141</v>
      </c>
      <c r="I2008" s="30" t="s">
        <v>30</v>
      </c>
      <c r="J2008" s="30" t="s">
        <v>142</v>
      </c>
      <c r="K2008" s="30" t="s">
        <v>116</v>
      </c>
      <c r="L2008" s="30" t="s">
        <v>146</v>
      </c>
      <c r="M2008" s="48"/>
      <c r="N2008" s="30"/>
      <c r="O2008" s="30"/>
      <c r="P2008" s="30"/>
    </row>
    <row r="2009" spans="1:16" ht="30">
      <c r="A2009" s="30" t="s">
        <v>4549</v>
      </c>
      <c r="B2009" s="47" t="s">
        <v>4519</v>
      </c>
      <c r="C2009" s="49" t="s">
        <v>4550</v>
      </c>
      <c r="D2009" s="30"/>
      <c r="E2009" s="30"/>
      <c r="F2009" s="30"/>
      <c r="G2009" s="30" t="s">
        <v>4028</v>
      </c>
      <c r="H2009" s="30" t="s">
        <v>141</v>
      </c>
      <c r="I2009" s="30" t="s">
        <v>30</v>
      </c>
      <c r="J2009" s="30" t="s">
        <v>142</v>
      </c>
      <c r="K2009" s="30" t="s">
        <v>116</v>
      </c>
      <c r="L2009" s="30" t="s">
        <v>146</v>
      </c>
      <c r="M2009" s="48"/>
      <c r="N2009" s="30"/>
      <c r="O2009" s="30"/>
      <c r="P2009" s="30"/>
    </row>
    <row r="2010" spans="1:16" ht="45">
      <c r="A2010" s="30" t="s">
        <v>4551</v>
      </c>
      <c r="B2010" s="47" t="s">
        <v>4519</v>
      </c>
      <c r="C2010" s="49" t="s">
        <v>4552</v>
      </c>
      <c r="D2010" s="30"/>
      <c r="E2010" s="30"/>
      <c r="F2010" s="30"/>
      <c r="G2010" s="30" t="s">
        <v>4028</v>
      </c>
      <c r="H2010" s="30" t="s">
        <v>141</v>
      </c>
      <c r="I2010" s="30" t="s">
        <v>30</v>
      </c>
      <c r="J2010" s="30" t="s">
        <v>142</v>
      </c>
      <c r="K2010" s="30" t="s">
        <v>116</v>
      </c>
      <c r="L2010" s="30" t="s">
        <v>143</v>
      </c>
      <c r="M2010" s="48"/>
      <c r="N2010" s="30"/>
      <c r="O2010" s="30"/>
      <c r="P2010" s="30"/>
    </row>
    <row r="2011" spans="1:16">
      <c r="A2011" s="30" t="s">
        <v>4553</v>
      </c>
      <c r="B2011" s="47" t="s">
        <v>4554</v>
      </c>
      <c r="C2011" s="49" t="s">
        <v>4555</v>
      </c>
      <c r="D2011" s="30"/>
      <c r="E2011" s="30"/>
      <c r="F2011" s="30"/>
      <c r="G2011" s="30" t="s">
        <v>4028</v>
      </c>
      <c r="H2011" s="30" t="s">
        <v>141</v>
      </c>
      <c r="I2011" s="30" t="s">
        <v>30</v>
      </c>
      <c r="J2011" s="30" t="s">
        <v>142</v>
      </c>
      <c r="K2011" s="30" t="s">
        <v>116</v>
      </c>
      <c r="L2011" s="30" t="s">
        <v>146</v>
      </c>
      <c r="M2011" s="48"/>
      <c r="N2011" s="30"/>
      <c r="O2011" s="30"/>
      <c r="P2011" s="30"/>
    </row>
    <row r="2012" spans="1:16" ht="45">
      <c r="A2012" s="30" t="s">
        <v>4556</v>
      </c>
      <c r="B2012" s="47" t="s">
        <v>4554</v>
      </c>
      <c r="C2012" s="49" t="s">
        <v>4557</v>
      </c>
      <c r="D2012" s="30"/>
      <c r="E2012" s="30"/>
      <c r="F2012" s="30"/>
      <c r="G2012" s="30" t="s">
        <v>4028</v>
      </c>
      <c r="H2012" s="30" t="s">
        <v>141</v>
      </c>
      <c r="I2012" s="30" t="s">
        <v>30</v>
      </c>
      <c r="J2012" s="30" t="s">
        <v>142</v>
      </c>
      <c r="K2012" s="30" t="s">
        <v>116</v>
      </c>
      <c r="L2012" s="30" t="s">
        <v>143</v>
      </c>
      <c r="M2012" s="48"/>
      <c r="N2012" s="30"/>
      <c r="O2012" s="30"/>
      <c r="P2012" s="30"/>
    </row>
    <row r="2013" spans="1:16" ht="30">
      <c r="A2013" s="30" t="s">
        <v>4558</v>
      </c>
      <c r="B2013" s="47" t="s">
        <v>4559</v>
      </c>
      <c r="C2013" s="49" t="s">
        <v>4560</v>
      </c>
      <c r="D2013" s="30"/>
      <c r="E2013" s="30"/>
      <c r="F2013" s="30"/>
      <c r="G2013" s="30" t="s">
        <v>4028</v>
      </c>
      <c r="H2013" s="30" t="s">
        <v>141</v>
      </c>
      <c r="I2013" s="30" t="s">
        <v>30</v>
      </c>
      <c r="J2013" s="30" t="s">
        <v>142</v>
      </c>
      <c r="K2013" s="30" t="s">
        <v>116</v>
      </c>
      <c r="L2013" s="30" t="s">
        <v>146</v>
      </c>
      <c r="M2013" s="48"/>
      <c r="N2013" s="30"/>
      <c r="O2013" s="30"/>
      <c r="P2013" s="30"/>
    </row>
    <row r="2014" spans="1:16" ht="30">
      <c r="A2014" s="30" t="s">
        <v>4561</v>
      </c>
      <c r="B2014" s="47" t="s">
        <v>4559</v>
      </c>
      <c r="C2014" s="49" t="s">
        <v>4562</v>
      </c>
      <c r="D2014" s="30"/>
      <c r="E2014" s="30"/>
      <c r="F2014" s="30"/>
      <c r="G2014" s="30" t="s">
        <v>4028</v>
      </c>
      <c r="H2014" s="30" t="s">
        <v>141</v>
      </c>
      <c r="I2014" s="30" t="s">
        <v>30</v>
      </c>
      <c r="J2014" s="30" t="s">
        <v>142</v>
      </c>
      <c r="K2014" s="30" t="s">
        <v>116</v>
      </c>
      <c r="L2014" s="30" t="s">
        <v>143</v>
      </c>
      <c r="M2014" s="48"/>
      <c r="N2014" s="30"/>
      <c r="O2014" s="30"/>
      <c r="P2014" s="30"/>
    </row>
    <row r="2015" spans="1:16" ht="30">
      <c r="A2015" s="30" t="s">
        <v>4563</v>
      </c>
      <c r="B2015" s="47" t="s">
        <v>4559</v>
      </c>
      <c r="C2015" s="49" t="s">
        <v>4564</v>
      </c>
      <c r="D2015" s="30"/>
      <c r="E2015" s="30"/>
      <c r="F2015" s="30"/>
      <c r="G2015" s="30" t="s">
        <v>4028</v>
      </c>
      <c r="H2015" s="30" t="s">
        <v>141</v>
      </c>
      <c r="I2015" s="30" t="s">
        <v>30</v>
      </c>
      <c r="J2015" s="30" t="s">
        <v>142</v>
      </c>
      <c r="K2015" s="30" t="s">
        <v>116</v>
      </c>
      <c r="L2015" s="30" t="s">
        <v>146</v>
      </c>
      <c r="M2015" s="48"/>
      <c r="N2015" s="30"/>
      <c r="O2015" s="30"/>
      <c r="P2015" s="30"/>
    </row>
    <row r="2016" spans="1:16" ht="30">
      <c r="A2016" s="30" t="s">
        <v>4565</v>
      </c>
      <c r="B2016" s="47" t="s">
        <v>4559</v>
      </c>
      <c r="C2016" s="49" t="s">
        <v>4566</v>
      </c>
      <c r="D2016" s="30"/>
      <c r="E2016" s="30"/>
      <c r="F2016" s="30"/>
      <c r="G2016" s="30" t="s">
        <v>4028</v>
      </c>
      <c r="H2016" s="30" t="s">
        <v>141</v>
      </c>
      <c r="I2016" s="30" t="s">
        <v>30</v>
      </c>
      <c r="J2016" s="30" t="s">
        <v>142</v>
      </c>
      <c r="K2016" s="30" t="s">
        <v>116</v>
      </c>
      <c r="L2016" s="30" t="s">
        <v>143</v>
      </c>
      <c r="M2016" s="48"/>
      <c r="N2016" s="30"/>
      <c r="O2016" s="30"/>
      <c r="P2016" s="30"/>
    </row>
    <row r="2017" spans="1:16" ht="30">
      <c r="A2017" s="30" t="s">
        <v>4567</v>
      </c>
      <c r="B2017" s="47" t="s">
        <v>4568</v>
      </c>
      <c r="C2017" s="49" t="s">
        <v>4569</v>
      </c>
      <c r="D2017" s="30"/>
      <c r="E2017" s="30"/>
      <c r="F2017" s="30"/>
      <c r="G2017" s="30" t="s">
        <v>4028</v>
      </c>
      <c r="H2017" s="30" t="s">
        <v>141</v>
      </c>
      <c r="I2017" s="30" t="s">
        <v>30</v>
      </c>
      <c r="J2017" s="30" t="s">
        <v>142</v>
      </c>
      <c r="K2017" s="30" t="s">
        <v>116</v>
      </c>
      <c r="L2017" s="30" t="s">
        <v>143</v>
      </c>
      <c r="M2017" s="48"/>
      <c r="N2017" s="30"/>
      <c r="O2017" s="30"/>
      <c r="P2017" s="30"/>
    </row>
    <row r="2018" spans="1:16" ht="30">
      <c r="A2018" s="30" t="s">
        <v>4570</v>
      </c>
      <c r="B2018" s="47" t="s">
        <v>4568</v>
      </c>
      <c r="C2018" s="49" t="s">
        <v>4571</v>
      </c>
      <c r="D2018" s="30"/>
      <c r="E2018" s="30"/>
      <c r="F2018" s="30"/>
      <c r="G2018" s="30" t="s">
        <v>4028</v>
      </c>
      <c r="H2018" s="30" t="s">
        <v>141</v>
      </c>
      <c r="I2018" s="30" t="s">
        <v>30</v>
      </c>
      <c r="J2018" s="30" t="s">
        <v>142</v>
      </c>
      <c r="K2018" s="30" t="s">
        <v>116</v>
      </c>
      <c r="L2018" s="30" t="s">
        <v>146</v>
      </c>
      <c r="M2018" s="48"/>
      <c r="N2018" s="30"/>
      <c r="O2018" s="30"/>
      <c r="P2018" s="30"/>
    </row>
    <row r="2019" spans="1:16">
      <c r="A2019" s="30" t="s">
        <v>4572</v>
      </c>
      <c r="B2019" s="47" t="s">
        <v>4568</v>
      </c>
      <c r="C2019" s="49" t="s">
        <v>4573</v>
      </c>
      <c r="D2019" s="30"/>
      <c r="E2019" s="30"/>
      <c r="F2019" s="30"/>
      <c r="G2019" s="30" t="s">
        <v>4028</v>
      </c>
      <c r="H2019" s="30" t="s">
        <v>141</v>
      </c>
      <c r="I2019" s="30" t="s">
        <v>30</v>
      </c>
      <c r="J2019" s="30" t="s">
        <v>142</v>
      </c>
      <c r="K2019" s="30" t="s">
        <v>116</v>
      </c>
      <c r="L2019" s="30" t="s">
        <v>143</v>
      </c>
      <c r="M2019" s="48"/>
      <c r="N2019" s="30"/>
      <c r="O2019" s="30"/>
      <c r="P2019" s="30"/>
    </row>
    <row r="2020" spans="1:16" ht="30">
      <c r="A2020" s="30" t="s">
        <v>4574</v>
      </c>
      <c r="B2020" s="47" t="s">
        <v>4568</v>
      </c>
      <c r="C2020" s="49" t="s">
        <v>4564</v>
      </c>
      <c r="D2020" s="30"/>
      <c r="E2020" s="30"/>
      <c r="F2020" s="30"/>
      <c r="G2020" s="30" t="s">
        <v>4028</v>
      </c>
      <c r="H2020" s="30" t="s">
        <v>141</v>
      </c>
      <c r="I2020" s="30" t="s">
        <v>30</v>
      </c>
      <c r="J2020" s="30" t="s">
        <v>142</v>
      </c>
      <c r="K2020" s="30" t="s">
        <v>116</v>
      </c>
      <c r="L2020" s="30" t="s">
        <v>146</v>
      </c>
      <c r="M2020" s="48"/>
      <c r="N2020" s="30"/>
      <c r="O2020" s="30"/>
      <c r="P2020" s="30"/>
    </row>
    <row r="2021" spans="1:16" ht="30">
      <c r="A2021" s="30" t="s">
        <v>4575</v>
      </c>
      <c r="B2021" s="47" t="s">
        <v>4568</v>
      </c>
      <c r="C2021" s="49" t="s">
        <v>4576</v>
      </c>
      <c r="D2021" s="30"/>
      <c r="E2021" s="30"/>
      <c r="F2021" s="30"/>
      <c r="G2021" s="30" t="s">
        <v>4028</v>
      </c>
      <c r="H2021" s="30" t="s">
        <v>141</v>
      </c>
      <c r="I2021" s="30" t="s">
        <v>30</v>
      </c>
      <c r="J2021" s="30" t="s">
        <v>142</v>
      </c>
      <c r="K2021" s="30" t="s">
        <v>116</v>
      </c>
      <c r="L2021" s="30" t="s">
        <v>143</v>
      </c>
      <c r="M2021" s="48"/>
      <c r="N2021" s="30"/>
      <c r="O2021" s="30"/>
      <c r="P2021" s="30"/>
    </row>
    <row r="2022" spans="1:16" ht="30">
      <c r="A2022" s="30" t="s">
        <v>4577</v>
      </c>
      <c r="B2022" s="47" t="s">
        <v>4568</v>
      </c>
      <c r="C2022" s="49" t="s">
        <v>4578</v>
      </c>
      <c r="D2022" s="30"/>
      <c r="E2022" s="30"/>
      <c r="F2022" s="30"/>
      <c r="G2022" s="30" t="s">
        <v>4028</v>
      </c>
      <c r="H2022" s="30" t="s">
        <v>141</v>
      </c>
      <c r="I2022" s="30" t="s">
        <v>30</v>
      </c>
      <c r="J2022" s="30" t="s">
        <v>142</v>
      </c>
      <c r="K2022" s="30" t="s">
        <v>116</v>
      </c>
      <c r="L2022" s="30" t="s">
        <v>146</v>
      </c>
      <c r="M2022" s="48"/>
      <c r="N2022" s="30"/>
      <c r="O2022" s="30"/>
      <c r="P2022" s="30"/>
    </row>
    <row r="2023" spans="1:16" ht="60">
      <c r="A2023" s="30" t="s">
        <v>4579</v>
      </c>
      <c r="B2023" s="47" t="s">
        <v>4568</v>
      </c>
      <c r="C2023" s="49" t="s">
        <v>4580</v>
      </c>
      <c r="D2023" s="30"/>
      <c r="E2023" s="30"/>
      <c r="F2023" s="30"/>
      <c r="G2023" s="30" t="s">
        <v>4028</v>
      </c>
      <c r="H2023" s="30" t="s">
        <v>141</v>
      </c>
      <c r="I2023" s="30" t="s">
        <v>30</v>
      </c>
      <c r="J2023" s="30" t="s">
        <v>142</v>
      </c>
      <c r="K2023" s="30" t="s">
        <v>116</v>
      </c>
      <c r="L2023" s="30" t="s">
        <v>143</v>
      </c>
      <c r="M2023" s="48"/>
      <c r="N2023" s="30"/>
      <c r="O2023" s="30"/>
      <c r="P2023" s="30"/>
    </row>
    <row r="2024" spans="1:16" ht="30">
      <c r="A2024" s="30" t="s">
        <v>4581</v>
      </c>
      <c r="B2024" s="47" t="s">
        <v>4582</v>
      </c>
      <c r="C2024" s="49" t="s">
        <v>4583</v>
      </c>
      <c r="D2024" s="30"/>
      <c r="E2024" s="30"/>
      <c r="F2024" s="30"/>
      <c r="G2024" s="30" t="s">
        <v>4028</v>
      </c>
      <c r="H2024" s="30" t="s">
        <v>141</v>
      </c>
      <c r="I2024" s="30" t="s">
        <v>30</v>
      </c>
      <c r="J2024" s="30" t="s">
        <v>142</v>
      </c>
      <c r="K2024" s="30" t="s">
        <v>116</v>
      </c>
      <c r="L2024" s="30" t="s">
        <v>146</v>
      </c>
      <c r="M2024" s="48"/>
      <c r="N2024" s="30"/>
      <c r="O2024" s="30"/>
      <c r="P2024" s="30"/>
    </row>
    <row r="2025" spans="1:16" ht="30">
      <c r="A2025" s="30" t="s">
        <v>4584</v>
      </c>
      <c r="B2025" s="47" t="s">
        <v>4582</v>
      </c>
      <c r="C2025" s="49" t="s">
        <v>4585</v>
      </c>
      <c r="D2025" s="30"/>
      <c r="E2025" s="30"/>
      <c r="F2025" s="30"/>
      <c r="G2025" s="30" t="s">
        <v>4028</v>
      </c>
      <c r="H2025" s="30" t="s">
        <v>141</v>
      </c>
      <c r="I2025" s="30" t="s">
        <v>30</v>
      </c>
      <c r="J2025" s="30" t="s">
        <v>142</v>
      </c>
      <c r="K2025" s="30" t="s">
        <v>116</v>
      </c>
      <c r="L2025" s="30" t="s">
        <v>146</v>
      </c>
      <c r="M2025" s="48"/>
      <c r="N2025" s="30"/>
      <c r="O2025" s="30"/>
      <c r="P2025" s="30"/>
    </row>
    <row r="2026" spans="1:16" ht="30">
      <c r="A2026" s="30" t="s">
        <v>4586</v>
      </c>
      <c r="B2026" s="47" t="s">
        <v>4582</v>
      </c>
      <c r="C2026" s="49" t="s">
        <v>4587</v>
      </c>
      <c r="D2026" s="30"/>
      <c r="E2026" s="30"/>
      <c r="F2026" s="30"/>
      <c r="G2026" s="30" t="s">
        <v>4028</v>
      </c>
      <c r="H2026" s="30" t="s">
        <v>141</v>
      </c>
      <c r="I2026" s="30" t="s">
        <v>30</v>
      </c>
      <c r="J2026" s="30" t="s">
        <v>142</v>
      </c>
      <c r="K2026" s="30" t="s">
        <v>116</v>
      </c>
      <c r="L2026" s="30" t="s">
        <v>146</v>
      </c>
      <c r="M2026" s="48"/>
      <c r="N2026" s="30"/>
      <c r="O2026" s="30"/>
      <c r="P2026" s="30"/>
    </row>
    <row r="2027" spans="1:16" ht="45">
      <c r="A2027" s="30" t="s">
        <v>4588</v>
      </c>
      <c r="B2027" s="47" t="s">
        <v>4582</v>
      </c>
      <c r="C2027" s="49" t="s">
        <v>4589</v>
      </c>
      <c r="D2027" s="30"/>
      <c r="E2027" s="30"/>
      <c r="F2027" s="30"/>
      <c r="G2027" s="30" t="s">
        <v>4028</v>
      </c>
      <c r="H2027" s="30" t="s">
        <v>141</v>
      </c>
      <c r="I2027" s="30" t="s">
        <v>30</v>
      </c>
      <c r="J2027" s="30" t="s">
        <v>142</v>
      </c>
      <c r="K2027" s="30" t="s">
        <v>116</v>
      </c>
      <c r="L2027" s="30" t="s">
        <v>146</v>
      </c>
      <c r="M2027" s="48"/>
      <c r="N2027" s="30"/>
      <c r="O2027" s="30"/>
      <c r="P2027" s="30"/>
    </row>
    <row r="2028" spans="1:16" ht="45">
      <c r="A2028" s="30" t="s">
        <v>4590</v>
      </c>
      <c r="B2028" s="47" t="s">
        <v>4582</v>
      </c>
      <c r="C2028" s="49" t="s">
        <v>4591</v>
      </c>
      <c r="D2028" s="30"/>
      <c r="E2028" s="30"/>
      <c r="F2028" s="30"/>
      <c r="G2028" s="30" t="s">
        <v>4028</v>
      </c>
      <c r="H2028" s="30" t="s">
        <v>141</v>
      </c>
      <c r="I2028" s="30" t="s">
        <v>30</v>
      </c>
      <c r="J2028" s="30" t="s">
        <v>142</v>
      </c>
      <c r="K2028" s="30" t="s">
        <v>116</v>
      </c>
      <c r="L2028" s="30" t="s">
        <v>143</v>
      </c>
      <c r="M2028" s="48"/>
      <c r="N2028" s="30"/>
      <c r="O2028" s="30"/>
      <c r="P2028" s="30"/>
    </row>
    <row r="2029" spans="1:16" ht="45">
      <c r="A2029" s="30" t="s">
        <v>4592</v>
      </c>
      <c r="B2029" s="47" t="s">
        <v>4582</v>
      </c>
      <c r="C2029" s="49" t="s">
        <v>4593</v>
      </c>
      <c r="D2029" s="30"/>
      <c r="E2029" s="30"/>
      <c r="F2029" s="30"/>
      <c r="G2029" s="30" t="s">
        <v>4028</v>
      </c>
      <c r="H2029" s="30" t="s">
        <v>141</v>
      </c>
      <c r="I2029" s="30" t="s">
        <v>30</v>
      </c>
      <c r="J2029" s="30" t="s">
        <v>142</v>
      </c>
      <c r="K2029" s="30" t="s">
        <v>116</v>
      </c>
      <c r="L2029" s="30" t="s">
        <v>146</v>
      </c>
      <c r="M2029" s="48"/>
      <c r="N2029" s="30"/>
      <c r="O2029" s="30"/>
      <c r="P2029" s="30"/>
    </row>
    <row r="2030" spans="1:16" ht="45">
      <c r="A2030" s="30" t="s">
        <v>4594</v>
      </c>
      <c r="B2030" s="47" t="s">
        <v>4582</v>
      </c>
      <c r="C2030" s="49" t="s">
        <v>4595</v>
      </c>
      <c r="D2030" s="30"/>
      <c r="E2030" s="30"/>
      <c r="F2030" s="30"/>
      <c r="G2030" s="30" t="s">
        <v>4028</v>
      </c>
      <c r="H2030" s="30" t="s">
        <v>141</v>
      </c>
      <c r="I2030" s="30" t="s">
        <v>30</v>
      </c>
      <c r="J2030" s="30" t="s">
        <v>142</v>
      </c>
      <c r="K2030" s="30" t="s">
        <v>116</v>
      </c>
      <c r="L2030" s="30" t="s">
        <v>143</v>
      </c>
      <c r="M2030" s="48"/>
      <c r="N2030" s="30"/>
      <c r="O2030" s="30"/>
      <c r="P2030" s="30"/>
    </row>
    <row r="2031" spans="1:16" ht="30">
      <c r="A2031" s="30" t="s">
        <v>4596</v>
      </c>
      <c r="B2031" s="47" t="s">
        <v>4582</v>
      </c>
      <c r="C2031" s="49" t="s">
        <v>4597</v>
      </c>
      <c r="D2031" s="30"/>
      <c r="E2031" s="30"/>
      <c r="F2031" s="30"/>
      <c r="G2031" s="30" t="s">
        <v>4028</v>
      </c>
      <c r="H2031" s="30" t="s">
        <v>141</v>
      </c>
      <c r="I2031" s="30" t="s">
        <v>30</v>
      </c>
      <c r="J2031" s="30" t="s">
        <v>142</v>
      </c>
      <c r="K2031" s="30" t="s">
        <v>116</v>
      </c>
      <c r="L2031" s="30" t="s">
        <v>146</v>
      </c>
      <c r="M2031" s="48"/>
      <c r="N2031" s="30"/>
      <c r="O2031" s="30"/>
      <c r="P2031" s="30"/>
    </row>
    <row r="2032" spans="1:16" ht="30">
      <c r="A2032" s="30" t="s">
        <v>4598</v>
      </c>
      <c r="B2032" s="47" t="s">
        <v>4582</v>
      </c>
      <c r="C2032" s="49" t="s">
        <v>4599</v>
      </c>
      <c r="D2032" s="30"/>
      <c r="E2032" s="30"/>
      <c r="F2032" s="30"/>
      <c r="G2032" s="30" t="s">
        <v>4028</v>
      </c>
      <c r="H2032" s="30" t="s">
        <v>141</v>
      </c>
      <c r="I2032" s="30" t="s">
        <v>30</v>
      </c>
      <c r="J2032" s="30" t="s">
        <v>142</v>
      </c>
      <c r="K2032" s="30" t="s">
        <v>116</v>
      </c>
      <c r="L2032" s="30" t="s">
        <v>143</v>
      </c>
      <c r="M2032" s="48"/>
      <c r="N2032" s="30"/>
      <c r="O2032" s="30"/>
      <c r="P2032" s="30"/>
    </row>
    <row r="2033" spans="1:16">
      <c r="A2033" s="30" t="s">
        <v>4600</v>
      </c>
      <c r="B2033" s="47" t="s">
        <v>4582</v>
      </c>
      <c r="C2033" s="49" t="s">
        <v>4601</v>
      </c>
      <c r="D2033" s="30"/>
      <c r="E2033" s="30"/>
      <c r="F2033" s="30"/>
      <c r="G2033" s="30" t="s">
        <v>4028</v>
      </c>
      <c r="H2033" s="30" t="s">
        <v>141</v>
      </c>
      <c r="I2033" s="30" t="s">
        <v>30</v>
      </c>
      <c r="J2033" s="30" t="s">
        <v>142</v>
      </c>
      <c r="K2033" s="30" t="s">
        <v>116</v>
      </c>
      <c r="L2033" s="30" t="s">
        <v>143</v>
      </c>
      <c r="M2033" s="48"/>
      <c r="N2033" s="30"/>
      <c r="O2033" s="30"/>
      <c r="P2033" s="30"/>
    </row>
    <row r="2034" spans="1:16" ht="45">
      <c r="A2034" s="30" t="s">
        <v>4602</v>
      </c>
      <c r="B2034" s="47" t="s">
        <v>4582</v>
      </c>
      <c r="C2034" s="49" t="s">
        <v>4603</v>
      </c>
      <c r="D2034" s="30"/>
      <c r="E2034" s="30"/>
      <c r="F2034" s="30"/>
      <c r="G2034" s="30" t="s">
        <v>4028</v>
      </c>
      <c r="H2034" s="30" t="s">
        <v>141</v>
      </c>
      <c r="I2034" s="30" t="s">
        <v>30</v>
      </c>
      <c r="J2034" s="30" t="s">
        <v>142</v>
      </c>
      <c r="K2034" s="30" t="s">
        <v>116</v>
      </c>
      <c r="L2034" s="30" t="s">
        <v>146</v>
      </c>
      <c r="M2034" s="48"/>
      <c r="N2034" s="30"/>
      <c r="O2034" s="30"/>
      <c r="P2034" s="30"/>
    </row>
    <row r="2035" spans="1:16" ht="409.5">
      <c r="A2035" s="30" t="s">
        <v>4604</v>
      </c>
      <c r="B2035" s="47" t="s">
        <v>4582</v>
      </c>
      <c r="C2035" s="49" t="s">
        <v>4605</v>
      </c>
      <c r="D2035" s="30"/>
      <c r="E2035" s="30"/>
      <c r="F2035" s="30"/>
      <c r="G2035" s="30" t="s">
        <v>4028</v>
      </c>
      <c r="H2035" s="30" t="s">
        <v>141</v>
      </c>
      <c r="I2035" s="30" t="s">
        <v>30</v>
      </c>
      <c r="J2035" s="30" t="s">
        <v>142</v>
      </c>
      <c r="K2035" s="30" t="s">
        <v>116</v>
      </c>
      <c r="L2035" s="30" t="s">
        <v>146</v>
      </c>
      <c r="M2035" s="48"/>
      <c r="N2035" s="30"/>
      <c r="O2035" s="30"/>
      <c r="P2035" s="30"/>
    </row>
    <row r="2036" spans="1:16" ht="30">
      <c r="A2036" s="30" t="s">
        <v>4606</v>
      </c>
      <c r="B2036" s="47" t="s">
        <v>4582</v>
      </c>
      <c r="C2036" s="49" t="s">
        <v>4607</v>
      </c>
      <c r="D2036" s="30"/>
      <c r="E2036" s="30"/>
      <c r="F2036" s="30"/>
      <c r="G2036" s="30" t="s">
        <v>4028</v>
      </c>
      <c r="H2036" s="30" t="s">
        <v>141</v>
      </c>
      <c r="I2036" s="30" t="s">
        <v>30</v>
      </c>
      <c r="J2036" s="30" t="s">
        <v>142</v>
      </c>
      <c r="K2036" s="30" t="s">
        <v>116</v>
      </c>
      <c r="L2036" s="30" t="s">
        <v>146</v>
      </c>
      <c r="M2036" s="48"/>
      <c r="N2036" s="30"/>
      <c r="O2036" s="30"/>
      <c r="P2036" s="30"/>
    </row>
    <row r="2037" spans="1:16" ht="30">
      <c r="A2037" s="30" t="s">
        <v>4608</v>
      </c>
      <c r="B2037" s="47" t="s">
        <v>4582</v>
      </c>
      <c r="C2037" s="49" t="s">
        <v>4609</v>
      </c>
      <c r="D2037" s="30"/>
      <c r="E2037" s="30"/>
      <c r="F2037" s="30"/>
      <c r="G2037" s="30" t="s">
        <v>4028</v>
      </c>
      <c r="H2037" s="30" t="s">
        <v>141</v>
      </c>
      <c r="I2037" s="30" t="s">
        <v>30</v>
      </c>
      <c r="J2037" s="30" t="s">
        <v>142</v>
      </c>
      <c r="K2037" s="30" t="s">
        <v>116</v>
      </c>
      <c r="L2037" s="30" t="s">
        <v>146</v>
      </c>
      <c r="M2037" s="48"/>
      <c r="N2037" s="30"/>
      <c r="O2037" s="30"/>
      <c r="P2037" s="30"/>
    </row>
    <row r="2038" spans="1:16" ht="30">
      <c r="A2038" s="30" t="s">
        <v>4610</v>
      </c>
      <c r="B2038" s="47" t="s">
        <v>4582</v>
      </c>
      <c r="C2038" s="49" t="s">
        <v>4611</v>
      </c>
      <c r="D2038" s="30"/>
      <c r="E2038" s="30"/>
      <c r="F2038" s="30"/>
      <c r="G2038" s="30" t="s">
        <v>4028</v>
      </c>
      <c r="H2038" s="30" t="s">
        <v>141</v>
      </c>
      <c r="I2038" s="30" t="s">
        <v>30</v>
      </c>
      <c r="J2038" s="30" t="s">
        <v>142</v>
      </c>
      <c r="K2038" s="30" t="s">
        <v>116</v>
      </c>
      <c r="L2038" s="30" t="s">
        <v>146</v>
      </c>
      <c r="M2038" s="48"/>
      <c r="N2038" s="30"/>
      <c r="O2038" s="30"/>
      <c r="P2038" s="30"/>
    </row>
    <row r="2039" spans="1:16" ht="30">
      <c r="A2039" s="30" t="s">
        <v>4612</v>
      </c>
      <c r="B2039" s="47" t="s">
        <v>4582</v>
      </c>
      <c r="C2039" s="49" t="s">
        <v>4613</v>
      </c>
      <c r="D2039" s="30"/>
      <c r="E2039" s="30"/>
      <c r="F2039" s="30"/>
      <c r="G2039" s="30" t="s">
        <v>4028</v>
      </c>
      <c r="H2039" s="30" t="s">
        <v>141</v>
      </c>
      <c r="I2039" s="30" t="s">
        <v>30</v>
      </c>
      <c r="J2039" s="30" t="s">
        <v>142</v>
      </c>
      <c r="K2039" s="30" t="s">
        <v>116</v>
      </c>
      <c r="L2039" s="30" t="s">
        <v>146</v>
      </c>
      <c r="M2039" s="48"/>
      <c r="N2039" s="30"/>
      <c r="O2039" s="30"/>
      <c r="P2039" s="30"/>
    </row>
    <row r="2040" spans="1:16" ht="30">
      <c r="A2040" s="30" t="s">
        <v>4614</v>
      </c>
      <c r="B2040" s="47" t="s">
        <v>4582</v>
      </c>
      <c r="C2040" s="49" t="s">
        <v>4615</v>
      </c>
      <c r="D2040" s="30"/>
      <c r="E2040" s="30"/>
      <c r="F2040" s="30"/>
      <c r="G2040" s="30" t="s">
        <v>4028</v>
      </c>
      <c r="H2040" s="30" t="s">
        <v>141</v>
      </c>
      <c r="I2040" s="30" t="s">
        <v>30</v>
      </c>
      <c r="J2040" s="30" t="s">
        <v>142</v>
      </c>
      <c r="K2040" s="30" t="s">
        <v>116</v>
      </c>
      <c r="L2040" s="30" t="s">
        <v>146</v>
      </c>
      <c r="M2040" s="48"/>
      <c r="N2040" s="30"/>
      <c r="O2040" s="30"/>
      <c r="P2040" s="30"/>
    </row>
    <row r="2041" spans="1:16" ht="30">
      <c r="A2041" s="30" t="s">
        <v>4616</v>
      </c>
      <c r="B2041" s="47" t="s">
        <v>4582</v>
      </c>
      <c r="C2041" s="49" t="s">
        <v>4617</v>
      </c>
      <c r="D2041" s="30"/>
      <c r="E2041" s="30"/>
      <c r="F2041" s="30"/>
      <c r="G2041" s="30" t="s">
        <v>4028</v>
      </c>
      <c r="H2041" s="30" t="s">
        <v>141</v>
      </c>
      <c r="I2041" s="30" t="s">
        <v>30</v>
      </c>
      <c r="J2041" s="30" t="s">
        <v>142</v>
      </c>
      <c r="K2041" s="30" t="s">
        <v>116</v>
      </c>
      <c r="L2041" s="30" t="s">
        <v>143</v>
      </c>
      <c r="M2041" s="48"/>
      <c r="N2041" s="30"/>
      <c r="O2041" s="30"/>
      <c r="P2041" s="30"/>
    </row>
    <row r="2042" spans="1:16" ht="30">
      <c r="A2042" s="30" t="s">
        <v>4618</v>
      </c>
      <c r="B2042" s="47" t="s">
        <v>4582</v>
      </c>
      <c r="C2042" s="49" t="s">
        <v>4619</v>
      </c>
      <c r="D2042" s="30"/>
      <c r="E2042" s="30"/>
      <c r="F2042" s="30"/>
      <c r="G2042" s="30" t="s">
        <v>4028</v>
      </c>
      <c r="H2042" s="30" t="s">
        <v>141</v>
      </c>
      <c r="I2042" s="30" t="s">
        <v>30</v>
      </c>
      <c r="J2042" s="30" t="s">
        <v>142</v>
      </c>
      <c r="K2042" s="30" t="s">
        <v>116</v>
      </c>
      <c r="L2042" s="30" t="s">
        <v>146</v>
      </c>
      <c r="M2042" s="48"/>
      <c r="N2042" s="30"/>
      <c r="O2042" s="30"/>
      <c r="P2042" s="30"/>
    </row>
    <row r="2043" spans="1:16" ht="75">
      <c r="A2043" s="30" t="s">
        <v>4620</v>
      </c>
      <c r="B2043" s="47" t="s">
        <v>4582</v>
      </c>
      <c r="C2043" s="49" t="s">
        <v>4621</v>
      </c>
      <c r="D2043" s="30"/>
      <c r="E2043" s="30"/>
      <c r="F2043" s="30"/>
      <c r="G2043" s="30" t="s">
        <v>4028</v>
      </c>
      <c r="H2043" s="30" t="s">
        <v>141</v>
      </c>
      <c r="I2043" s="30" t="s">
        <v>30</v>
      </c>
      <c r="J2043" s="30" t="s">
        <v>142</v>
      </c>
      <c r="K2043" s="30" t="s">
        <v>116</v>
      </c>
      <c r="L2043" s="30" t="s">
        <v>143</v>
      </c>
      <c r="M2043" s="48"/>
      <c r="N2043" s="30"/>
      <c r="O2043" s="30"/>
      <c r="P2043" s="30"/>
    </row>
    <row r="2044" spans="1:16" ht="30">
      <c r="A2044" s="30" t="s">
        <v>4622</v>
      </c>
      <c r="B2044" s="47" t="s">
        <v>4623</v>
      </c>
      <c r="C2044" s="49" t="s">
        <v>4624</v>
      </c>
      <c r="D2044" s="30"/>
      <c r="E2044" s="30"/>
      <c r="F2044" s="30"/>
      <c r="G2044" s="30" t="s">
        <v>4028</v>
      </c>
      <c r="H2044" s="30" t="s">
        <v>141</v>
      </c>
      <c r="I2044" s="30" t="s">
        <v>30</v>
      </c>
      <c r="J2044" s="30" t="s">
        <v>142</v>
      </c>
      <c r="K2044" s="30" t="s">
        <v>116</v>
      </c>
      <c r="L2044" s="30" t="s">
        <v>146</v>
      </c>
      <c r="M2044" s="48"/>
      <c r="N2044" s="30"/>
      <c r="O2044" s="30"/>
      <c r="P2044" s="30"/>
    </row>
    <row r="2045" spans="1:16" ht="45">
      <c r="A2045" s="30" t="s">
        <v>4625</v>
      </c>
      <c r="B2045" s="47" t="s">
        <v>4623</v>
      </c>
      <c r="C2045" s="49" t="s">
        <v>4626</v>
      </c>
      <c r="D2045" s="30"/>
      <c r="E2045" s="30"/>
      <c r="F2045" s="30"/>
      <c r="G2045" s="30" t="s">
        <v>4028</v>
      </c>
      <c r="H2045" s="30" t="s">
        <v>141</v>
      </c>
      <c r="I2045" s="30" t="s">
        <v>30</v>
      </c>
      <c r="J2045" s="30" t="s">
        <v>142</v>
      </c>
      <c r="K2045" s="30" t="s">
        <v>116</v>
      </c>
      <c r="L2045" s="30" t="s">
        <v>143</v>
      </c>
      <c r="M2045" s="48"/>
      <c r="N2045" s="30"/>
      <c r="O2045" s="30"/>
      <c r="P2045" s="30"/>
    </row>
    <row r="2046" spans="1:16" ht="30">
      <c r="A2046" s="30" t="s">
        <v>4627</v>
      </c>
      <c r="B2046" s="47" t="s">
        <v>4628</v>
      </c>
      <c r="C2046" s="49" t="s">
        <v>4629</v>
      </c>
      <c r="D2046" s="30"/>
      <c r="E2046" s="30"/>
      <c r="F2046" s="30"/>
      <c r="G2046" s="30" t="s">
        <v>4028</v>
      </c>
      <c r="H2046" s="30" t="s">
        <v>141</v>
      </c>
      <c r="I2046" s="30" t="s">
        <v>30</v>
      </c>
      <c r="J2046" s="30" t="s">
        <v>142</v>
      </c>
      <c r="K2046" s="30" t="s">
        <v>116</v>
      </c>
      <c r="L2046" s="30" t="s">
        <v>146</v>
      </c>
      <c r="M2046" s="48"/>
      <c r="N2046" s="30"/>
      <c r="O2046" s="30"/>
      <c r="P2046" s="30"/>
    </row>
    <row r="2047" spans="1:16" ht="45">
      <c r="A2047" s="30" t="s">
        <v>4630</v>
      </c>
      <c r="B2047" s="47" t="s">
        <v>4628</v>
      </c>
      <c r="C2047" s="49" t="s">
        <v>4631</v>
      </c>
      <c r="D2047" s="30"/>
      <c r="E2047" s="30"/>
      <c r="F2047" s="30"/>
      <c r="G2047" s="30" t="s">
        <v>4028</v>
      </c>
      <c r="H2047" s="30" t="s">
        <v>141</v>
      </c>
      <c r="I2047" s="30" t="s">
        <v>30</v>
      </c>
      <c r="J2047" s="30" t="s">
        <v>142</v>
      </c>
      <c r="K2047" s="30" t="s">
        <v>116</v>
      </c>
      <c r="L2047" s="30" t="s">
        <v>143</v>
      </c>
      <c r="M2047" s="48"/>
      <c r="N2047" s="30"/>
      <c r="O2047" s="30"/>
      <c r="P2047" s="30"/>
    </row>
    <row r="2048" spans="1:16" ht="30">
      <c r="A2048" s="30" t="s">
        <v>4632</v>
      </c>
      <c r="B2048" s="47" t="s">
        <v>4633</v>
      </c>
      <c r="C2048" s="49" t="s">
        <v>4634</v>
      </c>
      <c r="D2048" s="30"/>
      <c r="E2048" s="30"/>
      <c r="F2048" s="30"/>
      <c r="G2048" s="30" t="s">
        <v>4028</v>
      </c>
      <c r="H2048" s="30" t="s">
        <v>141</v>
      </c>
      <c r="I2048" s="30" t="s">
        <v>30</v>
      </c>
      <c r="J2048" s="30" t="s">
        <v>142</v>
      </c>
      <c r="K2048" s="30" t="s">
        <v>116</v>
      </c>
      <c r="L2048" s="30" t="s">
        <v>146</v>
      </c>
      <c r="M2048" s="48"/>
      <c r="N2048" s="30"/>
      <c r="O2048" s="30"/>
      <c r="P2048" s="30"/>
    </row>
    <row r="2049" spans="1:16" ht="75">
      <c r="A2049" s="30" t="s">
        <v>4635</v>
      </c>
      <c r="B2049" s="47" t="s">
        <v>4633</v>
      </c>
      <c r="C2049" s="49" t="s">
        <v>4636</v>
      </c>
      <c r="D2049" s="30"/>
      <c r="E2049" s="30"/>
      <c r="F2049" s="30"/>
      <c r="G2049" s="30" t="s">
        <v>4028</v>
      </c>
      <c r="H2049" s="30" t="s">
        <v>141</v>
      </c>
      <c r="I2049" s="30" t="s">
        <v>30</v>
      </c>
      <c r="J2049" s="30" t="s">
        <v>142</v>
      </c>
      <c r="K2049" s="30" t="s">
        <v>116</v>
      </c>
      <c r="L2049" s="30" t="s">
        <v>143</v>
      </c>
      <c r="M2049" s="48"/>
      <c r="N2049" s="30"/>
      <c r="O2049" s="30"/>
      <c r="P2049" s="30"/>
    </row>
    <row r="2050" spans="1:16" ht="45">
      <c r="A2050" s="30" t="s">
        <v>4637</v>
      </c>
      <c r="B2050" s="47" t="s">
        <v>4638</v>
      </c>
      <c r="C2050" s="49" t="s">
        <v>4639</v>
      </c>
      <c r="D2050" s="30"/>
      <c r="E2050" s="30"/>
      <c r="F2050" s="30"/>
      <c r="G2050" s="30" t="s">
        <v>4028</v>
      </c>
      <c r="H2050" s="30" t="s">
        <v>141</v>
      </c>
      <c r="I2050" s="30" t="s">
        <v>30</v>
      </c>
      <c r="J2050" s="30" t="s">
        <v>142</v>
      </c>
      <c r="K2050" s="30" t="s">
        <v>116</v>
      </c>
      <c r="L2050" s="30" t="s">
        <v>146</v>
      </c>
      <c r="M2050" s="48"/>
      <c r="N2050" s="30"/>
      <c r="O2050" s="30"/>
      <c r="P2050" s="30"/>
    </row>
    <row r="2051" spans="1:16" ht="30">
      <c r="A2051" s="30" t="s">
        <v>4640</v>
      </c>
      <c r="B2051" s="47" t="s">
        <v>4638</v>
      </c>
      <c r="C2051" s="49" t="s">
        <v>4641</v>
      </c>
      <c r="D2051" s="30"/>
      <c r="E2051" s="30"/>
      <c r="F2051" s="30"/>
      <c r="G2051" s="30" t="s">
        <v>4028</v>
      </c>
      <c r="H2051" s="30" t="s">
        <v>141</v>
      </c>
      <c r="I2051" s="30" t="s">
        <v>30</v>
      </c>
      <c r="J2051" s="30" t="s">
        <v>142</v>
      </c>
      <c r="K2051" s="30" t="s">
        <v>116</v>
      </c>
      <c r="L2051" s="30" t="s">
        <v>146</v>
      </c>
      <c r="M2051" s="48"/>
      <c r="N2051" s="30"/>
      <c r="O2051" s="30"/>
      <c r="P2051" s="30"/>
    </row>
    <row r="2052" spans="1:16" ht="45">
      <c r="A2052" s="30" t="s">
        <v>4642</v>
      </c>
      <c r="B2052" s="47" t="s">
        <v>4638</v>
      </c>
      <c r="C2052" s="49" t="s">
        <v>4643</v>
      </c>
      <c r="D2052" s="30"/>
      <c r="E2052" s="30"/>
      <c r="F2052" s="30"/>
      <c r="G2052" s="30" t="s">
        <v>4028</v>
      </c>
      <c r="H2052" s="30" t="s">
        <v>141</v>
      </c>
      <c r="I2052" s="30" t="s">
        <v>30</v>
      </c>
      <c r="J2052" s="30" t="s">
        <v>142</v>
      </c>
      <c r="K2052" s="30" t="s">
        <v>116</v>
      </c>
      <c r="L2052" s="30" t="s">
        <v>143</v>
      </c>
      <c r="M2052" s="48"/>
      <c r="N2052" s="30"/>
      <c r="O2052" s="30"/>
      <c r="P2052" s="30"/>
    </row>
    <row r="2053" spans="1:16">
      <c r="A2053" s="30" t="s">
        <v>4644</v>
      </c>
      <c r="B2053" s="47" t="s">
        <v>4481</v>
      </c>
      <c r="C2053" s="49" t="s">
        <v>4645</v>
      </c>
      <c r="D2053" s="30"/>
      <c r="E2053" s="30"/>
      <c r="F2053" s="30"/>
      <c r="G2053" s="30" t="s">
        <v>4028</v>
      </c>
      <c r="H2053" s="30" t="s">
        <v>141</v>
      </c>
      <c r="I2053" s="30" t="s">
        <v>30</v>
      </c>
      <c r="J2053" s="30" t="s">
        <v>142</v>
      </c>
      <c r="K2053" s="30" t="s">
        <v>116</v>
      </c>
      <c r="L2053" s="30" t="s">
        <v>143</v>
      </c>
      <c r="M2053" s="48"/>
      <c r="N2053" s="30"/>
      <c r="O2053" s="30"/>
      <c r="P2053" s="30"/>
    </row>
    <row r="2054" spans="1:16">
      <c r="A2054" s="30" t="s">
        <v>4646</v>
      </c>
      <c r="B2054" s="47" t="s">
        <v>4481</v>
      </c>
      <c r="C2054" s="49" t="s">
        <v>4647</v>
      </c>
      <c r="D2054" s="30"/>
      <c r="E2054" s="30"/>
      <c r="F2054" s="30"/>
      <c r="G2054" s="30" t="s">
        <v>4028</v>
      </c>
      <c r="H2054" s="30" t="s">
        <v>141</v>
      </c>
      <c r="I2054" s="30" t="s">
        <v>30</v>
      </c>
      <c r="J2054" s="30" t="s">
        <v>142</v>
      </c>
      <c r="K2054" s="30" t="s">
        <v>116</v>
      </c>
      <c r="L2054" s="30" t="s">
        <v>143</v>
      </c>
      <c r="M2054" s="48"/>
      <c r="N2054" s="30"/>
      <c r="O2054" s="30"/>
      <c r="P2054" s="30"/>
    </row>
    <row r="2055" spans="1:16">
      <c r="A2055" s="30" t="s">
        <v>4648</v>
      </c>
      <c r="B2055" s="47" t="s">
        <v>4481</v>
      </c>
      <c r="C2055" s="49" t="s">
        <v>4649</v>
      </c>
      <c r="D2055" s="30"/>
      <c r="E2055" s="30"/>
      <c r="F2055" s="30"/>
      <c r="G2055" s="30" t="s">
        <v>4028</v>
      </c>
      <c r="H2055" s="30" t="s">
        <v>141</v>
      </c>
      <c r="I2055" s="30" t="s">
        <v>30</v>
      </c>
      <c r="J2055" s="30" t="s">
        <v>142</v>
      </c>
      <c r="K2055" s="30" t="s">
        <v>116</v>
      </c>
      <c r="L2055" s="30" t="s">
        <v>143</v>
      </c>
      <c r="M2055" s="48"/>
      <c r="N2055" s="30"/>
      <c r="O2055" s="30"/>
      <c r="P2055" s="30"/>
    </row>
    <row r="2056" spans="1:16">
      <c r="A2056" s="30" t="s">
        <v>4650</v>
      </c>
      <c r="B2056" s="47" t="s">
        <v>4481</v>
      </c>
      <c r="C2056" s="49" t="s">
        <v>4651</v>
      </c>
      <c r="D2056" s="30"/>
      <c r="E2056" s="30"/>
      <c r="F2056" s="30"/>
      <c r="G2056" s="30" t="s">
        <v>4028</v>
      </c>
      <c r="H2056" s="30" t="s">
        <v>141</v>
      </c>
      <c r="I2056" s="30" t="s">
        <v>30</v>
      </c>
      <c r="J2056" s="30" t="s">
        <v>142</v>
      </c>
      <c r="K2056" s="30" t="s">
        <v>116</v>
      </c>
      <c r="L2056" s="30" t="s">
        <v>143</v>
      </c>
      <c r="M2056" s="48"/>
      <c r="N2056" s="30"/>
      <c r="O2056" s="30"/>
      <c r="P2056" s="30"/>
    </row>
    <row r="2057" spans="1:16">
      <c r="A2057" s="30" t="s">
        <v>4652</v>
      </c>
      <c r="B2057" s="47" t="s">
        <v>4481</v>
      </c>
      <c r="C2057" s="49" t="s">
        <v>4653</v>
      </c>
      <c r="D2057" s="30"/>
      <c r="E2057" s="30"/>
      <c r="F2057" s="30"/>
      <c r="G2057" s="30" t="s">
        <v>4028</v>
      </c>
      <c r="H2057" s="30" t="s">
        <v>141</v>
      </c>
      <c r="I2057" s="30" t="s">
        <v>30</v>
      </c>
      <c r="J2057" s="30" t="s">
        <v>142</v>
      </c>
      <c r="K2057" s="30" t="s">
        <v>116</v>
      </c>
      <c r="L2057" s="30" t="s">
        <v>143</v>
      </c>
      <c r="M2057" s="48"/>
      <c r="N2057" s="30"/>
      <c r="O2057" s="30"/>
      <c r="P2057" s="30"/>
    </row>
    <row r="2058" spans="1:16" ht="30">
      <c r="A2058" s="30" t="s">
        <v>4654</v>
      </c>
      <c r="B2058" s="47" t="s">
        <v>4481</v>
      </c>
      <c r="C2058" s="49" t="s">
        <v>4655</v>
      </c>
      <c r="D2058" s="30"/>
      <c r="E2058" s="30"/>
      <c r="F2058" s="30"/>
      <c r="G2058" s="30" t="s">
        <v>4028</v>
      </c>
      <c r="H2058" s="30" t="s">
        <v>141</v>
      </c>
      <c r="I2058" s="30" t="s">
        <v>30</v>
      </c>
      <c r="J2058" s="30" t="s">
        <v>142</v>
      </c>
      <c r="K2058" s="30" t="s">
        <v>116</v>
      </c>
      <c r="L2058" s="30" t="s">
        <v>146</v>
      </c>
      <c r="M2058" s="48"/>
      <c r="N2058" s="30"/>
      <c r="O2058" s="30"/>
      <c r="P2058" s="30"/>
    </row>
    <row r="2059" spans="1:16" ht="30">
      <c r="A2059" s="30" t="s">
        <v>4656</v>
      </c>
      <c r="B2059" s="47" t="s">
        <v>4481</v>
      </c>
      <c r="C2059" s="49" t="s">
        <v>4657</v>
      </c>
      <c r="D2059" s="30"/>
      <c r="E2059" s="30"/>
      <c r="F2059" s="30"/>
      <c r="G2059" s="30" t="s">
        <v>4028</v>
      </c>
      <c r="H2059" s="30" t="s">
        <v>141</v>
      </c>
      <c r="I2059" s="30" t="s">
        <v>30</v>
      </c>
      <c r="J2059" s="30" t="s">
        <v>142</v>
      </c>
      <c r="K2059" s="30" t="s">
        <v>116</v>
      </c>
      <c r="L2059" s="30" t="s">
        <v>143</v>
      </c>
      <c r="M2059" s="48"/>
      <c r="N2059" s="30"/>
      <c r="O2059" s="30"/>
      <c r="P2059" s="30"/>
    </row>
    <row r="2060" spans="1:16" ht="30">
      <c r="A2060" s="30" t="s">
        <v>4658</v>
      </c>
      <c r="B2060" s="47" t="s">
        <v>4481</v>
      </c>
      <c r="C2060" s="49" t="s">
        <v>4659</v>
      </c>
      <c r="D2060" s="30"/>
      <c r="E2060" s="30"/>
      <c r="F2060" s="30"/>
      <c r="G2060" s="30" t="s">
        <v>4028</v>
      </c>
      <c r="H2060" s="30" t="s">
        <v>141</v>
      </c>
      <c r="I2060" s="30" t="s">
        <v>30</v>
      </c>
      <c r="J2060" s="30" t="s">
        <v>142</v>
      </c>
      <c r="K2060" s="30" t="s">
        <v>116</v>
      </c>
      <c r="L2060" s="30" t="s">
        <v>143</v>
      </c>
      <c r="M2060" s="48"/>
      <c r="N2060" s="30"/>
      <c r="O2060" s="30"/>
      <c r="P2060" s="30"/>
    </row>
    <row r="2061" spans="1:16" ht="30">
      <c r="A2061" s="30" t="s">
        <v>4660</v>
      </c>
      <c r="B2061" s="47" t="s">
        <v>4481</v>
      </c>
      <c r="C2061" s="49" t="s">
        <v>4661</v>
      </c>
      <c r="D2061" s="30"/>
      <c r="E2061" s="30"/>
      <c r="F2061" s="30"/>
      <c r="G2061" s="30" t="s">
        <v>4028</v>
      </c>
      <c r="H2061" s="30" t="s">
        <v>141</v>
      </c>
      <c r="I2061" s="30" t="s">
        <v>30</v>
      </c>
      <c r="J2061" s="30" t="s">
        <v>142</v>
      </c>
      <c r="K2061" s="30" t="s">
        <v>116</v>
      </c>
      <c r="L2061" s="30" t="s">
        <v>146</v>
      </c>
      <c r="M2061" s="48"/>
      <c r="N2061" s="30"/>
      <c r="O2061" s="30"/>
      <c r="P2061" s="30"/>
    </row>
    <row r="2062" spans="1:16" ht="30">
      <c r="A2062" s="30" t="s">
        <v>4662</v>
      </c>
      <c r="B2062" s="47" t="s">
        <v>4481</v>
      </c>
      <c r="C2062" s="49" t="s">
        <v>4663</v>
      </c>
      <c r="D2062" s="30"/>
      <c r="E2062" s="30"/>
      <c r="F2062" s="30"/>
      <c r="G2062" s="30" t="s">
        <v>4028</v>
      </c>
      <c r="H2062" s="30" t="s">
        <v>141</v>
      </c>
      <c r="I2062" s="30" t="s">
        <v>30</v>
      </c>
      <c r="J2062" s="30" t="s">
        <v>142</v>
      </c>
      <c r="K2062" s="30" t="s">
        <v>116</v>
      </c>
      <c r="L2062" s="30" t="s">
        <v>146</v>
      </c>
      <c r="M2062" s="48"/>
      <c r="N2062" s="30"/>
      <c r="O2062" s="30"/>
      <c r="P2062" s="30"/>
    </row>
    <row r="2063" spans="1:16" ht="30">
      <c r="A2063" s="30" t="s">
        <v>4664</v>
      </c>
      <c r="B2063" s="47" t="s">
        <v>4481</v>
      </c>
      <c r="C2063" s="49" t="s">
        <v>4665</v>
      </c>
      <c r="D2063" s="30"/>
      <c r="E2063" s="30"/>
      <c r="F2063" s="30"/>
      <c r="G2063" s="30" t="s">
        <v>4028</v>
      </c>
      <c r="H2063" s="30" t="s">
        <v>141</v>
      </c>
      <c r="I2063" s="30" t="s">
        <v>30</v>
      </c>
      <c r="J2063" s="30" t="s">
        <v>142</v>
      </c>
      <c r="K2063" s="30" t="s">
        <v>116</v>
      </c>
      <c r="L2063" s="30" t="s">
        <v>143</v>
      </c>
      <c r="M2063" s="48"/>
      <c r="N2063" s="30"/>
      <c r="O2063" s="30"/>
      <c r="P2063" s="30"/>
    </row>
    <row r="2064" spans="1:16">
      <c r="A2064" s="30" t="s">
        <v>4666</v>
      </c>
      <c r="B2064" s="47" t="s">
        <v>4667</v>
      </c>
      <c r="C2064" s="49" t="s">
        <v>4668</v>
      </c>
      <c r="D2064" s="30"/>
      <c r="E2064" s="30"/>
      <c r="F2064" s="30"/>
      <c r="G2064" s="30" t="s">
        <v>4028</v>
      </c>
      <c r="H2064" s="30" t="s">
        <v>141</v>
      </c>
      <c r="I2064" s="30" t="s">
        <v>30</v>
      </c>
      <c r="J2064" s="30" t="s">
        <v>142</v>
      </c>
      <c r="K2064" s="30" t="s">
        <v>116</v>
      </c>
      <c r="L2064" s="30" t="s">
        <v>143</v>
      </c>
      <c r="M2064" s="48"/>
      <c r="N2064" s="30"/>
      <c r="O2064" s="30"/>
      <c r="P2064" s="30"/>
    </row>
    <row r="2065" spans="1:16" ht="45">
      <c r="A2065" s="30" t="s">
        <v>4669</v>
      </c>
      <c r="B2065" s="47" t="s">
        <v>4667</v>
      </c>
      <c r="C2065" s="49" t="s">
        <v>4670</v>
      </c>
      <c r="D2065" s="30"/>
      <c r="E2065" s="30"/>
      <c r="F2065" s="30"/>
      <c r="G2065" s="30" t="s">
        <v>4028</v>
      </c>
      <c r="H2065" s="30" t="s">
        <v>141</v>
      </c>
      <c r="I2065" s="30" t="s">
        <v>30</v>
      </c>
      <c r="J2065" s="30" t="s">
        <v>142</v>
      </c>
      <c r="K2065" s="30" t="s">
        <v>116</v>
      </c>
      <c r="L2065" s="30" t="s">
        <v>146</v>
      </c>
      <c r="M2065" s="48"/>
      <c r="N2065" s="30"/>
      <c r="O2065" s="30"/>
      <c r="P2065" s="30"/>
    </row>
    <row r="2066" spans="1:16">
      <c r="A2066" s="30" t="s">
        <v>4671</v>
      </c>
      <c r="B2066" s="47" t="s">
        <v>4667</v>
      </c>
      <c r="C2066" s="49" t="s">
        <v>4672</v>
      </c>
      <c r="D2066" s="30"/>
      <c r="E2066" s="30"/>
      <c r="F2066" s="30"/>
      <c r="G2066" s="30" t="s">
        <v>4028</v>
      </c>
      <c r="H2066" s="30" t="s">
        <v>141</v>
      </c>
      <c r="I2066" s="30" t="s">
        <v>30</v>
      </c>
      <c r="J2066" s="30" t="s">
        <v>145</v>
      </c>
      <c r="K2066" s="30" t="s">
        <v>116</v>
      </c>
      <c r="L2066" s="30" t="s">
        <v>146</v>
      </c>
      <c r="M2066" s="48"/>
      <c r="N2066" s="30"/>
      <c r="O2066" s="30"/>
      <c r="P2066" s="30"/>
    </row>
    <row r="2067" spans="1:16" ht="45">
      <c r="A2067" s="30" t="s">
        <v>4673</v>
      </c>
      <c r="B2067" s="47" t="s">
        <v>4667</v>
      </c>
      <c r="C2067" s="49" t="s">
        <v>4674</v>
      </c>
      <c r="D2067" s="30"/>
      <c r="E2067" s="30"/>
      <c r="F2067" s="30"/>
      <c r="G2067" s="30" t="s">
        <v>4028</v>
      </c>
      <c r="H2067" s="30" t="s">
        <v>141</v>
      </c>
      <c r="I2067" s="30" t="s">
        <v>30</v>
      </c>
      <c r="J2067" s="30" t="s">
        <v>142</v>
      </c>
      <c r="K2067" s="30" t="s">
        <v>116</v>
      </c>
      <c r="L2067" s="30" t="s">
        <v>146</v>
      </c>
      <c r="M2067" s="48"/>
      <c r="N2067" s="30"/>
      <c r="O2067" s="30"/>
      <c r="P2067" s="30"/>
    </row>
    <row r="2068" spans="1:16">
      <c r="A2068" s="30" t="s">
        <v>4675</v>
      </c>
      <c r="B2068" s="47" t="s">
        <v>4667</v>
      </c>
      <c r="C2068" s="49" t="s">
        <v>4676</v>
      </c>
      <c r="D2068" s="30"/>
      <c r="E2068" s="30"/>
      <c r="F2068" s="30"/>
      <c r="G2068" s="30" t="s">
        <v>4028</v>
      </c>
      <c r="H2068" s="30" t="s">
        <v>141</v>
      </c>
      <c r="I2068" s="30" t="s">
        <v>30</v>
      </c>
      <c r="J2068" s="30" t="s">
        <v>145</v>
      </c>
      <c r="K2068" s="30" t="s">
        <v>116</v>
      </c>
      <c r="L2068" s="30" t="s">
        <v>146</v>
      </c>
      <c r="M2068" s="48"/>
      <c r="N2068" s="30"/>
      <c r="O2068" s="30"/>
      <c r="P2068" s="30"/>
    </row>
    <row r="2069" spans="1:16" ht="45">
      <c r="A2069" s="30" t="s">
        <v>4677</v>
      </c>
      <c r="B2069" s="47" t="s">
        <v>4667</v>
      </c>
      <c r="C2069" s="49" t="s">
        <v>4678</v>
      </c>
      <c r="D2069" s="30"/>
      <c r="E2069" s="30"/>
      <c r="F2069" s="30"/>
      <c r="G2069" s="30" t="s">
        <v>4028</v>
      </c>
      <c r="H2069" s="30" t="s">
        <v>141</v>
      </c>
      <c r="I2069" s="30" t="s">
        <v>30</v>
      </c>
      <c r="J2069" s="30" t="s">
        <v>142</v>
      </c>
      <c r="K2069" s="30" t="s">
        <v>116</v>
      </c>
      <c r="L2069" s="30" t="s">
        <v>146</v>
      </c>
      <c r="M2069" s="48"/>
      <c r="N2069" s="30"/>
      <c r="O2069" s="30"/>
      <c r="P2069" s="30"/>
    </row>
    <row r="2070" spans="1:16">
      <c r="A2070" s="30" t="s">
        <v>4679</v>
      </c>
      <c r="B2070" s="47" t="s">
        <v>4667</v>
      </c>
      <c r="C2070" s="49" t="s">
        <v>4680</v>
      </c>
      <c r="D2070" s="30"/>
      <c r="E2070" s="30"/>
      <c r="F2070" s="30"/>
      <c r="G2070" s="30" t="s">
        <v>4028</v>
      </c>
      <c r="H2070" s="30" t="s">
        <v>141</v>
      </c>
      <c r="I2070" s="30" t="s">
        <v>30</v>
      </c>
      <c r="J2070" s="30" t="s">
        <v>145</v>
      </c>
      <c r="K2070" s="30" t="s">
        <v>116</v>
      </c>
      <c r="L2070" s="30" t="s">
        <v>146</v>
      </c>
      <c r="M2070" s="48"/>
      <c r="N2070" s="30"/>
      <c r="O2070" s="30"/>
      <c r="P2070" s="30"/>
    </row>
    <row r="2071" spans="1:16" ht="30">
      <c r="A2071" s="30" t="s">
        <v>4681</v>
      </c>
      <c r="B2071" s="47" t="s">
        <v>4667</v>
      </c>
      <c r="C2071" s="49" t="s">
        <v>4682</v>
      </c>
      <c r="D2071" s="30"/>
      <c r="E2071" s="30"/>
      <c r="F2071" s="30"/>
      <c r="G2071" s="30" t="s">
        <v>4028</v>
      </c>
      <c r="H2071" s="30" t="s">
        <v>141</v>
      </c>
      <c r="I2071" s="30" t="s">
        <v>30</v>
      </c>
      <c r="J2071" s="30" t="s">
        <v>142</v>
      </c>
      <c r="K2071" s="30" t="s">
        <v>116</v>
      </c>
      <c r="L2071" s="30" t="s">
        <v>146</v>
      </c>
      <c r="M2071" s="48"/>
      <c r="N2071" s="30"/>
      <c r="O2071" s="30"/>
      <c r="P2071" s="30"/>
    </row>
    <row r="2072" spans="1:16" ht="45">
      <c r="A2072" s="30" t="s">
        <v>4683</v>
      </c>
      <c r="B2072" s="47" t="s">
        <v>4667</v>
      </c>
      <c r="C2072" s="49" t="s">
        <v>4684</v>
      </c>
      <c r="D2072" s="30"/>
      <c r="E2072" s="30"/>
      <c r="F2072" s="30"/>
      <c r="G2072" s="30" t="s">
        <v>4028</v>
      </c>
      <c r="H2072" s="30" t="s">
        <v>141</v>
      </c>
      <c r="I2072" s="30" t="s">
        <v>30</v>
      </c>
      <c r="J2072" s="30" t="s">
        <v>142</v>
      </c>
      <c r="K2072" s="30" t="s">
        <v>116</v>
      </c>
      <c r="L2072" s="30" t="s">
        <v>146</v>
      </c>
      <c r="M2072" s="48"/>
      <c r="N2072" s="30"/>
      <c r="O2072" s="30"/>
      <c r="P2072" s="30"/>
    </row>
    <row r="2073" spans="1:16" ht="30">
      <c r="A2073" s="30" t="s">
        <v>4685</v>
      </c>
      <c r="B2073" s="47" t="s">
        <v>4667</v>
      </c>
      <c r="C2073" s="49" t="s">
        <v>4686</v>
      </c>
      <c r="D2073" s="30"/>
      <c r="E2073" s="30"/>
      <c r="F2073" s="30"/>
      <c r="G2073" s="30" t="s">
        <v>4028</v>
      </c>
      <c r="H2073" s="30" t="s">
        <v>141</v>
      </c>
      <c r="I2073" s="30" t="s">
        <v>30</v>
      </c>
      <c r="J2073" s="30" t="s">
        <v>142</v>
      </c>
      <c r="K2073" s="30" t="s">
        <v>116</v>
      </c>
      <c r="L2073" s="30" t="s">
        <v>146</v>
      </c>
      <c r="M2073" s="48"/>
      <c r="N2073" s="30"/>
      <c r="O2073" s="30"/>
      <c r="P2073" s="30"/>
    </row>
    <row r="2074" spans="1:16" ht="45">
      <c r="A2074" s="30" t="s">
        <v>4687</v>
      </c>
      <c r="B2074" s="47" t="s">
        <v>4667</v>
      </c>
      <c r="C2074" s="49" t="s">
        <v>4688</v>
      </c>
      <c r="D2074" s="30"/>
      <c r="E2074" s="30"/>
      <c r="F2074" s="30"/>
      <c r="G2074" s="30" t="s">
        <v>4028</v>
      </c>
      <c r="H2074" s="30" t="s">
        <v>141</v>
      </c>
      <c r="I2074" s="30" t="s">
        <v>30</v>
      </c>
      <c r="J2074" s="30" t="s">
        <v>142</v>
      </c>
      <c r="K2074" s="30" t="s">
        <v>116</v>
      </c>
      <c r="L2074" s="30" t="s">
        <v>146</v>
      </c>
      <c r="M2074" s="48"/>
      <c r="N2074" s="30"/>
      <c r="O2074" s="30"/>
      <c r="P2074" s="30"/>
    </row>
    <row r="2075" spans="1:16" ht="45">
      <c r="A2075" s="30" t="s">
        <v>4689</v>
      </c>
      <c r="B2075" s="47" t="s">
        <v>4667</v>
      </c>
      <c r="C2075" s="49" t="s">
        <v>4690</v>
      </c>
      <c r="D2075" s="30"/>
      <c r="E2075" s="30"/>
      <c r="F2075" s="30"/>
      <c r="G2075" s="30" t="s">
        <v>4028</v>
      </c>
      <c r="H2075" s="30" t="s">
        <v>141</v>
      </c>
      <c r="I2075" s="30" t="s">
        <v>30</v>
      </c>
      <c r="J2075" s="30" t="s">
        <v>142</v>
      </c>
      <c r="K2075" s="30" t="s">
        <v>116</v>
      </c>
      <c r="L2075" s="30" t="s">
        <v>146</v>
      </c>
      <c r="M2075" s="48"/>
      <c r="N2075" s="30"/>
      <c r="O2075" s="30"/>
      <c r="P2075" s="30"/>
    </row>
    <row r="2076" spans="1:16" ht="90">
      <c r="A2076" s="30" t="s">
        <v>4691</v>
      </c>
      <c r="B2076" s="47" t="s">
        <v>4667</v>
      </c>
      <c r="C2076" s="49" t="s">
        <v>4692</v>
      </c>
      <c r="D2076" s="30"/>
      <c r="E2076" s="30"/>
      <c r="F2076" s="30"/>
      <c r="G2076" s="30" t="s">
        <v>4028</v>
      </c>
      <c r="H2076" s="30" t="s">
        <v>141</v>
      </c>
      <c r="I2076" s="30" t="s">
        <v>30</v>
      </c>
      <c r="J2076" s="30" t="s">
        <v>142</v>
      </c>
      <c r="K2076" s="30" t="s">
        <v>116</v>
      </c>
      <c r="L2076" s="30" t="s">
        <v>146</v>
      </c>
      <c r="M2076" s="48"/>
      <c r="N2076" s="30"/>
      <c r="O2076" s="30"/>
      <c r="P2076" s="30"/>
    </row>
    <row r="2077" spans="1:16" ht="30">
      <c r="A2077" s="30" t="s">
        <v>4693</v>
      </c>
      <c r="B2077" s="47" t="s">
        <v>4462</v>
      </c>
      <c r="C2077" s="49" t="s">
        <v>4694</v>
      </c>
      <c r="D2077" s="30"/>
      <c r="E2077" s="30"/>
      <c r="F2077" s="30"/>
      <c r="G2077" s="30" t="s">
        <v>4028</v>
      </c>
      <c r="H2077" s="30" t="s">
        <v>149</v>
      </c>
      <c r="I2077" s="30" t="s">
        <v>30</v>
      </c>
      <c r="J2077" s="30" t="s">
        <v>142</v>
      </c>
      <c r="K2077" s="30" t="s">
        <v>116</v>
      </c>
      <c r="L2077" s="30" t="s">
        <v>146</v>
      </c>
      <c r="M2077" s="48"/>
      <c r="N2077" s="30"/>
      <c r="O2077" s="30"/>
      <c r="P2077" s="30"/>
    </row>
    <row r="2078" spans="1:16" ht="30">
      <c r="A2078" s="30" t="s">
        <v>4695</v>
      </c>
      <c r="B2078" s="47" t="s">
        <v>4462</v>
      </c>
      <c r="C2078" s="49" t="s">
        <v>4696</v>
      </c>
      <c r="D2078" s="30"/>
      <c r="E2078" s="30"/>
      <c r="F2078" s="30"/>
      <c r="G2078" s="30" t="s">
        <v>4028</v>
      </c>
      <c r="H2078" s="30" t="s">
        <v>149</v>
      </c>
      <c r="I2078" s="30" t="s">
        <v>30</v>
      </c>
      <c r="J2078" s="30" t="s">
        <v>142</v>
      </c>
      <c r="K2078" s="30" t="s">
        <v>116</v>
      </c>
      <c r="L2078" s="30" t="s">
        <v>146</v>
      </c>
      <c r="M2078" s="48"/>
      <c r="N2078" s="30"/>
      <c r="O2078" s="30"/>
      <c r="P2078" s="30"/>
    </row>
    <row r="2079" spans="1:16" ht="30">
      <c r="A2079" s="30" t="s">
        <v>4697</v>
      </c>
      <c r="B2079" s="47" t="s">
        <v>4462</v>
      </c>
      <c r="C2079" s="49" t="s">
        <v>4698</v>
      </c>
      <c r="D2079" s="30"/>
      <c r="E2079" s="30"/>
      <c r="F2079" s="30"/>
      <c r="G2079" s="30" t="s">
        <v>4028</v>
      </c>
      <c r="H2079" s="30" t="s">
        <v>149</v>
      </c>
      <c r="I2079" s="30" t="s">
        <v>30</v>
      </c>
      <c r="J2079" s="30" t="s">
        <v>142</v>
      </c>
      <c r="K2079" s="30" t="s">
        <v>116</v>
      </c>
      <c r="L2079" s="30" t="s">
        <v>146</v>
      </c>
      <c r="M2079" s="48"/>
      <c r="N2079" s="30"/>
      <c r="O2079" s="30"/>
      <c r="P2079" s="30"/>
    </row>
    <row r="2080" spans="1:16" ht="30">
      <c r="A2080" s="30" t="s">
        <v>4699</v>
      </c>
      <c r="B2080" s="47" t="s">
        <v>4462</v>
      </c>
      <c r="C2080" s="49" t="s">
        <v>4700</v>
      </c>
      <c r="D2080" s="30"/>
      <c r="E2080" s="30"/>
      <c r="F2080" s="30"/>
      <c r="G2080" s="30" t="s">
        <v>4028</v>
      </c>
      <c r="H2080" s="30" t="s">
        <v>149</v>
      </c>
      <c r="I2080" s="30" t="s">
        <v>30</v>
      </c>
      <c r="J2080" s="30" t="s">
        <v>142</v>
      </c>
      <c r="K2080" s="30" t="s">
        <v>116</v>
      </c>
      <c r="L2080" s="30" t="s">
        <v>146</v>
      </c>
      <c r="M2080" s="48"/>
      <c r="N2080" s="30"/>
      <c r="O2080" s="30"/>
      <c r="P2080" s="30"/>
    </row>
    <row r="2081" spans="1:16" ht="30">
      <c r="A2081" s="30" t="s">
        <v>4701</v>
      </c>
      <c r="B2081" s="47" t="s">
        <v>4462</v>
      </c>
      <c r="C2081" s="49" t="s">
        <v>4702</v>
      </c>
      <c r="D2081" s="30"/>
      <c r="E2081" s="30"/>
      <c r="F2081" s="30"/>
      <c r="G2081" s="30" t="s">
        <v>4028</v>
      </c>
      <c r="H2081" s="30" t="s">
        <v>149</v>
      </c>
      <c r="I2081" s="30" t="s">
        <v>30</v>
      </c>
      <c r="J2081" s="30" t="s">
        <v>142</v>
      </c>
      <c r="K2081" s="30" t="s">
        <v>116</v>
      </c>
      <c r="L2081" s="30" t="s">
        <v>146</v>
      </c>
      <c r="M2081" s="48"/>
      <c r="N2081" s="30"/>
      <c r="O2081" s="30"/>
      <c r="P2081" s="30"/>
    </row>
    <row r="2082" spans="1:16" ht="30">
      <c r="A2082" s="30" t="s">
        <v>4703</v>
      </c>
      <c r="B2082" s="47" t="s">
        <v>4462</v>
      </c>
      <c r="C2082" s="49" t="s">
        <v>4704</v>
      </c>
      <c r="D2082" s="30"/>
      <c r="E2082" s="30"/>
      <c r="F2082" s="30"/>
      <c r="G2082" s="30" t="s">
        <v>4028</v>
      </c>
      <c r="H2082" s="30" t="s">
        <v>149</v>
      </c>
      <c r="I2082" s="30" t="s">
        <v>30</v>
      </c>
      <c r="J2082" s="30" t="s">
        <v>142</v>
      </c>
      <c r="K2082" s="30" t="s">
        <v>116</v>
      </c>
      <c r="L2082" s="30" t="s">
        <v>143</v>
      </c>
      <c r="M2082" s="48"/>
      <c r="N2082" s="30"/>
      <c r="O2082" s="30"/>
      <c r="P2082" s="30"/>
    </row>
  </sheetData>
  <mergeCells count="22">
    <mergeCell ref="B13:O13"/>
    <mergeCell ref="L9:O9"/>
    <mergeCell ref="D14:O17"/>
    <mergeCell ref="B19:O19"/>
    <mergeCell ref="B20:O20"/>
    <mergeCell ref="B18:O18"/>
    <mergeCell ref="B12:C12"/>
    <mergeCell ref="B9:C9"/>
    <mergeCell ref="D9:K9"/>
    <mergeCell ref="D10:K10"/>
    <mergeCell ref="F3:G3"/>
    <mergeCell ref="A4:K4"/>
    <mergeCell ref="D12:K12"/>
    <mergeCell ref="B11:O11"/>
    <mergeCell ref="M12:O12"/>
    <mergeCell ref="B8:O8"/>
    <mergeCell ref="B7:O7"/>
    <mergeCell ref="B6:O6"/>
    <mergeCell ref="B5:O5"/>
    <mergeCell ref="M10:O10"/>
    <mergeCell ref="B10:C10"/>
    <mergeCell ref="K3:L3"/>
  </mergeCells>
  <phoneticPr fontId="5" type="noConversion"/>
  <conditionalFormatting sqref="I22:I2082">
    <cfRule type="expression" dxfId="320" priority="1120">
      <formula>NOT(VLOOKUP(I22,$A$14:$C$17,2,FALSE)="In")</formula>
    </cfRule>
    <cfRule type="expression" dxfId="319" priority="1121">
      <formula>(VLOOKUP(I22,$A$14:$C$17,2,FALSE)="In")</formula>
    </cfRule>
  </conditionalFormatting>
  <conditionalFormatting sqref="P21:P1865 G651:G655 G657:G659 G661:G675 G678:G679 G707:G708 G710:G711 G713:G714 G716:G718 G720:G722 G724 G726:G738 G740:G786 G788:G793 G796:G800 G802:G804 G810:G816 G819:G820 G822:G823 G825 G827 G829:G832 G834:G846 G848:G851 G853:G854 G856:G863 G865:G867 G899 G901:G905 G907 G909:G910 G912 G914:G915 G917 G920:G921 G923 G925 G927 G929 G931:G932 G935 G937 G939 G942:G943 G945 G947 G952 G1123 G1125 G1127:G1136 G1138:G1145 G1147:G1151 G1375:G1378 G1381 G1387 G1392 G1394:G1395 G1397:G1399 G1401:G1405 G1409 G1416 G1418 G1422:G1424 G1428 G1430:G1435 G1437:G1446 G1453 G1455:G1467 G1475 G1478 G1480 G1482 G1485 G1488:G1490 G1494 G1496 G1513:G1514 G1498:G1511 G1153:G1373 G353:L353 G355:L355 G370:L370 G372:L372 L1747:M1748 M301 M304:M309 M1828:M1866 M1484:M1490 M1494 M1496 I169:M169 I193:M194 H685:M685 H689:M689 H691:M691 H694:M695 H697:M697 H699:M699 H701:M701 H703:M703 H706:M706 H869:M869 H872:M872 H875:M875 H877:M877 H879:M879 H881:M881 H883:M883 H886:M886 H888:M888 H890:M890 H892:M892 H895:M895 H898:M898 L273:M273 L1181:M1181 M332:M351 L314:M314 L321:M321 L326:M326 M329 L1627:M1627 M1746:M1753 G1816:M1816 G1810:M1814 M311:M327 M1755:M1817 M22:M299 M1415:M1482 M1384:M1411 G957:G1121 M1498:M1519 G1819:M1821 M1825 M1521:M1744 M358:M1382 G1517:G1866 G22:G648 A1867:M2082 N22:O2082 A22:F2082 H22:L2082">
    <cfRule type="expression" dxfId="318" priority="1110">
      <formula>EXACT(INDIRECT("P"&amp;ROW()),"Section Deleted")</formula>
    </cfRule>
    <cfRule type="expression" dxfId="317" priority="1111">
      <formula>EXACT(INDIRECT("P"&amp;ROW()),"Deleted")</formula>
    </cfRule>
    <cfRule type="expression" dxfId="316" priority="1118">
      <formula>EXACT(INDIRECT("L"&amp;ROW()),"Deleted")</formula>
    </cfRule>
  </conditionalFormatting>
  <conditionalFormatting sqref="G651:G655 G657:G659 G661:G675 G678:G679 G707:G708 G710:G711 G713:G714 G716:G718 G720:G722 G724 G726:G738 G740:G786 G788:G793 G796:G800 G802:G804 G810:G816 G819:G820 G822:G823 G825 G827 G829:G832 G834:G846 G848:G851 G853:G854 G856:G863 G865:G867 G899 G901:G905 G907 G909:G910 G912 G914:G915 G917 G920:G921 G923 G925 G927 G929 G931:G932 G935 G937 G939 G942:G943 G945 G947 G952 G1123 G1125 G1127:G1136 G1138:G1145 G1147:G1151 G1375:G1378 G1381 G1387 G1392 G1394:G1395 G1397:G1399 G1401:G1405 G1409 G1416 G1418 G1422:G1424 G1428 G1430:G1435 G1437:G1446 G1453 G1455:G1467 G1475 G1478 G1480 G1482 G1485 G1488:G1490 G1494 G1496 G1513:G1514 G1498:G1511 G1153:G1373 G353:L353 G355:L355 G370:L370 G372:L372 L1747:M1748 M301 M304:M309 M1828:M1866 M1484:M1490 M1494 M1496 I169:M169 I193:M194 H685:M685 H689:M689 H691:M691 H694:M695 H697:M697 H699:M699 H701:M701 H703:M703 H706:M706 H869:M869 H872:M872 H875:M875 H877:M877 H879:M879 H881:M881 H883:M883 H886:M886 H888:M888 H890:M890 H892:M892 H895:M895 H898:M898 L273:M273 L1181:M1181 M332:M351 L314:M314 L321:M321 L326:M326 M329 L1627:M1627 M1746:M1753 G1816:M1816 G1810:M1814 M311:M327 M1755:M1817 M22:M299 M1415:M1482 M1384:M1411 G957:G1121 M1498:M1519 G1819:M1821 M1825 M1521:M1744 M358:M1382 G1517:G1866 G22:G648 A22:F2082 H22:L2082 A1867:M2082">
    <cfRule type="expression" dxfId="315" priority="1104">
      <formula>EXACT(INDIRECT("P"&amp;ROW()),"SectionDeleted")</formula>
    </cfRule>
    <cfRule type="expression" dxfId="314" priority="1105">
      <formula>EXACT(INDIRECT("P"&amp;ROW()),"Deleted")</formula>
    </cfRule>
    <cfRule type="expression" dxfId="313" priority="1106">
      <formula>EXACT(INDIRECT("L"&amp;ROW()),"Deleted")</formula>
    </cfRule>
  </conditionalFormatting>
  <conditionalFormatting sqref="M898:M899 M813:M817 M828:M833">
    <cfRule type="cellIs" dxfId="312" priority="1095" operator="equal">
      <formula>"Changed"</formula>
    </cfRule>
  </conditionalFormatting>
  <conditionalFormatting sqref="A1602 M1612 M1614 M1618 M1620 A1595:M1601 H1602 H1608:H1665 H1697 A1603:M1607 A1608:B1665 H1644:L1644 G1666 G1675:G1679 G1691 G1695:G1696 C1621:G1665 I1621:M1665 G1682:G1689">
    <cfRule type="expression" dxfId="311" priority="1092">
      <formula>EXACT(INDIRECT("P"&amp;ROW()),"Section Deleted")</formula>
    </cfRule>
    <cfRule type="expression" dxfId="310" priority="1093">
      <formula>EXACT(INDIRECT("P"&amp;ROW()),"Deleted")</formula>
    </cfRule>
    <cfRule type="expression" dxfId="309" priority="1094">
      <formula>EXACT(INDIRECT("L"&amp;ROW()),"Deleted")</formula>
    </cfRule>
  </conditionalFormatting>
  <conditionalFormatting sqref="J1667:L1667">
    <cfRule type="expression" dxfId="308" priority="1074">
      <formula>EXACT(INDIRECT("P"&amp;ROW()),"Section Deleted")</formula>
    </cfRule>
    <cfRule type="expression" dxfId="307" priority="1075">
      <formula>EXACT(INDIRECT("P"&amp;ROW()),"Deleted")</formula>
    </cfRule>
    <cfRule type="expression" dxfId="306" priority="1076">
      <formula>EXACT(INDIRECT("L"&amp;ROW()),"Deleted")</formula>
    </cfRule>
  </conditionalFormatting>
  <conditionalFormatting sqref="J1669:L1669">
    <cfRule type="expression" dxfId="305" priority="1071">
      <formula>EXACT(INDIRECT("P"&amp;ROW()),"Section Deleted")</formula>
    </cfRule>
    <cfRule type="expression" dxfId="304" priority="1072">
      <formula>EXACT(INDIRECT("P"&amp;ROW()),"Deleted")</formula>
    </cfRule>
    <cfRule type="expression" dxfId="303" priority="1073">
      <formula>EXACT(INDIRECT("L"&amp;ROW()),"Deleted")</formula>
    </cfRule>
  </conditionalFormatting>
  <conditionalFormatting sqref="G267 G300 G310 G526 G578 G787 G794 G847 G1502">
    <cfRule type="expression" dxfId="302" priority="1068">
      <formula>EXACT(INDIRECT("P"&amp;ROW()),"Section Deleted")</formula>
    </cfRule>
    <cfRule type="expression" dxfId="301" priority="1069">
      <formula>EXACT(INDIRECT("P"&amp;ROW()),"Deleted")</formula>
    </cfRule>
    <cfRule type="expression" dxfId="300" priority="1070">
      <formula>EXACT(INDIRECT("L"&amp;ROW()),"Deleted")</formula>
    </cfRule>
  </conditionalFormatting>
  <conditionalFormatting sqref="G787 G794 G847">
    <cfRule type="expression" dxfId="299" priority="1065">
      <formula>EXACT(INDIRECT("P"&amp;ROW()),"Section Deleted")</formula>
    </cfRule>
    <cfRule type="expression" dxfId="298" priority="1066">
      <formula>EXACT(INDIRECT("P"&amp;ROW()),"Deleted")</formula>
    </cfRule>
    <cfRule type="expression" dxfId="297" priority="1067">
      <formula>EXACT(INDIRECT("L"&amp;ROW()),"Deleted")</formula>
    </cfRule>
  </conditionalFormatting>
  <conditionalFormatting sqref="G787 G794 G847">
    <cfRule type="expression" dxfId="296" priority="1062">
      <formula>EXACT(INDIRECT("P"&amp;ROW()),"SectionDeleted")</formula>
    </cfRule>
    <cfRule type="expression" dxfId="295" priority="1063">
      <formula>EXACT(INDIRECT("P"&amp;ROW()),"Deleted")</formula>
    </cfRule>
    <cfRule type="expression" dxfId="294" priority="1064">
      <formula>EXACT(INDIRECT("L"&amp;ROW()),"Deleted")</formula>
    </cfRule>
  </conditionalFormatting>
  <conditionalFormatting sqref="M1666">
    <cfRule type="expression" dxfId="293" priority="1059">
      <formula>EXACT(INDIRECT("P"&amp;ROW()),"Section Deleted")</formula>
    </cfRule>
    <cfRule type="expression" dxfId="292" priority="1060">
      <formula>EXACT(INDIRECT("P"&amp;ROW()),"Deleted")</formula>
    </cfRule>
    <cfRule type="expression" dxfId="291" priority="1061">
      <formula>EXACT(INDIRECT("L"&amp;ROW()),"Deleted")</formula>
    </cfRule>
  </conditionalFormatting>
  <conditionalFormatting sqref="I131">
    <cfRule type="expression" dxfId="290" priority="529">
      <formula>NOT(VLOOKUP(I131,$A$14:$C$17,2,FALSE)="In")</formula>
    </cfRule>
    <cfRule type="expression" dxfId="289" priority="530">
      <formula>(VLOOKUP(I131,$A$14:$C$17,2,FALSE)="In")</formula>
    </cfRule>
  </conditionalFormatting>
  <conditionalFormatting sqref="C131:M131">
    <cfRule type="expression" dxfId="288" priority="526">
      <formula>EXACT(INDIRECT("P"&amp;ROW()),"Section Deleted")</formula>
    </cfRule>
    <cfRule type="expression" dxfId="287" priority="527">
      <formula>EXACT(INDIRECT("P"&amp;ROW()),"Deleted")</formula>
    </cfRule>
    <cfRule type="expression" dxfId="286" priority="528">
      <formula>EXACT(INDIRECT("L"&amp;ROW()),"Deleted")</formula>
    </cfRule>
  </conditionalFormatting>
  <conditionalFormatting sqref="C131:M131">
    <cfRule type="expression" dxfId="285" priority="523">
      <formula>EXACT(INDIRECT("P"&amp;ROW()),"SectionDeleted")</formula>
    </cfRule>
    <cfRule type="expression" dxfId="284" priority="524">
      <formula>EXACT(INDIRECT("P"&amp;ROW()),"Deleted")</formula>
    </cfRule>
    <cfRule type="expression" dxfId="283" priority="525">
      <formula>EXACT(INDIRECT("L"&amp;ROW()),"Deleted")</formula>
    </cfRule>
  </conditionalFormatting>
  <conditionalFormatting sqref="C1835:C1837">
    <cfRule type="expression" dxfId="282" priority="520">
      <formula>EXACT(INDIRECT("P"&amp;ROW()),"Section Deleted")</formula>
    </cfRule>
    <cfRule type="expression" dxfId="281" priority="521">
      <formula>EXACT(INDIRECT("P"&amp;ROW()),"Deleted")</formula>
    </cfRule>
    <cfRule type="expression" dxfId="280" priority="522">
      <formula>EXACT(INDIRECT("L"&amp;ROW()),"Deleted")</formula>
    </cfRule>
  </conditionalFormatting>
  <conditionalFormatting sqref="C1835:C1837">
    <cfRule type="expression" dxfId="279" priority="517">
      <formula>EXACT(INDIRECT("P"&amp;ROW()),"SectionDeleted")</formula>
    </cfRule>
    <cfRule type="expression" dxfId="278" priority="518">
      <formula>EXACT(INDIRECT("P"&amp;ROW()),"Deleted")</formula>
    </cfRule>
    <cfRule type="expression" dxfId="277" priority="519">
      <formula>EXACT(INDIRECT("L"&amp;ROW()),"Deleted")</formula>
    </cfRule>
  </conditionalFormatting>
  <conditionalFormatting sqref="I1680">
    <cfRule type="expression" dxfId="276" priority="515">
      <formula>NOT(VLOOKUP(I1680,$A$14:$C$17,2,FALSE)="In")</formula>
    </cfRule>
    <cfRule type="expression" dxfId="275" priority="516">
      <formula>(VLOOKUP(I1680,$A$14:$C$17,2,FALSE)="In")</formula>
    </cfRule>
  </conditionalFormatting>
  <conditionalFormatting sqref="C1680:L1680">
    <cfRule type="expression" dxfId="274" priority="512">
      <formula>EXACT(INDIRECT("P"&amp;ROW()),"Section Deleted")</formula>
    </cfRule>
    <cfRule type="expression" dxfId="273" priority="513">
      <formula>EXACT(INDIRECT("P"&amp;ROW()),"Deleted")</formula>
    </cfRule>
    <cfRule type="expression" dxfId="272" priority="514">
      <formula>EXACT(INDIRECT("L"&amp;ROW()),"Deleted")</formula>
    </cfRule>
  </conditionalFormatting>
  <conditionalFormatting sqref="C1680:L1680">
    <cfRule type="expression" dxfId="271" priority="509">
      <formula>EXACT(INDIRECT("P"&amp;ROW()),"SectionDeleted")</formula>
    </cfRule>
    <cfRule type="expression" dxfId="270" priority="510">
      <formula>EXACT(INDIRECT("P"&amp;ROW()),"Deleted")</formula>
    </cfRule>
    <cfRule type="expression" dxfId="269" priority="511">
      <formula>EXACT(INDIRECT("L"&amp;ROW()),"Deleted")</formula>
    </cfRule>
  </conditionalFormatting>
  <conditionalFormatting sqref="I1681">
    <cfRule type="expression" dxfId="268" priority="507">
      <formula>NOT(VLOOKUP(I1681,$A$14:$C$17,2,FALSE)="In")</formula>
    </cfRule>
    <cfRule type="expression" dxfId="267" priority="508">
      <formula>(VLOOKUP(I1681,$A$14:$C$17,2,FALSE)="In")</formula>
    </cfRule>
  </conditionalFormatting>
  <conditionalFormatting sqref="C1681:L1681">
    <cfRule type="expression" dxfId="266" priority="504">
      <formula>EXACT(INDIRECT("P"&amp;ROW()),"Section Deleted")</formula>
    </cfRule>
    <cfRule type="expression" dxfId="265" priority="505">
      <formula>EXACT(INDIRECT("P"&amp;ROW()),"Deleted")</formula>
    </cfRule>
    <cfRule type="expression" dxfId="264" priority="506">
      <formula>EXACT(INDIRECT("L"&amp;ROW()),"Deleted")</formula>
    </cfRule>
  </conditionalFormatting>
  <conditionalFormatting sqref="C1681:L1681">
    <cfRule type="expression" dxfId="263" priority="501">
      <formula>EXACT(INDIRECT("P"&amp;ROW()),"SectionDeleted")</formula>
    </cfRule>
    <cfRule type="expression" dxfId="262" priority="502">
      <formula>EXACT(INDIRECT("P"&amp;ROW()),"Deleted")</formula>
    </cfRule>
    <cfRule type="expression" dxfId="261" priority="503">
      <formula>EXACT(INDIRECT("L"&amp;ROW()),"Deleted")</formula>
    </cfRule>
  </conditionalFormatting>
  <conditionalFormatting sqref="I1683:I1684">
    <cfRule type="expression" dxfId="260" priority="499">
      <formula>NOT(VLOOKUP(I1683,$A$14:$C$17,2,FALSE)="In")</formula>
    </cfRule>
    <cfRule type="expression" dxfId="259" priority="500">
      <formula>(VLOOKUP(I1683,$A$14:$C$17,2,FALSE)="In")</formula>
    </cfRule>
  </conditionalFormatting>
  <conditionalFormatting sqref="A1683:L1684">
    <cfRule type="expression" dxfId="258" priority="496">
      <formula>EXACT(INDIRECT("P"&amp;ROW()),"Section Deleted")</formula>
    </cfRule>
    <cfRule type="expression" dxfId="257" priority="497">
      <formula>EXACT(INDIRECT("P"&amp;ROW()),"Deleted")</formula>
    </cfRule>
    <cfRule type="expression" dxfId="256" priority="498">
      <formula>EXACT(INDIRECT("L"&amp;ROW()),"Deleted")</formula>
    </cfRule>
  </conditionalFormatting>
  <conditionalFormatting sqref="A1683:L1684">
    <cfRule type="expression" dxfId="255" priority="493">
      <formula>EXACT(INDIRECT("P"&amp;ROW()),"SectionDeleted")</formula>
    </cfRule>
    <cfRule type="expression" dxfId="254" priority="494">
      <formula>EXACT(INDIRECT("P"&amp;ROW()),"Deleted")</formula>
    </cfRule>
    <cfRule type="expression" dxfId="253" priority="495">
      <formula>EXACT(INDIRECT("L"&amp;ROW()),"Deleted")</formula>
    </cfRule>
  </conditionalFormatting>
  <conditionalFormatting sqref="I1685">
    <cfRule type="expression" dxfId="252" priority="491">
      <formula>NOT(VLOOKUP(I1685,$A$14:$C$17,2,FALSE)="In")</formula>
    </cfRule>
    <cfRule type="expression" dxfId="251" priority="492">
      <formula>(VLOOKUP(I1685,$A$14:$C$17,2,FALSE)="In")</formula>
    </cfRule>
  </conditionalFormatting>
  <conditionalFormatting sqref="C1685:L1685">
    <cfRule type="expression" dxfId="250" priority="488">
      <formula>EXACT(INDIRECT("P"&amp;ROW()),"Section Deleted")</formula>
    </cfRule>
    <cfRule type="expression" dxfId="249" priority="489">
      <formula>EXACT(INDIRECT("P"&amp;ROW()),"Deleted")</formula>
    </cfRule>
    <cfRule type="expression" dxfId="248" priority="490">
      <formula>EXACT(INDIRECT("L"&amp;ROW()),"Deleted")</formula>
    </cfRule>
  </conditionalFormatting>
  <conditionalFormatting sqref="C1685:L1685">
    <cfRule type="expression" dxfId="247" priority="485">
      <formula>EXACT(INDIRECT("P"&amp;ROW()),"SectionDeleted")</formula>
    </cfRule>
    <cfRule type="expression" dxfId="246" priority="486">
      <formula>EXACT(INDIRECT("P"&amp;ROW()),"Deleted")</formula>
    </cfRule>
    <cfRule type="expression" dxfId="245" priority="487">
      <formula>EXACT(INDIRECT("L"&amp;ROW()),"Deleted")</formula>
    </cfRule>
  </conditionalFormatting>
  <conditionalFormatting sqref="I690">
    <cfRule type="expression" dxfId="244" priority="483">
      <formula>NOT(VLOOKUP(I690,$A$14:$C$17,2,FALSE)="In")</formula>
    </cfRule>
    <cfRule type="expression" dxfId="243" priority="484">
      <formula>(VLOOKUP(I690,$A$14:$C$17,2,FALSE)="In")</formula>
    </cfRule>
  </conditionalFormatting>
  <conditionalFormatting sqref="C690:F690 H690:L690">
    <cfRule type="expression" dxfId="242" priority="480">
      <formula>EXACT(INDIRECT("P"&amp;ROW()),"Section Deleted")</formula>
    </cfRule>
    <cfRule type="expression" dxfId="241" priority="481">
      <formula>EXACT(INDIRECT("P"&amp;ROW()),"Deleted")</formula>
    </cfRule>
    <cfRule type="expression" dxfId="240" priority="482">
      <formula>EXACT(INDIRECT("L"&amp;ROW()),"Deleted")</formula>
    </cfRule>
  </conditionalFormatting>
  <conditionalFormatting sqref="C690:F690 H690:L690">
    <cfRule type="expression" dxfId="239" priority="477">
      <formula>EXACT(INDIRECT("P"&amp;ROW()),"SectionDeleted")</formula>
    </cfRule>
    <cfRule type="expression" dxfId="238" priority="478">
      <formula>EXACT(INDIRECT("P"&amp;ROW()),"Deleted")</formula>
    </cfRule>
    <cfRule type="expression" dxfId="237" priority="479">
      <formula>EXACT(INDIRECT("L"&amp;ROW()),"Deleted")</formula>
    </cfRule>
  </conditionalFormatting>
  <conditionalFormatting sqref="I691">
    <cfRule type="expression" dxfId="236" priority="475">
      <formula>NOT(VLOOKUP(I691,$A$14:$C$17,2,FALSE)="In")</formula>
    </cfRule>
    <cfRule type="expression" dxfId="235" priority="476">
      <formula>(VLOOKUP(I691,$A$14:$C$17,2,FALSE)="In")</formula>
    </cfRule>
  </conditionalFormatting>
  <conditionalFormatting sqref="H691:L691 C691:F691">
    <cfRule type="expression" dxfId="234" priority="472">
      <formula>EXACT(INDIRECT("P"&amp;ROW()),"Section Deleted")</formula>
    </cfRule>
    <cfRule type="expression" dxfId="233" priority="473">
      <formula>EXACT(INDIRECT("P"&amp;ROW()),"Deleted")</formula>
    </cfRule>
    <cfRule type="expression" dxfId="232" priority="474">
      <formula>EXACT(INDIRECT("L"&amp;ROW()),"Deleted")</formula>
    </cfRule>
  </conditionalFormatting>
  <conditionalFormatting sqref="H691:L691 C691:F691">
    <cfRule type="expression" dxfId="231" priority="469">
      <formula>EXACT(INDIRECT("P"&amp;ROW()),"SectionDeleted")</formula>
    </cfRule>
    <cfRule type="expression" dxfId="230" priority="470">
      <formula>EXACT(INDIRECT("P"&amp;ROW()),"Deleted")</formula>
    </cfRule>
    <cfRule type="expression" dxfId="229" priority="471">
      <formula>EXACT(INDIRECT("L"&amp;ROW()),"Deleted")</formula>
    </cfRule>
  </conditionalFormatting>
  <conditionalFormatting sqref="C691:F693 H691:L693">
    <cfRule type="expression" dxfId="228" priority="461">
      <formula>EXACT(INDIRECT("P"&amp;ROW()),"SectionDeleted")</formula>
    </cfRule>
    <cfRule type="expression" dxfId="227" priority="462">
      <formula>EXACT(INDIRECT("P"&amp;ROW()),"Deleted")</formula>
    </cfRule>
    <cfRule type="expression" dxfId="226" priority="463">
      <formula>EXACT(INDIRECT("L"&amp;ROW()),"Deleted")</formula>
    </cfRule>
  </conditionalFormatting>
  <conditionalFormatting sqref="I691:I693">
    <cfRule type="expression" dxfId="225" priority="467">
      <formula>NOT(VLOOKUP(I691,$A$14:$C$17,2,FALSE)="In")</formula>
    </cfRule>
    <cfRule type="expression" dxfId="224" priority="468">
      <formula>(VLOOKUP(I691,$A$14:$C$17,2,FALSE)="In")</formula>
    </cfRule>
  </conditionalFormatting>
  <conditionalFormatting sqref="C691:F693 H691:L693">
    <cfRule type="expression" dxfId="223" priority="464">
      <formula>EXACT(INDIRECT("P"&amp;ROW()),"Section Deleted")</formula>
    </cfRule>
    <cfRule type="expression" dxfId="222" priority="465">
      <formula>EXACT(INDIRECT("P"&amp;ROW()),"Deleted")</formula>
    </cfRule>
    <cfRule type="expression" dxfId="221" priority="466">
      <formula>EXACT(INDIRECT("L"&amp;ROW()),"Deleted")</formula>
    </cfRule>
  </conditionalFormatting>
  <conditionalFormatting sqref="I693">
    <cfRule type="expression" dxfId="220" priority="459">
      <formula>NOT(VLOOKUP(I693,$A$14:$C$17,2,FALSE)="In")</formula>
    </cfRule>
    <cfRule type="expression" dxfId="219" priority="460">
      <formula>(VLOOKUP(I693,$A$14:$C$17,2,FALSE)="In")</formula>
    </cfRule>
  </conditionalFormatting>
  <conditionalFormatting sqref="A693:F693 H693:L693">
    <cfRule type="expression" dxfId="218" priority="456">
      <formula>EXACT(INDIRECT("P"&amp;ROW()),"Section Deleted")</formula>
    </cfRule>
    <cfRule type="expression" dxfId="217" priority="457">
      <formula>EXACT(INDIRECT("P"&amp;ROW()),"Deleted")</formula>
    </cfRule>
    <cfRule type="expression" dxfId="216" priority="458">
      <formula>EXACT(INDIRECT("L"&amp;ROW()),"Deleted")</formula>
    </cfRule>
  </conditionalFormatting>
  <conditionalFormatting sqref="A693:F693 H693:L693">
    <cfRule type="expression" dxfId="215" priority="453">
      <formula>EXACT(INDIRECT("P"&amp;ROW()),"SectionDeleted")</formula>
    </cfRule>
    <cfRule type="expression" dxfId="214" priority="454">
      <formula>EXACT(INDIRECT("P"&amp;ROW()),"Deleted")</formula>
    </cfRule>
    <cfRule type="expression" dxfId="213" priority="455">
      <formula>EXACT(INDIRECT("L"&amp;ROW()),"Deleted")</formula>
    </cfRule>
  </conditionalFormatting>
  <conditionalFormatting sqref="H694:L695 C694:F695">
    <cfRule type="expression" dxfId="212" priority="445">
      <formula>EXACT(INDIRECT("P"&amp;ROW()),"SectionDeleted")</formula>
    </cfRule>
    <cfRule type="expression" dxfId="211" priority="446">
      <formula>EXACT(INDIRECT("P"&amp;ROW()),"Deleted")</formula>
    </cfRule>
    <cfRule type="expression" dxfId="210" priority="447">
      <formula>EXACT(INDIRECT("L"&amp;ROW()),"Deleted")</formula>
    </cfRule>
  </conditionalFormatting>
  <conditionalFormatting sqref="I694:I695">
    <cfRule type="expression" dxfId="209" priority="451">
      <formula>NOT(VLOOKUP(I694,$A$14:$C$17,2,FALSE)="In")</formula>
    </cfRule>
    <cfRule type="expression" dxfId="208" priority="452">
      <formula>(VLOOKUP(I694,$A$14:$C$17,2,FALSE)="In")</formula>
    </cfRule>
  </conditionalFormatting>
  <conditionalFormatting sqref="H694:L695 C694:F695">
    <cfRule type="expression" dxfId="207" priority="448">
      <formula>EXACT(INDIRECT("P"&amp;ROW()),"Section Deleted")</formula>
    </cfRule>
    <cfRule type="expression" dxfId="206" priority="449">
      <formula>EXACT(INDIRECT("P"&amp;ROW()),"Deleted")</formula>
    </cfRule>
    <cfRule type="expression" dxfId="205" priority="450">
      <formula>EXACT(INDIRECT("L"&amp;ROW()),"Deleted")</formula>
    </cfRule>
  </conditionalFormatting>
  <conditionalFormatting sqref="I695">
    <cfRule type="expression" dxfId="204" priority="443">
      <formula>NOT(VLOOKUP(I695,$A$14:$C$17,2,FALSE)="In")</formula>
    </cfRule>
    <cfRule type="expression" dxfId="203" priority="444">
      <formula>(VLOOKUP(I695,$A$14:$C$17,2,FALSE)="In")</formula>
    </cfRule>
  </conditionalFormatting>
  <conditionalFormatting sqref="H695:M695 A695:F695">
    <cfRule type="expression" dxfId="202" priority="440">
      <formula>EXACT(INDIRECT("P"&amp;ROW()),"Section Deleted")</formula>
    </cfRule>
    <cfRule type="expression" dxfId="201" priority="441">
      <formula>EXACT(INDIRECT("P"&amp;ROW()),"Deleted")</formula>
    </cfRule>
    <cfRule type="expression" dxfId="200" priority="442">
      <formula>EXACT(INDIRECT("L"&amp;ROW()),"Deleted")</formula>
    </cfRule>
  </conditionalFormatting>
  <conditionalFormatting sqref="H695:M695 A695:F695">
    <cfRule type="expression" dxfId="199" priority="437">
      <formula>EXACT(INDIRECT("P"&amp;ROW()),"SectionDeleted")</formula>
    </cfRule>
    <cfRule type="expression" dxfId="198" priority="438">
      <formula>EXACT(INDIRECT("P"&amp;ROW()),"Deleted")</formula>
    </cfRule>
    <cfRule type="expression" dxfId="197" priority="439">
      <formula>EXACT(INDIRECT("L"&amp;ROW()),"Deleted")</formula>
    </cfRule>
  </conditionalFormatting>
  <conditionalFormatting sqref="I1675">
    <cfRule type="expression" dxfId="196" priority="435">
      <formula>NOT(VLOOKUP(I1675,$A$14:$C$17,2,FALSE)="In")</formula>
    </cfRule>
    <cfRule type="expression" dxfId="195" priority="436">
      <formula>(VLOOKUP(I1675,$A$14:$C$17,2,FALSE)="In")</formula>
    </cfRule>
  </conditionalFormatting>
  <conditionalFormatting sqref="C1675:L1675">
    <cfRule type="expression" dxfId="194" priority="432">
      <formula>EXACT(INDIRECT("P"&amp;ROW()),"Section Deleted")</formula>
    </cfRule>
    <cfRule type="expression" dxfId="193" priority="433">
      <formula>EXACT(INDIRECT("P"&amp;ROW()),"Deleted")</formula>
    </cfRule>
    <cfRule type="expression" dxfId="192" priority="434">
      <formula>EXACT(INDIRECT("L"&amp;ROW()),"Deleted")</formula>
    </cfRule>
  </conditionalFormatting>
  <conditionalFormatting sqref="C1675:L1675">
    <cfRule type="expression" dxfId="191" priority="429">
      <formula>EXACT(INDIRECT("P"&amp;ROW()),"SectionDeleted")</formula>
    </cfRule>
    <cfRule type="expression" dxfId="190" priority="430">
      <formula>EXACT(INDIRECT("P"&amp;ROW()),"Deleted")</formula>
    </cfRule>
    <cfRule type="expression" dxfId="189" priority="431">
      <formula>EXACT(INDIRECT("L"&amp;ROW()),"Deleted")</formula>
    </cfRule>
  </conditionalFormatting>
  <conditionalFormatting sqref="I1677">
    <cfRule type="expression" dxfId="188" priority="427">
      <formula>NOT(VLOOKUP(I1677,$A$14:$C$17,2,FALSE)="In")</formula>
    </cfRule>
    <cfRule type="expression" dxfId="187" priority="428">
      <formula>(VLOOKUP(I1677,$A$14:$C$17,2,FALSE)="In")</formula>
    </cfRule>
  </conditionalFormatting>
  <conditionalFormatting sqref="C1677:L1677">
    <cfRule type="expression" dxfId="186" priority="424">
      <formula>EXACT(INDIRECT("P"&amp;ROW()),"Section Deleted")</formula>
    </cfRule>
    <cfRule type="expression" dxfId="185" priority="425">
      <formula>EXACT(INDIRECT("P"&amp;ROW()),"Deleted")</formula>
    </cfRule>
    <cfRule type="expression" dxfId="184" priority="426">
      <formula>EXACT(INDIRECT("L"&amp;ROW()),"Deleted")</formula>
    </cfRule>
  </conditionalFormatting>
  <conditionalFormatting sqref="C1677:L1677">
    <cfRule type="expression" dxfId="183" priority="421">
      <formula>EXACT(INDIRECT("P"&amp;ROW()),"SectionDeleted")</formula>
    </cfRule>
    <cfRule type="expression" dxfId="182" priority="422">
      <formula>EXACT(INDIRECT("P"&amp;ROW()),"Deleted")</formula>
    </cfRule>
    <cfRule type="expression" dxfId="181" priority="423">
      <formula>EXACT(INDIRECT("L"&amp;ROW()),"Deleted")</formula>
    </cfRule>
  </conditionalFormatting>
  <conditionalFormatting sqref="I1564">
    <cfRule type="expression" dxfId="180" priority="419">
      <formula>NOT(VLOOKUP(I1564,$A$14:$C$17,2,FALSE)="In")</formula>
    </cfRule>
    <cfRule type="expression" dxfId="179" priority="420">
      <formula>(VLOOKUP(I1564,$A$14:$C$17,2,FALSE)="In")</formula>
    </cfRule>
  </conditionalFormatting>
  <conditionalFormatting sqref="C1564:M1564">
    <cfRule type="expression" dxfId="178" priority="416">
      <formula>EXACT(INDIRECT("P"&amp;ROW()),"Section Deleted")</formula>
    </cfRule>
    <cfRule type="expression" dxfId="177" priority="417">
      <formula>EXACT(INDIRECT("P"&amp;ROW()),"Deleted")</formula>
    </cfRule>
    <cfRule type="expression" dxfId="176" priority="418">
      <formula>EXACT(INDIRECT("L"&amp;ROW()),"Deleted")</formula>
    </cfRule>
  </conditionalFormatting>
  <conditionalFormatting sqref="C1564:M1564">
    <cfRule type="expression" dxfId="175" priority="413">
      <formula>EXACT(INDIRECT("P"&amp;ROW()),"SectionDeleted")</formula>
    </cfRule>
    <cfRule type="expression" dxfId="174" priority="414">
      <formula>EXACT(INDIRECT("P"&amp;ROW()),"Deleted")</formula>
    </cfRule>
    <cfRule type="expression" dxfId="173" priority="415">
      <formula>EXACT(INDIRECT("L"&amp;ROW()),"Deleted")</formula>
    </cfRule>
  </conditionalFormatting>
  <conditionalFormatting sqref="I1410">
    <cfRule type="expression" dxfId="172" priority="411">
      <formula>NOT(VLOOKUP(I1410,$A$14:$C$17,2,FALSE)="In")</formula>
    </cfRule>
    <cfRule type="expression" dxfId="171" priority="412">
      <formula>(VLOOKUP(I1410,$A$14:$C$17,2,FALSE)="In")</formula>
    </cfRule>
  </conditionalFormatting>
  <conditionalFormatting sqref="C1410:F1410 H1410:L1410">
    <cfRule type="expression" dxfId="170" priority="408">
      <formula>EXACT(INDIRECT("P"&amp;ROW()),"Section Deleted")</formula>
    </cfRule>
    <cfRule type="expression" dxfId="169" priority="409">
      <formula>EXACT(INDIRECT("P"&amp;ROW()),"Deleted")</formula>
    </cfRule>
    <cfRule type="expression" dxfId="168" priority="410">
      <formula>EXACT(INDIRECT("L"&amp;ROW()),"Deleted")</formula>
    </cfRule>
  </conditionalFormatting>
  <conditionalFormatting sqref="C1410:F1410 H1410:L1410">
    <cfRule type="expression" dxfId="167" priority="405">
      <formula>EXACT(INDIRECT("P"&amp;ROW()),"SectionDeleted")</formula>
    </cfRule>
    <cfRule type="expression" dxfId="166" priority="406">
      <formula>EXACT(INDIRECT("P"&amp;ROW()),"Deleted")</formula>
    </cfRule>
    <cfRule type="expression" dxfId="165" priority="407">
      <formula>EXACT(INDIRECT("L"&amp;ROW()),"Deleted")</formula>
    </cfRule>
  </conditionalFormatting>
  <conditionalFormatting sqref="I1412:I1414">
    <cfRule type="expression" dxfId="164" priority="403">
      <formula>NOT(VLOOKUP(I1412,$A$14:$C$17,2,FALSE)="In")</formula>
    </cfRule>
    <cfRule type="expression" dxfId="163" priority="404">
      <formula>(VLOOKUP(I1412,$A$14:$C$17,2,FALSE)="In")</formula>
    </cfRule>
  </conditionalFormatting>
  <conditionalFormatting sqref="C1412:F1414 H1412:L1414">
    <cfRule type="expression" dxfId="162" priority="400">
      <formula>EXACT(INDIRECT("P"&amp;ROW()),"Section Deleted")</formula>
    </cfRule>
    <cfRule type="expression" dxfId="161" priority="401">
      <formula>EXACT(INDIRECT("P"&amp;ROW()),"Deleted")</formula>
    </cfRule>
    <cfRule type="expression" dxfId="160" priority="402">
      <formula>EXACT(INDIRECT("L"&amp;ROW()),"Deleted")</formula>
    </cfRule>
  </conditionalFormatting>
  <conditionalFormatting sqref="C1412:F1414 H1412:L1414">
    <cfRule type="expression" dxfId="159" priority="397">
      <formula>EXACT(INDIRECT("P"&amp;ROW()),"SectionDeleted")</formula>
    </cfRule>
    <cfRule type="expression" dxfId="158" priority="398">
      <formula>EXACT(INDIRECT("P"&amp;ROW()),"Deleted")</formula>
    </cfRule>
    <cfRule type="expression" dxfId="157" priority="399">
      <formula>EXACT(INDIRECT("L"&amp;ROW()),"Deleted")</formula>
    </cfRule>
  </conditionalFormatting>
  <conditionalFormatting sqref="I1413:I1414">
    <cfRule type="expression" dxfId="156" priority="395">
      <formula>NOT(VLOOKUP(I1413,$A$14:$C$17,2,FALSE)="In")</formula>
    </cfRule>
    <cfRule type="expression" dxfId="155" priority="396">
      <formula>(VLOOKUP(I1413,$A$14:$C$17,2,FALSE)="In")</formula>
    </cfRule>
  </conditionalFormatting>
  <conditionalFormatting sqref="A1413:F1414 H1413:L1414">
    <cfRule type="expression" dxfId="154" priority="392">
      <formula>EXACT(INDIRECT("P"&amp;ROW()),"Section Deleted")</formula>
    </cfRule>
    <cfRule type="expression" dxfId="153" priority="393">
      <formula>EXACT(INDIRECT("P"&amp;ROW()),"Deleted")</formula>
    </cfRule>
    <cfRule type="expression" dxfId="152" priority="394">
      <formula>EXACT(INDIRECT("L"&amp;ROW()),"Deleted")</formula>
    </cfRule>
  </conditionalFormatting>
  <conditionalFormatting sqref="A1413:F1414 H1413:L1414">
    <cfRule type="expression" dxfId="151" priority="389">
      <formula>EXACT(INDIRECT("P"&amp;ROW()),"SectionDeleted")</formula>
    </cfRule>
    <cfRule type="expression" dxfId="150" priority="390">
      <formula>EXACT(INDIRECT("P"&amp;ROW()),"Deleted")</formula>
    </cfRule>
    <cfRule type="expression" dxfId="149" priority="391">
      <formula>EXACT(INDIRECT("L"&amp;ROW()),"Deleted")</formula>
    </cfRule>
  </conditionalFormatting>
  <conditionalFormatting sqref="I1557:I1559">
    <cfRule type="expression" dxfId="148" priority="387">
      <formula>NOT(VLOOKUP(I1557,$A$14:$C$17,2,FALSE)="In")</formula>
    </cfRule>
    <cfRule type="expression" dxfId="147" priority="388">
      <formula>(VLOOKUP(I1557,$A$14:$C$17,2,FALSE)="In")</formula>
    </cfRule>
  </conditionalFormatting>
  <conditionalFormatting sqref="A1559:C1559 A1557:C1557 A1558:B1558 D1557:L1559 L1560:L1562">
    <cfRule type="expression" dxfId="146" priority="384">
      <formula>EXACT(INDIRECT("P"&amp;ROW()),"Section Deleted")</formula>
    </cfRule>
    <cfRule type="expression" dxfId="145" priority="385">
      <formula>EXACT(INDIRECT("P"&amp;ROW()),"Deleted")</formula>
    </cfRule>
    <cfRule type="expression" dxfId="144" priority="386">
      <formula>EXACT(INDIRECT("L"&amp;ROW()),"Deleted")</formula>
    </cfRule>
  </conditionalFormatting>
  <conditionalFormatting sqref="A1559:C1559 A1557:C1557 A1558:B1558 D1557:L1559 L1560:L1562">
    <cfRule type="expression" dxfId="143" priority="381">
      <formula>EXACT(INDIRECT("P"&amp;ROW()),"SectionDeleted")</formula>
    </cfRule>
    <cfRule type="expression" dxfId="142" priority="382">
      <formula>EXACT(INDIRECT("P"&amp;ROW()),"Deleted")</formula>
    </cfRule>
    <cfRule type="expression" dxfId="141" priority="383">
      <formula>EXACT(INDIRECT("L"&amp;ROW()),"Deleted")</formula>
    </cfRule>
  </conditionalFormatting>
  <conditionalFormatting sqref="I1560:I1562">
    <cfRule type="expression" dxfId="140" priority="379">
      <formula>NOT(VLOOKUP(I1560,$A$14:$C$17,2,FALSE)="In")</formula>
    </cfRule>
    <cfRule type="expression" dxfId="139" priority="380">
      <formula>(VLOOKUP(I1560,$A$14:$C$17,2,FALSE)="In")</formula>
    </cfRule>
  </conditionalFormatting>
  <conditionalFormatting sqref="C1560:L1562">
    <cfRule type="expression" dxfId="138" priority="376">
      <formula>EXACT(INDIRECT("P"&amp;ROW()),"Section Deleted")</formula>
    </cfRule>
    <cfRule type="expression" dxfId="137" priority="377">
      <formula>EXACT(INDIRECT("P"&amp;ROW()),"Deleted")</formula>
    </cfRule>
    <cfRule type="expression" dxfId="136" priority="378">
      <formula>EXACT(INDIRECT("L"&amp;ROW()),"Deleted")</formula>
    </cfRule>
  </conditionalFormatting>
  <conditionalFormatting sqref="C1560:L1562">
    <cfRule type="expression" dxfId="135" priority="373">
      <formula>EXACT(INDIRECT("P"&amp;ROW()),"SectionDeleted")</formula>
    </cfRule>
    <cfRule type="expression" dxfId="134" priority="374">
      <formula>EXACT(INDIRECT("P"&amp;ROW()),"Deleted")</formula>
    </cfRule>
    <cfRule type="expression" dxfId="133" priority="375">
      <formula>EXACT(INDIRECT("L"&amp;ROW()),"Deleted")</formula>
    </cfRule>
  </conditionalFormatting>
  <conditionalFormatting sqref="I1561:I1562">
    <cfRule type="expression" dxfId="132" priority="371">
      <formula>NOT(VLOOKUP(I1561,$A$14:$C$17,2,FALSE)="In")</formula>
    </cfRule>
    <cfRule type="expression" dxfId="131" priority="372">
      <formula>(VLOOKUP(I1561,$A$14:$C$17,2,FALSE)="In")</formula>
    </cfRule>
  </conditionalFormatting>
  <conditionalFormatting sqref="B1561:B1562 D1561:L1562">
    <cfRule type="expression" dxfId="130" priority="368">
      <formula>EXACT(INDIRECT("P"&amp;ROW()),"Section Deleted")</formula>
    </cfRule>
    <cfRule type="expression" dxfId="129" priority="369">
      <formula>EXACT(INDIRECT("P"&amp;ROW()),"Deleted")</formula>
    </cfRule>
    <cfRule type="expression" dxfId="128" priority="370">
      <formula>EXACT(INDIRECT("L"&amp;ROW()),"Deleted")</formula>
    </cfRule>
  </conditionalFormatting>
  <conditionalFormatting sqref="B1561:B1562 D1561:L1562">
    <cfRule type="expression" dxfId="127" priority="365">
      <formula>EXACT(INDIRECT("P"&amp;ROW()),"SectionDeleted")</formula>
    </cfRule>
    <cfRule type="expression" dxfId="126" priority="366">
      <formula>EXACT(INDIRECT("P"&amp;ROW()),"Deleted")</formula>
    </cfRule>
    <cfRule type="expression" dxfId="125" priority="367">
      <formula>EXACT(INDIRECT("L"&amp;ROW()),"Deleted")</formula>
    </cfRule>
  </conditionalFormatting>
  <conditionalFormatting sqref="A1561:A1562">
    <cfRule type="expression" dxfId="124" priority="362">
      <formula>EXACT(INDIRECT("P"&amp;ROW()),"Section Deleted")</formula>
    </cfRule>
    <cfRule type="expression" dxfId="123" priority="363">
      <formula>EXACT(INDIRECT("P"&amp;ROW()),"Deleted")</formula>
    </cfRule>
    <cfRule type="expression" dxfId="122" priority="364">
      <formula>EXACT(INDIRECT("L"&amp;ROW()),"Deleted")</formula>
    </cfRule>
  </conditionalFormatting>
  <conditionalFormatting sqref="A1561:A1562">
    <cfRule type="expression" dxfId="121" priority="359">
      <formula>EXACT(INDIRECT("P"&amp;ROW()),"SectionDeleted")</formula>
    </cfRule>
    <cfRule type="expression" dxfId="120" priority="360">
      <formula>EXACT(INDIRECT("P"&amp;ROW()),"Deleted")</formula>
    </cfRule>
    <cfRule type="expression" dxfId="119" priority="361">
      <formula>EXACT(INDIRECT("L"&amp;ROW()),"Deleted")</formula>
    </cfRule>
  </conditionalFormatting>
  <conditionalFormatting sqref="I1070:I1071">
    <cfRule type="expression" dxfId="118" priority="357">
      <formula>NOT(VLOOKUP(I1070,$A$14:$C$17,2,FALSE)="In")</formula>
    </cfRule>
    <cfRule type="expression" dxfId="117" priority="358">
      <formula>(VLOOKUP(I1070,$A$14:$C$17,2,FALSE)="In")</formula>
    </cfRule>
  </conditionalFormatting>
  <conditionalFormatting sqref="A1070:L1071">
    <cfRule type="expression" dxfId="116" priority="354">
      <formula>EXACT(INDIRECT("P"&amp;ROW()),"Section Deleted")</formula>
    </cfRule>
    <cfRule type="expression" dxfId="115" priority="355">
      <formula>EXACT(INDIRECT("P"&amp;ROW()),"Deleted")</formula>
    </cfRule>
    <cfRule type="expression" dxfId="114" priority="356">
      <formula>EXACT(INDIRECT("L"&amp;ROW()),"Deleted")</formula>
    </cfRule>
  </conditionalFormatting>
  <conditionalFormatting sqref="A1070:L1071">
    <cfRule type="expression" dxfId="113" priority="351">
      <formula>EXACT(INDIRECT("P"&amp;ROW()),"SectionDeleted")</formula>
    </cfRule>
    <cfRule type="expression" dxfId="112" priority="352">
      <formula>EXACT(INDIRECT("P"&amp;ROW()),"Deleted")</formula>
    </cfRule>
    <cfRule type="expression" dxfId="111" priority="353">
      <formula>EXACT(INDIRECT("L"&amp;ROW()),"Deleted")</formula>
    </cfRule>
  </conditionalFormatting>
  <conditionalFormatting sqref="I1074">
    <cfRule type="expression" dxfId="110" priority="349">
      <formula>NOT(VLOOKUP(I1074,$A$14:$C$17,2,FALSE)="In")</formula>
    </cfRule>
    <cfRule type="expression" dxfId="109" priority="350">
      <formula>(VLOOKUP(I1074,$A$14:$C$17,2,FALSE)="In")</formula>
    </cfRule>
  </conditionalFormatting>
  <conditionalFormatting sqref="C1074:L1074">
    <cfRule type="expression" dxfId="108" priority="346">
      <formula>EXACT(INDIRECT("P"&amp;ROW()),"Section Deleted")</formula>
    </cfRule>
    <cfRule type="expression" dxfId="107" priority="347">
      <formula>EXACT(INDIRECT("P"&amp;ROW()),"Deleted")</formula>
    </cfRule>
    <cfRule type="expression" dxfId="106" priority="348">
      <formula>EXACT(INDIRECT("L"&amp;ROW()),"Deleted")</formula>
    </cfRule>
  </conditionalFormatting>
  <conditionalFormatting sqref="C1074:L1074">
    <cfRule type="expression" dxfId="105" priority="343">
      <formula>EXACT(INDIRECT("P"&amp;ROW()),"SectionDeleted")</formula>
    </cfRule>
    <cfRule type="expression" dxfId="104" priority="344">
      <formula>EXACT(INDIRECT("P"&amp;ROW()),"Deleted")</formula>
    </cfRule>
    <cfRule type="expression" dxfId="103" priority="345">
      <formula>EXACT(INDIRECT("L"&amp;ROW()),"Deleted")</formula>
    </cfRule>
  </conditionalFormatting>
  <conditionalFormatting sqref="I435">
    <cfRule type="expression" dxfId="102" priority="341">
      <formula>NOT(VLOOKUP(I435,$A$14:$C$17,2,FALSE)="In")</formula>
    </cfRule>
    <cfRule type="expression" dxfId="101" priority="342">
      <formula>(VLOOKUP(I435,$A$14:$C$17,2,FALSE)="In")</formula>
    </cfRule>
  </conditionalFormatting>
  <conditionalFormatting sqref="A435:L435">
    <cfRule type="expression" dxfId="100" priority="338">
      <formula>EXACT(INDIRECT("P"&amp;ROW()),"Section Deleted")</formula>
    </cfRule>
    <cfRule type="expression" dxfId="99" priority="339">
      <formula>EXACT(INDIRECT("P"&amp;ROW()),"Deleted")</formula>
    </cfRule>
    <cfRule type="expression" dxfId="98" priority="340">
      <formula>EXACT(INDIRECT("L"&amp;ROW()),"Deleted")</formula>
    </cfRule>
  </conditionalFormatting>
  <conditionalFormatting sqref="A435:L435">
    <cfRule type="expression" dxfId="97" priority="335">
      <formula>EXACT(INDIRECT("P"&amp;ROW()),"SectionDeleted")</formula>
    </cfRule>
    <cfRule type="expression" dxfId="96" priority="336">
      <formula>EXACT(INDIRECT("P"&amp;ROW()),"Deleted")</formula>
    </cfRule>
    <cfRule type="expression" dxfId="95" priority="337">
      <formula>EXACT(INDIRECT("L"&amp;ROW()),"Deleted")</formula>
    </cfRule>
  </conditionalFormatting>
  <conditionalFormatting sqref="I153:I154">
    <cfRule type="expression" dxfId="94" priority="333">
      <formula>NOT(VLOOKUP(I153,$A$14:$C$17,2,FALSE)="In")</formula>
    </cfRule>
    <cfRule type="expression" dxfId="93" priority="334">
      <formula>(VLOOKUP(I153,$A$14:$C$17,2,FALSE)="In")</formula>
    </cfRule>
  </conditionalFormatting>
  <conditionalFormatting sqref="C153:L154">
    <cfRule type="expression" dxfId="92" priority="330">
      <formula>EXACT(INDIRECT("P"&amp;ROW()),"Section Deleted")</formula>
    </cfRule>
    <cfRule type="expression" dxfId="91" priority="331">
      <formula>EXACT(INDIRECT("P"&amp;ROW()),"Deleted")</formula>
    </cfRule>
    <cfRule type="expression" dxfId="90" priority="332">
      <formula>EXACT(INDIRECT("L"&amp;ROW()),"Deleted")</formula>
    </cfRule>
  </conditionalFormatting>
  <conditionalFormatting sqref="C153:L154">
    <cfRule type="expression" dxfId="89" priority="327">
      <formula>EXACT(INDIRECT("P"&amp;ROW()),"SectionDeleted")</formula>
    </cfRule>
    <cfRule type="expression" dxfId="88" priority="328">
      <formula>EXACT(INDIRECT("P"&amp;ROW()),"Deleted")</formula>
    </cfRule>
    <cfRule type="expression" dxfId="87" priority="329">
      <formula>EXACT(INDIRECT("L"&amp;ROW()),"Deleted")</formula>
    </cfRule>
  </conditionalFormatting>
  <conditionalFormatting sqref="I154">
    <cfRule type="expression" dxfId="86" priority="325">
      <formula>NOT(VLOOKUP(I154,$A$14:$C$17,2,FALSE)="In")</formula>
    </cfRule>
    <cfRule type="expression" dxfId="85" priority="326">
      <formula>(VLOOKUP(I154,$A$14:$C$17,2,FALSE)="In")</formula>
    </cfRule>
  </conditionalFormatting>
  <conditionalFormatting sqref="A154:L154">
    <cfRule type="expression" dxfId="84" priority="322">
      <formula>EXACT(INDIRECT("P"&amp;ROW()),"Section Deleted")</formula>
    </cfRule>
    <cfRule type="expression" dxfId="83" priority="323">
      <formula>EXACT(INDIRECT("P"&amp;ROW()),"Deleted")</formula>
    </cfRule>
    <cfRule type="expression" dxfId="82" priority="324">
      <formula>EXACT(INDIRECT("L"&amp;ROW()),"Deleted")</formula>
    </cfRule>
  </conditionalFormatting>
  <conditionalFormatting sqref="A154:L154">
    <cfRule type="expression" dxfId="81" priority="319">
      <formula>EXACT(INDIRECT("P"&amp;ROW()),"SectionDeleted")</formula>
    </cfRule>
    <cfRule type="expression" dxfId="80" priority="320">
      <formula>EXACT(INDIRECT("P"&amp;ROW()),"Deleted")</formula>
    </cfRule>
    <cfRule type="expression" dxfId="79" priority="321">
      <formula>EXACT(INDIRECT("L"&amp;ROW()),"Deleted")</formula>
    </cfRule>
  </conditionalFormatting>
  <conditionalFormatting sqref="I1822:I1824">
    <cfRule type="expression" dxfId="78" priority="317">
      <formula>NOT(VLOOKUP(I1822,$A$14:$C$17,2,FALSE)="In")</formula>
    </cfRule>
    <cfRule type="expression" dxfId="77" priority="318">
      <formula>(VLOOKUP(I1822,$A$14:$C$17,2,FALSE)="In")</formula>
    </cfRule>
  </conditionalFormatting>
  <conditionalFormatting sqref="C1822:L1824">
    <cfRule type="expression" dxfId="76" priority="314">
      <formula>EXACT(INDIRECT("P"&amp;ROW()),"Section Deleted")</formula>
    </cfRule>
    <cfRule type="expression" dxfId="75" priority="315">
      <formula>EXACT(INDIRECT("P"&amp;ROW()),"Deleted")</formula>
    </cfRule>
    <cfRule type="expression" dxfId="74" priority="316">
      <formula>EXACT(INDIRECT("L"&amp;ROW()),"Deleted")</formula>
    </cfRule>
  </conditionalFormatting>
  <conditionalFormatting sqref="C1822:L1824">
    <cfRule type="expression" dxfId="73" priority="311">
      <formula>EXACT(INDIRECT("P"&amp;ROW()),"SectionDeleted")</formula>
    </cfRule>
    <cfRule type="expression" dxfId="72" priority="312">
      <formula>EXACT(INDIRECT("P"&amp;ROW()),"Deleted")</formula>
    </cfRule>
    <cfRule type="expression" dxfId="71" priority="313">
      <formula>EXACT(INDIRECT("L"&amp;ROW()),"Deleted")</formula>
    </cfRule>
  </conditionalFormatting>
  <conditionalFormatting sqref="I1823:I1824">
    <cfRule type="expression" dxfId="70" priority="309">
      <formula>NOT(VLOOKUP(I1823,$A$14:$C$17,2,FALSE)="In")</formula>
    </cfRule>
    <cfRule type="expression" dxfId="69" priority="310">
      <formula>(VLOOKUP(I1823,$A$14:$C$17,2,FALSE)="In")</formula>
    </cfRule>
  </conditionalFormatting>
  <conditionalFormatting sqref="A1823:L1824">
    <cfRule type="expression" dxfId="68" priority="306">
      <formula>EXACT(INDIRECT("P"&amp;ROW()),"Section Deleted")</formula>
    </cfRule>
    <cfRule type="expression" dxfId="67" priority="307">
      <formula>EXACT(INDIRECT("P"&amp;ROW()),"Deleted")</formula>
    </cfRule>
    <cfRule type="expression" dxfId="66" priority="308">
      <formula>EXACT(INDIRECT("L"&amp;ROW()),"Deleted")</formula>
    </cfRule>
  </conditionalFormatting>
  <conditionalFormatting sqref="A1823:L1824">
    <cfRule type="expression" dxfId="65" priority="303">
      <formula>EXACT(INDIRECT("P"&amp;ROW()),"SectionDeleted")</formula>
    </cfRule>
    <cfRule type="expression" dxfId="64" priority="304">
      <formula>EXACT(INDIRECT("P"&amp;ROW()),"Deleted")</formula>
    </cfRule>
    <cfRule type="expression" dxfId="63" priority="305">
      <formula>EXACT(INDIRECT("L"&amp;ROW()),"Deleted")</formula>
    </cfRule>
  </conditionalFormatting>
  <conditionalFormatting sqref="I1123">
    <cfRule type="expression" dxfId="62" priority="301">
      <formula>NOT(VLOOKUP(I1123,$A$14:$C$17,2,FALSE)="In")</formula>
    </cfRule>
    <cfRule type="expression" dxfId="61" priority="302">
      <formula>(VLOOKUP(I1123,$A$14:$C$17,2,FALSE)="In")</formula>
    </cfRule>
  </conditionalFormatting>
  <conditionalFormatting sqref="C1123:L1123">
    <cfRule type="expression" dxfId="60" priority="298">
      <formula>EXACT(INDIRECT("P"&amp;ROW()),"Section Deleted")</formula>
    </cfRule>
    <cfRule type="expression" dxfId="59" priority="299">
      <formula>EXACT(INDIRECT("P"&amp;ROW()),"Deleted")</formula>
    </cfRule>
    <cfRule type="expression" dxfId="58" priority="300">
      <formula>EXACT(INDIRECT("L"&amp;ROW()),"Deleted")</formula>
    </cfRule>
  </conditionalFormatting>
  <conditionalFormatting sqref="C1123:L1123">
    <cfRule type="expression" dxfId="57" priority="295">
      <formula>EXACT(INDIRECT("P"&amp;ROW()),"SectionDeleted")</formula>
    </cfRule>
    <cfRule type="expression" dxfId="56" priority="296">
      <formula>EXACT(INDIRECT("P"&amp;ROW()),"Deleted")</formula>
    </cfRule>
    <cfRule type="expression" dxfId="55" priority="297">
      <formula>EXACT(INDIRECT("L"&amp;ROW()),"Deleted")</formula>
    </cfRule>
  </conditionalFormatting>
  <conditionalFormatting sqref="I1124">
    <cfRule type="expression" dxfId="54" priority="293">
      <formula>NOT(VLOOKUP(I1124,$A$14:$C$17,2,FALSE)="In")</formula>
    </cfRule>
    <cfRule type="expression" dxfId="53" priority="294">
      <formula>(VLOOKUP(I1124,$A$14:$C$17,2,FALSE)="In")</formula>
    </cfRule>
  </conditionalFormatting>
  <conditionalFormatting sqref="C1124:F1124 H1124:L1124">
    <cfRule type="expression" dxfId="52" priority="290">
      <formula>EXACT(INDIRECT("P"&amp;ROW()),"Section Deleted")</formula>
    </cfRule>
    <cfRule type="expression" dxfId="51" priority="291">
      <formula>EXACT(INDIRECT("P"&amp;ROW()),"Deleted")</formula>
    </cfRule>
    <cfRule type="expression" dxfId="50" priority="292">
      <formula>EXACT(INDIRECT("L"&amp;ROW()),"Deleted")</formula>
    </cfRule>
  </conditionalFormatting>
  <conditionalFormatting sqref="C1124:F1124 H1124:L1124">
    <cfRule type="expression" dxfId="49" priority="287">
      <formula>EXACT(INDIRECT("P"&amp;ROW()),"SectionDeleted")</formula>
    </cfRule>
    <cfRule type="expression" dxfId="48" priority="288">
      <formula>EXACT(INDIRECT("P"&amp;ROW()),"Deleted")</formula>
    </cfRule>
    <cfRule type="expression" dxfId="47" priority="289">
      <formula>EXACT(INDIRECT("L"&amp;ROW()),"Deleted")</formula>
    </cfRule>
  </conditionalFormatting>
  <conditionalFormatting sqref="I1125">
    <cfRule type="expression" dxfId="46" priority="285">
      <formula>NOT(VLOOKUP(I1125,$A$14:$C$17,2,FALSE)="In")</formula>
    </cfRule>
    <cfRule type="expression" dxfId="45" priority="286">
      <formula>(VLOOKUP(I1125,$A$14:$C$17,2,FALSE)="In")</formula>
    </cfRule>
  </conditionalFormatting>
  <conditionalFormatting sqref="C1125:L1125">
    <cfRule type="expression" dxfId="44" priority="282">
      <formula>EXACT(INDIRECT("P"&amp;ROW()),"Section Deleted")</formula>
    </cfRule>
    <cfRule type="expression" dxfId="43" priority="283">
      <formula>EXACT(INDIRECT("P"&amp;ROW()),"Deleted")</formula>
    </cfRule>
    <cfRule type="expression" dxfId="42" priority="284">
      <formula>EXACT(INDIRECT("L"&amp;ROW()),"Deleted")</formula>
    </cfRule>
  </conditionalFormatting>
  <conditionalFormatting sqref="C1125:L1125">
    <cfRule type="expression" dxfId="41" priority="279">
      <formula>EXACT(INDIRECT("P"&amp;ROW()),"SectionDeleted")</formula>
    </cfRule>
    <cfRule type="expression" dxfId="40" priority="280">
      <formula>EXACT(INDIRECT("P"&amp;ROW()),"Deleted")</formula>
    </cfRule>
    <cfRule type="expression" dxfId="39" priority="281">
      <formula>EXACT(INDIRECT("L"&amp;ROW()),"Deleted")</formula>
    </cfRule>
  </conditionalFormatting>
  <conditionalFormatting sqref="I1126">
    <cfRule type="expression" dxfId="38" priority="277">
      <formula>NOT(VLOOKUP(I1126,$A$14:$C$17,2,FALSE)="In")</formula>
    </cfRule>
    <cfRule type="expression" dxfId="37" priority="278">
      <formula>(VLOOKUP(I1126,$A$14:$C$17,2,FALSE)="In")</formula>
    </cfRule>
  </conditionalFormatting>
  <conditionalFormatting sqref="C1126:F1126 H1126:L1126">
    <cfRule type="expression" dxfId="36" priority="274">
      <formula>EXACT(INDIRECT("P"&amp;ROW()),"Section Deleted")</formula>
    </cfRule>
    <cfRule type="expression" dxfId="35" priority="275">
      <formula>EXACT(INDIRECT("P"&amp;ROW()),"Deleted")</formula>
    </cfRule>
    <cfRule type="expression" dxfId="34" priority="276">
      <formula>EXACT(INDIRECT("L"&amp;ROW()),"Deleted")</formula>
    </cfRule>
  </conditionalFormatting>
  <conditionalFormatting sqref="C1126:F1126 H1126:L1126">
    <cfRule type="expression" dxfId="33" priority="271">
      <formula>EXACT(INDIRECT("P"&amp;ROW()),"SectionDeleted")</formula>
    </cfRule>
    <cfRule type="expression" dxfId="32" priority="272">
      <formula>EXACT(INDIRECT("P"&amp;ROW()),"Deleted")</formula>
    </cfRule>
    <cfRule type="expression" dxfId="31" priority="273">
      <formula>EXACT(INDIRECT("L"&amp;ROW()),"Deleted")</formula>
    </cfRule>
  </conditionalFormatting>
  <conditionalFormatting sqref="G1684">
    <cfRule type="expression" dxfId="30" priority="268">
      <formula>EXACT(INDIRECT("P"&amp;ROW()),"Section Deleted")</formula>
    </cfRule>
    <cfRule type="expression" dxfId="29" priority="269">
      <formula>EXACT(INDIRECT("P"&amp;ROW()),"Deleted")</formula>
    </cfRule>
    <cfRule type="expression" dxfId="28" priority="270">
      <formula>EXACT(INDIRECT("L"&amp;ROW()),"Deleted")</formula>
    </cfRule>
  </conditionalFormatting>
  <conditionalFormatting sqref="G1684">
    <cfRule type="expression" dxfId="27" priority="265">
      <formula>EXACT(INDIRECT("P"&amp;ROW()),"SectionDeleted")</formula>
    </cfRule>
    <cfRule type="expression" dxfId="26" priority="266">
      <formula>EXACT(INDIRECT("P"&amp;ROW()),"Deleted")</formula>
    </cfRule>
    <cfRule type="expression" dxfId="25" priority="267">
      <formula>EXACT(INDIRECT("L"&amp;ROW()),"Deleted")</formula>
    </cfRule>
  </conditionalFormatting>
  <conditionalFormatting sqref="H1867:H2082">
    <cfRule type="cellIs" dxfId="24" priority="256" operator="equal">
      <formula>"Product"</formula>
    </cfRule>
  </conditionalFormatting>
  <conditionalFormatting sqref="A1867:K2082">
    <cfRule type="expression" dxfId="23" priority="255">
      <formula>EXACT(INDIRECT("L"&amp;ROW()),"Deleted")</formula>
    </cfRule>
  </conditionalFormatting>
  <dataValidations count="7">
    <dataValidation type="list" allowBlank="1" showInputMessage="1" showErrorMessage="1" sqref="I4 I22:I2082">
      <formula1>$A$15:$A$17</formula1>
    </dataValidation>
    <dataValidation type="list" allowBlank="1" showInputMessage="1" showErrorMessage="1" sqref="H4 H22:H2082">
      <formula1>"Protocol,Product"</formula1>
    </dataValidation>
    <dataValidation type="list" allowBlank="1" showInputMessage="1" showErrorMessage="1" sqref="K4 K22:K2082">
      <formula1>"Informative,Normative"</formula1>
    </dataValidation>
    <dataValidation type="list" allowBlank="1" showInputMessage="1" showErrorMessage="1" sqref="J4 J22:J2082">
      <formula1>"p0,p1,p2"</formula1>
    </dataValidation>
    <dataValidation type="list" allowBlank="1" showInputMessage="1" showErrorMessage="1" sqref="B15:B17">
      <formula1>"In, Out"</formula1>
    </dataValidation>
    <dataValidation allowBlank="1" showInputMessage="1" showErrorMessage="1" sqref="C3"/>
    <dataValidation type="list" allowBlank="1" showInputMessage="1" showErrorMessage="1" sqref="L22:L2082">
      <formula1>"Non-testable, Unverified, Adapter, Test Case, Deleted"</formula1>
    </dataValidation>
  </dataValidations>
  <pageMargins left="0.25" right="0.25" top="0.5" bottom="0.5" header="0.3" footer="0.3"/>
  <pageSetup paperSize="9" scale="74" orientation="landscape" blackAndWhite="1" r:id="rId1"/>
  <headerFooter>
    <oddFooter>&amp;F&amp;RPage &amp;P</oddFooter>
  </headerFooter>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H2081"/>
  <sheetViews>
    <sheetView topLeftCell="A2059" workbookViewId="0">
      <selection activeCell="A2081" sqref="A2081:T2081"/>
    </sheetView>
  </sheetViews>
  <sheetFormatPr defaultRowHeight="15"/>
  <cols>
    <col min="1" max="1" width="14.7109375" customWidth="1"/>
    <col min="2" max="2" width="8.140625" customWidth="1"/>
    <col min="3" max="4" width="7.5703125" customWidth="1"/>
    <col min="5" max="5" width="10.42578125" bestFit="1" customWidth="1"/>
    <col min="6" max="10" width="7.5703125" customWidth="1"/>
    <col min="11" max="11" width="10.42578125" bestFit="1" customWidth="1"/>
    <col min="12" max="12" width="12.28515625" customWidth="1"/>
    <col min="13" max="13" width="9.140625" customWidth="1"/>
    <col min="15" max="16" width="10.5703125" customWidth="1"/>
    <col min="18" max="18" width="11.140625" customWidth="1"/>
  </cols>
  <sheetData>
    <row r="1" spans="1:18" ht="15.75">
      <c r="A1" s="58" t="s">
        <v>107</v>
      </c>
    </row>
    <row r="2" spans="1:18">
      <c r="A2">
        <v>12</v>
      </c>
      <c r="B2" t="s">
        <v>108</v>
      </c>
    </row>
    <row r="3" spans="1:18">
      <c r="A3" t="str">
        <f>Requirements!J2</f>
        <v>RS Version:</v>
      </c>
      <c r="B3" s="1">
        <f>Requirements!K2</f>
        <v>4</v>
      </c>
      <c r="D3" t="str">
        <f>Requirements!J3</f>
        <v>RS Date:</v>
      </c>
      <c r="E3" s="59">
        <f>Requirements!K3</f>
        <v>40298</v>
      </c>
      <c r="G3" t="str">
        <f>Requirements!B3</f>
        <v>TD Version:</v>
      </c>
      <c r="H3" s="1">
        <f>Requirements!C3</f>
        <v>12</v>
      </c>
      <c r="J3" t="str">
        <f>Requirements!E3</f>
        <v>TD Date:</v>
      </c>
      <c r="K3" s="59">
        <f>Requirements!F3</f>
        <v>40274</v>
      </c>
    </row>
    <row r="4" spans="1:18" ht="28.5" customHeight="1" thickBot="1"/>
    <row r="5" spans="1:18" ht="31.5" customHeight="1">
      <c r="A5" s="120" t="s">
        <v>109</v>
      </c>
      <c r="B5" s="121"/>
      <c r="C5" s="121"/>
      <c r="D5" s="121"/>
      <c r="E5" s="121"/>
      <c r="F5" s="121"/>
      <c r="G5" s="122"/>
      <c r="H5" s="69">
        <v>2021</v>
      </c>
      <c r="J5" s="139" t="s">
        <v>151</v>
      </c>
      <c r="K5" s="140"/>
      <c r="L5" s="140"/>
      <c r="M5" s="140"/>
      <c r="N5" s="140"/>
      <c r="O5" s="140"/>
      <c r="P5" s="141"/>
      <c r="Q5" s="72">
        <f>Q8+Q9</f>
        <v>552</v>
      </c>
      <c r="R5" s="73">
        <f>R8+R9</f>
        <v>0.52223273415326388</v>
      </c>
    </row>
    <row r="6" spans="1:18">
      <c r="A6" s="123" t="s">
        <v>110</v>
      </c>
      <c r="B6" s="124"/>
      <c r="C6" s="124"/>
      <c r="D6" s="124"/>
      <c r="E6" s="124"/>
      <c r="F6" s="124"/>
      <c r="G6" s="125"/>
      <c r="H6" s="70">
        <f>SUMIF(P20:P2080,TRUE,O20:O2080)</f>
        <v>575</v>
      </c>
      <c r="J6" s="136" t="s">
        <v>152</v>
      </c>
      <c r="K6" s="137"/>
      <c r="L6" s="137"/>
      <c r="M6" s="137"/>
      <c r="N6" s="137"/>
      <c r="O6" s="137"/>
      <c r="P6" s="137"/>
      <c r="Q6" s="137"/>
      <c r="R6" s="138"/>
    </row>
    <row r="7" spans="1:18">
      <c r="A7" s="123" t="s">
        <v>111</v>
      </c>
      <c r="B7" s="124"/>
      <c r="C7" s="124"/>
      <c r="D7" s="124"/>
      <c r="E7" s="124"/>
      <c r="F7" s="124"/>
      <c r="G7" s="125"/>
      <c r="H7" s="70">
        <f>SUM(T20:T2080)</f>
        <v>575</v>
      </c>
      <c r="J7" s="123" t="s">
        <v>153</v>
      </c>
      <c r="K7" s="124"/>
      <c r="L7" s="124"/>
      <c r="M7" s="124"/>
      <c r="N7" s="124"/>
      <c r="O7" s="124"/>
      <c r="P7" s="125"/>
      <c r="Q7" s="87">
        <v>1057</v>
      </c>
      <c r="R7" s="74"/>
    </row>
    <row r="8" spans="1:18">
      <c r="A8" s="123" t="s">
        <v>112</v>
      </c>
      <c r="B8" s="124"/>
      <c r="C8" s="124"/>
      <c r="D8" s="124"/>
      <c r="E8" s="124"/>
      <c r="F8" s="124"/>
      <c r="G8" s="125"/>
      <c r="H8" s="70">
        <f>COUNTIF(P20:P2080,TRUE)</f>
        <v>1083</v>
      </c>
      <c r="J8" s="123" t="s">
        <v>154</v>
      </c>
      <c r="K8" s="124"/>
      <c r="L8" s="124"/>
      <c r="M8" s="124"/>
      <c r="N8" s="124"/>
      <c r="O8" s="124"/>
      <c r="P8" s="125"/>
      <c r="Q8" s="87">
        <v>534</v>
      </c>
      <c r="R8" s="74">
        <f>Q8/Q7</f>
        <v>0.50520340586565748</v>
      </c>
    </row>
    <row r="9" spans="1:18">
      <c r="A9" s="123" t="s">
        <v>113</v>
      </c>
      <c r="B9" s="124"/>
      <c r="C9" s="124"/>
      <c r="D9" s="124"/>
      <c r="E9" s="124"/>
      <c r="F9" s="124"/>
      <c r="G9" s="125"/>
      <c r="H9" s="76">
        <f>H6/H8</f>
        <v>0.53093259464450604</v>
      </c>
      <c r="J9" s="123" t="s">
        <v>155</v>
      </c>
      <c r="K9" s="124"/>
      <c r="L9" s="124"/>
      <c r="M9" s="124"/>
      <c r="N9" s="124"/>
      <c r="O9" s="124"/>
      <c r="P9" s="125"/>
      <c r="Q9" s="87">
        <v>18</v>
      </c>
      <c r="R9" s="74">
        <f>Q9/Q7</f>
        <v>1.7029328287606435E-2</v>
      </c>
    </row>
    <row r="10" spans="1:18" ht="15.75" thickBot="1">
      <c r="A10" s="117" t="s">
        <v>114</v>
      </c>
      <c r="B10" s="118"/>
      <c r="C10" s="118"/>
      <c r="D10" s="118"/>
      <c r="E10" s="118"/>
      <c r="F10" s="118"/>
      <c r="G10" s="119"/>
      <c r="H10" s="77">
        <f>H7/H8</f>
        <v>0.53093259464450604</v>
      </c>
      <c r="J10" s="123" t="s">
        <v>156</v>
      </c>
      <c r="K10" s="124"/>
      <c r="L10" s="124"/>
      <c r="M10" s="124"/>
      <c r="N10" s="124"/>
      <c r="O10" s="124"/>
      <c r="P10" s="125"/>
      <c r="Q10" s="87">
        <v>505</v>
      </c>
      <c r="R10" s="74">
        <f>Q10/Q7</f>
        <v>0.47776726584673607</v>
      </c>
    </row>
    <row r="11" spans="1:18" ht="15.75" thickBot="1">
      <c r="J11" s="136" t="s">
        <v>157</v>
      </c>
      <c r="K11" s="137"/>
      <c r="L11" s="137"/>
      <c r="M11" s="137"/>
      <c r="N11" s="137"/>
      <c r="O11" s="137"/>
      <c r="P11" s="137"/>
      <c r="Q11" s="137"/>
      <c r="R11" s="138"/>
    </row>
    <row r="12" spans="1:18" ht="15.75" thickBot="1">
      <c r="A12" s="128" t="s">
        <v>115</v>
      </c>
      <c r="B12" s="129"/>
      <c r="C12" s="78" t="s">
        <v>118</v>
      </c>
      <c r="E12" s="130" t="s">
        <v>115</v>
      </c>
      <c r="F12" s="131"/>
      <c r="G12" s="131"/>
      <c r="H12" s="78" t="s">
        <v>118</v>
      </c>
      <c r="J12" s="117" t="s">
        <v>157</v>
      </c>
      <c r="K12" s="118"/>
      <c r="L12" s="118"/>
      <c r="M12" s="118"/>
      <c r="N12" s="118"/>
      <c r="O12" s="118"/>
      <c r="P12" s="119"/>
      <c r="Q12" s="86">
        <v>43</v>
      </c>
      <c r="R12" s="75"/>
    </row>
    <row r="13" spans="1:18">
      <c r="A13" s="133" t="s">
        <v>116</v>
      </c>
      <c r="B13" s="44" t="str">
        <f>Requirements!A15</f>
        <v>Server</v>
      </c>
      <c r="C13" s="70">
        <v>773</v>
      </c>
      <c r="E13" s="133" t="s">
        <v>116</v>
      </c>
      <c r="F13" s="132" t="s">
        <v>119</v>
      </c>
      <c r="G13" s="132"/>
      <c r="H13" s="70">
        <v>250</v>
      </c>
    </row>
    <row r="14" spans="1:18">
      <c r="A14" s="135"/>
      <c r="B14" s="44" t="str">
        <f>Requirements!A16</f>
        <v>Client</v>
      </c>
      <c r="C14" s="70">
        <v>440</v>
      </c>
      <c r="E14" s="133"/>
      <c r="F14" s="132" t="s">
        <v>120</v>
      </c>
      <c r="G14" s="132"/>
      <c r="H14" s="70">
        <v>325</v>
      </c>
    </row>
    <row r="15" spans="1:18">
      <c r="A15" s="135"/>
      <c r="B15" s="44" t="str">
        <f>Requirements!A17</f>
        <v>Both</v>
      </c>
      <c r="C15" s="70">
        <v>97</v>
      </c>
      <c r="E15" s="133"/>
      <c r="F15" s="132" t="s">
        <v>121</v>
      </c>
      <c r="G15" s="132"/>
      <c r="H15" s="70">
        <v>227</v>
      </c>
    </row>
    <row r="16" spans="1:18" ht="15.75" thickBot="1">
      <c r="A16" s="126" t="s">
        <v>117</v>
      </c>
      <c r="B16" s="127"/>
      <c r="C16" s="71">
        <v>711</v>
      </c>
      <c r="E16" s="134"/>
      <c r="F16" s="127" t="s">
        <v>122</v>
      </c>
      <c r="G16" s="127"/>
      <c r="H16" s="71">
        <v>508</v>
      </c>
    </row>
    <row r="18" spans="1:20" ht="30" customHeight="1">
      <c r="A18" s="80" t="s">
        <v>123</v>
      </c>
      <c r="B18" s="81"/>
      <c r="C18" s="81"/>
      <c r="D18" s="81"/>
      <c r="E18" s="81"/>
      <c r="F18" s="81"/>
      <c r="G18" s="81"/>
      <c r="H18" s="81"/>
      <c r="I18" s="81"/>
      <c r="J18" s="81"/>
      <c r="K18" s="81"/>
      <c r="L18" s="81"/>
      <c r="M18" s="81"/>
    </row>
    <row r="19" spans="1:20" ht="30" customHeight="1">
      <c r="A19" s="82" t="s">
        <v>0</v>
      </c>
      <c r="B19" s="81" t="s">
        <v>133</v>
      </c>
      <c r="C19" s="81" t="s">
        <v>134</v>
      </c>
      <c r="D19" s="81" t="s">
        <v>135</v>
      </c>
      <c r="E19" s="81" t="s">
        <v>136</v>
      </c>
      <c r="F19" s="81" t="s">
        <v>132</v>
      </c>
      <c r="G19" s="81" t="s">
        <v>137</v>
      </c>
      <c r="H19" s="81" t="s">
        <v>131</v>
      </c>
      <c r="I19" s="81" t="s">
        <v>138</v>
      </c>
      <c r="J19" s="81" t="s">
        <v>139</v>
      </c>
      <c r="K19" s="81" t="s">
        <v>140</v>
      </c>
      <c r="L19" s="81" t="s">
        <v>4025</v>
      </c>
      <c r="M19" s="81" t="s">
        <v>4028</v>
      </c>
      <c r="N19" s="81" t="s">
        <v>124</v>
      </c>
      <c r="O19" s="81" t="s">
        <v>125</v>
      </c>
      <c r="P19" s="81" t="s">
        <v>126</v>
      </c>
      <c r="Q19" s="81" t="s">
        <v>116</v>
      </c>
      <c r="R19" s="81" t="s">
        <v>127</v>
      </c>
      <c r="S19" s="81" t="s">
        <v>128</v>
      </c>
      <c r="T19" s="81" t="s">
        <v>129</v>
      </c>
    </row>
    <row r="20" spans="1:20" ht="30" customHeight="1">
      <c r="A20" s="84" t="str">
        <f>Requirements!A22</f>
        <v>MS-SMB_R105076</v>
      </c>
      <c r="B20" s="87"/>
      <c r="C20" s="87"/>
      <c r="D20" s="87"/>
      <c r="E20" s="87"/>
      <c r="F20" s="87"/>
      <c r="G20" s="87"/>
      <c r="H20" s="87"/>
      <c r="I20" s="87"/>
      <c r="J20" s="87">
        <v>1</v>
      </c>
      <c r="K20" s="87"/>
      <c r="L20" s="87"/>
      <c r="M20" s="87"/>
      <c r="N20" s="87">
        <f t="shared" ref="N20:N83" si="0">SUM(B20:M20)</f>
        <v>1</v>
      </c>
      <c r="O20" s="60">
        <f t="shared" ref="O20:O83" si="1">IF(N20=0,0,1)</f>
        <v>1</v>
      </c>
      <c r="P20" s="60" t="b">
        <f t="shared" ref="P20:P83" si="2">AND(Q20:S20)</f>
        <v>1</v>
      </c>
      <c r="Q20" s="87" t="b">
        <f>(Requirements!K22="Normative")</f>
        <v>1</v>
      </c>
      <c r="R20" s="87" t="b">
        <f>AND(Requirements!L22&lt;&gt;"Non-testable",Requirements!L22&lt;&gt;"Deleted",Requirements!L22&lt;&gt;"")</f>
        <v>1</v>
      </c>
      <c r="S20" s="87" t="b">
        <f>(VLOOKUP(Requirements!I22,Scope[[Role]:[Description]],2,FALSE)="In")</f>
        <v>1</v>
      </c>
      <c r="T20" s="87">
        <f t="shared" ref="T20:T83" si="3">IF(P20,O20, 0)</f>
        <v>1</v>
      </c>
    </row>
    <row r="21" spans="1:20">
      <c r="A21" s="84" t="str">
        <f>Requirements!A23</f>
        <v>MS-SMB_R5076</v>
      </c>
      <c r="B21" s="87"/>
      <c r="C21" s="87"/>
      <c r="D21" s="87"/>
      <c r="E21" s="87"/>
      <c r="F21" s="87"/>
      <c r="G21" s="87"/>
      <c r="H21" s="87"/>
      <c r="I21" s="87"/>
      <c r="J21" s="87">
        <v>1</v>
      </c>
      <c r="K21" s="87"/>
      <c r="L21" s="87"/>
      <c r="M21" s="87"/>
      <c r="N21" s="87">
        <f t="shared" si="0"/>
        <v>1</v>
      </c>
      <c r="O21" s="60">
        <f t="shared" si="1"/>
        <v>1</v>
      </c>
      <c r="P21" s="60" t="b">
        <f t="shared" si="2"/>
        <v>1</v>
      </c>
      <c r="Q21" s="87" t="b">
        <f>(Requirements!K23="Normative")</f>
        <v>1</v>
      </c>
      <c r="R21" s="87" t="b">
        <f>AND(Requirements!L23&lt;&gt;"Non-testable",Requirements!L23&lt;&gt;"Deleted",Requirements!L23&lt;&gt;"")</f>
        <v>1</v>
      </c>
      <c r="S21" s="87" t="b">
        <f>(VLOOKUP(Requirements!I23,Scope[[Role]:[Description]],2,FALSE)="In")</f>
        <v>1</v>
      </c>
      <c r="T21" s="87">
        <f t="shared" si="3"/>
        <v>1</v>
      </c>
    </row>
    <row r="22" spans="1:20">
      <c r="A22" s="84" t="str">
        <f>Requirements!A24</f>
        <v>MS-SMB_R205076</v>
      </c>
      <c r="B22" s="87"/>
      <c r="C22" s="87"/>
      <c r="D22" s="87"/>
      <c r="E22" s="87"/>
      <c r="F22" s="87"/>
      <c r="G22" s="87"/>
      <c r="H22" s="87"/>
      <c r="I22" s="87"/>
      <c r="J22" s="87">
        <v>1</v>
      </c>
      <c r="K22" s="87"/>
      <c r="L22" s="87"/>
      <c r="M22" s="87"/>
      <c r="N22" s="87">
        <f t="shared" si="0"/>
        <v>1</v>
      </c>
      <c r="O22" s="60">
        <f t="shared" si="1"/>
        <v>1</v>
      </c>
      <c r="P22" s="60" t="b">
        <f t="shared" si="2"/>
        <v>1</v>
      </c>
      <c r="Q22" s="87" t="b">
        <f>(Requirements!K24="Normative")</f>
        <v>1</v>
      </c>
      <c r="R22" s="87" t="b">
        <f>AND(Requirements!L24&lt;&gt;"Non-testable",Requirements!L24&lt;&gt;"Deleted",Requirements!L24&lt;&gt;"")</f>
        <v>1</v>
      </c>
      <c r="S22" s="87" t="b">
        <f>(VLOOKUP(Requirements!I24,Scope[[Role]:[Description]],2,FALSE)="In")</f>
        <v>1</v>
      </c>
      <c r="T22" s="87">
        <f t="shared" si="3"/>
        <v>1</v>
      </c>
    </row>
    <row r="23" spans="1:20">
      <c r="A23" s="44" t="str">
        <f>Requirements!A25</f>
        <v>MS-SMB_R5079</v>
      </c>
      <c r="B23" s="87"/>
      <c r="C23" s="87"/>
      <c r="D23" s="87"/>
      <c r="E23" s="87"/>
      <c r="F23" s="87"/>
      <c r="G23" s="87"/>
      <c r="H23" s="87"/>
      <c r="I23" s="87"/>
      <c r="J23" s="87"/>
      <c r="K23" s="87"/>
      <c r="L23" s="87"/>
      <c r="M23" s="87"/>
      <c r="N23" s="87">
        <f t="shared" si="0"/>
        <v>0</v>
      </c>
      <c r="O23" s="87">
        <f t="shared" si="1"/>
        <v>0</v>
      </c>
      <c r="P23" s="87" t="b">
        <f t="shared" si="2"/>
        <v>0</v>
      </c>
      <c r="Q23" s="87" t="b">
        <f>(Requirements!K25="Normative")</f>
        <v>0</v>
      </c>
      <c r="R23" s="87" t="b">
        <f>AND(Requirements!L25&lt;&gt;"Non-testable",Requirements!L25&lt;&gt;"Deleted",Requirements!L25&lt;&gt;"")</f>
        <v>1</v>
      </c>
      <c r="S23" s="87" t="b">
        <f>(VLOOKUP(Requirements!I25,Scope[[Role]:[Description]],2,FALSE)="In")</f>
        <v>1</v>
      </c>
      <c r="T23" s="87">
        <f t="shared" si="3"/>
        <v>0</v>
      </c>
    </row>
    <row r="24" spans="1:20">
      <c r="A24" s="44" t="str">
        <f>Requirements!A26</f>
        <v>MS-SMB_R5080</v>
      </c>
      <c r="B24" s="87"/>
      <c r="C24" s="87"/>
      <c r="D24" s="87"/>
      <c r="E24" s="87"/>
      <c r="F24" s="87"/>
      <c r="G24" s="87"/>
      <c r="H24" s="87"/>
      <c r="I24" s="87"/>
      <c r="J24" s="87"/>
      <c r="K24" s="87"/>
      <c r="L24" s="87"/>
      <c r="M24" s="87"/>
      <c r="N24" s="87">
        <f t="shared" si="0"/>
        <v>0</v>
      </c>
      <c r="O24" s="87">
        <f t="shared" si="1"/>
        <v>0</v>
      </c>
      <c r="P24" s="87" t="b">
        <f t="shared" si="2"/>
        <v>0</v>
      </c>
      <c r="Q24" s="87" t="b">
        <f>(Requirements!K26="Normative")</f>
        <v>0</v>
      </c>
      <c r="R24" s="87" t="b">
        <f>AND(Requirements!L26&lt;&gt;"Non-testable",Requirements!L26&lt;&gt;"Deleted",Requirements!L26&lt;&gt;"")</f>
        <v>1</v>
      </c>
      <c r="S24" s="87" t="b">
        <f>(VLOOKUP(Requirements!I26,Scope[[Role]:[Description]],2,FALSE)="In")</f>
        <v>1</v>
      </c>
      <c r="T24" s="87">
        <f t="shared" si="3"/>
        <v>0</v>
      </c>
    </row>
    <row r="25" spans="1:20">
      <c r="A25" s="85" t="str">
        <f>Requirements!A27</f>
        <v>MS-SMB_R5081</v>
      </c>
      <c r="B25" s="87"/>
      <c r="C25" s="87"/>
      <c r="D25" s="87"/>
      <c r="E25" s="87"/>
      <c r="F25" s="87"/>
      <c r="G25" s="87"/>
      <c r="H25" s="87"/>
      <c r="I25" s="87"/>
      <c r="J25" s="87"/>
      <c r="K25" s="87"/>
      <c r="L25" s="87"/>
      <c r="M25" s="87"/>
      <c r="N25" s="87">
        <f t="shared" si="0"/>
        <v>0</v>
      </c>
      <c r="O25" s="61">
        <f t="shared" si="1"/>
        <v>0</v>
      </c>
      <c r="P25" s="61" t="b">
        <f t="shared" si="2"/>
        <v>1</v>
      </c>
      <c r="Q25" s="87" t="b">
        <f>(Requirements!K27="Normative")</f>
        <v>1</v>
      </c>
      <c r="R25" s="87" t="b">
        <f>AND(Requirements!L27&lt;&gt;"Non-testable",Requirements!L27&lt;&gt;"Deleted",Requirements!L27&lt;&gt;"")</f>
        <v>1</v>
      </c>
      <c r="S25" s="87" t="b">
        <f>(VLOOKUP(Requirements!I27,Scope[[Role]:[Description]],2,FALSE)="In")</f>
        <v>1</v>
      </c>
      <c r="T25" s="87">
        <f t="shared" si="3"/>
        <v>0</v>
      </c>
    </row>
    <row r="26" spans="1:20">
      <c r="A26" s="44" t="str">
        <f>Requirements!A28</f>
        <v>MS-SMB_R5082</v>
      </c>
      <c r="B26" s="87"/>
      <c r="C26" s="87"/>
      <c r="D26" s="87"/>
      <c r="E26" s="87"/>
      <c r="F26" s="87"/>
      <c r="G26" s="87"/>
      <c r="H26" s="87"/>
      <c r="I26" s="87"/>
      <c r="J26" s="87"/>
      <c r="K26" s="87"/>
      <c r="L26" s="87"/>
      <c r="M26" s="87"/>
      <c r="N26" s="87">
        <f t="shared" si="0"/>
        <v>0</v>
      </c>
      <c r="O26" s="87">
        <f t="shared" si="1"/>
        <v>0</v>
      </c>
      <c r="P26" s="87" t="b">
        <f t="shared" si="2"/>
        <v>0</v>
      </c>
      <c r="Q26" s="87" t="b">
        <f>(Requirements!K28="Normative")</f>
        <v>0</v>
      </c>
      <c r="R26" s="87" t="b">
        <f>AND(Requirements!L28&lt;&gt;"Non-testable",Requirements!L28&lt;&gt;"Deleted",Requirements!L28&lt;&gt;"")</f>
        <v>1</v>
      </c>
      <c r="S26" s="87" t="b">
        <f>(VLOOKUP(Requirements!I28,Scope[[Role]:[Description]],2,FALSE)="In")</f>
        <v>1</v>
      </c>
      <c r="T26" s="87">
        <f t="shared" si="3"/>
        <v>0</v>
      </c>
    </row>
    <row r="27" spans="1:20">
      <c r="A27" s="44" t="str">
        <f>Requirements!A29</f>
        <v>MS-SMB_R5083</v>
      </c>
      <c r="B27" s="87"/>
      <c r="C27" s="87"/>
      <c r="D27" s="87"/>
      <c r="E27" s="87"/>
      <c r="F27" s="87"/>
      <c r="G27" s="87"/>
      <c r="H27" s="87"/>
      <c r="I27" s="87"/>
      <c r="J27" s="87"/>
      <c r="K27" s="87"/>
      <c r="L27" s="87"/>
      <c r="M27" s="87"/>
      <c r="N27" s="87">
        <f t="shared" si="0"/>
        <v>0</v>
      </c>
      <c r="O27" s="87">
        <f t="shared" si="1"/>
        <v>0</v>
      </c>
      <c r="P27" s="87" t="b">
        <f t="shared" si="2"/>
        <v>0</v>
      </c>
      <c r="Q27" s="87" t="b">
        <f>(Requirements!K29="Normative")</f>
        <v>1</v>
      </c>
      <c r="R27" s="87" t="b">
        <f>AND(Requirements!L29&lt;&gt;"Non-testable",Requirements!L29&lt;&gt;"Deleted",Requirements!L29&lt;&gt;"")</f>
        <v>0</v>
      </c>
      <c r="S27" s="87" t="b">
        <f>(VLOOKUP(Requirements!I29,Scope[[Role]:[Description]],2,FALSE)="In")</f>
        <v>1</v>
      </c>
      <c r="T27" s="87">
        <f t="shared" si="3"/>
        <v>0</v>
      </c>
    </row>
    <row r="28" spans="1:20">
      <c r="A28" s="44" t="str">
        <f>Requirements!A30</f>
        <v>MS-SMB_R5084</v>
      </c>
      <c r="B28" s="87"/>
      <c r="C28" s="87"/>
      <c r="D28" s="87"/>
      <c r="E28" s="87"/>
      <c r="F28" s="87"/>
      <c r="G28" s="87"/>
      <c r="H28" s="87"/>
      <c r="I28" s="87"/>
      <c r="J28" s="87"/>
      <c r="K28" s="87"/>
      <c r="L28" s="87"/>
      <c r="M28" s="87"/>
      <c r="N28" s="87">
        <f t="shared" si="0"/>
        <v>0</v>
      </c>
      <c r="O28" s="87">
        <f t="shared" si="1"/>
        <v>0</v>
      </c>
      <c r="P28" s="87" t="b">
        <f t="shared" si="2"/>
        <v>0</v>
      </c>
      <c r="Q28" s="87" t="b">
        <f>(Requirements!K30="Normative")</f>
        <v>0</v>
      </c>
      <c r="R28" s="87" t="b">
        <f>AND(Requirements!L30&lt;&gt;"Non-testable",Requirements!L30&lt;&gt;"Deleted",Requirements!L30&lt;&gt;"")</f>
        <v>1</v>
      </c>
      <c r="S28" s="87" t="b">
        <f>(VLOOKUP(Requirements!I30,Scope[[Role]:[Description]],2,FALSE)="In")</f>
        <v>1</v>
      </c>
      <c r="T28" s="87">
        <f t="shared" si="3"/>
        <v>0</v>
      </c>
    </row>
    <row r="29" spans="1:20">
      <c r="A29" s="84" t="str">
        <f>Requirements!A31</f>
        <v>MS-SMB_R1</v>
      </c>
      <c r="B29" s="87"/>
      <c r="C29" s="87"/>
      <c r="D29" s="87"/>
      <c r="E29" s="87"/>
      <c r="F29" s="87"/>
      <c r="G29" s="87"/>
      <c r="H29" s="87"/>
      <c r="I29" s="87"/>
      <c r="J29" s="87">
        <v>1</v>
      </c>
      <c r="K29" s="87"/>
      <c r="L29" s="87"/>
      <c r="M29" s="87"/>
      <c r="N29" s="87">
        <f t="shared" si="0"/>
        <v>1</v>
      </c>
      <c r="O29" s="60">
        <f t="shared" si="1"/>
        <v>1</v>
      </c>
      <c r="P29" s="60" t="b">
        <f t="shared" si="2"/>
        <v>1</v>
      </c>
      <c r="Q29" s="87" t="b">
        <f>(Requirements!K31="Normative")</f>
        <v>1</v>
      </c>
      <c r="R29" s="87" t="b">
        <f>AND(Requirements!L31&lt;&gt;"Non-testable",Requirements!L31&lt;&gt;"Deleted",Requirements!L31&lt;&gt;"")</f>
        <v>1</v>
      </c>
      <c r="S29" s="87" t="b">
        <f>(VLOOKUP(Requirements!I31,Scope[[Role]:[Description]],2,FALSE)="In")</f>
        <v>1</v>
      </c>
      <c r="T29" s="87">
        <f t="shared" si="3"/>
        <v>1</v>
      </c>
    </row>
    <row r="30" spans="1:20">
      <c r="A30" s="85" t="str">
        <f>Requirements!A32</f>
        <v>MS-SMB_R5085</v>
      </c>
      <c r="B30" s="87"/>
      <c r="C30" s="87"/>
      <c r="D30" s="87"/>
      <c r="E30" s="87"/>
      <c r="F30" s="87"/>
      <c r="G30" s="87"/>
      <c r="H30" s="87"/>
      <c r="I30" s="87"/>
      <c r="J30" s="87"/>
      <c r="K30" s="87"/>
      <c r="L30" s="87"/>
      <c r="M30" s="87"/>
      <c r="N30" s="87">
        <f t="shared" si="0"/>
        <v>0</v>
      </c>
      <c r="O30" s="61">
        <f t="shared" si="1"/>
        <v>0</v>
      </c>
      <c r="P30" s="61" t="b">
        <f t="shared" si="2"/>
        <v>1</v>
      </c>
      <c r="Q30" s="87" t="b">
        <f>(Requirements!K32="Normative")</f>
        <v>1</v>
      </c>
      <c r="R30" s="87" t="b">
        <f>AND(Requirements!L32&lt;&gt;"Non-testable",Requirements!L32&lt;&gt;"Deleted",Requirements!L32&lt;&gt;"")</f>
        <v>1</v>
      </c>
      <c r="S30" s="87" t="b">
        <f>(VLOOKUP(Requirements!I32,Scope[[Role]:[Description]],2,FALSE)="In")</f>
        <v>1</v>
      </c>
      <c r="T30" s="87">
        <f t="shared" si="3"/>
        <v>0</v>
      </c>
    </row>
    <row r="31" spans="1:20">
      <c r="A31" s="84" t="str">
        <f>Requirements!A33</f>
        <v>MS-SMB_R4</v>
      </c>
      <c r="B31" s="87"/>
      <c r="C31" s="87"/>
      <c r="D31" s="87"/>
      <c r="E31" s="87"/>
      <c r="F31" s="87"/>
      <c r="G31" s="87"/>
      <c r="H31" s="87"/>
      <c r="I31" s="87"/>
      <c r="J31" s="87">
        <v>1</v>
      </c>
      <c r="K31" s="87"/>
      <c r="L31" s="87"/>
      <c r="M31" s="87"/>
      <c r="N31" s="87">
        <f t="shared" si="0"/>
        <v>1</v>
      </c>
      <c r="O31" s="60">
        <f t="shared" si="1"/>
        <v>1</v>
      </c>
      <c r="P31" s="60" t="b">
        <f t="shared" si="2"/>
        <v>1</v>
      </c>
      <c r="Q31" s="87" t="b">
        <f>(Requirements!K33="Normative")</f>
        <v>1</v>
      </c>
      <c r="R31" s="87" t="b">
        <f>AND(Requirements!L33&lt;&gt;"Non-testable",Requirements!L33&lt;&gt;"Deleted",Requirements!L33&lt;&gt;"")</f>
        <v>1</v>
      </c>
      <c r="S31" s="87" t="b">
        <f>(VLOOKUP(Requirements!I33,Scope[[Role]:[Description]],2,FALSE)="In")</f>
        <v>1</v>
      </c>
      <c r="T31" s="87">
        <f t="shared" si="3"/>
        <v>1</v>
      </c>
    </row>
    <row r="32" spans="1:20">
      <c r="A32" s="84" t="str">
        <f>Requirements!A34</f>
        <v>MS-SMB_R10004</v>
      </c>
      <c r="B32" s="87"/>
      <c r="C32" s="87"/>
      <c r="D32" s="87"/>
      <c r="E32" s="87"/>
      <c r="F32" s="87"/>
      <c r="G32" s="87"/>
      <c r="H32" s="87"/>
      <c r="I32" s="87"/>
      <c r="J32" s="87">
        <v>1</v>
      </c>
      <c r="K32" s="87"/>
      <c r="L32" s="87"/>
      <c r="M32" s="87"/>
      <c r="N32" s="87">
        <f t="shared" si="0"/>
        <v>1</v>
      </c>
      <c r="O32" s="60">
        <f t="shared" si="1"/>
        <v>1</v>
      </c>
      <c r="P32" s="60" t="b">
        <f t="shared" si="2"/>
        <v>1</v>
      </c>
      <c r="Q32" s="87" t="b">
        <f>(Requirements!K34="Normative")</f>
        <v>1</v>
      </c>
      <c r="R32" s="87" t="b">
        <f>AND(Requirements!L34&lt;&gt;"Non-testable",Requirements!L34&lt;&gt;"Deleted",Requirements!L34&lt;&gt;"")</f>
        <v>1</v>
      </c>
      <c r="S32" s="87" t="b">
        <f>(VLOOKUP(Requirements!I34,Scope[[Role]:[Description]],2,FALSE)="In")</f>
        <v>1</v>
      </c>
      <c r="T32" s="87">
        <f t="shared" si="3"/>
        <v>1</v>
      </c>
    </row>
    <row r="33" spans="1:20">
      <c r="A33" s="44" t="str">
        <f>Requirements!A35</f>
        <v>MS-SMB_R5087</v>
      </c>
      <c r="B33" s="87"/>
      <c r="C33" s="87"/>
      <c r="D33" s="87"/>
      <c r="E33" s="87"/>
      <c r="F33" s="87"/>
      <c r="G33" s="87"/>
      <c r="H33" s="87"/>
      <c r="I33" s="87"/>
      <c r="J33" s="87"/>
      <c r="K33" s="87"/>
      <c r="L33" s="87"/>
      <c r="M33" s="87"/>
      <c r="N33" s="87">
        <f t="shared" si="0"/>
        <v>0</v>
      </c>
      <c r="O33" s="87">
        <f t="shared" si="1"/>
        <v>0</v>
      </c>
      <c r="P33" s="87" t="b">
        <f t="shared" si="2"/>
        <v>0</v>
      </c>
      <c r="Q33" s="87" t="b">
        <f>(Requirements!K35="Normative")</f>
        <v>0</v>
      </c>
      <c r="R33" s="87" t="b">
        <f>AND(Requirements!L35&lt;&gt;"Non-testable",Requirements!L35&lt;&gt;"Deleted",Requirements!L35&lt;&gt;"")</f>
        <v>1</v>
      </c>
      <c r="S33" s="87" t="b">
        <f>(VLOOKUP(Requirements!I35,Scope[[Role]:[Description]],2,FALSE)="In")</f>
        <v>1</v>
      </c>
      <c r="T33" s="87">
        <f t="shared" si="3"/>
        <v>0</v>
      </c>
    </row>
    <row r="34" spans="1:20">
      <c r="A34" s="84" t="str">
        <f>Requirements!A36</f>
        <v>MS-SMB_R6</v>
      </c>
      <c r="B34" s="87"/>
      <c r="C34" s="87"/>
      <c r="D34" s="87"/>
      <c r="E34" s="87"/>
      <c r="F34" s="87"/>
      <c r="G34" s="87"/>
      <c r="H34" s="87"/>
      <c r="I34" s="87"/>
      <c r="J34" s="87">
        <v>1</v>
      </c>
      <c r="K34" s="87"/>
      <c r="L34" s="87"/>
      <c r="M34" s="87"/>
      <c r="N34" s="87">
        <f t="shared" si="0"/>
        <v>1</v>
      </c>
      <c r="O34" s="60">
        <f t="shared" si="1"/>
        <v>1</v>
      </c>
      <c r="P34" s="60" t="b">
        <f t="shared" si="2"/>
        <v>1</v>
      </c>
      <c r="Q34" s="87" t="b">
        <f>(Requirements!K36="Normative")</f>
        <v>1</v>
      </c>
      <c r="R34" s="87" t="b">
        <f>AND(Requirements!L36&lt;&gt;"Non-testable",Requirements!L36&lt;&gt;"Deleted",Requirements!L36&lt;&gt;"")</f>
        <v>1</v>
      </c>
      <c r="S34" s="87" t="b">
        <f>(VLOOKUP(Requirements!I36,Scope[[Role]:[Description]],2,FALSE)="In")</f>
        <v>1</v>
      </c>
      <c r="T34" s="87">
        <f t="shared" si="3"/>
        <v>1</v>
      </c>
    </row>
    <row r="35" spans="1:20">
      <c r="A35" s="84" t="str">
        <f>Requirements!A37</f>
        <v>MS-SMB_R7</v>
      </c>
      <c r="B35" s="87"/>
      <c r="C35" s="87"/>
      <c r="D35" s="87"/>
      <c r="E35" s="87"/>
      <c r="F35" s="87"/>
      <c r="G35" s="87"/>
      <c r="H35" s="87"/>
      <c r="I35" s="87"/>
      <c r="J35" s="87">
        <v>1</v>
      </c>
      <c r="K35" s="87"/>
      <c r="L35" s="87"/>
      <c r="M35" s="87"/>
      <c r="N35" s="87">
        <f t="shared" si="0"/>
        <v>1</v>
      </c>
      <c r="O35" s="60">
        <f t="shared" si="1"/>
        <v>1</v>
      </c>
      <c r="P35" s="60" t="b">
        <f t="shared" si="2"/>
        <v>1</v>
      </c>
      <c r="Q35" s="87" t="b">
        <f>(Requirements!K37="Normative")</f>
        <v>1</v>
      </c>
      <c r="R35" s="87" t="b">
        <f>AND(Requirements!L37&lt;&gt;"Non-testable",Requirements!L37&lt;&gt;"Deleted",Requirements!L37&lt;&gt;"")</f>
        <v>1</v>
      </c>
      <c r="S35" s="87" t="b">
        <f>(VLOOKUP(Requirements!I37,Scope[[Role]:[Description]],2,FALSE)="In")</f>
        <v>1</v>
      </c>
      <c r="T35" s="87">
        <f t="shared" si="3"/>
        <v>1</v>
      </c>
    </row>
    <row r="36" spans="1:20">
      <c r="A36" s="44" t="str">
        <f>Requirements!A38</f>
        <v>MS-SMB_R5092</v>
      </c>
      <c r="B36" s="87"/>
      <c r="C36" s="87"/>
      <c r="D36" s="87"/>
      <c r="E36" s="87"/>
      <c r="F36" s="87"/>
      <c r="G36" s="87"/>
      <c r="H36" s="87"/>
      <c r="I36" s="87"/>
      <c r="J36" s="87"/>
      <c r="K36" s="87"/>
      <c r="L36" s="87"/>
      <c r="M36" s="87"/>
      <c r="N36" s="87">
        <f t="shared" si="0"/>
        <v>0</v>
      </c>
      <c r="O36" s="87">
        <f t="shared" si="1"/>
        <v>0</v>
      </c>
      <c r="P36" s="87" t="b">
        <f t="shared" si="2"/>
        <v>0</v>
      </c>
      <c r="Q36" s="87" t="b">
        <f>(Requirements!K38="Normative")</f>
        <v>0</v>
      </c>
      <c r="R36" s="87" t="b">
        <f>AND(Requirements!L38&lt;&gt;"Non-testable",Requirements!L38&lt;&gt;"Deleted",Requirements!L38&lt;&gt;"")</f>
        <v>1</v>
      </c>
      <c r="S36" s="87" t="b">
        <f>(VLOOKUP(Requirements!I38,Scope[[Role]:[Description]],2,FALSE)="In")</f>
        <v>1</v>
      </c>
      <c r="T36" s="87">
        <f t="shared" si="3"/>
        <v>0</v>
      </c>
    </row>
    <row r="37" spans="1:20">
      <c r="A37" s="44" t="str">
        <f>Requirements!A39</f>
        <v>MS-SMB_R5093</v>
      </c>
      <c r="B37" s="87"/>
      <c r="C37" s="87"/>
      <c r="D37" s="87"/>
      <c r="E37" s="87"/>
      <c r="F37" s="87"/>
      <c r="G37" s="87"/>
      <c r="H37" s="87"/>
      <c r="I37" s="87"/>
      <c r="J37" s="87"/>
      <c r="K37" s="87"/>
      <c r="L37" s="87"/>
      <c r="M37" s="87"/>
      <c r="N37" s="87">
        <f t="shared" si="0"/>
        <v>0</v>
      </c>
      <c r="O37" s="87">
        <f t="shared" si="1"/>
        <v>0</v>
      </c>
      <c r="P37" s="87" t="b">
        <f t="shared" si="2"/>
        <v>0</v>
      </c>
      <c r="Q37" s="87" t="b">
        <f>(Requirements!K39="Normative")</f>
        <v>0</v>
      </c>
      <c r="R37" s="87" t="b">
        <f>AND(Requirements!L39&lt;&gt;"Non-testable",Requirements!L39&lt;&gt;"Deleted",Requirements!L39&lt;&gt;"")</f>
        <v>1</v>
      </c>
      <c r="S37" s="87" t="b">
        <f>(VLOOKUP(Requirements!I39,Scope[[Role]:[Description]],2,FALSE)="In")</f>
        <v>1</v>
      </c>
      <c r="T37" s="87">
        <f t="shared" si="3"/>
        <v>0</v>
      </c>
    </row>
    <row r="38" spans="1:20">
      <c r="A38" s="84" t="str">
        <f>Requirements!A40</f>
        <v>MS-SMB_R8</v>
      </c>
      <c r="B38" s="87"/>
      <c r="C38" s="87"/>
      <c r="D38" s="87"/>
      <c r="E38" s="87"/>
      <c r="F38" s="87"/>
      <c r="G38" s="87"/>
      <c r="H38" s="87"/>
      <c r="I38" s="87"/>
      <c r="J38" s="87">
        <v>1</v>
      </c>
      <c r="K38" s="87"/>
      <c r="L38" s="87"/>
      <c r="M38" s="87"/>
      <c r="N38" s="87">
        <f t="shared" si="0"/>
        <v>1</v>
      </c>
      <c r="O38" s="60">
        <f t="shared" si="1"/>
        <v>1</v>
      </c>
      <c r="P38" s="60" t="b">
        <f t="shared" si="2"/>
        <v>1</v>
      </c>
      <c r="Q38" s="87" t="b">
        <f>(Requirements!K40="Normative")</f>
        <v>1</v>
      </c>
      <c r="R38" s="87" t="b">
        <f>AND(Requirements!L40&lt;&gt;"Non-testable",Requirements!L40&lt;&gt;"Deleted",Requirements!L40&lt;&gt;"")</f>
        <v>1</v>
      </c>
      <c r="S38" s="87" t="b">
        <f>(VLOOKUP(Requirements!I40,Scope[[Role]:[Description]],2,FALSE)="In")</f>
        <v>1</v>
      </c>
      <c r="T38" s="87">
        <f t="shared" si="3"/>
        <v>1</v>
      </c>
    </row>
    <row r="39" spans="1:20">
      <c r="A39" s="44" t="str">
        <f>Requirements!A41</f>
        <v>MS-SMB_R5094</v>
      </c>
      <c r="B39" s="87"/>
      <c r="C39" s="87"/>
      <c r="D39" s="87"/>
      <c r="E39" s="87"/>
      <c r="F39" s="87"/>
      <c r="G39" s="87"/>
      <c r="H39" s="87"/>
      <c r="I39" s="87"/>
      <c r="J39" s="87"/>
      <c r="K39" s="87"/>
      <c r="L39" s="87"/>
      <c r="M39" s="87"/>
      <c r="N39" s="87">
        <f t="shared" si="0"/>
        <v>0</v>
      </c>
      <c r="O39" s="87">
        <f t="shared" si="1"/>
        <v>0</v>
      </c>
      <c r="P39" s="87" t="b">
        <f t="shared" si="2"/>
        <v>0</v>
      </c>
      <c r="Q39" s="87" t="b">
        <f>(Requirements!K41="Normative")</f>
        <v>0</v>
      </c>
      <c r="R39" s="87" t="b">
        <f>AND(Requirements!L41&lt;&gt;"Non-testable",Requirements!L41&lt;&gt;"Deleted",Requirements!L41&lt;&gt;"")</f>
        <v>1</v>
      </c>
      <c r="S39" s="87" t="b">
        <f>(VLOOKUP(Requirements!I41,Scope[[Role]:[Description]],2,FALSE)="In")</f>
        <v>1</v>
      </c>
      <c r="T39" s="87">
        <f t="shared" si="3"/>
        <v>0</v>
      </c>
    </row>
    <row r="40" spans="1:20">
      <c r="A40" s="84" t="str">
        <f>Requirements!A42</f>
        <v>MS-SMB_R5095</v>
      </c>
      <c r="B40" s="87"/>
      <c r="C40" s="87"/>
      <c r="D40" s="87"/>
      <c r="E40" s="87"/>
      <c r="F40" s="87"/>
      <c r="G40" s="87"/>
      <c r="H40" s="87"/>
      <c r="I40" s="87"/>
      <c r="J40" s="87">
        <v>1</v>
      </c>
      <c r="K40" s="87"/>
      <c r="L40" s="87"/>
      <c r="M40" s="87"/>
      <c r="N40" s="87">
        <f t="shared" si="0"/>
        <v>1</v>
      </c>
      <c r="O40" s="60">
        <f t="shared" si="1"/>
        <v>1</v>
      </c>
      <c r="P40" s="60" t="b">
        <f t="shared" si="2"/>
        <v>1</v>
      </c>
      <c r="Q40" s="87" t="b">
        <f>(Requirements!K42="Normative")</f>
        <v>1</v>
      </c>
      <c r="R40" s="87" t="b">
        <f>AND(Requirements!L42&lt;&gt;"Non-testable",Requirements!L42&lt;&gt;"Deleted",Requirements!L42&lt;&gt;"")</f>
        <v>1</v>
      </c>
      <c r="S40" s="87" t="b">
        <f>(VLOOKUP(Requirements!I42,Scope[[Role]:[Description]],2,FALSE)="In")</f>
        <v>1</v>
      </c>
      <c r="T40" s="87">
        <f t="shared" si="3"/>
        <v>1</v>
      </c>
    </row>
    <row r="41" spans="1:20">
      <c r="A41" s="85" t="str">
        <f>Requirements!A43</f>
        <v>MS-SMB_R5096</v>
      </c>
      <c r="B41" s="87"/>
      <c r="C41" s="87"/>
      <c r="D41" s="87"/>
      <c r="E41" s="87"/>
      <c r="F41" s="87"/>
      <c r="G41" s="87"/>
      <c r="H41" s="87"/>
      <c r="I41" s="87"/>
      <c r="J41" s="87"/>
      <c r="K41" s="87"/>
      <c r="L41" s="87"/>
      <c r="M41" s="87"/>
      <c r="N41" s="87">
        <f t="shared" si="0"/>
        <v>0</v>
      </c>
      <c r="O41" s="61">
        <f t="shared" si="1"/>
        <v>0</v>
      </c>
      <c r="P41" s="61" t="b">
        <f t="shared" si="2"/>
        <v>1</v>
      </c>
      <c r="Q41" s="87" t="b">
        <f>(Requirements!K43="Normative")</f>
        <v>1</v>
      </c>
      <c r="R41" s="87" t="b">
        <f>AND(Requirements!L43&lt;&gt;"Non-testable",Requirements!L43&lt;&gt;"Deleted",Requirements!L43&lt;&gt;"")</f>
        <v>1</v>
      </c>
      <c r="S41" s="87" t="b">
        <f>(VLOOKUP(Requirements!I43,Scope[[Role]:[Description]],2,FALSE)="In")</f>
        <v>1</v>
      </c>
      <c r="T41" s="87">
        <f t="shared" si="3"/>
        <v>0</v>
      </c>
    </row>
    <row r="42" spans="1:20">
      <c r="A42" s="44" t="str">
        <f>Requirements!A44</f>
        <v>MS-SMB_R5097</v>
      </c>
      <c r="B42" s="87"/>
      <c r="C42" s="87"/>
      <c r="D42" s="87"/>
      <c r="E42" s="87"/>
      <c r="F42" s="87"/>
      <c r="G42" s="87"/>
      <c r="H42" s="87"/>
      <c r="I42" s="87"/>
      <c r="J42" s="87"/>
      <c r="K42" s="87"/>
      <c r="L42" s="87"/>
      <c r="M42" s="87"/>
      <c r="N42" s="87">
        <f t="shared" si="0"/>
        <v>0</v>
      </c>
      <c r="O42" s="87">
        <f t="shared" si="1"/>
        <v>0</v>
      </c>
      <c r="P42" s="87" t="b">
        <f t="shared" si="2"/>
        <v>0</v>
      </c>
      <c r="Q42" s="87" t="b">
        <f>(Requirements!K44="Normative")</f>
        <v>0</v>
      </c>
      <c r="R42" s="87" t="b">
        <f>AND(Requirements!L44&lt;&gt;"Non-testable",Requirements!L44&lt;&gt;"Deleted",Requirements!L44&lt;&gt;"")</f>
        <v>1</v>
      </c>
      <c r="S42" s="87" t="b">
        <f>(VLOOKUP(Requirements!I44,Scope[[Role]:[Description]],2,FALSE)="In")</f>
        <v>1</v>
      </c>
      <c r="T42" s="87">
        <f t="shared" si="3"/>
        <v>0</v>
      </c>
    </row>
    <row r="43" spans="1:20">
      <c r="A43" s="44" t="str">
        <f>Requirements!A45</f>
        <v>MS-SMB_R5098</v>
      </c>
      <c r="B43" s="87"/>
      <c r="C43" s="87"/>
      <c r="D43" s="87"/>
      <c r="E43" s="87"/>
      <c r="F43" s="87"/>
      <c r="G43" s="87"/>
      <c r="H43" s="87"/>
      <c r="I43" s="87"/>
      <c r="J43" s="87"/>
      <c r="K43" s="87"/>
      <c r="L43" s="87"/>
      <c r="M43" s="87"/>
      <c r="N43" s="87">
        <f t="shared" si="0"/>
        <v>0</v>
      </c>
      <c r="O43" s="87">
        <f t="shared" si="1"/>
        <v>0</v>
      </c>
      <c r="P43" s="87" t="b">
        <f t="shared" si="2"/>
        <v>0</v>
      </c>
      <c r="Q43" s="87" t="b">
        <f>(Requirements!K45="Normative")</f>
        <v>0</v>
      </c>
      <c r="R43" s="87" t="b">
        <f>AND(Requirements!L45&lt;&gt;"Non-testable",Requirements!L45&lt;&gt;"Deleted",Requirements!L45&lt;&gt;"")</f>
        <v>1</v>
      </c>
      <c r="S43" s="87" t="b">
        <f>(VLOOKUP(Requirements!I45,Scope[[Role]:[Description]],2,FALSE)="In")</f>
        <v>1</v>
      </c>
      <c r="T43" s="87">
        <f t="shared" si="3"/>
        <v>0</v>
      </c>
    </row>
    <row r="44" spans="1:20">
      <c r="A44" s="44" t="str">
        <f>Requirements!A46</f>
        <v>MS-SMB_R5212</v>
      </c>
      <c r="B44" s="87"/>
      <c r="C44" s="87"/>
      <c r="D44" s="87"/>
      <c r="E44" s="87"/>
      <c r="F44" s="87"/>
      <c r="G44" s="87"/>
      <c r="H44" s="87"/>
      <c r="I44" s="87"/>
      <c r="J44" s="87"/>
      <c r="K44" s="87"/>
      <c r="L44" s="87"/>
      <c r="M44" s="87"/>
      <c r="N44" s="87">
        <f t="shared" si="0"/>
        <v>0</v>
      </c>
      <c r="O44" s="87">
        <f t="shared" si="1"/>
        <v>0</v>
      </c>
      <c r="P44" s="87" t="b">
        <f t="shared" si="2"/>
        <v>0</v>
      </c>
      <c r="Q44" s="87" t="b">
        <f>(Requirements!K46="Normative")</f>
        <v>0</v>
      </c>
      <c r="R44" s="87" t="b">
        <f>AND(Requirements!L46&lt;&gt;"Non-testable",Requirements!L46&lt;&gt;"Deleted",Requirements!L46&lt;&gt;"")</f>
        <v>1</v>
      </c>
      <c r="S44" s="87" t="b">
        <f>(VLOOKUP(Requirements!I46,Scope[[Role]:[Description]],2,FALSE)="In")</f>
        <v>1</v>
      </c>
      <c r="T44" s="87">
        <f t="shared" si="3"/>
        <v>0</v>
      </c>
    </row>
    <row r="45" spans="1:20">
      <c r="A45" s="44" t="str">
        <f>Requirements!A47</f>
        <v>MS-SMB_R5213</v>
      </c>
      <c r="B45" s="87"/>
      <c r="C45" s="87"/>
      <c r="D45" s="87"/>
      <c r="E45" s="87"/>
      <c r="F45" s="87"/>
      <c r="G45" s="87"/>
      <c r="H45" s="87"/>
      <c r="I45" s="87"/>
      <c r="J45" s="87"/>
      <c r="K45" s="87"/>
      <c r="L45" s="87"/>
      <c r="M45" s="87"/>
      <c r="N45" s="87">
        <f t="shared" si="0"/>
        <v>0</v>
      </c>
      <c r="O45" s="87">
        <f t="shared" si="1"/>
        <v>0</v>
      </c>
      <c r="P45" s="87" t="b">
        <f t="shared" si="2"/>
        <v>0</v>
      </c>
      <c r="Q45" s="87" t="b">
        <f>(Requirements!K47="Normative")</f>
        <v>0</v>
      </c>
      <c r="R45" s="87" t="b">
        <f>AND(Requirements!L47&lt;&gt;"Non-testable",Requirements!L47&lt;&gt;"Deleted",Requirements!L47&lt;&gt;"")</f>
        <v>1</v>
      </c>
      <c r="S45" s="87" t="b">
        <f>(VLOOKUP(Requirements!I47,Scope[[Role]:[Description]],2,FALSE)="In")</f>
        <v>1</v>
      </c>
      <c r="T45" s="87">
        <f t="shared" si="3"/>
        <v>0</v>
      </c>
    </row>
    <row r="46" spans="1:20">
      <c r="A46" s="84" t="str">
        <f>Requirements!A48</f>
        <v>MS-SMB_R75</v>
      </c>
      <c r="B46" s="87"/>
      <c r="C46" s="87"/>
      <c r="D46" s="87"/>
      <c r="E46" s="87"/>
      <c r="F46" s="87"/>
      <c r="G46" s="87"/>
      <c r="H46" s="87"/>
      <c r="I46" s="87"/>
      <c r="J46" s="87">
        <v>1</v>
      </c>
      <c r="K46" s="87"/>
      <c r="L46" s="87"/>
      <c r="M46" s="87"/>
      <c r="N46" s="87">
        <f t="shared" si="0"/>
        <v>1</v>
      </c>
      <c r="O46" s="60">
        <f t="shared" si="1"/>
        <v>1</v>
      </c>
      <c r="P46" s="60" t="b">
        <f t="shared" si="2"/>
        <v>1</v>
      </c>
      <c r="Q46" s="87" t="b">
        <f>(Requirements!K48="Normative")</f>
        <v>1</v>
      </c>
      <c r="R46" s="87" t="b">
        <f>AND(Requirements!L48&lt;&gt;"Non-testable",Requirements!L48&lt;&gt;"Deleted",Requirements!L48&lt;&gt;"")</f>
        <v>1</v>
      </c>
      <c r="S46" s="87" t="b">
        <f>(VLOOKUP(Requirements!I48,Scope[[Role]:[Description]],2,FALSE)="In")</f>
        <v>1</v>
      </c>
      <c r="T46" s="87">
        <f t="shared" si="3"/>
        <v>1</v>
      </c>
    </row>
    <row r="47" spans="1:20">
      <c r="A47" s="44" t="str">
        <f>Requirements!A49</f>
        <v>MS-SMB_R5215</v>
      </c>
      <c r="B47" s="87"/>
      <c r="C47" s="87"/>
      <c r="D47" s="87"/>
      <c r="E47" s="87"/>
      <c r="F47" s="87"/>
      <c r="G47" s="87"/>
      <c r="H47" s="87"/>
      <c r="I47" s="87"/>
      <c r="J47" s="87"/>
      <c r="K47" s="87"/>
      <c r="L47" s="87"/>
      <c r="M47" s="87"/>
      <c r="N47" s="87">
        <f t="shared" si="0"/>
        <v>0</v>
      </c>
      <c r="O47" s="87">
        <f t="shared" si="1"/>
        <v>0</v>
      </c>
      <c r="P47" s="87" t="b">
        <f t="shared" si="2"/>
        <v>0</v>
      </c>
      <c r="Q47" s="87" t="b">
        <f>(Requirements!K49="Normative")</f>
        <v>0</v>
      </c>
      <c r="R47" s="87" t="b">
        <f>AND(Requirements!L49&lt;&gt;"Non-testable",Requirements!L49&lt;&gt;"Deleted",Requirements!L49&lt;&gt;"")</f>
        <v>1</v>
      </c>
      <c r="S47" s="87" t="b">
        <f>(VLOOKUP(Requirements!I49,Scope[[Role]:[Description]],2,FALSE)="In")</f>
        <v>1</v>
      </c>
      <c r="T47" s="87">
        <f t="shared" si="3"/>
        <v>0</v>
      </c>
    </row>
    <row r="48" spans="1:20">
      <c r="A48" s="44" t="str">
        <f>Requirements!A50</f>
        <v>MS-SMB_R5216</v>
      </c>
      <c r="B48" s="87"/>
      <c r="C48" s="87"/>
      <c r="D48" s="87"/>
      <c r="E48" s="87"/>
      <c r="F48" s="87"/>
      <c r="G48" s="87"/>
      <c r="H48" s="87"/>
      <c r="I48" s="87"/>
      <c r="J48" s="87"/>
      <c r="K48" s="87"/>
      <c r="L48" s="87"/>
      <c r="M48" s="87"/>
      <c r="N48" s="87">
        <f t="shared" si="0"/>
        <v>0</v>
      </c>
      <c r="O48" s="87">
        <f t="shared" si="1"/>
        <v>0</v>
      </c>
      <c r="P48" s="87" t="b">
        <f t="shared" si="2"/>
        <v>0</v>
      </c>
      <c r="Q48" s="87" t="b">
        <f>(Requirements!K50="Normative")</f>
        <v>0</v>
      </c>
      <c r="R48" s="87" t="b">
        <f>AND(Requirements!L50&lt;&gt;"Non-testable",Requirements!L50&lt;&gt;"Deleted",Requirements!L50&lt;&gt;"")</f>
        <v>1</v>
      </c>
      <c r="S48" s="87" t="b">
        <f>(VLOOKUP(Requirements!I50,Scope[[Role]:[Description]],2,FALSE)="In")</f>
        <v>1</v>
      </c>
      <c r="T48" s="87">
        <f t="shared" si="3"/>
        <v>0</v>
      </c>
    </row>
    <row r="49" spans="1:20">
      <c r="A49" s="44" t="str">
        <f>Requirements!A51</f>
        <v>MS-SMB_R5217</v>
      </c>
      <c r="B49" s="87"/>
      <c r="C49" s="87"/>
      <c r="D49" s="87"/>
      <c r="E49" s="87"/>
      <c r="F49" s="87"/>
      <c r="G49" s="87"/>
      <c r="H49" s="87"/>
      <c r="I49" s="87"/>
      <c r="J49" s="87"/>
      <c r="K49" s="87"/>
      <c r="L49" s="87"/>
      <c r="M49" s="87"/>
      <c r="N49" s="87">
        <f t="shared" si="0"/>
        <v>0</v>
      </c>
      <c r="O49" s="87">
        <f t="shared" si="1"/>
        <v>0</v>
      </c>
      <c r="P49" s="87" t="b">
        <f t="shared" si="2"/>
        <v>0</v>
      </c>
      <c r="Q49" s="87" t="b">
        <f>(Requirements!K51="Normative")</f>
        <v>0</v>
      </c>
      <c r="R49" s="87" t="b">
        <f>AND(Requirements!L51&lt;&gt;"Non-testable",Requirements!L51&lt;&gt;"Deleted",Requirements!L51&lt;&gt;"")</f>
        <v>1</v>
      </c>
      <c r="S49" s="87" t="b">
        <f>(VLOOKUP(Requirements!I51,Scope[[Role]:[Description]],2,FALSE)="In")</f>
        <v>1</v>
      </c>
      <c r="T49" s="87">
        <f t="shared" si="3"/>
        <v>0</v>
      </c>
    </row>
    <row r="50" spans="1:20">
      <c r="A50" s="44" t="str">
        <f>Requirements!A52</f>
        <v>MS-SMB_R5218</v>
      </c>
      <c r="B50" s="87"/>
      <c r="C50" s="87"/>
      <c r="D50" s="87"/>
      <c r="E50" s="87"/>
      <c r="F50" s="87"/>
      <c r="G50" s="87"/>
      <c r="H50" s="87"/>
      <c r="I50" s="87"/>
      <c r="J50" s="87"/>
      <c r="K50" s="87"/>
      <c r="L50" s="87"/>
      <c r="M50" s="87"/>
      <c r="N50" s="87">
        <f t="shared" si="0"/>
        <v>0</v>
      </c>
      <c r="O50" s="87">
        <f t="shared" si="1"/>
        <v>0</v>
      </c>
      <c r="P50" s="87" t="b">
        <f t="shared" si="2"/>
        <v>0</v>
      </c>
      <c r="Q50" s="87" t="b">
        <f>(Requirements!K52="Normative")</f>
        <v>0</v>
      </c>
      <c r="R50" s="87" t="b">
        <f>AND(Requirements!L52&lt;&gt;"Non-testable",Requirements!L52&lt;&gt;"Deleted",Requirements!L52&lt;&gt;"")</f>
        <v>1</v>
      </c>
      <c r="S50" s="87" t="b">
        <f>(VLOOKUP(Requirements!I52,Scope[[Role]:[Description]],2,FALSE)="In")</f>
        <v>1</v>
      </c>
      <c r="T50" s="87">
        <f t="shared" si="3"/>
        <v>0</v>
      </c>
    </row>
    <row r="51" spans="1:20">
      <c r="A51" s="84" t="str">
        <f>Requirements!A53</f>
        <v>MS-SMB_R5219</v>
      </c>
      <c r="B51" s="87"/>
      <c r="C51" s="87"/>
      <c r="D51" s="87"/>
      <c r="E51" s="87"/>
      <c r="F51" s="87"/>
      <c r="G51" s="87"/>
      <c r="H51" s="87"/>
      <c r="I51" s="87"/>
      <c r="J51" s="87">
        <v>1</v>
      </c>
      <c r="K51" s="87"/>
      <c r="L51" s="87"/>
      <c r="M51" s="87"/>
      <c r="N51" s="87">
        <f t="shared" si="0"/>
        <v>1</v>
      </c>
      <c r="O51" s="60">
        <f t="shared" si="1"/>
        <v>1</v>
      </c>
      <c r="P51" s="60" t="b">
        <f t="shared" si="2"/>
        <v>1</v>
      </c>
      <c r="Q51" s="87" t="b">
        <f>(Requirements!K53="Normative")</f>
        <v>1</v>
      </c>
      <c r="R51" s="87" t="b">
        <f>AND(Requirements!L53&lt;&gt;"Non-testable",Requirements!L53&lt;&gt;"Deleted",Requirements!L53&lt;&gt;"")</f>
        <v>1</v>
      </c>
      <c r="S51" s="87" t="b">
        <f>(VLOOKUP(Requirements!I53,Scope[[Role]:[Description]],2,FALSE)="In")</f>
        <v>1</v>
      </c>
      <c r="T51" s="87">
        <f t="shared" si="3"/>
        <v>1</v>
      </c>
    </row>
    <row r="52" spans="1:20">
      <c r="A52" s="84" t="str">
        <f>Requirements!A54</f>
        <v>MS-SMB_R77</v>
      </c>
      <c r="B52" s="87"/>
      <c r="C52" s="87"/>
      <c r="D52" s="87"/>
      <c r="E52" s="87"/>
      <c r="F52" s="87"/>
      <c r="G52" s="87"/>
      <c r="H52" s="87"/>
      <c r="I52" s="87"/>
      <c r="J52" s="87">
        <v>1</v>
      </c>
      <c r="K52" s="87"/>
      <c r="L52" s="87"/>
      <c r="M52" s="87"/>
      <c r="N52" s="87">
        <f t="shared" si="0"/>
        <v>1</v>
      </c>
      <c r="O52" s="60">
        <f t="shared" si="1"/>
        <v>1</v>
      </c>
      <c r="P52" s="60" t="b">
        <f t="shared" si="2"/>
        <v>1</v>
      </c>
      <c r="Q52" s="87" t="b">
        <f>(Requirements!K54="Normative")</f>
        <v>1</v>
      </c>
      <c r="R52" s="87" t="b">
        <f>AND(Requirements!L54&lt;&gt;"Non-testable",Requirements!L54&lt;&gt;"Deleted",Requirements!L54&lt;&gt;"")</f>
        <v>1</v>
      </c>
      <c r="S52" s="87" t="b">
        <f>(VLOOKUP(Requirements!I54,Scope[[Role]:[Description]],2,FALSE)="In")</f>
        <v>1</v>
      </c>
      <c r="T52" s="87">
        <f t="shared" si="3"/>
        <v>1</v>
      </c>
    </row>
    <row r="53" spans="1:20">
      <c r="A53" s="84" t="str">
        <f>Requirements!A55</f>
        <v>MS-SMB_R100077</v>
      </c>
      <c r="B53" s="87"/>
      <c r="C53" s="87"/>
      <c r="D53" s="87"/>
      <c r="E53" s="87"/>
      <c r="F53" s="87"/>
      <c r="G53" s="87"/>
      <c r="H53" s="87"/>
      <c r="I53" s="87"/>
      <c r="J53" s="87">
        <v>1</v>
      </c>
      <c r="K53" s="87"/>
      <c r="L53" s="87"/>
      <c r="M53" s="87"/>
      <c r="N53" s="87">
        <f t="shared" si="0"/>
        <v>1</v>
      </c>
      <c r="O53" s="60">
        <f t="shared" si="1"/>
        <v>1</v>
      </c>
      <c r="P53" s="60" t="b">
        <f t="shared" si="2"/>
        <v>1</v>
      </c>
      <c r="Q53" s="87" t="b">
        <f>(Requirements!K55="Normative")</f>
        <v>1</v>
      </c>
      <c r="R53" s="87" t="b">
        <f>AND(Requirements!L55&lt;&gt;"Non-testable",Requirements!L55&lt;&gt;"Deleted",Requirements!L55&lt;&gt;"")</f>
        <v>1</v>
      </c>
      <c r="S53" s="87" t="b">
        <f>(VLOOKUP(Requirements!I55,Scope[[Role]:[Description]],2,FALSE)="In")</f>
        <v>1</v>
      </c>
      <c r="T53" s="87">
        <f t="shared" si="3"/>
        <v>1</v>
      </c>
    </row>
    <row r="54" spans="1:20">
      <c r="A54" s="44" t="str">
        <f>Requirements!A56</f>
        <v>MS-SMB_R5226</v>
      </c>
      <c r="B54" s="87"/>
      <c r="C54" s="87"/>
      <c r="D54" s="87"/>
      <c r="E54" s="87"/>
      <c r="F54" s="87"/>
      <c r="G54" s="87"/>
      <c r="H54" s="87"/>
      <c r="I54" s="87"/>
      <c r="J54" s="87"/>
      <c r="K54" s="87"/>
      <c r="L54" s="87"/>
      <c r="M54" s="87"/>
      <c r="N54" s="87">
        <f t="shared" si="0"/>
        <v>0</v>
      </c>
      <c r="O54" s="87">
        <f t="shared" si="1"/>
        <v>0</v>
      </c>
      <c r="P54" s="87" t="b">
        <f t="shared" si="2"/>
        <v>0</v>
      </c>
      <c r="Q54" s="87" t="b">
        <f>(Requirements!K56="Normative")</f>
        <v>1</v>
      </c>
      <c r="R54" s="87" t="b">
        <f>AND(Requirements!L56&lt;&gt;"Non-testable",Requirements!L56&lt;&gt;"Deleted",Requirements!L56&lt;&gt;"")</f>
        <v>0</v>
      </c>
      <c r="S54" s="87" t="b">
        <f>(VLOOKUP(Requirements!I56,Scope[[Role]:[Description]],2,FALSE)="In")</f>
        <v>1</v>
      </c>
      <c r="T54" s="87">
        <f t="shared" si="3"/>
        <v>0</v>
      </c>
    </row>
    <row r="55" spans="1:20">
      <c r="A55" s="84" t="str">
        <f>Requirements!A57</f>
        <v>MS-SMB_R5227</v>
      </c>
      <c r="B55" s="87"/>
      <c r="C55" s="87"/>
      <c r="D55" s="87"/>
      <c r="E55" s="87"/>
      <c r="F55" s="87"/>
      <c r="G55" s="87"/>
      <c r="H55" s="87"/>
      <c r="I55" s="87">
        <v>1</v>
      </c>
      <c r="J55" s="87"/>
      <c r="K55" s="87"/>
      <c r="L55" s="87"/>
      <c r="M55" s="87"/>
      <c r="N55" s="87">
        <f t="shared" si="0"/>
        <v>1</v>
      </c>
      <c r="O55" s="60">
        <f t="shared" si="1"/>
        <v>1</v>
      </c>
      <c r="P55" s="60" t="b">
        <f t="shared" si="2"/>
        <v>1</v>
      </c>
      <c r="Q55" s="87" t="b">
        <f>(Requirements!K57="Normative")</f>
        <v>1</v>
      </c>
      <c r="R55" s="87" t="b">
        <f>AND(Requirements!L57&lt;&gt;"Non-testable",Requirements!L57&lt;&gt;"Deleted",Requirements!L57&lt;&gt;"")</f>
        <v>1</v>
      </c>
      <c r="S55" s="87" t="b">
        <f>(VLOOKUP(Requirements!I57,Scope[[Role]:[Description]],2,FALSE)="In")</f>
        <v>1</v>
      </c>
      <c r="T55" s="87">
        <f t="shared" si="3"/>
        <v>1</v>
      </c>
    </row>
    <row r="56" spans="1:20">
      <c r="A56" s="84" t="str">
        <f>Requirements!A58</f>
        <v>MS-SMB_R105227</v>
      </c>
      <c r="B56" s="87"/>
      <c r="C56" s="87"/>
      <c r="D56" s="87"/>
      <c r="E56" s="87"/>
      <c r="F56" s="87"/>
      <c r="G56" s="87"/>
      <c r="H56" s="87"/>
      <c r="I56" s="87"/>
      <c r="J56" s="87">
        <v>1</v>
      </c>
      <c r="K56" s="87"/>
      <c r="L56" s="87"/>
      <c r="M56" s="87"/>
      <c r="N56" s="87">
        <f t="shared" si="0"/>
        <v>1</v>
      </c>
      <c r="O56" s="60">
        <f t="shared" si="1"/>
        <v>1</v>
      </c>
      <c r="P56" s="60" t="b">
        <f t="shared" si="2"/>
        <v>1</v>
      </c>
      <c r="Q56" s="87" t="b">
        <f>(Requirements!K58="Normative")</f>
        <v>1</v>
      </c>
      <c r="R56" s="87" t="b">
        <f>AND(Requirements!L58&lt;&gt;"Non-testable",Requirements!L58&lt;&gt;"Deleted",Requirements!L58&lt;&gt;"")</f>
        <v>1</v>
      </c>
      <c r="S56" s="87" t="b">
        <f>(VLOOKUP(Requirements!I58,Scope[[Role]:[Description]],2,FALSE)="In")</f>
        <v>1</v>
      </c>
      <c r="T56" s="87">
        <f t="shared" si="3"/>
        <v>1</v>
      </c>
    </row>
    <row r="57" spans="1:20">
      <c r="A57" s="84" t="str">
        <f>Requirements!A59</f>
        <v>MS-SMB_R205227</v>
      </c>
      <c r="B57" s="87"/>
      <c r="C57" s="87"/>
      <c r="D57" s="87"/>
      <c r="E57" s="87"/>
      <c r="F57" s="87"/>
      <c r="G57" s="87"/>
      <c r="H57" s="87"/>
      <c r="I57" s="87"/>
      <c r="J57" s="87">
        <v>1</v>
      </c>
      <c r="K57" s="87"/>
      <c r="L57" s="87"/>
      <c r="M57" s="87"/>
      <c r="N57" s="87">
        <f t="shared" si="0"/>
        <v>1</v>
      </c>
      <c r="O57" s="60">
        <f t="shared" si="1"/>
        <v>1</v>
      </c>
      <c r="P57" s="60" t="b">
        <f t="shared" si="2"/>
        <v>1</v>
      </c>
      <c r="Q57" s="87" t="b">
        <f>(Requirements!K59="Normative")</f>
        <v>1</v>
      </c>
      <c r="R57" s="87" t="b">
        <f>AND(Requirements!L59&lt;&gt;"Non-testable",Requirements!L59&lt;&gt;"Deleted",Requirements!L59&lt;&gt;"")</f>
        <v>1</v>
      </c>
      <c r="S57" s="87" t="b">
        <f>(VLOOKUP(Requirements!I59,Scope[[Role]:[Description]],2,FALSE)="In")</f>
        <v>1</v>
      </c>
      <c r="T57" s="87">
        <f t="shared" si="3"/>
        <v>1</v>
      </c>
    </row>
    <row r="58" spans="1:20">
      <c r="A58" s="44" t="str">
        <f>Requirements!A60</f>
        <v>MS-SMB_R305227</v>
      </c>
      <c r="B58" s="87"/>
      <c r="C58" s="87"/>
      <c r="D58" s="87"/>
      <c r="E58" s="87"/>
      <c r="F58" s="87"/>
      <c r="G58" s="87"/>
      <c r="H58" s="87"/>
      <c r="I58" s="87"/>
      <c r="J58" s="87"/>
      <c r="K58" s="87"/>
      <c r="L58" s="87"/>
      <c r="M58" s="87"/>
      <c r="N58" s="87">
        <f t="shared" si="0"/>
        <v>0</v>
      </c>
      <c r="O58" s="87">
        <f t="shared" si="1"/>
        <v>0</v>
      </c>
      <c r="P58" s="87" t="b">
        <f t="shared" si="2"/>
        <v>0</v>
      </c>
      <c r="Q58" s="87" t="b">
        <f>(Requirements!K60="Normative")</f>
        <v>1</v>
      </c>
      <c r="R58" s="87" t="b">
        <f>AND(Requirements!L60&lt;&gt;"Non-testable",Requirements!L60&lt;&gt;"Deleted",Requirements!L60&lt;&gt;"")</f>
        <v>0</v>
      </c>
      <c r="S58" s="87" t="b">
        <f>(VLOOKUP(Requirements!I60,Scope[[Role]:[Description]],2,FALSE)="In")</f>
        <v>1</v>
      </c>
      <c r="T58" s="87">
        <f t="shared" si="3"/>
        <v>0</v>
      </c>
    </row>
    <row r="59" spans="1:20">
      <c r="A59" s="84" t="str">
        <f>Requirements!A61</f>
        <v>MS-SMB_R405227</v>
      </c>
      <c r="B59" s="87"/>
      <c r="C59" s="87"/>
      <c r="D59" s="87"/>
      <c r="E59" s="87"/>
      <c r="F59" s="87"/>
      <c r="G59" s="87"/>
      <c r="H59" s="87"/>
      <c r="I59" s="87">
        <v>1</v>
      </c>
      <c r="J59" s="87"/>
      <c r="K59" s="87"/>
      <c r="L59" s="87"/>
      <c r="M59" s="87"/>
      <c r="N59" s="87">
        <f t="shared" si="0"/>
        <v>1</v>
      </c>
      <c r="O59" s="60">
        <f t="shared" si="1"/>
        <v>1</v>
      </c>
      <c r="P59" s="60" t="b">
        <f t="shared" si="2"/>
        <v>1</v>
      </c>
      <c r="Q59" s="87" t="b">
        <f>(Requirements!K61="Normative")</f>
        <v>1</v>
      </c>
      <c r="R59" s="87" t="b">
        <f>AND(Requirements!L61&lt;&gt;"Non-testable",Requirements!L61&lt;&gt;"Deleted",Requirements!L61&lt;&gt;"")</f>
        <v>1</v>
      </c>
      <c r="S59" s="87" t="b">
        <f>(VLOOKUP(Requirements!I61,Scope[[Role]:[Description]],2,FALSE)="In")</f>
        <v>1</v>
      </c>
      <c r="T59" s="87">
        <f t="shared" si="3"/>
        <v>1</v>
      </c>
    </row>
    <row r="60" spans="1:20">
      <c r="A60" s="84" t="str">
        <f>Requirements!A62</f>
        <v>MS-SMB_R5229</v>
      </c>
      <c r="B60" s="87"/>
      <c r="C60" s="87"/>
      <c r="D60" s="87"/>
      <c r="E60" s="87"/>
      <c r="F60" s="87"/>
      <c r="G60" s="87"/>
      <c r="H60" s="87"/>
      <c r="I60" s="87"/>
      <c r="J60" s="87">
        <v>1</v>
      </c>
      <c r="K60" s="87"/>
      <c r="L60" s="87"/>
      <c r="M60" s="87"/>
      <c r="N60" s="87">
        <f t="shared" si="0"/>
        <v>1</v>
      </c>
      <c r="O60" s="60">
        <f t="shared" si="1"/>
        <v>1</v>
      </c>
      <c r="P60" s="60" t="b">
        <f t="shared" si="2"/>
        <v>1</v>
      </c>
      <c r="Q60" s="87" t="b">
        <f>(Requirements!K62="Normative")</f>
        <v>1</v>
      </c>
      <c r="R60" s="87" t="b">
        <f>AND(Requirements!L62&lt;&gt;"Non-testable",Requirements!L62&lt;&gt;"Deleted",Requirements!L62&lt;&gt;"")</f>
        <v>1</v>
      </c>
      <c r="S60" s="87" t="b">
        <f>(VLOOKUP(Requirements!I62,Scope[[Role]:[Description]],2,FALSE)="In")</f>
        <v>1</v>
      </c>
      <c r="T60" s="87">
        <f t="shared" si="3"/>
        <v>1</v>
      </c>
    </row>
    <row r="61" spans="1:20">
      <c r="A61" s="84" t="str">
        <f>Requirements!A63</f>
        <v>MS-SMB_R105229</v>
      </c>
      <c r="B61" s="87"/>
      <c r="C61" s="87"/>
      <c r="D61" s="87"/>
      <c r="E61" s="87"/>
      <c r="F61" s="87"/>
      <c r="G61" s="87"/>
      <c r="H61" s="87"/>
      <c r="I61" s="87"/>
      <c r="J61" s="87">
        <v>1</v>
      </c>
      <c r="K61" s="87"/>
      <c r="L61" s="87"/>
      <c r="M61" s="87"/>
      <c r="N61" s="87">
        <f t="shared" si="0"/>
        <v>1</v>
      </c>
      <c r="O61" s="60">
        <f t="shared" si="1"/>
        <v>1</v>
      </c>
      <c r="P61" s="60" t="b">
        <f t="shared" si="2"/>
        <v>1</v>
      </c>
      <c r="Q61" s="87" t="b">
        <f>(Requirements!K63="Normative")</f>
        <v>1</v>
      </c>
      <c r="R61" s="87" t="b">
        <f>AND(Requirements!L63&lt;&gt;"Non-testable",Requirements!L63&lt;&gt;"Deleted",Requirements!L63&lt;&gt;"")</f>
        <v>1</v>
      </c>
      <c r="S61" s="87" t="b">
        <f>(VLOOKUP(Requirements!I63,Scope[[Role]:[Description]],2,FALSE)="In")</f>
        <v>1</v>
      </c>
      <c r="T61" s="87">
        <f t="shared" si="3"/>
        <v>1</v>
      </c>
    </row>
    <row r="62" spans="1:20">
      <c r="A62" s="44" t="str">
        <f>Requirements!A64</f>
        <v>MS-SMB_R105243</v>
      </c>
      <c r="B62" s="87"/>
      <c r="C62" s="87"/>
      <c r="D62" s="87"/>
      <c r="E62" s="87"/>
      <c r="F62" s="87"/>
      <c r="G62" s="87"/>
      <c r="H62" s="87"/>
      <c r="I62" s="87"/>
      <c r="J62" s="87"/>
      <c r="K62" s="87"/>
      <c r="L62" s="87"/>
      <c r="M62" s="87"/>
      <c r="N62" s="87">
        <f t="shared" si="0"/>
        <v>0</v>
      </c>
      <c r="O62" s="87">
        <f t="shared" si="1"/>
        <v>0</v>
      </c>
      <c r="P62" s="87" t="b">
        <f t="shared" si="2"/>
        <v>0</v>
      </c>
      <c r="Q62" s="87" t="b">
        <f>(Requirements!K64="Normative")</f>
        <v>0</v>
      </c>
      <c r="R62" s="87" t="b">
        <f>AND(Requirements!L64&lt;&gt;"Non-testable",Requirements!L64&lt;&gt;"Deleted",Requirements!L64&lt;&gt;"")</f>
        <v>1</v>
      </c>
      <c r="S62" s="87" t="b">
        <f>(VLOOKUP(Requirements!I64,Scope[[Role]:[Description]],2,FALSE)="In")</f>
        <v>1</v>
      </c>
      <c r="T62" s="87">
        <f t="shared" si="3"/>
        <v>0</v>
      </c>
    </row>
    <row r="63" spans="1:20">
      <c r="A63" s="44" t="str">
        <f>Requirements!A65</f>
        <v>MS-SMB_R19000</v>
      </c>
      <c r="B63" s="87"/>
      <c r="C63" s="87"/>
      <c r="D63" s="87"/>
      <c r="E63" s="87"/>
      <c r="F63" s="87"/>
      <c r="G63" s="87"/>
      <c r="H63" s="87"/>
      <c r="I63" s="87"/>
      <c r="J63" s="87"/>
      <c r="K63" s="87"/>
      <c r="L63" s="87"/>
      <c r="M63" s="87"/>
      <c r="N63" s="87">
        <f t="shared" si="0"/>
        <v>0</v>
      </c>
      <c r="O63" s="87">
        <f t="shared" si="1"/>
        <v>0</v>
      </c>
      <c r="P63" s="87" t="b">
        <f t="shared" si="2"/>
        <v>0</v>
      </c>
      <c r="Q63" s="87" t="b">
        <f>(Requirements!K65="Normative")</f>
        <v>0</v>
      </c>
      <c r="R63" s="87" t="b">
        <f>AND(Requirements!L65&lt;&gt;"Non-testable",Requirements!L65&lt;&gt;"Deleted",Requirements!L65&lt;&gt;"")</f>
        <v>1</v>
      </c>
      <c r="S63" s="87" t="b">
        <f>(VLOOKUP(Requirements!I65,Scope[[Role]:[Description]],2,FALSE)="In")</f>
        <v>1</v>
      </c>
      <c r="T63" s="87">
        <f t="shared" si="3"/>
        <v>0</v>
      </c>
    </row>
    <row r="64" spans="1:20">
      <c r="A64" s="44" t="str">
        <f>Requirements!A66</f>
        <v>MS-SMB_R9001</v>
      </c>
      <c r="B64" s="87"/>
      <c r="C64" s="87"/>
      <c r="D64" s="87"/>
      <c r="E64" s="87"/>
      <c r="F64" s="87"/>
      <c r="G64" s="87"/>
      <c r="H64" s="87"/>
      <c r="I64" s="87"/>
      <c r="J64" s="87"/>
      <c r="K64" s="87"/>
      <c r="L64" s="87"/>
      <c r="M64" s="87"/>
      <c r="N64" s="87">
        <f t="shared" si="0"/>
        <v>0</v>
      </c>
      <c r="O64" s="87">
        <f t="shared" si="1"/>
        <v>0</v>
      </c>
      <c r="P64" s="87" t="b">
        <f t="shared" si="2"/>
        <v>0</v>
      </c>
      <c r="Q64" s="87" t="b">
        <f>(Requirements!K66="Normative")</f>
        <v>0</v>
      </c>
      <c r="R64" s="87" t="b">
        <f>AND(Requirements!L66&lt;&gt;"Non-testable",Requirements!L66&lt;&gt;"Deleted",Requirements!L66&lt;&gt;"")</f>
        <v>1</v>
      </c>
      <c r="S64" s="87" t="b">
        <f>(VLOOKUP(Requirements!I66,Scope[[Role]:[Description]],2,FALSE)="In")</f>
        <v>1</v>
      </c>
      <c r="T64" s="87">
        <f t="shared" si="3"/>
        <v>0</v>
      </c>
    </row>
    <row r="65" spans="1:60">
      <c r="A65" s="44" t="str">
        <f>Requirements!A67</f>
        <v>MS-SMB_R19002</v>
      </c>
      <c r="B65" s="87"/>
      <c r="C65" s="87"/>
      <c r="D65" s="87"/>
      <c r="E65" s="87"/>
      <c r="F65" s="87"/>
      <c r="G65" s="87"/>
      <c r="H65" s="87"/>
      <c r="I65" s="87"/>
      <c r="J65" s="87"/>
      <c r="K65" s="87"/>
      <c r="L65" s="87"/>
      <c r="M65" s="87"/>
      <c r="N65" s="87">
        <f t="shared" si="0"/>
        <v>0</v>
      </c>
      <c r="O65" s="87">
        <f t="shared" si="1"/>
        <v>0</v>
      </c>
      <c r="P65" s="87" t="b">
        <f t="shared" si="2"/>
        <v>0</v>
      </c>
      <c r="Q65" s="87" t="b">
        <f>(Requirements!K67="Normative")</f>
        <v>0</v>
      </c>
      <c r="R65" s="87" t="b">
        <f>AND(Requirements!L67&lt;&gt;"Non-testable",Requirements!L67&lt;&gt;"Deleted",Requirements!L67&lt;&gt;"")</f>
        <v>1</v>
      </c>
      <c r="S65" s="87" t="b">
        <f>(VLOOKUP(Requirements!I67,Scope[[Role]:[Description]],2,FALSE)="In")</f>
        <v>1</v>
      </c>
      <c r="T65" s="87">
        <f t="shared" si="3"/>
        <v>0</v>
      </c>
    </row>
    <row r="66" spans="1:60">
      <c r="A66" s="44" t="str">
        <f>Requirements!A68</f>
        <v>MS-SMB_R19003</v>
      </c>
      <c r="B66" s="87"/>
      <c r="C66" s="87"/>
      <c r="D66" s="87"/>
      <c r="E66" s="87"/>
      <c r="F66" s="87"/>
      <c r="G66" s="87"/>
      <c r="H66" s="87"/>
      <c r="I66" s="87"/>
      <c r="J66" s="87"/>
      <c r="K66" s="87"/>
      <c r="L66" s="87"/>
      <c r="M66" s="87"/>
      <c r="N66" s="87">
        <f t="shared" si="0"/>
        <v>0</v>
      </c>
      <c r="O66" s="87">
        <f t="shared" si="1"/>
        <v>0</v>
      </c>
      <c r="P66" s="87" t="b">
        <f t="shared" si="2"/>
        <v>0</v>
      </c>
      <c r="Q66" s="87" t="b">
        <f>(Requirements!K68="Normative")</f>
        <v>0</v>
      </c>
      <c r="R66" s="87" t="b">
        <f>AND(Requirements!L68&lt;&gt;"Non-testable",Requirements!L68&lt;&gt;"Deleted",Requirements!L68&lt;&gt;"")</f>
        <v>1</v>
      </c>
      <c r="S66" s="87" t="b">
        <f>(VLOOKUP(Requirements!I68,Scope[[Role]:[Description]],2,FALSE)="In")</f>
        <v>1</v>
      </c>
      <c r="T66" s="87">
        <f t="shared" si="3"/>
        <v>0</v>
      </c>
    </row>
    <row r="67" spans="1:60">
      <c r="A67" s="85" t="str">
        <f>Requirements!A69</f>
        <v>MS-SMB_R9004</v>
      </c>
      <c r="B67" s="87"/>
      <c r="C67" s="87"/>
      <c r="D67" s="87"/>
      <c r="E67" s="87"/>
      <c r="F67" s="87"/>
      <c r="G67" s="87"/>
      <c r="H67" s="87"/>
      <c r="I67" s="87"/>
      <c r="J67" s="87"/>
      <c r="K67" s="87"/>
      <c r="L67" s="87"/>
      <c r="M67" s="87"/>
      <c r="N67" s="87">
        <f t="shared" si="0"/>
        <v>0</v>
      </c>
      <c r="O67" s="61">
        <f t="shared" si="1"/>
        <v>0</v>
      </c>
      <c r="P67" s="61" t="b">
        <f t="shared" si="2"/>
        <v>1</v>
      </c>
      <c r="Q67" s="87" t="b">
        <f>(Requirements!K69="Normative")</f>
        <v>1</v>
      </c>
      <c r="R67" s="87" t="b">
        <f>AND(Requirements!L69&lt;&gt;"Non-testable",Requirements!L69&lt;&gt;"Deleted",Requirements!L69&lt;&gt;"")</f>
        <v>1</v>
      </c>
      <c r="S67" s="87" t="b">
        <f>(VLOOKUP(Requirements!I69,Scope[[Role]:[Description]],2,FALSE)="In")</f>
        <v>1</v>
      </c>
      <c r="T67" s="87">
        <f t="shared" si="3"/>
        <v>0</v>
      </c>
    </row>
    <row r="68" spans="1:60">
      <c r="A68" s="44" t="str">
        <f>Requirements!A70</f>
        <v>MS-SMB_R9005</v>
      </c>
      <c r="B68" s="87"/>
      <c r="C68" s="87"/>
      <c r="D68" s="87"/>
      <c r="E68" s="87"/>
      <c r="F68" s="87"/>
      <c r="G68" s="87"/>
      <c r="H68" s="87"/>
      <c r="I68" s="87"/>
      <c r="J68" s="87"/>
      <c r="K68" s="87"/>
      <c r="L68" s="87"/>
      <c r="M68" s="87"/>
      <c r="N68" s="87">
        <f t="shared" si="0"/>
        <v>0</v>
      </c>
      <c r="O68" s="87">
        <f t="shared" si="1"/>
        <v>0</v>
      </c>
      <c r="P68" s="87" t="b">
        <f t="shared" si="2"/>
        <v>0</v>
      </c>
      <c r="Q68" s="87" t="b">
        <f>(Requirements!K70="Normative")</f>
        <v>0</v>
      </c>
      <c r="R68" s="87" t="b">
        <f>AND(Requirements!L70&lt;&gt;"Non-testable",Requirements!L70&lt;&gt;"Deleted",Requirements!L70&lt;&gt;"")</f>
        <v>1</v>
      </c>
      <c r="S68" s="87" t="b">
        <f>(VLOOKUP(Requirements!I70,Scope[[Role]:[Description]],2,FALSE)="In")</f>
        <v>1</v>
      </c>
      <c r="T68" s="87">
        <f t="shared" si="3"/>
        <v>0</v>
      </c>
    </row>
    <row r="69" spans="1:60">
      <c r="A69" s="83" t="str">
        <f>Requirements!A71</f>
        <v>MS-SMB_R9006</v>
      </c>
      <c r="B69" s="46"/>
      <c r="C69" s="46"/>
      <c r="D69" s="46"/>
      <c r="E69" s="46"/>
      <c r="F69" s="46"/>
      <c r="G69" s="46"/>
      <c r="H69" s="46"/>
      <c r="I69" s="46"/>
      <c r="J69" s="46"/>
      <c r="K69" s="46"/>
      <c r="L69" s="46"/>
      <c r="M69" s="46"/>
      <c r="N69" s="46">
        <f t="shared" si="0"/>
        <v>0</v>
      </c>
      <c r="O69" s="46">
        <f t="shared" si="1"/>
        <v>0</v>
      </c>
      <c r="P69" s="46" t="b">
        <f t="shared" si="2"/>
        <v>0</v>
      </c>
      <c r="Q69" s="46" t="b">
        <f>(Requirements!K71="Normative")</f>
        <v>0</v>
      </c>
      <c r="R69" s="46" t="b">
        <f>AND(Requirements!L71&lt;&gt;"Non-testable",Requirements!L71&lt;&gt;"Deleted",Requirements!L71&lt;&gt;"")</f>
        <v>0</v>
      </c>
      <c r="S69" s="46" t="b">
        <f>(VLOOKUP(Requirements!I71,Scope[[Role]:[Description]],2,FALSE)="In")</f>
        <v>1</v>
      </c>
      <c r="T69" s="46">
        <f t="shared" si="3"/>
        <v>0</v>
      </c>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c r="BF69" s="45"/>
      <c r="BG69" s="45"/>
      <c r="BH69" s="45"/>
    </row>
    <row r="70" spans="1:60">
      <c r="A70" s="44" t="str">
        <f>Requirements!A72</f>
        <v>MS-SMB_R9007</v>
      </c>
      <c r="B70" s="87"/>
      <c r="C70" s="87"/>
      <c r="D70" s="87"/>
      <c r="E70" s="87"/>
      <c r="F70" s="87"/>
      <c r="G70" s="87"/>
      <c r="H70" s="87"/>
      <c r="I70" s="87"/>
      <c r="J70" s="87"/>
      <c r="K70" s="87"/>
      <c r="L70" s="87"/>
      <c r="M70" s="87"/>
      <c r="N70" s="87">
        <f t="shared" si="0"/>
        <v>0</v>
      </c>
      <c r="O70" s="87">
        <f t="shared" si="1"/>
        <v>0</v>
      </c>
      <c r="P70" s="87" t="b">
        <f t="shared" si="2"/>
        <v>0</v>
      </c>
      <c r="Q70" s="87" t="b">
        <f>(Requirements!K72="Normative")</f>
        <v>0</v>
      </c>
      <c r="R70" s="87" t="b">
        <f>AND(Requirements!L72&lt;&gt;"Non-testable",Requirements!L72&lt;&gt;"Deleted",Requirements!L72&lt;&gt;"")</f>
        <v>1</v>
      </c>
      <c r="S70" s="87" t="b">
        <f>(VLOOKUP(Requirements!I72,Scope[[Role]:[Description]],2,FALSE)="In")</f>
        <v>1</v>
      </c>
      <c r="T70" s="87">
        <f t="shared" si="3"/>
        <v>0</v>
      </c>
    </row>
    <row r="71" spans="1:60">
      <c r="A71" s="44" t="str">
        <f>Requirements!A73</f>
        <v>MS-SMB_R9008</v>
      </c>
      <c r="B71" s="87"/>
      <c r="C71" s="87"/>
      <c r="D71" s="87"/>
      <c r="E71" s="87"/>
      <c r="F71" s="87"/>
      <c r="G71" s="87"/>
      <c r="H71" s="87"/>
      <c r="I71" s="87"/>
      <c r="J71" s="87"/>
      <c r="K71" s="87"/>
      <c r="L71" s="87"/>
      <c r="M71" s="87"/>
      <c r="N71" s="87">
        <f t="shared" si="0"/>
        <v>0</v>
      </c>
      <c r="O71" s="87">
        <f t="shared" si="1"/>
        <v>0</v>
      </c>
      <c r="P71" s="87" t="b">
        <f t="shared" si="2"/>
        <v>0</v>
      </c>
      <c r="Q71" s="87" t="b">
        <f>(Requirements!K73="Normative")</f>
        <v>0</v>
      </c>
      <c r="R71" s="87" t="b">
        <f>AND(Requirements!L73&lt;&gt;"Non-testable",Requirements!L73&lt;&gt;"Deleted",Requirements!L73&lt;&gt;"")</f>
        <v>1</v>
      </c>
      <c r="S71" s="87" t="b">
        <f>(VLOOKUP(Requirements!I73,Scope[[Role]:[Description]],2,FALSE)="In")</f>
        <v>1</v>
      </c>
      <c r="T71" s="87">
        <f t="shared" si="3"/>
        <v>0</v>
      </c>
    </row>
    <row r="72" spans="1:60">
      <c r="A72" s="44" t="str">
        <f>Requirements!A74</f>
        <v>MS-SMB_R9009</v>
      </c>
      <c r="B72" s="87"/>
      <c r="C72" s="87"/>
      <c r="D72" s="87"/>
      <c r="E72" s="87"/>
      <c r="F72" s="87"/>
      <c r="G72" s="87"/>
      <c r="H72" s="87"/>
      <c r="I72" s="87"/>
      <c r="J72" s="87"/>
      <c r="K72" s="87"/>
      <c r="L72" s="87"/>
      <c r="M72" s="87"/>
      <c r="N72" s="87">
        <f t="shared" si="0"/>
        <v>0</v>
      </c>
      <c r="O72" s="87">
        <f t="shared" si="1"/>
        <v>0</v>
      </c>
      <c r="P72" s="87" t="b">
        <f t="shared" si="2"/>
        <v>0</v>
      </c>
      <c r="Q72" s="87" t="b">
        <f>(Requirements!K74="Normative")</f>
        <v>0</v>
      </c>
      <c r="R72" s="87" t="b">
        <f>AND(Requirements!L74&lt;&gt;"Non-testable",Requirements!L74&lt;&gt;"Deleted",Requirements!L74&lt;&gt;"")</f>
        <v>1</v>
      </c>
      <c r="S72" s="87" t="b">
        <f>(VLOOKUP(Requirements!I74,Scope[[Role]:[Description]],2,FALSE)="In")</f>
        <v>1</v>
      </c>
      <c r="T72" s="87">
        <f t="shared" si="3"/>
        <v>0</v>
      </c>
    </row>
    <row r="73" spans="1:60">
      <c r="A73" s="44" t="str">
        <f>Requirements!A75</f>
        <v>MS-SMB_R9010</v>
      </c>
      <c r="B73" s="87"/>
      <c r="C73" s="87"/>
      <c r="D73" s="87"/>
      <c r="E73" s="87"/>
      <c r="F73" s="87"/>
      <c r="G73" s="87"/>
      <c r="H73" s="87"/>
      <c r="I73" s="87"/>
      <c r="J73" s="87"/>
      <c r="K73" s="87"/>
      <c r="L73" s="87"/>
      <c r="M73" s="87"/>
      <c r="N73" s="87">
        <f t="shared" si="0"/>
        <v>0</v>
      </c>
      <c r="O73" s="87">
        <f t="shared" si="1"/>
        <v>0</v>
      </c>
      <c r="P73" s="87" t="b">
        <f t="shared" si="2"/>
        <v>0</v>
      </c>
      <c r="Q73" s="87" t="b">
        <f>(Requirements!K75="Normative")</f>
        <v>0</v>
      </c>
      <c r="R73" s="87" t="b">
        <f>AND(Requirements!L75&lt;&gt;"Non-testable",Requirements!L75&lt;&gt;"Deleted",Requirements!L75&lt;&gt;"")</f>
        <v>1</v>
      </c>
      <c r="S73" s="87" t="b">
        <f>(VLOOKUP(Requirements!I75,Scope[[Role]:[Description]],2,FALSE)="In")</f>
        <v>1</v>
      </c>
      <c r="T73" s="87">
        <f t="shared" si="3"/>
        <v>0</v>
      </c>
    </row>
    <row r="74" spans="1:60">
      <c r="A74" s="44" t="str">
        <f>Requirements!A76</f>
        <v>MS-SMB_R9011</v>
      </c>
      <c r="B74" s="87"/>
      <c r="C74" s="87"/>
      <c r="D74" s="87"/>
      <c r="E74" s="87"/>
      <c r="F74" s="87"/>
      <c r="G74" s="87"/>
      <c r="H74" s="87"/>
      <c r="I74" s="87"/>
      <c r="J74" s="87"/>
      <c r="K74" s="87"/>
      <c r="L74" s="87"/>
      <c r="M74" s="87"/>
      <c r="N74" s="87">
        <f t="shared" si="0"/>
        <v>0</v>
      </c>
      <c r="O74" s="87">
        <f t="shared" si="1"/>
        <v>0</v>
      </c>
      <c r="P74" s="87" t="b">
        <f t="shared" si="2"/>
        <v>0</v>
      </c>
      <c r="Q74" s="87" t="b">
        <f>(Requirements!K76="Normative")</f>
        <v>0</v>
      </c>
      <c r="R74" s="87" t="b">
        <f>AND(Requirements!L76&lt;&gt;"Non-testable",Requirements!L76&lt;&gt;"Deleted",Requirements!L76&lt;&gt;"")</f>
        <v>1</v>
      </c>
      <c r="S74" s="87" t="b">
        <f>(VLOOKUP(Requirements!I76,Scope[[Role]:[Description]],2,FALSE)="In")</f>
        <v>1</v>
      </c>
      <c r="T74" s="87">
        <f t="shared" si="3"/>
        <v>0</v>
      </c>
    </row>
    <row r="75" spans="1:60">
      <c r="A75" s="44" t="str">
        <f>Requirements!A77</f>
        <v>MS-SMB_R9012</v>
      </c>
      <c r="B75" s="87"/>
      <c r="C75" s="87"/>
      <c r="D75" s="87"/>
      <c r="E75" s="87"/>
      <c r="F75" s="87"/>
      <c r="G75" s="87"/>
      <c r="H75" s="87"/>
      <c r="I75" s="87"/>
      <c r="J75" s="87"/>
      <c r="K75" s="87"/>
      <c r="L75" s="87"/>
      <c r="M75" s="87"/>
      <c r="N75" s="87">
        <f t="shared" si="0"/>
        <v>0</v>
      </c>
      <c r="O75" s="87">
        <f t="shared" si="1"/>
        <v>0</v>
      </c>
      <c r="P75" s="87" t="b">
        <f t="shared" si="2"/>
        <v>0</v>
      </c>
      <c r="Q75" s="87" t="b">
        <f>(Requirements!K77="Normative")</f>
        <v>0</v>
      </c>
      <c r="R75" s="87" t="b">
        <f>AND(Requirements!L77&lt;&gt;"Non-testable",Requirements!L77&lt;&gt;"Deleted",Requirements!L77&lt;&gt;"")</f>
        <v>1</v>
      </c>
      <c r="S75" s="87" t="b">
        <f>(VLOOKUP(Requirements!I77,Scope[[Role]:[Description]],2,FALSE)="In")</f>
        <v>1</v>
      </c>
      <c r="T75" s="87">
        <f t="shared" si="3"/>
        <v>0</v>
      </c>
    </row>
    <row r="76" spans="1:60">
      <c r="A76" s="44" t="str">
        <f>Requirements!A78</f>
        <v>MS-SMB_R9013</v>
      </c>
      <c r="B76" s="87"/>
      <c r="C76" s="87"/>
      <c r="D76" s="87"/>
      <c r="E76" s="87"/>
      <c r="F76" s="87"/>
      <c r="G76" s="87"/>
      <c r="H76" s="87"/>
      <c r="I76" s="87"/>
      <c r="J76" s="87"/>
      <c r="K76" s="87"/>
      <c r="L76" s="87"/>
      <c r="M76" s="87"/>
      <c r="N76" s="87">
        <f t="shared" si="0"/>
        <v>0</v>
      </c>
      <c r="O76" s="87">
        <f t="shared" si="1"/>
        <v>0</v>
      </c>
      <c r="P76" s="87" t="b">
        <f t="shared" si="2"/>
        <v>0</v>
      </c>
      <c r="Q76" s="87" t="b">
        <f>(Requirements!K78="Normative")</f>
        <v>0</v>
      </c>
      <c r="R76" s="87" t="b">
        <f>AND(Requirements!L78&lt;&gt;"Non-testable",Requirements!L78&lt;&gt;"Deleted",Requirements!L78&lt;&gt;"")</f>
        <v>1</v>
      </c>
      <c r="S76" s="87" t="b">
        <f>(VLOOKUP(Requirements!I78,Scope[[Role]:[Description]],2,FALSE)="In")</f>
        <v>1</v>
      </c>
      <c r="T76" s="87">
        <f t="shared" si="3"/>
        <v>0</v>
      </c>
    </row>
    <row r="77" spans="1:60">
      <c r="A77" s="44" t="str">
        <f>Requirements!A79</f>
        <v>MS-SMB_R9014</v>
      </c>
      <c r="B77" s="87"/>
      <c r="C77" s="87"/>
      <c r="D77" s="87"/>
      <c r="E77" s="87"/>
      <c r="F77" s="87"/>
      <c r="G77" s="87"/>
      <c r="H77" s="87"/>
      <c r="I77" s="87"/>
      <c r="J77" s="87"/>
      <c r="K77" s="87"/>
      <c r="L77" s="87"/>
      <c r="M77" s="87"/>
      <c r="N77" s="87">
        <f t="shared" si="0"/>
        <v>0</v>
      </c>
      <c r="O77" s="87">
        <f t="shared" si="1"/>
        <v>0</v>
      </c>
      <c r="P77" s="87" t="b">
        <f t="shared" si="2"/>
        <v>0</v>
      </c>
      <c r="Q77" s="87" t="b">
        <f>(Requirements!K79="Normative")</f>
        <v>0</v>
      </c>
      <c r="R77" s="87" t="b">
        <f>AND(Requirements!L79&lt;&gt;"Non-testable",Requirements!L79&lt;&gt;"Deleted",Requirements!L79&lt;&gt;"")</f>
        <v>1</v>
      </c>
      <c r="S77" s="87" t="b">
        <f>(VLOOKUP(Requirements!I79,Scope[[Role]:[Description]],2,FALSE)="In")</f>
        <v>1</v>
      </c>
      <c r="T77" s="87">
        <f t="shared" si="3"/>
        <v>0</v>
      </c>
    </row>
    <row r="78" spans="1:60">
      <c r="A78" s="44" t="str">
        <f>Requirements!A80</f>
        <v>MS-SMB_R9015</v>
      </c>
      <c r="B78" s="87"/>
      <c r="C78" s="87"/>
      <c r="D78" s="87"/>
      <c r="E78" s="87"/>
      <c r="F78" s="87"/>
      <c r="G78" s="87"/>
      <c r="H78" s="87"/>
      <c r="I78" s="87"/>
      <c r="J78" s="87"/>
      <c r="K78" s="87"/>
      <c r="L78" s="87"/>
      <c r="M78" s="87"/>
      <c r="N78" s="87">
        <f t="shared" si="0"/>
        <v>0</v>
      </c>
      <c r="O78" s="87">
        <f t="shared" si="1"/>
        <v>0</v>
      </c>
      <c r="P78" s="87" t="b">
        <f t="shared" si="2"/>
        <v>0</v>
      </c>
      <c r="Q78" s="87" t="b">
        <f>(Requirements!K80="Normative")</f>
        <v>0</v>
      </c>
      <c r="R78" s="87" t="b">
        <f>AND(Requirements!L80&lt;&gt;"Non-testable",Requirements!L80&lt;&gt;"Deleted",Requirements!L80&lt;&gt;"")</f>
        <v>1</v>
      </c>
      <c r="S78" s="87" t="b">
        <f>(VLOOKUP(Requirements!I80,Scope[[Role]:[Description]],2,FALSE)="In")</f>
        <v>1</v>
      </c>
      <c r="T78" s="87">
        <f t="shared" si="3"/>
        <v>0</v>
      </c>
    </row>
    <row r="79" spans="1:60">
      <c r="A79" s="44" t="str">
        <f>Requirements!A81</f>
        <v>MS-SMB_R9016</v>
      </c>
      <c r="B79" s="87"/>
      <c r="C79" s="87"/>
      <c r="D79" s="87"/>
      <c r="E79" s="87"/>
      <c r="F79" s="87"/>
      <c r="G79" s="87"/>
      <c r="H79" s="87"/>
      <c r="I79" s="87"/>
      <c r="J79" s="87"/>
      <c r="K79" s="87"/>
      <c r="L79" s="87"/>
      <c r="M79" s="87"/>
      <c r="N79" s="87">
        <f t="shared" si="0"/>
        <v>0</v>
      </c>
      <c r="O79" s="87">
        <f t="shared" si="1"/>
        <v>0</v>
      </c>
      <c r="P79" s="87" t="b">
        <f t="shared" si="2"/>
        <v>0</v>
      </c>
      <c r="Q79" s="87" t="b">
        <f>(Requirements!K81="Normative")</f>
        <v>0</v>
      </c>
      <c r="R79" s="87" t="b">
        <f>AND(Requirements!L81&lt;&gt;"Non-testable",Requirements!L81&lt;&gt;"Deleted",Requirements!L81&lt;&gt;"")</f>
        <v>1</v>
      </c>
      <c r="S79" s="87" t="b">
        <f>(VLOOKUP(Requirements!I81,Scope[[Role]:[Description]],2,FALSE)="In")</f>
        <v>1</v>
      </c>
      <c r="T79" s="87">
        <f t="shared" si="3"/>
        <v>0</v>
      </c>
    </row>
    <row r="80" spans="1:60">
      <c r="A80" s="44" t="str">
        <f>Requirements!A82</f>
        <v>MS-SMB_R9017</v>
      </c>
      <c r="B80" s="87"/>
      <c r="C80" s="87"/>
      <c r="D80" s="87"/>
      <c r="E80" s="87"/>
      <c r="F80" s="87"/>
      <c r="G80" s="87"/>
      <c r="H80" s="87"/>
      <c r="I80" s="87"/>
      <c r="J80" s="87"/>
      <c r="K80" s="87"/>
      <c r="L80" s="87"/>
      <c r="M80" s="87"/>
      <c r="N80" s="87">
        <f t="shared" si="0"/>
        <v>0</v>
      </c>
      <c r="O80" s="87">
        <f t="shared" si="1"/>
        <v>0</v>
      </c>
      <c r="P80" s="87" t="b">
        <f t="shared" si="2"/>
        <v>0</v>
      </c>
      <c r="Q80" s="87" t="b">
        <f>(Requirements!K82="Normative")</f>
        <v>0</v>
      </c>
      <c r="R80" s="87" t="b">
        <f>AND(Requirements!L82&lt;&gt;"Non-testable",Requirements!L82&lt;&gt;"Deleted",Requirements!L82&lt;&gt;"")</f>
        <v>1</v>
      </c>
      <c r="S80" s="87" t="b">
        <f>(VLOOKUP(Requirements!I82,Scope[[Role]:[Description]],2,FALSE)="In")</f>
        <v>1</v>
      </c>
      <c r="T80" s="87">
        <f t="shared" si="3"/>
        <v>0</v>
      </c>
    </row>
    <row r="81" spans="1:20">
      <c r="A81" s="44" t="str">
        <f>Requirements!A83</f>
        <v>MS-SMB_R9018</v>
      </c>
      <c r="B81" s="87"/>
      <c r="C81" s="87"/>
      <c r="D81" s="87"/>
      <c r="E81" s="87"/>
      <c r="F81" s="87"/>
      <c r="G81" s="87"/>
      <c r="H81" s="87"/>
      <c r="I81" s="87"/>
      <c r="J81" s="87"/>
      <c r="K81" s="87"/>
      <c r="L81" s="87"/>
      <c r="M81" s="87"/>
      <c r="N81" s="87">
        <f t="shared" si="0"/>
        <v>0</v>
      </c>
      <c r="O81" s="87">
        <f t="shared" si="1"/>
        <v>0</v>
      </c>
      <c r="P81" s="87" t="b">
        <f t="shared" si="2"/>
        <v>0</v>
      </c>
      <c r="Q81" s="87" t="b">
        <f>(Requirements!K83="Normative")</f>
        <v>0</v>
      </c>
      <c r="R81" s="87" t="b">
        <f>AND(Requirements!L83&lt;&gt;"Non-testable",Requirements!L83&lt;&gt;"Deleted",Requirements!L83&lt;&gt;"")</f>
        <v>1</v>
      </c>
      <c r="S81" s="87" t="b">
        <f>(VLOOKUP(Requirements!I83,Scope[[Role]:[Description]],2,FALSE)="In")</f>
        <v>1</v>
      </c>
      <c r="T81" s="87">
        <f t="shared" si="3"/>
        <v>0</v>
      </c>
    </row>
    <row r="82" spans="1:20">
      <c r="A82" s="44" t="str">
        <f>Requirements!A84</f>
        <v>MS-SMB_R9019</v>
      </c>
      <c r="B82" s="87"/>
      <c r="C82" s="87"/>
      <c r="D82" s="87"/>
      <c r="E82" s="87"/>
      <c r="F82" s="87"/>
      <c r="G82" s="87"/>
      <c r="H82" s="87"/>
      <c r="I82" s="87"/>
      <c r="J82" s="87"/>
      <c r="K82" s="87"/>
      <c r="L82" s="87"/>
      <c r="M82" s="87"/>
      <c r="N82" s="87">
        <f t="shared" si="0"/>
        <v>0</v>
      </c>
      <c r="O82" s="87">
        <f t="shared" si="1"/>
        <v>0</v>
      </c>
      <c r="P82" s="87" t="b">
        <f t="shared" si="2"/>
        <v>0</v>
      </c>
      <c r="Q82" s="87" t="b">
        <f>(Requirements!K84="Normative")</f>
        <v>0</v>
      </c>
      <c r="R82" s="87" t="b">
        <f>AND(Requirements!L84&lt;&gt;"Non-testable",Requirements!L84&lt;&gt;"Deleted",Requirements!L84&lt;&gt;"")</f>
        <v>1</v>
      </c>
      <c r="S82" s="87" t="b">
        <f>(VLOOKUP(Requirements!I84,Scope[[Role]:[Description]],2,FALSE)="In")</f>
        <v>1</v>
      </c>
      <c r="T82" s="87">
        <f t="shared" si="3"/>
        <v>0</v>
      </c>
    </row>
    <row r="83" spans="1:20">
      <c r="A83" s="44" t="str">
        <f>Requirements!A85</f>
        <v>MS-SMB_R9020</v>
      </c>
      <c r="B83" s="87"/>
      <c r="C83" s="87"/>
      <c r="D83" s="87"/>
      <c r="E83" s="87"/>
      <c r="F83" s="87"/>
      <c r="G83" s="87"/>
      <c r="H83" s="87"/>
      <c r="I83" s="87"/>
      <c r="J83" s="87"/>
      <c r="K83" s="87"/>
      <c r="L83" s="87"/>
      <c r="M83" s="87"/>
      <c r="N83" s="87">
        <f t="shared" si="0"/>
        <v>0</v>
      </c>
      <c r="O83" s="87">
        <f t="shared" si="1"/>
        <v>0</v>
      </c>
      <c r="P83" s="87" t="b">
        <f t="shared" si="2"/>
        <v>0</v>
      </c>
      <c r="Q83" s="87" t="b">
        <f>(Requirements!K85="Normative")</f>
        <v>0</v>
      </c>
      <c r="R83" s="87" t="b">
        <f>AND(Requirements!L85&lt;&gt;"Non-testable",Requirements!L85&lt;&gt;"Deleted",Requirements!L85&lt;&gt;"")</f>
        <v>1</v>
      </c>
      <c r="S83" s="87" t="b">
        <f>(VLOOKUP(Requirements!I85,Scope[[Role]:[Description]],2,FALSE)="In")</f>
        <v>1</v>
      </c>
      <c r="T83" s="87">
        <f t="shared" si="3"/>
        <v>0</v>
      </c>
    </row>
    <row r="84" spans="1:20">
      <c r="A84" s="44" t="str">
        <f>Requirements!A86</f>
        <v>MS-SMB_R9021</v>
      </c>
      <c r="B84" s="87"/>
      <c r="C84" s="87"/>
      <c r="D84" s="87"/>
      <c r="E84" s="87"/>
      <c r="F84" s="87"/>
      <c r="G84" s="87"/>
      <c r="H84" s="87"/>
      <c r="I84" s="87"/>
      <c r="J84" s="87"/>
      <c r="K84" s="87"/>
      <c r="L84" s="87"/>
      <c r="M84" s="87"/>
      <c r="N84" s="87">
        <f t="shared" ref="N84:N147" si="4">SUM(B84:M84)</f>
        <v>0</v>
      </c>
      <c r="O84" s="87">
        <f t="shared" ref="O84:O147" si="5">IF(N84=0,0,1)</f>
        <v>0</v>
      </c>
      <c r="P84" s="87" t="b">
        <f t="shared" ref="P84:P147" si="6">AND(Q84:S84)</f>
        <v>0</v>
      </c>
      <c r="Q84" s="87" t="b">
        <f>(Requirements!K86="Normative")</f>
        <v>0</v>
      </c>
      <c r="R84" s="87" t="b">
        <f>AND(Requirements!L86&lt;&gt;"Non-testable",Requirements!L86&lt;&gt;"Deleted",Requirements!L86&lt;&gt;"")</f>
        <v>1</v>
      </c>
      <c r="S84" s="87" t="b">
        <f>(VLOOKUP(Requirements!I86,Scope[[Role]:[Description]],2,FALSE)="In")</f>
        <v>1</v>
      </c>
      <c r="T84" s="87">
        <f t="shared" ref="T84:T147" si="7">IF(P84,O84, 0)</f>
        <v>0</v>
      </c>
    </row>
    <row r="85" spans="1:20">
      <c r="A85" s="44" t="str">
        <f>Requirements!A87</f>
        <v>MS-SMB_R9022</v>
      </c>
      <c r="B85" s="87"/>
      <c r="C85" s="87"/>
      <c r="D85" s="87"/>
      <c r="E85" s="87"/>
      <c r="F85" s="87"/>
      <c r="G85" s="87"/>
      <c r="H85" s="87"/>
      <c r="I85" s="87"/>
      <c r="J85" s="87"/>
      <c r="K85" s="87"/>
      <c r="L85" s="87"/>
      <c r="M85" s="87"/>
      <c r="N85" s="87">
        <f t="shared" si="4"/>
        <v>0</v>
      </c>
      <c r="O85" s="87">
        <f t="shared" si="5"/>
        <v>0</v>
      </c>
      <c r="P85" s="87" t="b">
        <f t="shared" si="6"/>
        <v>0</v>
      </c>
      <c r="Q85" s="87" t="b">
        <f>(Requirements!K87="Normative")</f>
        <v>0</v>
      </c>
      <c r="R85" s="87" t="b">
        <f>AND(Requirements!L87&lt;&gt;"Non-testable",Requirements!L87&lt;&gt;"Deleted",Requirements!L87&lt;&gt;"")</f>
        <v>1</v>
      </c>
      <c r="S85" s="87" t="b">
        <f>(VLOOKUP(Requirements!I87,Scope[[Role]:[Description]],2,FALSE)="In")</f>
        <v>1</v>
      </c>
      <c r="T85" s="87">
        <f t="shared" si="7"/>
        <v>0</v>
      </c>
    </row>
    <row r="86" spans="1:20">
      <c r="A86" s="44" t="str">
        <f>Requirements!A88</f>
        <v>MS-SMB_R9023</v>
      </c>
      <c r="B86" s="87"/>
      <c r="C86" s="87"/>
      <c r="D86" s="87"/>
      <c r="E86" s="87"/>
      <c r="F86" s="87"/>
      <c r="G86" s="87"/>
      <c r="H86" s="87"/>
      <c r="I86" s="87"/>
      <c r="J86" s="87"/>
      <c r="K86" s="87"/>
      <c r="L86" s="87"/>
      <c r="M86" s="87"/>
      <c r="N86" s="87">
        <f t="shared" si="4"/>
        <v>0</v>
      </c>
      <c r="O86" s="87">
        <f t="shared" si="5"/>
        <v>0</v>
      </c>
      <c r="P86" s="87" t="b">
        <f t="shared" si="6"/>
        <v>0</v>
      </c>
      <c r="Q86" s="87" t="b">
        <f>(Requirements!K88="Normative")</f>
        <v>0</v>
      </c>
      <c r="R86" s="87" t="b">
        <f>AND(Requirements!L88&lt;&gt;"Non-testable",Requirements!L88&lt;&gt;"Deleted",Requirements!L88&lt;&gt;"")</f>
        <v>1</v>
      </c>
      <c r="S86" s="87" t="b">
        <f>(VLOOKUP(Requirements!I88,Scope[[Role]:[Description]],2,FALSE)="In")</f>
        <v>1</v>
      </c>
      <c r="T86" s="87">
        <f t="shared" si="7"/>
        <v>0</v>
      </c>
    </row>
    <row r="87" spans="1:20">
      <c r="A87" s="84" t="str">
        <f>Requirements!A89</f>
        <v>MS-SMB_R9024</v>
      </c>
      <c r="B87" s="87">
        <v>1</v>
      </c>
      <c r="C87" s="87"/>
      <c r="D87" s="87"/>
      <c r="E87" s="87"/>
      <c r="F87" s="87"/>
      <c r="G87" s="87"/>
      <c r="H87" s="87"/>
      <c r="I87" s="87"/>
      <c r="J87" s="87"/>
      <c r="K87" s="87"/>
      <c r="L87" s="87"/>
      <c r="M87" s="87"/>
      <c r="N87" s="87">
        <f t="shared" si="4"/>
        <v>1</v>
      </c>
      <c r="O87" s="60">
        <f t="shared" si="5"/>
        <v>1</v>
      </c>
      <c r="P87" s="60" t="b">
        <f t="shared" si="6"/>
        <v>1</v>
      </c>
      <c r="Q87" s="87" t="b">
        <f>(Requirements!K89="Normative")</f>
        <v>1</v>
      </c>
      <c r="R87" s="87" t="b">
        <f>AND(Requirements!L89&lt;&gt;"Non-testable",Requirements!L89&lt;&gt;"Deleted",Requirements!L89&lt;&gt;"")</f>
        <v>1</v>
      </c>
      <c r="S87" s="87" t="b">
        <f>(VLOOKUP(Requirements!I89,Scope[[Role]:[Description]],2,FALSE)="In")</f>
        <v>1</v>
      </c>
      <c r="T87" s="87">
        <f t="shared" si="7"/>
        <v>1</v>
      </c>
    </row>
    <row r="88" spans="1:20">
      <c r="A88" s="84" t="str">
        <f>Requirements!A90</f>
        <v>MS-SMB_R109024</v>
      </c>
      <c r="B88" s="87">
        <v>1</v>
      </c>
      <c r="C88" s="87"/>
      <c r="D88" s="87"/>
      <c r="E88" s="87"/>
      <c r="F88" s="87"/>
      <c r="G88" s="87"/>
      <c r="H88" s="87"/>
      <c r="I88" s="87"/>
      <c r="J88" s="87"/>
      <c r="K88" s="87"/>
      <c r="L88" s="87"/>
      <c r="M88" s="87"/>
      <c r="N88" s="87">
        <f t="shared" si="4"/>
        <v>1</v>
      </c>
      <c r="O88" s="60">
        <f t="shared" si="5"/>
        <v>1</v>
      </c>
      <c r="P88" s="60" t="b">
        <f t="shared" si="6"/>
        <v>1</v>
      </c>
      <c r="Q88" s="87" t="b">
        <f>(Requirements!K90="Normative")</f>
        <v>1</v>
      </c>
      <c r="R88" s="87" t="b">
        <f>AND(Requirements!L90&lt;&gt;"Non-testable",Requirements!L90&lt;&gt;"Deleted",Requirements!L90&lt;&gt;"")</f>
        <v>1</v>
      </c>
      <c r="S88" s="87" t="b">
        <f>(VLOOKUP(Requirements!I90,Scope[[Role]:[Description]],2,FALSE)="In")</f>
        <v>1</v>
      </c>
      <c r="T88" s="87">
        <f t="shared" si="7"/>
        <v>1</v>
      </c>
    </row>
    <row r="89" spans="1:20">
      <c r="A89" s="44" t="str">
        <f>Requirements!A91</f>
        <v>MS-SMB_R9025</v>
      </c>
      <c r="B89" s="87"/>
      <c r="C89" s="87"/>
      <c r="D89" s="87"/>
      <c r="E89" s="87"/>
      <c r="F89" s="87"/>
      <c r="G89" s="87"/>
      <c r="H89" s="87"/>
      <c r="I89" s="87"/>
      <c r="J89" s="87"/>
      <c r="K89" s="87"/>
      <c r="L89" s="87"/>
      <c r="M89" s="87"/>
      <c r="N89" s="87">
        <f t="shared" si="4"/>
        <v>0</v>
      </c>
      <c r="O89" s="87">
        <f t="shared" si="5"/>
        <v>0</v>
      </c>
      <c r="P89" s="87" t="b">
        <f t="shared" si="6"/>
        <v>0</v>
      </c>
      <c r="Q89" s="87" t="b">
        <f>(Requirements!K91="Normative")</f>
        <v>0</v>
      </c>
      <c r="R89" s="87" t="b">
        <f>AND(Requirements!L91&lt;&gt;"Non-testable",Requirements!L91&lt;&gt;"Deleted",Requirements!L91&lt;&gt;"")</f>
        <v>1</v>
      </c>
      <c r="S89" s="87" t="b">
        <f>(VLOOKUP(Requirements!I91,Scope[[Role]:[Description]],2,FALSE)="In")</f>
        <v>1</v>
      </c>
      <c r="T89" s="87">
        <f t="shared" si="7"/>
        <v>0</v>
      </c>
    </row>
    <row r="90" spans="1:20">
      <c r="A90" s="85" t="str">
        <f>Requirements!A92</f>
        <v>MS-SMB_R9026</v>
      </c>
      <c r="B90" s="87"/>
      <c r="C90" s="87"/>
      <c r="D90" s="87"/>
      <c r="E90" s="87"/>
      <c r="F90" s="87"/>
      <c r="G90" s="87"/>
      <c r="H90" s="87"/>
      <c r="I90" s="87"/>
      <c r="J90" s="87"/>
      <c r="K90" s="87"/>
      <c r="L90" s="87"/>
      <c r="M90" s="87"/>
      <c r="N90" s="87">
        <f t="shared" si="4"/>
        <v>0</v>
      </c>
      <c r="O90" s="61">
        <f t="shared" si="5"/>
        <v>0</v>
      </c>
      <c r="P90" s="61" t="b">
        <f t="shared" si="6"/>
        <v>1</v>
      </c>
      <c r="Q90" s="87" t="b">
        <f>(Requirements!K92="Normative")</f>
        <v>1</v>
      </c>
      <c r="R90" s="87" t="b">
        <f>AND(Requirements!L92&lt;&gt;"Non-testable",Requirements!L92&lt;&gt;"Deleted",Requirements!L92&lt;&gt;"")</f>
        <v>1</v>
      </c>
      <c r="S90" s="87" t="b">
        <f>(VLOOKUP(Requirements!I92,Scope[[Role]:[Description]],2,FALSE)="In")</f>
        <v>1</v>
      </c>
      <c r="T90" s="87">
        <f t="shared" si="7"/>
        <v>0</v>
      </c>
    </row>
    <row r="91" spans="1:20">
      <c r="A91" s="44" t="str">
        <f>Requirements!A93</f>
        <v>MS-SMB_R9027</v>
      </c>
      <c r="B91" s="87"/>
      <c r="C91" s="87"/>
      <c r="D91" s="87"/>
      <c r="E91" s="87"/>
      <c r="F91" s="87"/>
      <c r="G91" s="87"/>
      <c r="H91" s="87"/>
      <c r="I91" s="87"/>
      <c r="J91" s="87"/>
      <c r="K91" s="87"/>
      <c r="L91" s="87"/>
      <c r="M91" s="87"/>
      <c r="N91" s="87">
        <f t="shared" si="4"/>
        <v>0</v>
      </c>
      <c r="O91" s="87">
        <f t="shared" si="5"/>
        <v>0</v>
      </c>
      <c r="P91" s="87" t="b">
        <f t="shared" si="6"/>
        <v>0</v>
      </c>
      <c r="Q91" s="87" t="b">
        <f>(Requirements!K93="Normative")</f>
        <v>1</v>
      </c>
      <c r="R91" s="87" t="b">
        <f>AND(Requirements!L93&lt;&gt;"Non-testable",Requirements!L93&lt;&gt;"Deleted",Requirements!L93&lt;&gt;"")</f>
        <v>0</v>
      </c>
      <c r="S91" s="87" t="b">
        <f>(VLOOKUP(Requirements!I93,Scope[[Role]:[Description]],2,FALSE)="In")</f>
        <v>1</v>
      </c>
      <c r="T91" s="87">
        <f t="shared" si="7"/>
        <v>0</v>
      </c>
    </row>
    <row r="92" spans="1:20">
      <c r="A92" s="84" t="str">
        <f>Requirements!A94</f>
        <v>MS-SMB_R109027</v>
      </c>
      <c r="B92" s="87"/>
      <c r="C92" s="87"/>
      <c r="D92" s="87"/>
      <c r="E92" s="87"/>
      <c r="F92" s="87"/>
      <c r="G92" s="87"/>
      <c r="H92" s="87"/>
      <c r="I92" s="87">
        <v>1</v>
      </c>
      <c r="J92" s="87"/>
      <c r="K92" s="87"/>
      <c r="L92" s="87"/>
      <c r="M92" s="87"/>
      <c r="N92" s="87">
        <f t="shared" si="4"/>
        <v>1</v>
      </c>
      <c r="O92" s="60">
        <f t="shared" si="5"/>
        <v>1</v>
      </c>
      <c r="P92" s="60" t="b">
        <f t="shared" si="6"/>
        <v>1</v>
      </c>
      <c r="Q92" s="87" t="b">
        <f>(Requirements!K94="Normative")</f>
        <v>1</v>
      </c>
      <c r="R92" s="87" t="b">
        <f>AND(Requirements!L94&lt;&gt;"Non-testable",Requirements!L94&lt;&gt;"Deleted",Requirements!L94&lt;&gt;"")</f>
        <v>1</v>
      </c>
      <c r="S92" s="87" t="b">
        <f>(VLOOKUP(Requirements!I94,Scope[[Role]:[Description]],2,FALSE)="In")</f>
        <v>1</v>
      </c>
      <c r="T92" s="87">
        <f t="shared" si="7"/>
        <v>1</v>
      </c>
    </row>
    <row r="93" spans="1:20">
      <c r="A93" s="44" t="str">
        <f>Requirements!A95</f>
        <v>MS-SMB_R9028</v>
      </c>
      <c r="B93" s="87"/>
      <c r="C93" s="87"/>
      <c r="D93" s="87"/>
      <c r="E93" s="87"/>
      <c r="F93" s="87"/>
      <c r="G93" s="87"/>
      <c r="H93" s="87"/>
      <c r="I93" s="87"/>
      <c r="J93" s="87"/>
      <c r="K93" s="87"/>
      <c r="L93" s="87"/>
      <c r="M93" s="87"/>
      <c r="N93" s="87">
        <f t="shared" si="4"/>
        <v>0</v>
      </c>
      <c r="O93" s="87">
        <f t="shared" si="5"/>
        <v>0</v>
      </c>
      <c r="P93" s="87" t="b">
        <f t="shared" si="6"/>
        <v>0</v>
      </c>
      <c r="Q93" s="87" t="b">
        <f>(Requirements!K95="Normative")</f>
        <v>0</v>
      </c>
      <c r="R93" s="87" t="b">
        <f>AND(Requirements!L95&lt;&gt;"Non-testable",Requirements!L95&lt;&gt;"Deleted",Requirements!L95&lt;&gt;"")</f>
        <v>1</v>
      </c>
      <c r="S93" s="87" t="b">
        <f>(VLOOKUP(Requirements!I95,Scope[[Role]:[Description]],2,FALSE)="In")</f>
        <v>1</v>
      </c>
      <c r="T93" s="87">
        <f t="shared" si="7"/>
        <v>0</v>
      </c>
    </row>
    <row r="94" spans="1:20">
      <c r="A94" s="44" t="str">
        <f>Requirements!A96</f>
        <v>MS-SMB_R9029</v>
      </c>
      <c r="B94" s="87"/>
      <c r="C94" s="87"/>
      <c r="D94" s="87"/>
      <c r="E94" s="87"/>
      <c r="F94" s="87"/>
      <c r="G94" s="87"/>
      <c r="H94" s="87"/>
      <c r="I94" s="87"/>
      <c r="J94" s="87"/>
      <c r="K94" s="87"/>
      <c r="L94" s="87"/>
      <c r="M94" s="87"/>
      <c r="N94" s="87">
        <f t="shared" si="4"/>
        <v>0</v>
      </c>
      <c r="O94" s="87">
        <f t="shared" si="5"/>
        <v>0</v>
      </c>
      <c r="P94" s="87" t="b">
        <f t="shared" si="6"/>
        <v>0</v>
      </c>
      <c r="Q94" s="87" t="b">
        <f>(Requirements!K96="Normative")</f>
        <v>0</v>
      </c>
      <c r="R94" s="87" t="b">
        <f>AND(Requirements!L96&lt;&gt;"Non-testable",Requirements!L96&lt;&gt;"Deleted",Requirements!L96&lt;&gt;"")</f>
        <v>1</v>
      </c>
      <c r="S94" s="87" t="b">
        <f>(VLOOKUP(Requirements!I96,Scope[[Role]:[Description]],2,FALSE)="In")</f>
        <v>1</v>
      </c>
      <c r="T94" s="87">
        <f t="shared" si="7"/>
        <v>0</v>
      </c>
    </row>
    <row r="95" spans="1:20">
      <c r="A95" s="44" t="str">
        <f>Requirements!A97</f>
        <v>MS-SMB_R9030</v>
      </c>
      <c r="B95" s="87"/>
      <c r="C95" s="87"/>
      <c r="D95" s="87"/>
      <c r="E95" s="87"/>
      <c r="F95" s="87"/>
      <c r="G95" s="87"/>
      <c r="H95" s="87"/>
      <c r="I95" s="87"/>
      <c r="J95" s="87"/>
      <c r="K95" s="87"/>
      <c r="L95" s="87"/>
      <c r="M95" s="87"/>
      <c r="N95" s="87">
        <f t="shared" si="4"/>
        <v>0</v>
      </c>
      <c r="O95" s="87">
        <f t="shared" si="5"/>
        <v>0</v>
      </c>
      <c r="P95" s="87" t="b">
        <f t="shared" si="6"/>
        <v>0</v>
      </c>
      <c r="Q95" s="87" t="b">
        <f>(Requirements!K97="Normative")</f>
        <v>0</v>
      </c>
      <c r="R95" s="87" t="b">
        <f>AND(Requirements!L97&lt;&gt;"Non-testable",Requirements!L97&lt;&gt;"Deleted",Requirements!L97&lt;&gt;"")</f>
        <v>1</v>
      </c>
      <c r="S95" s="87" t="b">
        <f>(VLOOKUP(Requirements!I97,Scope[[Role]:[Description]],2,FALSE)="In")</f>
        <v>1</v>
      </c>
      <c r="T95" s="87">
        <f t="shared" si="7"/>
        <v>0</v>
      </c>
    </row>
    <row r="96" spans="1:20">
      <c r="A96" s="44" t="str">
        <f>Requirements!A98</f>
        <v>MS-SMB_R9031</v>
      </c>
      <c r="B96" s="87"/>
      <c r="C96" s="87"/>
      <c r="D96" s="87"/>
      <c r="E96" s="87"/>
      <c r="F96" s="87"/>
      <c r="G96" s="87"/>
      <c r="H96" s="87"/>
      <c r="I96" s="87"/>
      <c r="J96" s="87"/>
      <c r="K96" s="87"/>
      <c r="L96" s="87"/>
      <c r="M96" s="87"/>
      <c r="N96" s="87">
        <f t="shared" si="4"/>
        <v>0</v>
      </c>
      <c r="O96" s="87">
        <f t="shared" si="5"/>
        <v>0</v>
      </c>
      <c r="P96" s="87" t="b">
        <f t="shared" si="6"/>
        <v>0</v>
      </c>
      <c r="Q96" s="87" t="b">
        <f>(Requirements!K98="Normative")</f>
        <v>0</v>
      </c>
      <c r="R96" s="87" t="b">
        <f>AND(Requirements!L98&lt;&gt;"Non-testable",Requirements!L98&lt;&gt;"Deleted",Requirements!L98&lt;&gt;"")</f>
        <v>1</v>
      </c>
      <c r="S96" s="87" t="b">
        <f>(VLOOKUP(Requirements!I98,Scope[[Role]:[Description]],2,FALSE)="In")</f>
        <v>1</v>
      </c>
      <c r="T96" s="87">
        <f t="shared" si="7"/>
        <v>0</v>
      </c>
    </row>
    <row r="97" spans="1:20">
      <c r="A97" s="85" t="str">
        <f>Requirements!A99</f>
        <v>MS-SMB_R9032</v>
      </c>
      <c r="B97" s="87"/>
      <c r="C97" s="87"/>
      <c r="D97" s="87"/>
      <c r="E97" s="87"/>
      <c r="F97" s="87"/>
      <c r="G97" s="87"/>
      <c r="H97" s="87"/>
      <c r="I97" s="87"/>
      <c r="J97" s="87"/>
      <c r="K97" s="87"/>
      <c r="L97" s="87"/>
      <c r="M97" s="87"/>
      <c r="N97" s="87">
        <f t="shared" si="4"/>
        <v>0</v>
      </c>
      <c r="O97" s="61">
        <f t="shared" si="5"/>
        <v>0</v>
      </c>
      <c r="P97" s="61" t="b">
        <f t="shared" si="6"/>
        <v>1</v>
      </c>
      <c r="Q97" s="87" t="b">
        <f>(Requirements!K99="Normative")</f>
        <v>1</v>
      </c>
      <c r="R97" s="87" t="b">
        <f>AND(Requirements!L99&lt;&gt;"Non-testable",Requirements!L99&lt;&gt;"Deleted",Requirements!L99&lt;&gt;"")</f>
        <v>1</v>
      </c>
      <c r="S97" s="87" t="b">
        <f>(VLOOKUP(Requirements!I99,Scope[[Role]:[Description]],2,FALSE)="In")</f>
        <v>1</v>
      </c>
      <c r="T97" s="87">
        <f t="shared" si="7"/>
        <v>0</v>
      </c>
    </row>
    <row r="98" spans="1:20">
      <c r="A98" s="44" t="str">
        <f>Requirements!A100</f>
        <v>MS-SMB_R9033</v>
      </c>
      <c r="B98" s="87"/>
      <c r="C98" s="87"/>
      <c r="D98" s="87"/>
      <c r="E98" s="87"/>
      <c r="F98" s="87"/>
      <c r="G98" s="87"/>
      <c r="H98" s="87"/>
      <c r="I98" s="87"/>
      <c r="J98" s="87"/>
      <c r="K98" s="87"/>
      <c r="L98" s="87"/>
      <c r="M98" s="87"/>
      <c r="N98" s="87">
        <f t="shared" si="4"/>
        <v>0</v>
      </c>
      <c r="O98" s="87">
        <f t="shared" si="5"/>
        <v>0</v>
      </c>
      <c r="P98" s="87" t="b">
        <f t="shared" si="6"/>
        <v>0</v>
      </c>
      <c r="Q98" s="87" t="b">
        <f>(Requirements!K100="Normative")</f>
        <v>1</v>
      </c>
      <c r="R98" s="87" t="b">
        <f>AND(Requirements!L100&lt;&gt;"Non-testable",Requirements!L100&lt;&gt;"Deleted",Requirements!L100&lt;&gt;"")</f>
        <v>0</v>
      </c>
      <c r="S98" s="87" t="b">
        <f>(VLOOKUP(Requirements!I100,Scope[[Role]:[Description]],2,FALSE)="In")</f>
        <v>1</v>
      </c>
      <c r="T98" s="87">
        <f t="shared" si="7"/>
        <v>0</v>
      </c>
    </row>
    <row r="99" spans="1:20">
      <c r="A99" s="84" t="str">
        <f>Requirements!A101</f>
        <v>MS-SMB_R109033</v>
      </c>
      <c r="B99" s="87"/>
      <c r="C99" s="87"/>
      <c r="D99" s="87"/>
      <c r="E99" s="87"/>
      <c r="F99" s="87"/>
      <c r="G99" s="87"/>
      <c r="H99" s="87"/>
      <c r="I99" s="87">
        <v>1</v>
      </c>
      <c r="J99" s="87"/>
      <c r="K99" s="87"/>
      <c r="L99" s="87"/>
      <c r="M99" s="87"/>
      <c r="N99" s="87">
        <f t="shared" si="4"/>
        <v>1</v>
      </c>
      <c r="O99" s="60">
        <f t="shared" si="5"/>
        <v>1</v>
      </c>
      <c r="P99" s="60" t="b">
        <f t="shared" si="6"/>
        <v>1</v>
      </c>
      <c r="Q99" s="87" t="b">
        <f>(Requirements!K101="Normative")</f>
        <v>1</v>
      </c>
      <c r="R99" s="87" t="b">
        <f>AND(Requirements!L101&lt;&gt;"Non-testable",Requirements!L101&lt;&gt;"Deleted",Requirements!L101&lt;&gt;"")</f>
        <v>1</v>
      </c>
      <c r="S99" s="87" t="b">
        <f>(VLOOKUP(Requirements!I101,Scope[[Role]:[Description]],2,FALSE)="In")</f>
        <v>1</v>
      </c>
      <c r="T99" s="87">
        <f t="shared" si="7"/>
        <v>1</v>
      </c>
    </row>
    <row r="100" spans="1:20">
      <c r="A100" s="44" t="str">
        <f>Requirements!A102</f>
        <v>MS-SMB_R9034</v>
      </c>
      <c r="B100" s="87"/>
      <c r="C100" s="87"/>
      <c r="D100" s="87"/>
      <c r="E100" s="87"/>
      <c r="F100" s="87"/>
      <c r="G100" s="87"/>
      <c r="H100" s="87"/>
      <c r="I100" s="87"/>
      <c r="J100" s="87"/>
      <c r="K100" s="87"/>
      <c r="L100" s="87"/>
      <c r="M100" s="87"/>
      <c r="N100" s="87">
        <f t="shared" si="4"/>
        <v>0</v>
      </c>
      <c r="O100" s="87">
        <f t="shared" si="5"/>
        <v>0</v>
      </c>
      <c r="P100" s="87" t="b">
        <f t="shared" si="6"/>
        <v>0</v>
      </c>
      <c r="Q100" s="87" t="b">
        <f>(Requirements!K102="Normative")</f>
        <v>0</v>
      </c>
      <c r="R100" s="87" t="b">
        <f>AND(Requirements!L102&lt;&gt;"Non-testable",Requirements!L102&lt;&gt;"Deleted",Requirements!L102&lt;&gt;"")</f>
        <v>1</v>
      </c>
      <c r="S100" s="87" t="b">
        <f>(VLOOKUP(Requirements!I102,Scope[[Role]:[Description]],2,FALSE)="In")</f>
        <v>1</v>
      </c>
      <c r="T100" s="87">
        <f t="shared" si="7"/>
        <v>0</v>
      </c>
    </row>
    <row r="101" spans="1:20">
      <c r="A101" s="44" t="str">
        <f>Requirements!A103</f>
        <v>MS-SMB_R9035</v>
      </c>
      <c r="B101" s="87"/>
      <c r="C101" s="87"/>
      <c r="D101" s="87"/>
      <c r="E101" s="87"/>
      <c r="F101" s="87"/>
      <c r="G101" s="87"/>
      <c r="H101" s="87"/>
      <c r="I101" s="87"/>
      <c r="J101" s="87"/>
      <c r="K101" s="87"/>
      <c r="L101" s="87"/>
      <c r="M101" s="87"/>
      <c r="N101" s="87">
        <f t="shared" si="4"/>
        <v>0</v>
      </c>
      <c r="O101" s="87">
        <f t="shared" si="5"/>
        <v>0</v>
      </c>
      <c r="P101" s="87" t="b">
        <f t="shared" si="6"/>
        <v>0</v>
      </c>
      <c r="Q101" s="87" t="b">
        <f>(Requirements!K103="Normative")</f>
        <v>0</v>
      </c>
      <c r="R101" s="87" t="b">
        <f>AND(Requirements!L103&lt;&gt;"Non-testable",Requirements!L103&lt;&gt;"Deleted",Requirements!L103&lt;&gt;"")</f>
        <v>1</v>
      </c>
      <c r="S101" s="87" t="b">
        <f>(VLOOKUP(Requirements!I103,Scope[[Role]:[Description]],2,FALSE)="In")</f>
        <v>1</v>
      </c>
      <c r="T101" s="87">
        <f t="shared" si="7"/>
        <v>0</v>
      </c>
    </row>
    <row r="102" spans="1:20">
      <c r="A102" s="44" t="str">
        <f>Requirements!A104</f>
        <v>MS-SMB_R9036</v>
      </c>
      <c r="B102" s="87"/>
      <c r="C102" s="87"/>
      <c r="D102" s="87"/>
      <c r="E102" s="87"/>
      <c r="F102" s="87"/>
      <c r="G102" s="87"/>
      <c r="H102" s="87"/>
      <c r="I102" s="87"/>
      <c r="J102" s="87"/>
      <c r="K102" s="87"/>
      <c r="L102" s="87"/>
      <c r="M102" s="87"/>
      <c r="N102" s="87">
        <f t="shared" si="4"/>
        <v>0</v>
      </c>
      <c r="O102" s="87">
        <f t="shared" si="5"/>
        <v>0</v>
      </c>
      <c r="P102" s="87" t="b">
        <f t="shared" si="6"/>
        <v>0</v>
      </c>
      <c r="Q102" s="87" t="b">
        <f>(Requirements!K104="Normative")</f>
        <v>0</v>
      </c>
      <c r="R102" s="87" t="b">
        <f>AND(Requirements!L104&lt;&gt;"Non-testable",Requirements!L104&lt;&gt;"Deleted",Requirements!L104&lt;&gt;"")</f>
        <v>1</v>
      </c>
      <c r="S102" s="87" t="b">
        <f>(VLOOKUP(Requirements!I104,Scope[[Role]:[Description]],2,FALSE)="In")</f>
        <v>1</v>
      </c>
      <c r="T102" s="87">
        <f t="shared" si="7"/>
        <v>0</v>
      </c>
    </row>
    <row r="103" spans="1:20">
      <c r="A103" s="44" t="str">
        <f>Requirements!A105</f>
        <v>MS-SMB_R9037</v>
      </c>
      <c r="B103" s="87"/>
      <c r="C103" s="87"/>
      <c r="D103" s="87"/>
      <c r="E103" s="87"/>
      <c r="F103" s="87"/>
      <c r="G103" s="87"/>
      <c r="H103" s="87"/>
      <c r="I103" s="87"/>
      <c r="J103" s="87"/>
      <c r="K103" s="87"/>
      <c r="L103" s="87"/>
      <c r="M103" s="87"/>
      <c r="N103" s="87">
        <f t="shared" si="4"/>
        <v>0</v>
      </c>
      <c r="O103" s="87">
        <f t="shared" si="5"/>
        <v>0</v>
      </c>
      <c r="P103" s="87" t="b">
        <f t="shared" si="6"/>
        <v>0</v>
      </c>
      <c r="Q103" s="87" t="b">
        <f>(Requirements!K105="Normative")</f>
        <v>0</v>
      </c>
      <c r="R103" s="87" t="b">
        <f>AND(Requirements!L105&lt;&gt;"Non-testable",Requirements!L105&lt;&gt;"Deleted",Requirements!L105&lt;&gt;"")</f>
        <v>1</v>
      </c>
      <c r="S103" s="87" t="b">
        <f>(VLOOKUP(Requirements!I105,Scope[[Role]:[Description]],2,FALSE)="In")</f>
        <v>1</v>
      </c>
      <c r="T103" s="87">
        <f t="shared" si="7"/>
        <v>0</v>
      </c>
    </row>
    <row r="104" spans="1:20">
      <c r="A104" s="44" t="str">
        <f>Requirements!A106</f>
        <v>MS-SMB_R9038</v>
      </c>
      <c r="B104" s="87"/>
      <c r="C104" s="87"/>
      <c r="D104" s="87"/>
      <c r="E104" s="87"/>
      <c r="F104" s="87"/>
      <c r="G104" s="87"/>
      <c r="H104" s="87"/>
      <c r="I104" s="87"/>
      <c r="J104" s="87"/>
      <c r="K104" s="87"/>
      <c r="L104" s="87"/>
      <c r="M104" s="87"/>
      <c r="N104" s="87">
        <f t="shared" si="4"/>
        <v>0</v>
      </c>
      <c r="O104" s="87">
        <f t="shared" si="5"/>
        <v>0</v>
      </c>
      <c r="P104" s="87" t="b">
        <f t="shared" si="6"/>
        <v>0</v>
      </c>
      <c r="Q104" s="87" t="b">
        <f>(Requirements!K106="Normative")</f>
        <v>0</v>
      </c>
      <c r="R104" s="87" t="b">
        <f>AND(Requirements!L106&lt;&gt;"Non-testable",Requirements!L106&lt;&gt;"Deleted",Requirements!L106&lt;&gt;"")</f>
        <v>1</v>
      </c>
      <c r="S104" s="87" t="b">
        <f>(VLOOKUP(Requirements!I106,Scope[[Role]:[Description]],2,FALSE)="In")</f>
        <v>1</v>
      </c>
      <c r="T104" s="87">
        <f t="shared" si="7"/>
        <v>0</v>
      </c>
    </row>
    <row r="105" spans="1:20">
      <c r="A105" s="44" t="str">
        <f>Requirements!A107</f>
        <v>MS-SMB_R9039</v>
      </c>
      <c r="B105" s="87"/>
      <c r="C105" s="87"/>
      <c r="D105" s="87"/>
      <c r="E105" s="87"/>
      <c r="F105" s="87"/>
      <c r="G105" s="87"/>
      <c r="H105" s="87"/>
      <c r="I105" s="87"/>
      <c r="J105" s="87"/>
      <c r="K105" s="87"/>
      <c r="L105" s="87"/>
      <c r="M105" s="87"/>
      <c r="N105" s="87">
        <f t="shared" si="4"/>
        <v>0</v>
      </c>
      <c r="O105" s="87">
        <f t="shared" si="5"/>
        <v>0</v>
      </c>
      <c r="P105" s="87" t="b">
        <f t="shared" si="6"/>
        <v>0</v>
      </c>
      <c r="Q105" s="87" t="b">
        <f>(Requirements!K107="Normative")</f>
        <v>0</v>
      </c>
      <c r="R105" s="87" t="b">
        <f>AND(Requirements!L107&lt;&gt;"Non-testable",Requirements!L107&lt;&gt;"Deleted",Requirements!L107&lt;&gt;"")</f>
        <v>1</v>
      </c>
      <c r="S105" s="87" t="b">
        <f>(VLOOKUP(Requirements!I107,Scope[[Role]:[Description]],2,FALSE)="In")</f>
        <v>1</v>
      </c>
      <c r="T105" s="87">
        <f t="shared" si="7"/>
        <v>0</v>
      </c>
    </row>
    <row r="106" spans="1:20">
      <c r="A106" s="44" t="str">
        <f>Requirements!A108</f>
        <v>MS-SMB_R9040</v>
      </c>
      <c r="B106" s="87"/>
      <c r="C106" s="87"/>
      <c r="D106" s="87"/>
      <c r="E106" s="87"/>
      <c r="F106" s="87"/>
      <c r="G106" s="87"/>
      <c r="H106" s="87"/>
      <c r="I106" s="87"/>
      <c r="J106" s="87"/>
      <c r="K106" s="87"/>
      <c r="L106" s="87"/>
      <c r="M106" s="87"/>
      <c r="N106" s="87">
        <f t="shared" si="4"/>
        <v>0</v>
      </c>
      <c r="O106" s="87">
        <f t="shared" si="5"/>
        <v>0</v>
      </c>
      <c r="P106" s="87" t="b">
        <f t="shared" si="6"/>
        <v>0</v>
      </c>
      <c r="Q106" s="87" t="b">
        <f>(Requirements!K108="Normative")</f>
        <v>0</v>
      </c>
      <c r="R106" s="87" t="b">
        <f>AND(Requirements!L108&lt;&gt;"Non-testable",Requirements!L108&lt;&gt;"Deleted",Requirements!L108&lt;&gt;"")</f>
        <v>1</v>
      </c>
      <c r="S106" s="87" t="b">
        <f>(VLOOKUP(Requirements!I108,Scope[[Role]:[Description]],2,FALSE)="In")</f>
        <v>1</v>
      </c>
      <c r="T106" s="87">
        <f t="shared" si="7"/>
        <v>0</v>
      </c>
    </row>
    <row r="107" spans="1:20">
      <c r="A107" s="44" t="str">
        <f>Requirements!A109</f>
        <v>MS-SMB_R9041</v>
      </c>
      <c r="B107" s="87"/>
      <c r="C107" s="87"/>
      <c r="D107" s="87"/>
      <c r="E107" s="87"/>
      <c r="F107" s="87"/>
      <c r="G107" s="87"/>
      <c r="H107" s="87"/>
      <c r="I107" s="87"/>
      <c r="J107" s="87"/>
      <c r="K107" s="87"/>
      <c r="L107" s="87"/>
      <c r="M107" s="87"/>
      <c r="N107" s="87">
        <f t="shared" si="4"/>
        <v>0</v>
      </c>
      <c r="O107" s="87">
        <f t="shared" si="5"/>
        <v>0</v>
      </c>
      <c r="P107" s="87" t="b">
        <f t="shared" si="6"/>
        <v>0</v>
      </c>
      <c r="Q107" s="87" t="b">
        <f>(Requirements!K109="Normative")</f>
        <v>0</v>
      </c>
      <c r="R107" s="87" t="b">
        <f>AND(Requirements!L109&lt;&gt;"Non-testable",Requirements!L109&lt;&gt;"Deleted",Requirements!L109&lt;&gt;"")</f>
        <v>1</v>
      </c>
      <c r="S107" s="87" t="b">
        <f>(VLOOKUP(Requirements!I109,Scope[[Role]:[Description]],2,FALSE)="In")</f>
        <v>1</v>
      </c>
      <c r="T107" s="87">
        <f t="shared" si="7"/>
        <v>0</v>
      </c>
    </row>
    <row r="108" spans="1:20">
      <c r="A108" s="44" t="str">
        <f>Requirements!A110</f>
        <v>MS-SMB_R9042</v>
      </c>
      <c r="B108" s="87"/>
      <c r="C108" s="87"/>
      <c r="D108" s="87"/>
      <c r="E108" s="87"/>
      <c r="F108" s="87"/>
      <c r="G108" s="87"/>
      <c r="H108" s="87"/>
      <c r="I108" s="87"/>
      <c r="J108" s="87"/>
      <c r="K108" s="87"/>
      <c r="L108" s="87"/>
      <c r="M108" s="87"/>
      <c r="N108" s="87">
        <f t="shared" si="4"/>
        <v>0</v>
      </c>
      <c r="O108" s="87">
        <f t="shared" si="5"/>
        <v>0</v>
      </c>
      <c r="P108" s="87" t="b">
        <f t="shared" si="6"/>
        <v>0</v>
      </c>
      <c r="Q108" s="87" t="b">
        <f>(Requirements!K110="Normative")</f>
        <v>0</v>
      </c>
      <c r="R108" s="87" t="b">
        <f>AND(Requirements!L110&lt;&gt;"Non-testable",Requirements!L110&lt;&gt;"Deleted",Requirements!L110&lt;&gt;"")</f>
        <v>1</v>
      </c>
      <c r="S108" s="87" t="b">
        <f>(VLOOKUP(Requirements!I110,Scope[[Role]:[Description]],2,FALSE)="In")</f>
        <v>1</v>
      </c>
      <c r="T108" s="87">
        <f t="shared" si="7"/>
        <v>0</v>
      </c>
    </row>
    <row r="109" spans="1:20">
      <c r="A109" s="44" t="str">
        <f>Requirements!A111</f>
        <v>MS-SMB_R9043</v>
      </c>
      <c r="B109" s="87"/>
      <c r="C109" s="87"/>
      <c r="D109" s="87"/>
      <c r="E109" s="87"/>
      <c r="F109" s="87"/>
      <c r="G109" s="87"/>
      <c r="H109" s="87"/>
      <c r="I109" s="87"/>
      <c r="J109" s="87"/>
      <c r="K109" s="87"/>
      <c r="L109" s="87"/>
      <c r="M109" s="87"/>
      <c r="N109" s="87">
        <f t="shared" si="4"/>
        <v>0</v>
      </c>
      <c r="O109" s="87">
        <f t="shared" si="5"/>
        <v>0</v>
      </c>
      <c r="P109" s="87" t="b">
        <f t="shared" si="6"/>
        <v>0</v>
      </c>
      <c r="Q109" s="87" t="b">
        <f>(Requirements!K111="Normative")</f>
        <v>0</v>
      </c>
      <c r="R109" s="87" t="b">
        <f>AND(Requirements!L111&lt;&gt;"Non-testable",Requirements!L111&lt;&gt;"Deleted",Requirements!L111&lt;&gt;"")</f>
        <v>1</v>
      </c>
      <c r="S109" s="87" t="b">
        <f>(VLOOKUP(Requirements!I111,Scope[[Role]:[Description]],2,FALSE)="In")</f>
        <v>1</v>
      </c>
      <c r="T109" s="87">
        <f t="shared" si="7"/>
        <v>0</v>
      </c>
    </row>
    <row r="110" spans="1:20">
      <c r="A110" s="44" t="str">
        <f>Requirements!A112</f>
        <v>MS-SMB_R9044</v>
      </c>
      <c r="B110" s="87"/>
      <c r="C110" s="87"/>
      <c r="D110" s="87"/>
      <c r="E110" s="87"/>
      <c r="F110" s="87"/>
      <c r="G110" s="87"/>
      <c r="H110" s="87"/>
      <c r="I110" s="87"/>
      <c r="J110" s="87"/>
      <c r="K110" s="87"/>
      <c r="L110" s="87"/>
      <c r="M110" s="87"/>
      <c r="N110" s="87">
        <f t="shared" si="4"/>
        <v>0</v>
      </c>
      <c r="O110" s="87">
        <f t="shared" si="5"/>
        <v>0</v>
      </c>
      <c r="P110" s="87" t="b">
        <f t="shared" si="6"/>
        <v>0</v>
      </c>
      <c r="Q110" s="87" t="b">
        <f>(Requirements!K112="Normative")</f>
        <v>0</v>
      </c>
      <c r="R110" s="87" t="b">
        <f>AND(Requirements!L112&lt;&gt;"Non-testable",Requirements!L112&lt;&gt;"Deleted",Requirements!L112&lt;&gt;"")</f>
        <v>1</v>
      </c>
      <c r="S110" s="87" t="b">
        <f>(VLOOKUP(Requirements!I112,Scope[[Role]:[Description]],2,FALSE)="In")</f>
        <v>1</v>
      </c>
      <c r="T110" s="87">
        <f t="shared" si="7"/>
        <v>0</v>
      </c>
    </row>
    <row r="111" spans="1:20">
      <c r="A111" s="44" t="str">
        <f>Requirements!A113</f>
        <v>MS-SMB_R9045</v>
      </c>
      <c r="B111" s="87"/>
      <c r="C111" s="87"/>
      <c r="D111" s="87"/>
      <c r="E111" s="87"/>
      <c r="F111" s="87"/>
      <c r="G111" s="87"/>
      <c r="H111" s="87"/>
      <c r="I111" s="87"/>
      <c r="J111" s="87"/>
      <c r="K111" s="87"/>
      <c r="L111" s="87"/>
      <c r="M111" s="87"/>
      <c r="N111" s="87">
        <f t="shared" si="4"/>
        <v>0</v>
      </c>
      <c r="O111" s="87">
        <f t="shared" si="5"/>
        <v>0</v>
      </c>
      <c r="P111" s="87" t="b">
        <f t="shared" si="6"/>
        <v>0</v>
      </c>
      <c r="Q111" s="87" t="b">
        <f>(Requirements!K113="Normative")</f>
        <v>0</v>
      </c>
      <c r="R111" s="87" t="b">
        <f>AND(Requirements!L113&lt;&gt;"Non-testable",Requirements!L113&lt;&gt;"Deleted",Requirements!L113&lt;&gt;"")</f>
        <v>1</v>
      </c>
      <c r="S111" s="87" t="b">
        <f>(VLOOKUP(Requirements!I113,Scope[[Role]:[Description]],2,FALSE)="In")</f>
        <v>1</v>
      </c>
      <c r="T111" s="87">
        <f t="shared" si="7"/>
        <v>0</v>
      </c>
    </row>
    <row r="112" spans="1:20">
      <c r="A112" s="44" t="str">
        <f>Requirements!A114</f>
        <v>MS-SMB_R9046</v>
      </c>
      <c r="B112" s="87"/>
      <c r="C112" s="87"/>
      <c r="D112" s="87"/>
      <c r="E112" s="87"/>
      <c r="F112" s="87"/>
      <c r="G112" s="87"/>
      <c r="H112" s="87"/>
      <c r="I112" s="87"/>
      <c r="J112" s="87"/>
      <c r="K112" s="87"/>
      <c r="L112" s="87"/>
      <c r="M112" s="87"/>
      <c r="N112" s="87">
        <f t="shared" si="4"/>
        <v>0</v>
      </c>
      <c r="O112" s="87">
        <f t="shared" si="5"/>
        <v>0</v>
      </c>
      <c r="P112" s="87" t="b">
        <f t="shared" si="6"/>
        <v>0</v>
      </c>
      <c r="Q112" s="87" t="b">
        <f>(Requirements!K114="Normative")</f>
        <v>0</v>
      </c>
      <c r="R112" s="87" t="b">
        <f>AND(Requirements!L114&lt;&gt;"Non-testable",Requirements!L114&lt;&gt;"Deleted",Requirements!L114&lt;&gt;"")</f>
        <v>1</v>
      </c>
      <c r="S112" s="87" t="b">
        <f>(VLOOKUP(Requirements!I114,Scope[[Role]:[Description]],2,FALSE)="In")</f>
        <v>1</v>
      </c>
      <c r="T112" s="87">
        <f t="shared" si="7"/>
        <v>0</v>
      </c>
    </row>
    <row r="113" spans="1:20">
      <c r="A113" s="44" t="str">
        <f>Requirements!A115</f>
        <v>MS-SMB_R9047</v>
      </c>
      <c r="B113" s="87"/>
      <c r="C113" s="87"/>
      <c r="D113" s="87"/>
      <c r="E113" s="87"/>
      <c r="F113" s="87"/>
      <c r="G113" s="87"/>
      <c r="H113" s="87"/>
      <c r="I113" s="87"/>
      <c r="J113" s="87"/>
      <c r="K113" s="87"/>
      <c r="L113" s="87"/>
      <c r="M113" s="87"/>
      <c r="N113" s="87">
        <f t="shared" si="4"/>
        <v>0</v>
      </c>
      <c r="O113" s="87">
        <f t="shared" si="5"/>
        <v>0</v>
      </c>
      <c r="P113" s="87" t="b">
        <f t="shared" si="6"/>
        <v>0</v>
      </c>
      <c r="Q113" s="87" t="b">
        <f>(Requirements!K115="Normative")</f>
        <v>0</v>
      </c>
      <c r="R113" s="87" t="b">
        <f>AND(Requirements!L115&lt;&gt;"Non-testable",Requirements!L115&lt;&gt;"Deleted",Requirements!L115&lt;&gt;"")</f>
        <v>1</v>
      </c>
      <c r="S113" s="87" t="b">
        <f>(VLOOKUP(Requirements!I115,Scope[[Role]:[Description]],2,FALSE)="In")</f>
        <v>1</v>
      </c>
      <c r="T113" s="87">
        <f t="shared" si="7"/>
        <v>0</v>
      </c>
    </row>
    <row r="114" spans="1:20">
      <c r="A114" s="44" t="str">
        <f>Requirements!A116</f>
        <v>MS-SMB_R9048</v>
      </c>
      <c r="B114" s="87"/>
      <c r="C114" s="87"/>
      <c r="D114" s="87"/>
      <c r="E114" s="87"/>
      <c r="F114" s="87"/>
      <c r="G114" s="87"/>
      <c r="H114" s="87"/>
      <c r="I114" s="87"/>
      <c r="J114" s="87"/>
      <c r="K114" s="87"/>
      <c r="L114" s="87"/>
      <c r="M114" s="87"/>
      <c r="N114" s="87">
        <f t="shared" si="4"/>
        <v>0</v>
      </c>
      <c r="O114" s="87">
        <f t="shared" si="5"/>
        <v>0</v>
      </c>
      <c r="P114" s="87" t="b">
        <f t="shared" si="6"/>
        <v>0</v>
      </c>
      <c r="Q114" s="87" t="b">
        <f>(Requirements!K116="Normative")</f>
        <v>0</v>
      </c>
      <c r="R114" s="87" t="b">
        <f>AND(Requirements!L116&lt;&gt;"Non-testable",Requirements!L116&lt;&gt;"Deleted",Requirements!L116&lt;&gt;"")</f>
        <v>1</v>
      </c>
      <c r="S114" s="87" t="b">
        <f>(VLOOKUP(Requirements!I116,Scope[[Role]:[Description]],2,FALSE)="In")</f>
        <v>1</v>
      </c>
      <c r="T114" s="87">
        <f t="shared" si="7"/>
        <v>0</v>
      </c>
    </row>
    <row r="115" spans="1:20">
      <c r="A115" s="44" t="str">
        <f>Requirements!A117</f>
        <v>MS-SMB_R9049</v>
      </c>
      <c r="B115" s="87"/>
      <c r="C115" s="87"/>
      <c r="D115" s="87"/>
      <c r="E115" s="87"/>
      <c r="F115" s="87"/>
      <c r="G115" s="87"/>
      <c r="H115" s="87"/>
      <c r="I115" s="87"/>
      <c r="J115" s="87"/>
      <c r="K115" s="87"/>
      <c r="L115" s="87"/>
      <c r="M115" s="87"/>
      <c r="N115" s="87">
        <f t="shared" si="4"/>
        <v>0</v>
      </c>
      <c r="O115" s="87">
        <f t="shared" si="5"/>
        <v>0</v>
      </c>
      <c r="P115" s="87" t="b">
        <f t="shared" si="6"/>
        <v>0</v>
      </c>
      <c r="Q115" s="87" t="b">
        <f>(Requirements!K117="Normative")</f>
        <v>1</v>
      </c>
      <c r="R115" s="87" t="b">
        <f>AND(Requirements!L117&lt;&gt;"Non-testable",Requirements!L117&lt;&gt;"Deleted",Requirements!L117&lt;&gt;"")</f>
        <v>0</v>
      </c>
      <c r="S115" s="87" t="b">
        <f>(VLOOKUP(Requirements!I117,Scope[[Role]:[Description]],2,FALSE)="In")</f>
        <v>1</v>
      </c>
      <c r="T115" s="87">
        <f t="shared" si="7"/>
        <v>0</v>
      </c>
    </row>
    <row r="116" spans="1:20">
      <c r="A116" s="44" t="str">
        <f>Requirements!A118</f>
        <v>MS-SMB_R9050</v>
      </c>
      <c r="B116" s="87"/>
      <c r="C116" s="87"/>
      <c r="D116" s="87"/>
      <c r="E116" s="87"/>
      <c r="F116" s="87"/>
      <c r="G116" s="87"/>
      <c r="H116" s="87"/>
      <c r="I116" s="87"/>
      <c r="J116" s="87"/>
      <c r="K116" s="87"/>
      <c r="L116" s="87"/>
      <c r="M116" s="87"/>
      <c r="N116" s="87">
        <f t="shared" si="4"/>
        <v>0</v>
      </c>
      <c r="O116" s="87">
        <f t="shared" si="5"/>
        <v>0</v>
      </c>
      <c r="P116" s="87" t="b">
        <f t="shared" si="6"/>
        <v>0</v>
      </c>
      <c r="Q116" s="87" t="b">
        <f>(Requirements!K118="Normative")</f>
        <v>0</v>
      </c>
      <c r="R116" s="87" t="b">
        <f>AND(Requirements!L118&lt;&gt;"Non-testable",Requirements!L118&lt;&gt;"Deleted",Requirements!L118&lt;&gt;"")</f>
        <v>1</v>
      </c>
      <c r="S116" s="87" t="b">
        <f>(VLOOKUP(Requirements!I118,Scope[[Role]:[Description]],2,FALSE)="In")</f>
        <v>1</v>
      </c>
      <c r="T116" s="87">
        <f t="shared" si="7"/>
        <v>0</v>
      </c>
    </row>
    <row r="117" spans="1:20">
      <c r="A117" s="44" t="str">
        <f>Requirements!A119</f>
        <v>MS-SMB_R9051</v>
      </c>
      <c r="B117" s="87"/>
      <c r="C117" s="87"/>
      <c r="D117" s="87"/>
      <c r="E117" s="87"/>
      <c r="F117" s="87"/>
      <c r="G117" s="87"/>
      <c r="H117" s="87"/>
      <c r="I117" s="87"/>
      <c r="J117" s="87"/>
      <c r="K117" s="87"/>
      <c r="L117" s="87"/>
      <c r="M117" s="87"/>
      <c r="N117" s="87">
        <f t="shared" si="4"/>
        <v>0</v>
      </c>
      <c r="O117" s="87">
        <f t="shared" si="5"/>
        <v>0</v>
      </c>
      <c r="P117" s="87" t="b">
        <f t="shared" si="6"/>
        <v>0</v>
      </c>
      <c r="Q117" s="87" t="b">
        <f>(Requirements!K119="Normative")</f>
        <v>0</v>
      </c>
      <c r="R117" s="87" t="b">
        <f>AND(Requirements!L119&lt;&gt;"Non-testable",Requirements!L119&lt;&gt;"Deleted",Requirements!L119&lt;&gt;"")</f>
        <v>1</v>
      </c>
      <c r="S117" s="87" t="b">
        <f>(VLOOKUP(Requirements!I119,Scope[[Role]:[Description]],2,FALSE)="In")</f>
        <v>1</v>
      </c>
      <c r="T117" s="87">
        <f t="shared" si="7"/>
        <v>0</v>
      </c>
    </row>
    <row r="118" spans="1:20">
      <c r="A118" s="44" t="str">
        <f>Requirements!A120</f>
        <v>MS-SMB_R9052</v>
      </c>
      <c r="B118" s="87"/>
      <c r="C118" s="87"/>
      <c r="D118" s="87"/>
      <c r="E118" s="87"/>
      <c r="F118" s="87"/>
      <c r="G118" s="87"/>
      <c r="H118" s="87"/>
      <c r="I118" s="87"/>
      <c r="J118" s="87"/>
      <c r="K118" s="87"/>
      <c r="L118" s="87"/>
      <c r="M118" s="87"/>
      <c r="N118" s="87">
        <f t="shared" si="4"/>
        <v>0</v>
      </c>
      <c r="O118" s="87">
        <f t="shared" si="5"/>
        <v>0</v>
      </c>
      <c r="P118" s="87" t="b">
        <f t="shared" si="6"/>
        <v>0</v>
      </c>
      <c r="Q118" s="87" t="b">
        <f>(Requirements!K120="Normative")</f>
        <v>0</v>
      </c>
      <c r="R118" s="87" t="b">
        <f>AND(Requirements!L120&lt;&gt;"Non-testable",Requirements!L120&lt;&gt;"Deleted",Requirements!L120&lt;&gt;"")</f>
        <v>1</v>
      </c>
      <c r="S118" s="87" t="b">
        <f>(VLOOKUP(Requirements!I120,Scope[[Role]:[Description]],2,FALSE)="In")</f>
        <v>1</v>
      </c>
      <c r="T118" s="87">
        <f t="shared" si="7"/>
        <v>0</v>
      </c>
    </row>
    <row r="119" spans="1:20">
      <c r="A119" s="44" t="str">
        <f>Requirements!A121</f>
        <v>MS-SMB_R9053</v>
      </c>
      <c r="B119" s="87"/>
      <c r="C119" s="87"/>
      <c r="D119" s="87"/>
      <c r="E119" s="87"/>
      <c r="F119" s="87"/>
      <c r="G119" s="87"/>
      <c r="H119" s="87"/>
      <c r="I119" s="87"/>
      <c r="J119" s="87"/>
      <c r="K119" s="87"/>
      <c r="L119" s="87"/>
      <c r="M119" s="87"/>
      <c r="N119" s="87">
        <f t="shared" si="4"/>
        <v>0</v>
      </c>
      <c r="O119" s="87">
        <f t="shared" si="5"/>
        <v>0</v>
      </c>
      <c r="P119" s="87" t="b">
        <f t="shared" si="6"/>
        <v>0</v>
      </c>
      <c r="Q119" s="87" t="b">
        <f>(Requirements!K121="Normative")</f>
        <v>0</v>
      </c>
      <c r="R119" s="87" t="b">
        <f>AND(Requirements!L121&lt;&gt;"Non-testable",Requirements!L121&lt;&gt;"Deleted",Requirements!L121&lt;&gt;"")</f>
        <v>1</v>
      </c>
      <c r="S119" s="87" t="b">
        <f>(VLOOKUP(Requirements!I121,Scope[[Role]:[Description]],2,FALSE)="In")</f>
        <v>1</v>
      </c>
      <c r="T119" s="87">
        <f t="shared" si="7"/>
        <v>0</v>
      </c>
    </row>
    <row r="120" spans="1:20">
      <c r="A120" s="44" t="str">
        <f>Requirements!A122</f>
        <v>MS-SMB_R9054</v>
      </c>
      <c r="B120" s="87"/>
      <c r="C120" s="87"/>
      <c r="D120" s="87"/>
      <c r="E120" s="87"/>
      <c r="F120" s="87"/>
      <c r="G120" s="87"/>
      <c r="H120" s="87"/>
      <c r="I120" s="87"/>
      <c r="J120" s="87"/>
      <c r="K120" s="87"/>
      <c r="L120" s="87"/>
      <c r="M120" s="87"/>
      <c r="N120" s="87">
        <f t="shared" si="4"/>
        <v>0</v>
      </c>
      <c r="O120" s="87">
        <f t="shared" si="5"/>
        <v>0</v>
      </c>
      <c r="P120" s="87" t="b">
        <f t="shared" si="6"/>
        <v>0</v>
      </c>
      <c r="Q120" s="87" t="b">
        <f>(Requirements!K122="Normative")</f>
        <v>0</v>
      </c>
      <c r="R120" s="87" t="b">
        <f>AND(Requirements!L122&lt;&gt;"Non-testable",Requirements!L122&lt;&gt;"Deleted",Requirements!L122&lt;&gt;"")</f>
        <v>1</v>
      </c>
      <c r="S120" s="87" t="b">
        <f>(VLOOKUP(Requirements!I122,Scope[[Role]:[Description]],2,FALSE)="In")</f>
        <v>1</v>
      </c>
      <c r="T120" s="87">
        <f t="shared" si="7"/>
        <v>0</v>
      </c>
    </row>
    <row r="121" spans="1:20">
      <c r="A121" s="85" t="str">
        <f>Requirements!A123</f>
        <v>MS-SMB_R9055</v>
      </c>
      <c r="B121" s="87"/>
      <c r="C121" s="87"/>
      <c r="D121" s="87"/>
      <c r="E121" s="87"/>
      <c r="F121" s="87"/>
      <c r="G121" s="87"/>
      <c r="H121" s="87"/>
      <c r="I121" s="87"/>
      <c r="J121" s="87"/>
      <c r="K121" s="87"/>
      <c r="L121" s="87"/>
      <c r="M121" s="87"/>
      <c r="N121" s="87">
        <f t="shared" si="4"/>
        <v>0</v>
      </c>
      <c r="O121" s="61">
        <f t="shared" si="5"/>
        <v>0</v>
      </c>
      <c r="P121" s="61" t="b">
        <f t="shared" si="6"/>
        <v>1</v>
      </c>
      <c r="Q121" s="87" t="b">
        <f>(Requirements!K123="Normative")</f>
        <v>1</v>
      </c>
      <c r="R121" s="87" t="b">
        <f>AND(Requirements!L123&lt;&gt;"Non-testable",Requirements!L123&lt;&gt;"Deleted",Requirements!L123&lt;&gt;"")</f>
        <v>1</v>
      </c>
      <c r="S121" s="87" t="b">
        <f>(VLOOKUP(Requirements!I123,Scope[[Role]:[Description]],2,FALSE)="In")</f>
        <v>1</v>
      </c>
      <c r="T121" s="87">
        <f t="shared" si="7"/>
        <v>0</v>
      </c>
    </row>
    <row r="122" spans="1:20">
      <c r="A122" s="44" t="str">
        <f>Requirements!A124</f>
        <v>MS-SMB_R9056</v>
      </c>
      <c r="B122" s="87"/>
      <c r="C122" s="87"/>
      <c r="D122" s="87"/>
      <c r="E122" s="87"/>
      <c r="F122" s="87"/>
      <c r="G122" s="87"/>
      <c r="H122" s="87"/>
      <c r="I122" s="87"/>
      <c r="J122" s="87"/>
      <c r="K122" s="87"/>
      <c r="L122" s="87"/>
      <c r="M122" s="87"/>
      <c r="N122" s="87">
        <f t="shared" si="4"/>
        <v>0</v>
      </c>
      <c r="O122" s="87">
        <f t="shared" si="5"/>
        <v>0</v>
      </c>
      <c r="P122" s="87" t="b">
        <f t="shared" si="6"/>
        <v>0</v>
      </c>
      <c r="Q122" s="87" t="b">
        <f>(Requirements!K124="Normative")</f>
        <v>1</v>
      </c>
      <c r="R122" s="87" t="b">
        <f>AND(Requirements!L124&lt;&gt;"Non-testable",Requirements!L124&lt;&gt;"Deleted",Requirements!L124&lt;&gt;"")</f>
        <v>0</v>
      </c>
      <c r="S122" s="87" t="b">
        <f>(VLOOKUP(Requirements!I124,Scope[[Role]:[Description]],2,FALSE)="In")</f>
        <v>1</v>
      </c>
      <c r="T122" s="87">
        <f t="shared" si="7"/>
        <v>0</v>
      </c>
    </row>
    <row r="123" spans="1:20">
      <c r="A123" s="84" t="str">
        <f>Requirements!A125</f>
        <v>MS-SMB_R109056</v>
      </c>
      <c r="B123" s="87">
        <v>1</v>
      </c>
      <c r="C123" s="87"/>
      <c r="D123" s="87"/>
      <c r="E123" s="87"/>
      <c r="F123" s="87"/>
      <c r="G123" s="87"/>
      <c r="H123" s="87"/>
      <c r="I123" s="87"/>
      <c r="J123" s="87"/>
      <c r="K123" s="87"/>
      <c r="L123" s="87"/>
      <c r="M123" s="87"/>
      <c r="N123" s="87">
        <f t="shared" si="4"/>
        <v>1</v>
      </c>
      <c r="O123" s="60">
        <f t="shared" si="5"/>
        <v>1</v>
      </c>
      <c r="P123" s="60" t="b">
        <f t="shared" si="6"/>
        <v>1</v>
      </c>
      <c r="Q123" s="87" t="b">
        <f>(Requirements!K125="Normative")</f>
        <v>1</v>
      </c>
      <c r="R123" s="87" t="b">
        <f>AND(Requirements!L125&lt;&gt;"Non-testable",Requirements!L125&lt;&gt;"Deleted",Requirements!L125&lt;&gt;"")</f>
        <v>1</v>
      </c>
      <c r="S123" s="87" t="b">
        <f>(VLOOKUP(Requirements!I125,Scope[[Role]:[Description]],2,FALSE)="In")</f>
        <v>1</v>
      </c>
      <c r="T123" s="87">
        <f t="shared" si="7"/>
        <v>1</v>
      </c>
    </row>
    <row r="124" spans="1:20">
      <c r="A124" s="44" t="str">
        <f>Requirements!A126</f>
        <v>MS-SMB_R11000</v>
      </c>
      <c r="B124" s="87"/>
      <c r="C124" s="87"/>
      <c r="D124" s="87"/>
      <c r="E124" s="87"/>
      <c r="F124" s="87"/>
      <c r="G124" s="87"/>
      <c r="H124" s="87"/>
      <c r="I124" s="87"/>
      <c r="J124" s="87"/>
      <c r="K124" s="87"/>
      <c r="L124" s="87"/>
      <c r="M124" s="87"/>
      <c r="N124" s="87">
        <f t="shared" si="4"/>
        <v>0</v>
      </c>
      <c r="O124" s="87">
        <f t="shared" si="5"/>
        <v>0</v>
      </c>
      <c r="P124" s="87" t="b">
        <f t="shared" si="6"/>
        <v>0</v>
      </c>
      <c r="Q124" s="87" t="b">
        <f>(Requirements!K126="Normative")</f>
        <v>0</v>
      </c>
      <c r="R124" s="87" t="b">
        <f>AND(Requirements!L126&lt;&gt;"Non-testable",Requirements!L126&lt;&gt;"Deleted",Requirements!L126&lt;&gt;"")</f>
        <v>1</v>
      </c>
      <c r="S124" s="87" t="b">
        <f>(VLOOKUP(Requirements!I126,Scope[[Role]:[Description]],2,FALSE)="In")</f>
        <v>1</v>
      </c>
      <c r="T124" s="87">
        <f t="shared" si="7"/>
        <v>0</v>
      </c>
    </row>
    <row r="125" spans="1:20">
      <c r="A125" s="44" t="str">
        <f>Requirements!A127</f>
        <v>MS-SMB_R9057</v>
      </c>
      <c r="B125" s="87"/>
      <c r="C125" s="87"/>
      <c r="D125" s="87"/>
      <c r="E125" s="87"/>
      <c r="F125" s="87"/>
      <c r="G125" s="87"/>
      <c r="H125" s="87"/>
      <c r="I125" s="87"/>
      <c r="J125" s="87"/>
      <c r="K125" s="87"/>
      <c r="L125" s="87"/>
      <c r="M125" s="87"/>
      <c r="N125" s="87">
        <f t="shared" si="4"/>
        <v>0</v>
      </c>
      <c r="O125" s="87">
        <f t="shared" si="5"/>
        <v>0</v>
      </c>
      <c r="P125" s="87" t="b">
        <f t="shared" si="6"/>
        <v>0</v>
      </c>
      <c r="Q125" s="87" t="b">
        <f>(Requirements!K127="Normative")</f>
        <v>0</v>
      </c>
      <c r="R125" s="87" t="b">
        <f>AND(Requirements!L127&lt;&gt;"Non-testable",Requirements!L127&lt;&gt;"Deleted",Requirements!L127&lt;&gt;"")</f>
        <v>1</v>
      </c>
      <c r="S125" s="87" t="b">
        <f>(VLOOKUP(Requirements!I127,Scope[[Role]:[Description]],2,FALSE)="In")</f>
        <v>1</v>
      </c>
      <c r="T125" s="87">
        <f t="shared" si="7"/>
        <v>0</v>
      </c>
    </row>
    <row r="126" spans="1:20">
      <c r="A126" s="44" t="str">
        <f>Requirements!A128</f>
        <v>MS-SMB_R9058</v>
      </c>
      <c r="B126" s="87"/>
      <c r="C126" s="87"/>
      <c r="D126" s="87"/>
      <c r="E126" s="87"/>
      <c r="F126" s="87"/>
      <c r="G126" s="87"/>
      <c r="H126" s="87"/>
      <c r="I126" s="87"/>
      <c r="J126" s="87"/>
      <c r="K126" s="87"/>
      <c r="L126" s="87"/>
      <c r="M126" s="87"/>
      <c r="N126" s="87">
        <f t="shared" si="4"/>
        <v>0</v>
      </c>
      <c r="O126" s="87">
        <f t="shared" si="5"/>
        <v>0</v>
      </c>
      <c r="P126" s="87" t="b">
        <f t="shared" si="6"/>
        <v>0</v>
      </c>
      <c r="Q126" s="87" t="b">
        <f>(Requirements!K128="Normative")</f>
        <v>0</v>
      </c>
      <c r="R126" s="87" t="b">
        <f>AND(Requirements!L128&lt;&gt;"Non-testable",Requirements!L128&lt;&gt;"Deleted",Requirements!L128&lt;&gt;"")</f>
        <v>1</v>
      </c>
      <c r="S126" s="87" t="b">
        <f>(VLOOKUP(Requirements!I128,Scope[[Role]:[Description]],2,FALSE)="In")</f>
        <v>1</v>
      </c>
      <c r="T126" s="87">
        <f t="shared" si="7"/>
        <v>0</v>
      </c>
    </row>
    <row r="127" spans="1:20">
      <c r="A127" s="84" t="str">
        <f>Requirements!A129</f>
        <v>MS-SMB_R9059</v>
      </c>
      <c r="B127" s="87"/>
      <c r="C127" s="87"/>
      <c r="D127" s="87"/>
      <c r="E127" s="87"/>
      <c r="F127" s="87"/>
      <c r="G127" s="87"/>
      <c r="H127" s="87"/>
      <c r="I127" s="87"/>
      <c r="J127" s="87">
        <v>1</v>
      </c>
      <c r="K127" s="87"/>
      <c r="L127" s="87"/>
      <c r="M127" s="87"/>
      <c r="N127" s="87">
        <f t="shared" si="4"/>
        <v>1</v>
      </c>
      <c r="O127" s="60">
        <f t="shared" si="5"/>
        <v>1</v>
      </c>
      <c r="P127" s="60" t="b">
        <f t="shared" si="6"/>
        <v>1</v>
      </c>
      <c r="Q127" s="87" t="b">
        <f>(Requirements!K129="Normative")</f>
        <v>1</v>
      </c>
      <c r="R127" s="87" t="b">
        <f>AND(Requirements!L129&lt;&gt;"Non-testable",Requirements!L129&lt;&gt;"Deleted",Requirements!L129&lt;&gt;"")</f>
        <v>1</v>
      </c>
      <c r="S127" s="87" t="b">
        <f>(VLOOKUP(Requirements!I129,Scope[[Role]:[Description]],2,FALSE)="In")</f>
        <v>1</v>
      </c>
      <c r="T127" s="87">
        <f t="shared" si="7"/>
        <v>1</v>
      </c>
    </row>
    <row r="128" spans="1:20">
      <c r="A128" s="84" t="str">
        <f>Requirements!A130</f>
        <v>MS-SMB_R9060</v>
      </c>
      <c r="B128" s="87"/>
      <c r="C128" s="87"/>
      <c r="D128" s="87"/>
      <c r="E128" s="87"/>
      <c r="F128" s="87"/>
      <c r="G128" s="87"/>
      <c r="H128" s="87"/>
      <c r="I128" s="87"/>
      <c r="J128" s="87">
        <v>1</v>
      </c>
      <c r="K128" s="87"/>
      <c r="L128" s="87"/>
      <c r="M128" s="87"/>
      <c r="N128" s="87">
        <f t="shared" si="4"/>
        <v>1</v>
      </c>
      <c r="O128" s="60">
        <f t="shared" si="5"/>
        <v>1</v>
      </c>
      <c r="P128" s="60" t="b">
        <f t="shared" si="6"/>
        <v>1</v>
      </c>
      <c r="Q128" s="87" t="b">
        <f>(Requirements!K130="Normative")</f>
        <v>1</v>
      </c>
      <c r="R128" s="87" t="b">
        <f>AND(Requirements!L130&lt;&gt;"Non-testable",Requirements!L130&lt;&gt;"Deleted",Requirements!L130&lt;&gt;"")</f>
        <v>1</v>
      </c>
      <c r="S128" s="87" t="b">
        <f>(VLOOKUP(Requirements!I130,Scope[[Role]:[Description]],2,FALSE)="In")</f>
        <v>1</v>
      </c>
      <c r="T128" s="87">
        <f t="shared" si="7"/>
        <v>1</v>
      </c>
    </row>
    <row r="129" spans="1:60">
      <c r="A129" s="85" t="str">
        <f>Requirements!A131</f>
        <v>MS-SMB_R9061</v>
      </c>
      <c r="B129" s="87"/>
      <c r="C129" s="87"/>
      <c r="D129" s="87"/>
      <c r="E129" s="87"/>
      <c r="F129" s="87"/>
      <c r="G129" s="87"/>
      <c r="H129" s="87"/>
      <c r="I129" s="87"/>
      <c r="J129" s="87"/>
      <c r="K129" s="87"/>
      <c r="L129" s="87"/>
      <c r="M129" s="87"/>
      <c r="N129" s="87">
        <f t="shared" si="4"/>
        <v>0</v>
      </c>
      <c r="O129" s="61">
        <f t="shared" si="5"/>
        <v>0</v>
      </c>
      <c r="P129" s="61" t="b">
        <f t="shared" si="6"/>
        <v>1</v>
      </c>
      <c r="Q129" s="87" t="b">
        <f>(Requirements!K131="Normative")</f>
        <v>1</v>
      </c>
      <c r="R129" s="87" t="b">
        <f>AND(Requirements!L131&lt;&gt;"Non-testable",Requirements!L131&lt;&gt;"Deleted",Requirements!L131&lt;&gt;"")</f>
        <v>1</v>
      </c>
      <c r="S129" s="87" t="b">
        <f>(VLOOKUP(Requirements!I131,Scope[[Role]:[Description]],2,FALSE)="In")</f>
        <v>1</v>
      </c>
      <c r="T129" s="87">
        <f t="shared" si="7"/>
        <v>0</v>
      </c>
    </row>
    <row r="130" spans="1:60">
      <c r="A130" s="44" t="str">
        <f>Requirements!A132</f>
        <v>MS-SMB_R9062</v>
      </c>
      <c r="B130" s="87"/>
      <c r="C130" s="87"/>
      <c r="D130" s="87"/>
      <c r="E130" s="87"/>
      <c r="F130" s="87"/>
      <c r="G130" s="87"/>
      <c r="H130" s="87"/>
      <c r="I130" s="87"/>
      <c r="J130" s="87"/>
      <c r="K130" s="87"/>
      <c r="L130" s="87"/>
      <c r="M130" s="87"/>
      <c r="N130" s="87">
        <f t="shared" si="4"/>
        <v>0</v>
      </c>
      <c r="O130" s="87">
        <f t="shared" si="5"/>
        <v>0</v>
      </c>
      <c r="P130" s="87" t="b">
        <f t="shared" si="6"/>
        <v>0</v>
      </c>
      <c r="Q130" s="87" t="b">
        <f>(Requirements!K132="Normative")</f>
        <v>1</v>
      </c>
      <c r="R130" s="87" t="b">
        <f>AND(Requirements!L132&lt;&gt;"Non-testable",Requirements!L132&lt;&gt;"Deleted",Requirements!L132&lt;&gt;"")</f>
        <v>0</v>
      </c>
      <c r="S130" s="87" t="b">
        <f>(VLOOKUP(Requirements!I132,Scope[[Role]:[Description]],2,FALSE)="In")</f>
        <v>1</v>
      </c>
      <c r="T130" s="87">
        <f t="shared" si="7"/>
        <v>0</v>
      </c>
    </row>
    <row r="131" spans="1:60">
      <c r="A131" s="44" t="str">
        <f>Requirements!A133</f>
        <v>MS-SMB_R9063</v>
      </c>
      <c r="B131" s="87"/>
      <c r="C131" s="87"/>
      <c r="D131" s="87"/>
      <c r="E131" s="87"/>
      <c r="F131" s="87"/>
      <c r="G131" s="87"/>
      <c r="H131" s="87"/>
      <c r="I131" s="87"/>
      <c r="J131" s="87"/>
      <c r="K131" s="87"/>
      <c r="L131" s="87"/>
      <c r="M131" s="87"/>
      <c r="N131" s="87">
        <f t="shared" si="4"/>
        <v>0</v>
      </c>
      <c r="O131" s="87">
        <f t="shared" si="5"/>
        <v>0</v>
      </c>
      <c r="P131" s="87" t="b">
        <f t="shared" si="6"/>
        <v>0</v>
      </c>
      <c r="Q131" s="87" t="b">
        <f>(Requirements!K133="Normative")</f>
        <v>1</v>
      </c>
      <c r="R131" s="87" t="b">
        <f>AND(Requirements!L133&lt;&gt;"Non-testable",Requirements!L133&lt;&gt;"Deleted",Requirements!L133&lt;&gt;"")</f>
        <v>0</v>
      </c>
      <c r="S131" s="87" t="b">
        <f>(VLOOKUP(Requirements!I133,Scope[[Role]:[Description]],2,FALSE)="In")</f>
        <v>1</v>
      </c>
      <c r="T131" s="87">
        <f t="shared" si="7"/>
        <v>0</v>
      </c>
    </row>
    <row r="132" spans="1:60">
      <c r="A132" s="83" t="str">
        <f>Requirements!A134</f>
        <v>MS-SMB_R109063</v>
      </c>
      <c r="B132" s="46"/>
      <c r="C132" s="46"/>
      <c r="D132" s="46"/>
      <c r="E132" s="46"/>
      <c r="F132" s="46"/>
      <c r="G132" s="46"/>
      <c r="H132" s="46"/>
      <c r="I132" s="46"/>
      <c r="J132" s="46"/>
      <c r="K132" s="46"/>
      <c r="L132" s="46"/>
      <c r="M132" s="46"/>
      <c r="N132" s="46">
        <f t="shared" si="4"/>
        <v>0</v>
      </c>
      <c r="O132" s="46">
        <f t="shared" si="5"/>
        <v>0</v>
      </c>
      <c r="P132" s="46" t="b">
        <f t="shared" si="6"/>
        <v>0</v>
      </c>
      <c r="Q132" s="46" t="b">
        <f>(Requirements!K134="Normative")</f>
        <v>0</v>
      </c>
      <c r="R132" s="46" t="b">
        <f>AND(Requirements!L134&lt;&gt;"Non-testable",Requirements!L134&lt;&gt;"Deleted",Requirements!L134&lt;&gt;"")</f>
        <v>0</v>
      </c>
      <c r="S132" s="46" t="b">
        <f>(VLOOKUP(Requirements!I134,Scope[[Role]:[Description]],2,FALSE)="In")</f>
        <v>1</v>
      </c>
      <c r="T132" s="46">
        <f t="shared" si="7"/>
        <v>0</v>
      </c>
      <c r="U132" s="45"/>
      <c r="V132" s="45"/>
      <c r="W132" s="45"/>
      <c r="X132" s="45"/>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c r="AV132" s="45"/>
      <c r="AW132" s="45"/>
      <c r="AX132" s="45"/>
      <c r="AY132" s="45"/>
      <c r="AZ132" s="45"/>
      <c r="BA132" s="45"/>
      <c r="BB132" s="45"/>
      <c r="BC132" s="45"/>
      <c r="BD132" s="45"/>
      <c r="BE132" s="45"/>
      <c r="BF132" s="45"/>
      <c r="BG132" s="45"/>
      <c r="BH132" s="45"/>
    </row>
    <row r="133" spans="1:60">
      <c r="A133" s="44" t="str">
        <f>Requirements!A135</f>
        <v>MS-SMB_R9064</v>
      </c>
      <c r="B133" s="87"/>
      <c r="C133" s="87"/>
      <c r="D133" s="87"/>
      <c r="E133" s="87"/>
      <c r="F133" s="87"/>
      <c r="G133" s="87"/>
      <c r="H133" s="87"/>
      <c r="I133" s="87"/>
      <c r="J133" s="87"/>
      <c r="K133" s="87"/>
      <c r="L133" s="87"/>
      <c r="M133" s="87"/>
      <c r="N133" s="87">
        <f t="shared" si="4"/>
        <v>0</v>
      </c>
      <c r="O133" s="87">
        <f t="shared" si="5"/>
        <v>0</v>
      </c>
      <c r="P133" s="87" t="b">
        <f t="shared" si="6"/>
        <v>0</v>
      </c>
      <c r="Q133" s="87" t="b">
        <f>(Requirements!K135="Normative")</f>
        <v>1</v>
      </c>
      <c r="R133" s="87" t="b">
        <f>AND(Requirements!L135&lt;&gt;"Non-testable",Requirements!L135&lt;&gt;"Deleted",Requirements!L135&lt;&gt;"")</f>
        <v>0</v>
      </c>
      <c r="S133" s="87" t="b">
        <f>(VLOOKUP(Requirements!I135,Scope[[Role]:[Description]],2,FALSE)="In")</f>
        <v>1</v>
      </c>
      <c r="T133" s="87">
        <f t="shared" si="7"/>
        <v>0</v>
      </c>
    </row>
    <row r="134" spans="1:60">
      <c r="A134" s="84" t="str">
        <f>Requirements!A136</f>
        <v>MS-SMB_R109064</v>
      </c>
      <c r="B134" s="87"/>
      <c r="C134" s="87"/>
      <c r="D134" s="87"/>
      <c r="E134" s="87"/>
      <c r="F134" s="87"/>
      <c r="G134" s="87"/>
      <c r="H134" s="87"/>
      <c r="I134" s="87"/>
      <c r="J134" s="87">
        <v>1</v>
      </c>
      <c r="K134" s="87"/>
      <c r="L134" s="87"/>
      <c r="M134" s="87"/>
      <c r="N134" s="87">
        <f t="shared" si="4"/>
        <v>1</v>
      </c>
      <c r="O134" s="60">
        <f t="shared" si="5"/>
        <v>1</v>
      </c>
      <c r="P134" s="60" t="b">
        <f t="shared" si="6"/>
        <v>1</v>
      </c>
      <c r="Q134" s="87" t="b">
        <f>(Requirements!K136="Normative")</f>
        <v>1</v>
      </c>
      <c r="R134" s="87" t="b">
        <f>AND(Requirements!L136&lt;&gt;"Non-testable",Requirements!L136&lt;&gt;"Deleted",Requirements!L136&lt;&gt;"")</f>
        <v>1</v>
      </c>
      <c r="S134" s="87" t="b">
        <f>(VLOOKUP(Requirements!I136,Scope[[Role]:[Description]],2,FALSE)="In")</f>
        <v>1</v>
      </c>
      <c r="T134" s="87">
        <f t="shared" si="7"/>
        <v>1</v>
      </c>
    </row>
    <row r="135" spans="1:60">
      <c r="A135" s="44" t="str">
        <f>Requirements!A137</f>
        <v>MS-SMB_R9065</v>
      </c>
      <c r="B135" s="87"/>
      <c r="C135" s="87"/>
      <c r="D135" s="87"/>
      <c r="E135" s="87"/>
      <c r="F135" s="87"/>
      <c r="G135" s="87"/>
      <c r="H135" s="87"/>
      <c r="I135" s="87"/>
      <c r="J135" s="87"/>
      <c r="K135" s="87"/>
      <c r="L135" s="87"/>
      <c r="M135" s="87"/>
      <c r="N135" s="87">
        <f t="shared" si="4"/>
        <v>0</v>
      </c>
      <c r="O135" s="87">
        <f t="shared" si="5"/>
        <v>0</v>
      </c>
      <c r="P135" s="87" t="b">
        <f t="shared" si="6"/>
        <v>0</v>
      </c>
      <c r="Q135" s="87" t="b">
        <f>(Requirements!K137="Normative")</f>
        <v>0</v>
      </c>
      <c r="R135" s="87" t="b">
        <f>AND(Requirements!L137&lt;&gt;"Non-testable",Requirements!L137&lt;&gt;"Deleted",Requirements!L137&lt;&gt;"")</f>
        <v>1</v>
      </c>
      <c r="S135" s="87" t="b">
        <f>(VLOOKUP(Requirements!I137,Scope[[Role]:[Description]],2,FALSE)="In")</f>
        <v>1</v>
      </c>
      <c r="T135" s="87">
        <f t="shared" si="7"/>
        <v>0</v>
      </c>
    </row>
    <row r="136" spans="1:60">
      <c r="A136" s="84" t="str">
        <f>Requirements!A138</f>
        <v>MS-SMB_R9066</v>
      </c>
      <c r="B136" s="87"/>
      <c r="C136" s="87"/>
      <c r="D136" s="87"/>
      <c r="E136" s="87"/>
      <c r="F136" s="87"/>
      <c r="G136" s="87"/>
      <c r="H136" s="87"/>
      <c r="I136" s="87"/>
      <c r="J136" s="87">
        <v>1</v>
      </c>
      <c r="K136" s="87"/>
      <c r="L136" s="87"/>
      <c r="M136" s="87"/>
      <c r="N136" s="87">
        <f t="shared" si="4"/>
        <v>1</v>
      </c>
      <c r="O136" s="60">
        <f t="shared" si="5"/>
        <v>1</v>
      </c>
      <c r="P136" s="60" t="b">
        <f t="shared" si="6"/>
        <v>1</v>
      </c>
      <c r="Q136" s="87" t="b">
        <f>(Requirements!K138="Normative")</f>
        <v>1</v>
      </c>
      <c r="R136" s="87" t="b">
        <f>AND(Requirements!L138&lt;&gt;"Non-testable",Requirements!L138&lt;&gt;"Deleted",Requirements!L138&lt;&gt;"")</f>
        <v>1</v>
      </c>
      <c r="S136" s="87" t="b">
        <f>(VLOOKUP(Requirements!I138,Scope[[Role]:[Description]],2,FALSE)="In")</f>
        <v>1</v>
      </c>
      <c r="T136" s="87">
        <f t="shared" si="7"/>
        <v>1</v>
      </c>
    </row>
    <row r="137" spans="1:60">
      <c r="A137" s="84" t="str">
        <f>Requirements!A139</f>
        <v>MS-SMB_R9067</v>
      </c>
      <c r="B137" s="87"/>
      <c r="C137" s="87"/>
      <c r="D137" s="87"/>
      <c r="E137" s="87"/>
      <c r="F137" s="87"/>
      <c r="G137" s="87"/>
      <c r="H137" s="87"/>
      <c r="I137" s="87"/>
      <c r="J137" s="87">
        <v>1</v>
      </c>
      <c r="K137" s="87"/>
      <c r="L137" s="87"/>
      <c r="M137" s="87"/>
      <c r="N137" s="87">
        <f t="shared" si="4"/>
        <v>1</v>
      </c>
      <c r="O137" s="60">
        <f t="shared" si="5"/>
        <v>1</v>
      </c>
      <c r="P137" s="60" t="b">
        <f t="shared" si="6"/>
        <v>1</v>
      </c>
      <c r="Q137" s="87" t="b">
        <f>(Requirements!K139="Normative")</f>
        <v>1</v>
      </c>
      <c r="R137" s="87" t="b">
        <f>AND(Requirements!L139&lt;&gt;"Non-testable",Requirements!L139&lt;&gt;"Deleted",Requirements!L139&lt;&gt;"")</f>
        <v>1</v>
      </c>
      <c r="S137" s="87" t="b">
        <f>(VLOOKUP(Requirements!I139,Scope[[Role]:[Description]],2,FALSE)="In")</f>
        <v>1</v>
      </c>
      <c r="T137" s="87">
        <f t="shared" si="7"/>
        <v>1</v>
      </c>
    </row>
    <row r="138" spans="1:60">
      <c r="A138" s="44" t="str">
        <f>Requirements!A140</f>
        <v>MS-SMB_R9068</v>
      </c>
      <c r="B138" s="87"/>
      <c r="C138" s="87"/>
      <c r="D138" s="87"/>
      <c r="E138" s="87"/>
      <c r="F138" s="87"/>
      <c r="G138" s="87"/>
      <c r="H138" s="87"/>
      <c r="I138" s="87"/>
      <c r="J138" s="87"/>
      <c r="K138" s="87"/>
      <c r="L138" s="87"/>
      <c r="M138" s="87"/>
      <c r="N138" s="87">
        <f t="shared" si="4"/>
        <v>0</v>
      </c>
      <c r="O138" s="87">
        <f t="shared" si="5"/>
        <v>0</v>
      </c>
      <c r="P138" s="87" t="b">
        <f t="shared" si="6"/>
        <v>0</v>
      </c>
      <c r="Q138" s="87" t="b">
        <f>(Requirements!K140="Normative")</f>
        <v>0</v>
      </c>
      <c r="R138" s="87" t="b">
        <f>AND(Requirements!L140&lt;&gt;"Non-testable",Requirements!L140&lt;&gt;"Deleted",Requirements!L140&lt;&gt;"")</f>
        <v>1</v>
      </c>
      <c r="S138" s="87" t="b">
        <f>(VLOOKUP(Requirements!I140,Scope[[Role]:[Description]],2,FALSE)="In")</f>
        <v>1</v>
      </c>
      <c r="T138" s="87">
        <f t="shared" si="7"/>
        <v>0</v>
      </c>
    </row>
    <row r="139" spans="1:60">
      <c r="A139" s="44" t="str">
        <f>Requirements!A141</f>
        <v>MS-SMB_R9069</v>
      </c>
      <c r="B139" s="87"/>
      <c r="C139" s="87"/>
      <c r="D139" s="87"/>
      <c r="E139" s="87"/>
      <c r="F139" s="87"/>
      <c r="G139" s="87"/>
      <c r="H139" s="87"/>
      <c r="I139" s="87"/>
      <c r="J139" s="87"/>
      <c r="K139" s="87"/>
      <c r="L139" s="87"/>
      <c r="M139" s="87"/>
      <c r="N139" s="87">
        <f t="shared" si="4"/>
        <v>0</v>
      </c>
      <c r="O139" s="87">
        <f t="shared" si="5"/>
        <v>0</v>
      </c>
      <c r="P139" s="87" t="b">
        <f t="shared" si="6"/>
        <v>0</v>
      </c>
      <c r="Q139" s="87" t="b">
        <f>(Requirements!K141="Normative")</f>
        <v>0</v>
      </c>
      <c r="R139" s="87" t="b">
        <f>AND(Requirements!L141&lt;&gt;"Non-testable",Requirements!L141&lt;&gt;"Deleted",Requirements!L141&lt;&gt;"")</f>
        <v>1</v>
      </c>
      <c r="S139" s="87" t="b">
        <f>(VLOOKUP(Requirements!I141,Scope[[Role]:[Description]],2,FALSE)="In")</f>
        <v>1</v>
      </c>
      <c r="T139" s="87">
        <f t="shared" si="7"/>
        <v>0</v>
      </c>
    </row>
    <row r="140" spans="1:60">
      <c r="A140" s="44" t="str">
        <f>Requirements!A142</f>
        <v>MS-SMB_R9070</v>
      </c>
      <c r="B140" s="87"/>
      <c r="C140" s="87"/>
      <c r="D140" s="87"/>
      <c r="E140" s="87"/>
      <c r="F140" s="87"/>
      <c r="G140" s="87"/>
      <c r="H140" s="87"/>
      <c r="I140" s="87"/>
      <c r="J140" s="87"/>
      <c r="K140" s="87"/>
      <c r="L140" s="87"/>
      <c r="M140" s="87"/>
      <c r="N140" s="87">
        <f t="shared" si="4"/>
        <v>0</v>
      </c>
      <c r="O140" s="87">
        <f t="shared" si="5"/>
        <v>0</v>
      </c>
      <c r="P140" s="87" t="b">
        <f t="shared" si="6"/>
        <v>0</v>
      </c>
      <c r="Q140" s="87" t="b">
        <f>(Requirements!K142="Normative")</f>
        <v>1</v>
      </c>
      <c r="R140" s="87" t="b">
        <f>AND(Requirements!L142&lt;&gt;"Non-testable",Requirements!L142&lt;&gt;"Deleted",Requirements!L142&lt;&gt;"")</f>
        <v>0</v>
      </c>
      <c r="S140" s="87" t="b">
        <f>(VLOOKUP(Requirements!I142,Scope[[Role]:[Description]],2,FALSE)="In")</f>
        <v>1</v>
      </c>
      <c r="T140" s="87">
        <f t="shared" si="7"/>
        <v>0</v>
      </c>
    </row>
    <row r="141" spans="1:60">
      <c r="A141" s="83" t="str">
        <f>Requirements!A143</f>
        <v>MS-SMB_R109070</v>
      </c>
      <c r="B141" s="46"/>
      <c r="C141" s="46"/>
      <c r="D141" s="46"/>
      <c r="E141" s="46"/>
      <c r="F141" s="46"/>
      <c r="G141" s="46"/>
      <c r="H141" s="46"/>
      <c r="I141" s="46"/>
      <c r="J141" s="46"/>
      <c r="K141" s="46"/>
      <c r="L141" s="46"/>
      <c r="M141" s="46"/>
      <c r="N141" s="46">
        <f t="shared" si="4"/>
        <v>0</v>
      </c>
      <c r="O141" s="46">
        <f t="shared" si="5"/>
        <v>0</v>
      </c>
      <c r="P141" s="46" t="b">
        <f t="shared" si="6"/>
        <v>0</v>
      </c>
      <c r="Q141" s="46" t="b">
        <f>(Requirements!K143="Normative")</f>
        <v>0</v>
      </c>
      <c r="R141" s="46" t="b">
        <f>AND(Requirements!L143&lt;&gt;"Non-testable",Requirements!L143&lt;&gt;"Deleted",Requirements!L143&lt;&gt;"")</f>
        <v>0</v>
      </c>
      <c r="S141" s="46" t="b">
        <f>(VLOOKUP(Requirements!I143,Scope[[Role]:[Description]],2,FALSE)="In")</f>
        <v>1</v>
      </c>
      <c r="T141" s="46">
        <f t="shared" si="7"/>
        <v>0</v>
      </c>
      <c r="U141" s="45"/>
      <c r="V141" s="45"/>
      <c r="W141" s="45"/>
      <c r="X141" s="45"/>
      <c r="Y141" s="45"/>
      <c r="Z141" s="45"/>
      <c r="AA141" s="45"/>
      <c r="AB141" s="45"/>
      <c r="AC141" s="45"/>
      <c r="AD141" s="45"/>
      <c r="AE141" s="45"/>
      <c r="AF141" s="45"/>
      <c r="AG141" s="45"/>
      <c r="AH141" s="45"/>
      <c r="AI141" s="45"/>
      <c r="AJ141" s="45"/>
      <c r="AK141" s="45"/>
      <c r="AL141" s="45"/>
      <c r="AM141" s="45"/>
      <c r="AN141" s="45"/>
      <c r="AO141" s="45"/>
      <c r="AP141" s="45"/>
      <c r="AQ141" s="45"/>
      <c r="AR141" s="45"/>
      <c r="AS141" s="45"/>
      <c r="AT141" s="45"/>
      <c r="AU141" s="45"/>
      <c r="AV141" s="45"/>
      <c r="AW141" s="45"/>
      <c r="AX141" s="45"/>
      <c r="AY141" s="45"/>
      <c r="AZ141" s="45"/>
      <c r="BA141" s="45"/>
      <c r="BB141" s="45"/>
      <c r="BC141" s="45"/>
      <c r="BD141" s="45"/>
      <c r="BE141" s="45"/>
      <c r="BF141" s="45"/>
      <c r="BG141" s="45"/>
      <c r="BH141" s="45"/>
    </row>
    <row r="142" spans="1:60">
      <c r="A142" s="44" t="str">
        <f>Requirements!A144</f>
        <v>MS-SMB_R9071</v>
      </c>
      <c r="B142" s="87"/>
      <c r="C142" s="87"/>
      <c r="D142" s="87"/>
      <c r="E142" s="87"/>
      <c r="F142" s="87"/>
      <c r="G142" s="87"/>
      <c r="H142" s="87"/>
      <c r="I142" s="87"/>
      <c r="J142" s="87"/>
      <c r="K142" s="87"/>
      <c r="L142" s="87"/>
      <c r="M142" s="87"/>
      <c r="N142" s="87">
        <f t="shared" si="4"/>
        <v>0</v>
      </c>
      <c r="O142" s="87">
        <f t="shared" si="5"/>
        <v>0</v>
      </c>
      <c r="P142" s="87" t="b">
        <f t="shared" si="6"/>
        <v>0</v>
      </c>
      <c r="Q142" s="87" t="b">
        <f>(Requirements!K144="Normative")</f>
        <v>0</v>
      </c>
      <c r="R142" s="87" t="b">
        <f>AND(Requirements!L144&lt;&gt;"Non-testable",Requirements!L144&lt;&gt;"Deleted",Requirements!L144&lt;&gt;"")</f>
        <v>1</v>
      </c>
      <c r="S142" s="87" t="b">
        <f>(VLOOKUP(Requirements!I144,Scope[[Role]:[Description]],2,FALSE)="In")</f>
        <v>1</v>
      </c>
      <c r="T142" s="87">
        <f t="shared" si="7"/>
        <v>0</v>
      </c>
    </row>
    <row r="143" spans="1:60">
      <c r="A143" s="84" t="str">
        <f>Requirements!A145</f>
        <v>MS-SMB_R9072</v>
      </c>
      <c r="B143" s="87"/>
      <c r="C143" s="87"/>
      <c r="D143" s="87"/>
      <c r="E143" s="87"/>
      <c r="F143" s="87"/>
      <c r="G143" s="87"/>
      <c r="H143" s="87"/>
      <c r="I143" s="87"/>
      <c r="J143" s="87">
        <v>1</v>
      </c>
      <c r="K143" s="87"/>
      <c r="L143" s="87"/>
      <c r="M143" s="87"/>
      <c r="N143" s="87">
        <f t="shared" si="4"/>
        <v>1</v>
      </c>
      <c r="O143" s="60">
        <f t="shared" si="5"/>
        <v>1</v>
      </c>
      <c r="P143" s="60" t="b">
        <f t="shared" si="6"/>
        <v>1</v>
      </c>
      <c r="Q143" s="87" t="b">
        <f>(Requirements!K145="Normative")</f>
        <v>1</v>
      </c>
      <c r="R143" s="87" t="b">
        <f>AND(Requirements!L145&lt;&gt;"Non-testable",Requirements!L145&lt;&gt;"Deleted",Requirements!L145&lt;&gt;"")</f>
        <v>1</v>
      </c>
      <c r="S143" s="87" t="b">
        <f>(VLOOKUP(Requirements!I145,Scope[[Role]:[Description]],2,FALSE)="In")</f>
        <v>1</v>
      </c>
      <c r="T143" s="87">
        <f t="shared" si="7"/>
        <v>1</v>
      </c>
    </row>
    <row r="144" spans="1:60">
      <c r="A144" s="84" t="str">
        <f>Requirements!A146</f>
        <v>MS-SMB_R9073</v>
      </c>
      <c r="B144" s="87"/>
      <c r="C144" s="87"/>
      <c r="D144" s="87"/>
      <c r="E144" s="87"/>
      <c r="F144" s="87"/>
      <c r="G144" s="87"/>
      <c r="H144" s="87"/>
      <c r="I144" s="87"/>
      <c r="J144" s="87">
        <v>1</v>
      </c>
      <c r="K144" s="87"/>
      <c r="L144" s="87"/>
      <c r="M144" s="87"/>
      <c r="N144" s="87">
        <f t="shared" si="4"/>
        <v>1</v>
      </c>
      <c r="O144" s="60">
        <f t="shared" si="5"/>
        <v>1</v>
      </c>
      <c r="P144" s="60" t="b">
        <f t="shared" si="6"/>
        <v>1</v>
      </c>
      <c r="Q144" s="87" t="b">
        <f>(Requirements!K146="Normative")</f>
        <v>1</v>
      </c>
      <c r="R144" s="87" t="b">
        <f>AND(Requirements!L146&lt;&gt;"Non-testable",Requirements!L146&lt;&gt;"Deleted",Requirements!L146&lt;&gt;"")</f>
        <v>1</v>
      </c>
      <c r="S144" s="87" t="b">
        <f>(VLOOKUP(Requirements!I146,Scope[[Role]:[Description]],2,FALSE)="In")</f>
        <v>1</v>
      </c>
      <c r="T144" s="87">
        <f t="shared" si="7"/>
        <v>1</v>
      </c>
    </row>
    <row r="145" spans="1:20">
      <c r="A145" s="84" t="str">
        <f>Requirements!A147</f>
        <v>MS-SMB_R9074</v>
      </c>
      <c r="B145" s="87"/>
      <c r="C145" s="87"/>
      <c r="D145" s="87"/>
      <c r="E145" s="87"/>
      <c r="F145" s="87"/>
      <c r="G145" s="87"/>
      <c r="H145" s="87"/>
      <c r="I145" s="87"/>
      <c r="J145" s="87">
        <v>1</v>
      </c>
      <c r="K145" s="87"/>
      <c r="L145" s="87"/>
      <c r="M145" s="87"/>
      <c r="N145" s="87">
        <f t="shared" si="4"/>
        <v>1</v>
      </c>
      <c r="O145" s="60">
        <f t="shared" si="5"/>
        <v>1</v>
      </c>
      <c r="P145" s="60" t="b">
        <f t="shared" si="6"/>
        <v>1</v>
      </c>
      <c r="Q145" s="87" t="b">
        <f>(Requirements!K147="Normative")</f>
        <v>1</v>
      </c>
      <c r="R145" s="87" t="b">
        <f>AND(Requirements!L147&lt;&gt;"Non-testable",Requirements!L147&lt;&gt;"Deleted",Requirements!L147&lt;&gt;"")</f>
        <v>1</v>
      </c>
      <c r="S145" s="87" t="b">
        <f>(VLOOKUP(Requirements!I147,Scope[[Role]:[Description]],2,FALSE)="In")</f>
        <v>1</v>
      </c>
      <c r="T145" s="87">
        <f t="shared" si="7"/>
        <v>1</v>
      </c>
    </row>
    <row r="146" spans="1:20">
      <c r="A146" s="84" t="str">
        <f>Requirements!A148</f>
        <v>MS-SMB_R9075</v>
      </c>
      <c r="B146" s="87"/>
      <c r="C146" s="87"/>
      <c r="D146" s="87"/>
      <c r="E146" s="87"/>
      <c r="F146" s="87"/>
      <c r="G146" s="87"/>
      <c r="H146" s="87"/>
      <c r="I146" s="87"/>
      <c r="J146" s="87">
        <v>1</v>
      </c>
      <c r="K146" s="87"/>
      <c r="L146" s="87"/>
      <c r="M146" s="87"/>
      <c r="N146" s="87">
        <f t="shared" si="4"/>
        <v>1</v>
      </c>
      <c r="O146" s="60">
        <f t="shared" si="5"/>
        <v>1</v>
      </c>
      <c r="P146" s="60" t="b">
        <f t="shared" si="6"/>
        <v>1</v>
      </c>
      <c r="Q146" s="87" t="b">
        <f>(Requirements!K148="Normative")</f>
        <v>1</v>
      </c>
      <c r="R146" s="87" t="b">
        <f>AND(Requirements!L148&lt;&gt;"Non-testable",Requirements!L148&lt;&gt;"Deleted",Requirements!L148&lt;&gt;"")</f>
        <v>1</v>
      </c>
      <c r="S146" s="87" t="b">
        <f>(VLOOKUP(Requirements!I148,Scope[[Role]:[Description]],2,FALSE)="In")</f>
        <v>1</v>
      </c>
      <c r="T146" s="87">
        <f t="shared" si="7"/>
        <v>1</v>
      </c>
    </row>
    <row r="147" spans="1:20">
      <c r="A147" s="44" t="str">
        <f>Requirements!A149</f>
        <v>MS-SMB_R9076</v>
      </c>
      <c r="B147" s="87"/>
      <c r="C147" s="87"/>
      <c r="D147" s="87"/>
      <c r="E147" s="87"/>
      <c r="F147" s="87"/>
      <c r="G147" s="87"/>
      <c r="H147" s="87"/>
      <c r="I147" s="87"/>
      <c r="J147" s="87"/>
      <c r="K147" s="87"/>
      <c r="L147" s="87"/>
      <c r="M147" s="87"/>
      <c r="N147" s="87">
        <f t="shared" si="4"/>
        <v>0</v>
      </c>
      <c r="O147" s="87">
        <f t="shared" si="5"/>
        <v>0</v>
      </c>
      <c r="P147" s="87" t="b">
        <f t="shared" si="6"/>
        <v>0</v>
      </c>
      <c r="Q147" s="87" t="b">
        <f>(Requirements!K149="Normative")</f>
        <v>0</v>
      </c>
      <c r="R147" s="87" t="b">
        <f>AND(Requirements!L149&lt;&gt;"Non-testable",Requirements!L149&lt;&gt;"Deleted",Requirements!L149&lt;&gt;"")</f>
        <v>1</v>
      </c>
      <c r="S147" s="87" t="b">
        <f>(VLOOKUP(Requirements!I149,Scope[[Role]:[Description]],2,FALSE)="In")</f>
        <v>1</v>
      </c>
      <c r="T147" s="87">
        <f t="shared" si="7"/>
        <v>0</v>
      </c>
    </row>
    <row r="148" spans="1:20">
      <c r="A148" s="44" t="str">
        <f>Requirements!A150</f>
        <v>MS-SMB_R9077</v>
      </c>
      <c r="B148" s="87"/>
      <c r="C148" s="87"/>
      <c r="D148" s="87"/>
      <c r="E148" s="87"/>
      <c r="F148" s="87"/>
      <c r="G148" s="87"/>
      <c r="H148" s="87"/>
      <c r="I148" s="87"/>
      <c r="J148" s="87"/>
      <c r="K148" s="87"/>
      <c r="L148" s="87"/>
      <c r="M148" s="87"/>
      <c r="N148" s="87">
        <f t="shared" ref="N148:N211" si="8">SUM(B148:M148)</f>
        <v>0</v>
      </c>
      <c r="O148" s="87">
        <f t="shared" ref="O148:O211" si="9">IF(N148=0,0,1)</f>
        <v>0</v>
      </c>
      <c r="P148" s="87" t="b">
        <f t="shared" ref="P148:P211" si="10">AND(Q148:S148)</f>
        <v>0</v>
      </c>
      <c r="Q148" s="87" t="b">
        <f>(Requirements!K150="Normative")</f>
        <v>0</v>
      </c>
      <c r="R148" s="87" t="b">
        <f>AND(Requirements!L150&lt;&gt;"Non-testable",Requirements!L150&lt;&gt;"Deleted",Requirements!L150&lt;&gt;"")</f>
        <v>1</v>
      </c>
      <c r="S148" s="87" t="b">
        <f>(VLOOKUP(Requirements!I150,Scope[[Role]:[Description]],2,FALSE)="In")</f>
        <v>1</v>
      </c>
      <c r="T148" s="87">
        <f t="shared" ref="T148:T211" si="11">IF(P148,O148, 0)</f>
        <v>0</v>
      </c>
    </row>
    <row r="149" spans="1:20">
      <c r="A149" s="84" t="str">
        <f>Requirements!A151</f>
        <v>MS-SMB_R9078</v>
      </c>
      <c r="B149" s="87"/>
      <c r="C149" s="87"/>
      <c r="D149" s="87"/>
      <c r="E149" s="87"/>
      <c r="F149" s="87"/>
      <c r="G149" s="87"/>
      <c r="H149" s="87"/>
      <c r="I149" s="87"/>
      <c r="J149" s="87"/>
      <c r="K149" s="87">
        <v>1</v>
      </c>
      <c r="L149" s="87"/>
      <c r="M149" s="87"/>
      <c r="N149" s="87">
        <f t="shared" si="8"/>
        <v>1</v>
      </c>
      <c r="O149" s="60">
        <f t="shared" si="9"/>
        <v>1</v>
      </c>
      <c r="P149" s="60" t="b">
        <f t="shared" si="10"/>
        <v>1</v>
      </c>
      <c r="Q149" s="87" t="b">
        <f>(Requirements!K151="Normative")</f>
        <v>1</v>
      </c>
      <c r="R149" s="87" t="b">
        <f>AND(Requirements!L151&lt;&gt;"Non-testable",Requirements!L151&lt;&gt;"Deleted",Requirements!L151&lt;&gt;"")</f>
        <v>1</v>
      </c>
      <c r="S149" s="87" t="b">
        <f>(VLOOKUP(Requirements!I151,Scope[[Role]:[Description]],2,FALSE)="In")</f>
        <v>1</v>
      </c>
      <c r="T149" s="87">
        <f t="shared" si="11"/>
        <v>1</v>
      </c>
    </row>
    <row r="150" spans="1:20">
      <c r="A150" s="44" t="str">
        <f>Requirements!A152</f>
        <v>MS-SMB_R9079</v>
      </c>
      <c r="B150" s="87"/>
      <c r="C150" s="87"/>
      <c r="D150" s="87"/>
      <c r="E150" s="87"/>
      <c r="F150" s="87"/>
      <c r="G150" s="87"/>
      <c r="H150" s="87"/>
      <c r="I150" s="87"/>
      <c r="J150" s="87"/>
      <c r="K150" s="87"/>
      <c r="L150" s="87"/>
      <c r="M150" s="87"/>
      <c r="N150" s="87">
        <f t="shared" si="8"/>
        <v>0</v>
      </c>
      <c r="O150" s="87">
        <f t="shared" si="9"/>
        <v>0</v>
      </c>
      <c r="P150" s="87" t="b">
        <f t="shared" si="10"/>
        <v>0</v>
      </c>
      <c r="Q150" s="87" t="b">
        <f>(Requirements!K152="Normative")</f>
        <v>0</v>
      </c>
      <c r="R150" s="87" t="b">
        <f>AND(Requirements!L152&lt;&gt;"Non-testable",Requirements!L152&lt;&gt;"Deleted",Requirements!L152&lt;&gt;"")</f>
        <v>1</v>
      </c>
      <c r="S150" s="87" t="b">
        <f>(VLOOKUP(Requirements!I152,Scope[[Role]:[Description]],2,FALSE)="In")</f>
        <v>1</v>
      </c>
      <c r="T150" s="87">
        <f t="shared" si="11"/>
        <v>0</v>
      </c>
    </row>
    <row r="151" spans="1:20">
      <c r="A151" s="84" t="str">
        <f>Requirements!A153</f>
        <v>MS-SMB_R9080</v>
      </c>
      <c r="B151" s="87"/>
      <c r="C151" s="87"/>
      <c r="D151" s="87"/>
      <c r="E151" s="87"/>
      <c r="F151" s="87"/>
      <c r="G151" s="87"/>
      <c r="H151" s="87"/>
      <c r="I151" s="87"/>
      <c r="J151" s="87"/>
      <c r="K151" s="87">
        <v>1</v>
      </c>
      <c r="L151" s="87"/>
      <c r="M151" s="87"/>
      <c r="N151" s="87">
        <f t="shared" si="8"/>
        <v>1</v>
      </c>
      <c r="O151" s="60">
        <f t="shared" si="9"/>
        <v>1</v>
      </c>
      <c r="P151" s="60" t="b">
        <f t="shared" si="10"/>
        <v>1</v>
      </c>
      <c r="Q151" s="87" t="b">
        <f>(Requirements!K153="Normative")</f>
        <v>1</v>
      </c>
      <c r="R151" s="87" t="b">
        <f>AND(Requirements!L153&lt;&gt;"Non-testable",Requirements!L153&lt;&gt;"Deleted",Requirements!L153&lt;&gt;"")</f>
        <v>1</v>
      </c>
      <c r="S151" s="87" t="b">
        <f>(VLOOKUP(Requirements!I153,Scope[[Role]:[Description]],2,FALSE)="In")</f>
        <v>1</v>
      </c>
      <c r="T151" s="87">
        <f t="shared" si="11"/>
        <v>1</v>
      </c>
    </row>
    <row r="152" spans="1:20">
      <c r="A152" s="84" t="str">
        <f>Requirements!A154</f>
        <v>MS-SMB_R109080</v>
      </c>
      <c r="B152" s="87"/>
      <c r="C152" s="87"/>
      <c r="D152" s="87"/>
      <c r="E152" s="87"/>
      <c r="F152" s="87"/>
      <c r="G152" s="87"/>
      <c r="H152" s="87"/>
      <c r="I152" s="87"/>
      <c r="J152" s="87"/>
      <c r="K152" s="87">
        <v>1</v>
      </c>
      <c r="L152" s="87"/>
      <c r="M152" s="87"/>
      <c r="N152" s="87">
        <f t="shared" si="8"/>
        <v>1</v>
      </c>
      <c r="O152" s="60">
        <f t="shared" si="9"/>
        <v>1</v>
      </c>
      <c r="P152" s="60" t="b">
        <f t="shared" si="10"/>
        <v>1</v>
      </c>
      <c r="Q152" s="87" t="b">
        <f>(Requirements!K154="Normative")</f>
        <v>1</v>
      </c>
      <c r="R152" s="87" t="b">
        <f>AND(Requirements!L154&lt;&gt;"Non-testable",Requirements!L154&lt;&gt;"Deleted",Requirements!L154&lt;&gt;"")</f>
        <v>1</v>
      </c>
      <c r="S152" s="87" t="b">
        <f>(VLOOKUP(Requirements!I154,Scope[[Role]:[Description]],2,FALSE)="In")</f>
        <v>1</v>
      </c>
      <c r="T152" s="87">
        <f t="shared" si="11"/>
        <v>1</v>
      </c>
    </row>
    <row r="153" spans="1:20">
      <c r="A153" s="44" t="str">
        <f>Requirements!A155</f>
        <v>MS-SMB_R9081</v>
      </c>
      <c r="B153" s="87"/>
      <c r="C153" s="87"/>
      <c r="D153" s="87"/>
      <c r="E153" s="87"/>
      <c r="F153" s="87"/>
      <c r="G153" s="87"/>
      <c r="H153" s="87"/>
      <c r="I153" s="87"/>
      <c r="J153" s="87"/>
      <c r="K153" s="87"/>
      <c r="L153" s="87"/>
      <c r="M153" s="87"/>
      <c r="N153" s="87">
        <f t="shared" si="8"/>
        <v>0</v>
      </c>
      <c r="O153" s="87">
        <f t="shared" si="9"/>
        <v>0</v>
      </c>
      <c r="P153" s="87" t="b">
        <f t="shared" si="10"/>
        <v>0</v>
      </c>
      <c r="Q153" s="87" t="b">
        <f>(Requirements!K155="Normative")</f>
        <v>0</v>
      </c>
      <c r="R153" s="87" t="b">
        <f>AND(Requirements!L155&lt;&gt;"Non-testable",Requirements!L155&lt;&gt;"Deleted",Requirements!L155&lt;&gt;"")</f>
        <v>1</v>
      </c>
      <c r="S153" s="87" t="b">
        <f>(VLOOKUP(Requirements!I155,Scope[[Role]:[Description]],2,FALSE)="In")</f>
        <v>1</v>
      </c>
      <c r="T153" s="87">
        <f t="shared" si="11"/>
        <v>0</v>
      </c>
    </row>
    <row r="154" spans="1:20">
      <c r="A154" s="44" t="str">
        <f>Requirements!A156</f>
        <v>MS-SMB_R9082</v>
      </c>
      <c r="B154" s="87"/>
      <c r="C154" s="87"/>
      <c r="D154" s="87"/>
      <c r="E154" s="87"/>
      <c r="F154" s="87"/>
      <c r="G154" s="87"/>
      <c r="H154" s="87"/>
      <c r="I154" s="87"/>
      <c r="J154" s="87"/>
      <c r="K154" s="87"/>
      <c r="L154" s="87"/>
      <c r="M154" s="87"/>
      <c r="N154" s="87">
        <f t="shared" si="8"/>
        <v>0</v>
      </c>
      <c r="O154" s="87">
        <f t="shared" si="9"/>
        <v>0</v>
      </c>
      <c r="P154" s="87" t="b">
        <f t="shared" si="10"/>
        <v>0</v>
      </c>
      <c r="Q154" s="87" t="b">
        <f>(Requirements!K156="Normative")</f>
        <v>0</v>
      </c>
      <c r="R154" s="87" t="b">
        <f>AND(Requirements!L156&lt;&gt;"Non-testable",Requirements!L156&lt;&gt;"Deleted",Requirements!L156&lt;&gt;"")</f>
        <v>1</v>
      </c>
      <c r="S154" s="87" t="b">
        <f>(VLOOKUP(Requirements!I156,Scope[[Role]:[Description]],2,FALSE)="In")</f>
        <v>1</v>
      </c>
      <c r="T154" s="87">
        <f t="shared" si="11"/>
        <v>0</v>
      </c>
    </row>
    <row r="155" spans="1:20">
      <c r="A155" s="44" t="str">
        <f>Requirements!A157</f>
        <v>MS-SMB_R9083</v>
      </c>
      <c r="B155" s="87"/>
      <c r="C155" s="87"/>
      <c r="D155" s="87"/>
      <c r="E155" s="87"/>
      <c r="F155" s="87"/>
      <c r="G155" s="87"/>
      <c r="H155" s="87"/>
      <c r="I155" s="87"/>
      <c r="J155" s="87"/>
      <c r="K155" s="87"/>
      <c r="L155" s="87"/>
      <c r="M155" s="87"/>
      <c r="N155" s="87">
        <f t="shared" si="8"/>
        <v>0</v>
      </c>
      <c r="O155" s="87">
        <f t="shared" si="9"/>
        <v>0</v>
      </c>
      <c r="P155" s="87" t="b">
        <f t="shared" si="10"/>
        <v>0</v>
      </c>
      <c r="Q155" s="87" t="b">
        <f>(Requirements!K157="Normative")</f>
        <v>0</v>
      </c>
      <c r="R155" s="87" t="b">
        <f>AND(Requirements!L157&lt;&gt;"Non-testable",Requirements!L157&lt;&gt;"Deleted",Requirements!L157&lt;&gt;"")</f>
        <v>1</v>
      </c>
      <c r="S155" s="87" t="b">
        <f>(VLOOKUP(Requirements!I157,Scope[[Role]:[Description]],2,FALSE)="In")</f>
        <v>1</v>
      </c>
      <c r="T155" s="87">
        <f t="shared" si="11"/>
        <v>0</v>
      </c>
    </row>
    <row r="156" spans="1:20">
      <c r="A156" s="44" t="str">
        <f>Requirements!A158</f>
        <v>MS-SMB_R9084</v>
      </c>
      <c r="B156" s="87"/>
      <c r="C156" s="87"/>
      <c r="D156" s="87"/>
      <c r="E156" s="87"/>
      <c r="F156" s="87"/>
      <c r="G156" s="87"/>
      <c r="H156" s="87"/>
      <c r="I156" s="87"/>
      <c r="J156" s="87"/>
      <c r="K156" s="87"/>
      <c r="L156" s="87"/>
      <c r="M156" s="87"/>
      <c r="N156" s="87">
        <f t="shared" si="8"/>
        <v>0</v>
      </c>
      <c r="O156" s="87">
        <f t="shared" si="9"/>
        <v>0</v>
      </c>
      <c r="P156" s="87" t="b">
        <f t="shared" si="10"/>
        <v>0</v>
      </c>
      <c r="Q156" s="87" t="b">
        <f>(Requirements!K158="Normative")</f>
        <v>0</v>
      </c>
      <c r="R156" s="87" t="b">
        <f>AND(Requirements!L158&lt;&gt;"Non-testable",Requirements!L158&lt;&gt;"Deleted",Requirements!L158&lt;&gt;"")</f>
        <v>1</v>
      </c>
      <c r="S156" s="87" t="b">
        <f>(VLOOKUP(Requirements!I158,Scope[[Role]:[Description]],2,FALSE)="In")</f>
        <v>1</v>
      </c>
      <c r="T156" s="87">
        <f t="shared" si="11"/>
        <v>0</v>
      </c>
    </row>
    <row r="157" spans="1:20">
      <c r="A157" s="44" t="str">
        <f>Requirements!A159</f>
        <v>MS-SMB_R9085</v>
      </c>
      <c r="B157" s="87"/>
      <c r="C157" s="87"/>
      <c r="D157" s="87"/>
      <c r="E157" s="87"/>
      <c r="F157" s="87"/>
      <c r="G157" s="87"/>
      <c r="H157" s="87"/>
      <c r="I157" s="87"/>
      <c r="J157" s="87"/>
      <c r="K157" s="87"/>
      <c r="L157" s="87"/>
      <c r="M157" s="87"/>
      <c r="N157" s="87">
        <f t="shared" si="8"/>
        <v>0</v>
      </c>
      <c r="O157" s="87">
        <f t="shared" si="9"/>
        <v>0</v>
      </c>
      <c r="P157" s="87" t="b">
        <f t="shared" si="10"/>
        <v>0</v>
      </c>
      <c r="Q157" s="87" t="b">
        <f>(Requirements!K159="Normative")</f>
        <v>0</v>
      </c>
      <c r="R157" s="87" t="b">
        <f>AND(Requirements!L159&lt;&gt;"Non-testable",Requirements!L159&lt;&gt;"Deleted",Requirements!L159&lt;&gt;"")</f>
        <v>1</v>
      </c>
      <c r="S157" s="87" t="b">
        <f>(VLOOKUP(Requirements!I159,Scope[[Role]:[Description]],2,FALSE)="In")</f>
        <v>1</v>
      </c>
      <c r="T157" s="87">
        <f t="shared" si="11"/>
        <v>0</v>
      </c>
    </row>
    <row r="158" spans="1:20">
      <c r="A158" s="44" t="str">
        <f>Requirements!A160</f>
        <v>MS-SMB_R9086</v>
      </c>
      <c r="B158" s="87"/>
      <c r="C158" s="87"/>
      <c r="D158" s="87"/>
      <c r="E158" s="87"/>
      <c r="F158" s="87"/>
      <c r="G158" s="87"/>
      <c r="H158" s="87"/>
      <c r="I158" s="87"/>
      <c r="J158" s="87"/>
      <c r="K158" s="87"/>
      <c r="L158" s="87"/>
      <c r="M158" s="87"/>
      <c r="N158" s="87">
        <f t="shared" si="8"/>
        <v>0</v>
      </c>
      <c r="O158" s="87">
        <f t="shared" si="9"/>
        <v>0</v>
      </c>
      <c r="P158" s="87" t="b">
        <f t="shared" si="10"/>
        <v>0</v>
      </c>
      <c r="Q158" s="87" t="b">
        <f>(Requirements!K160="Normative")</f>
        <v>0</v>
      </c>
      <c r="R158" s="87" t="b">
        <f>AND(Requirements!L160&lt;&gt;"Non-testable",Requirements!L160&lt;&gt;"Deleted",Requirements!L160&lt;&gt;"")</f>
        <v>1</v>
      </c>
      <c r="S158" s="87" t="b">
        <f>(VLOOKUP(Requirements!I160,Scope[[Role]:[Description]],2,FALSE)="In")</f>
        <v>1</v>
      </c>
      <c r="T158" s="87">
        <f t="shared" si="11"/>
        <v>0</v>
      </c>
    </row>
    <row r="159" spans="1:20">
      <c r="A159" s="44" t="str">
        <f>Requirements!A161</f>
        <v>MS-SMB_R9087</v>
      </c>
      <c r="B159" s="87"/>
      <c r="C159" s="87"/>
      <c r="D159" s="87"/>
      <c r="E159" s="87"/>
      <c r="F159" s="87"/>
      <c r="G159" s="87"/>
      <c r="H159" s="87"/>
      <c r="I159" s="87"/>
      <c r="J159" s="87"/>
      <c r="K159" s="87"/>
      <c r="L159" s="87"/>
      <c r="M159" s="87"/>
      <c r="N159" s="87">
        <f t="shared" si="8"/>
        <v>0</v>
      </c>
      <c r="O159" s="87">
        <f t="shared" si="9"/>
        <v>0</v>
      </c>
      <c r="P159" s="87" t="b">
        <f t="shared" si="10"/>
        <v>0</v>
      </c>
      <c r="Q159" s="87" t="b">
        <f>(Requirements!K161="Normative")</f>
        <v>0</v>
      </c>
      <c r="R159" s="87" t="b">
        <f>AND(Requirements!L161&lt;&gt;"Non-testable",Requirements!L161&lt;&gt;"Deleted",Requirements!L161&lt;&gt;"")</f>
        <v>1</v>
      </c>
      <c r="S159" s="87" t="b">
        <f>(VLOOKUP(Requirements!I161,Scope[[Role]:[Description]],2,FALSE)="In")</f>
        <v>1</v>
      </c>
      <c r="T159" s="87">
        <f t="shared" si="11"/>
        <v>0</v>
      </c>
    </row>
    <row r="160" spans="1:20">
      <c r="A160" s="44" t="str">
        <f>Requirements!A162</f>
        <v>MS-SMB_R9088</v>
      </c>
      <c r="B160" s="87"/>
      <c r="C160" s="87"/>
      <c r="D160" s="87"/>
      <c r="E160" s="87"/>
      <c r="F160" s="87"/>
      <c r="G160" s="87"/>
      <c r="H160" s="87"/>
      <c r="I160" s="87"/>
      <c r="J160" s="87"/>
      <c r="K160" s="87"/>
      <c r="L160" s="87"/>
      <c r="M160" s="87"/>
      <c r="N160" s="87">
        <f t="shared" si="8"/>
        <v>0</v>
      </c>
      <c r="O160" s="87">
        <f t="shared" si="9"/>
        <v>0</v>
      </c>
      <c r="P160" s="87" t="b">
        <f t="shared" si="10"/>
        <v>0</v>
      </c>
      <c r="Q160" s="87" t="b">
        <f>(Requirements!K162="Normative")</f>
        <v>0</v>
      </c>
      <c r="R160" s="87" t="b">
        <f>AND(Requirements!L162&lt;&gt;"Non-testable",Requirements!L162&lt;&gt;"Deleted",Requirements!L162&lt;&gt;"")</f>
        <v>1</v>
      </c>
      <c r="S160" s="87" t="b">
        <f>(VLOOKUP(Requirements!I162,Scope[[Role]:[Description]],2,FALSE)="In")</f>
        <v>1</v>
      </c>
      <c r="T160" s="87">
        <f t="shared" si="11"/>
        <v>0</v>
      </c>
    </row>
    <row r="161" spans="1:60">
      <c r="A161" s="44" t="str">
        <f>Requirements!A163</f>
        <v>MS-SMB_R9089</v>
      </c>
      <c r="B161" s="87"/>
      <c r="C161" s="87"/>
      <c r="D161" s="87"/>
      <c r="E161" s="87"/>
      <c r="F161" s="87"/>
      <c r="G161" s="87"/>
      <c r="H161" s="87"/>
      <c r="I161" s="87"/>
      <c r="J161" s="87"/>
      <c r="K161" s="87"/>
      <c r="L161" s="87"/>
      <c r="M161" s="87"/>
      <c r="N161" s="87">
        <f t="shared" si="8"/>
        <v>0</v>
      </c>
      <c r="O161" s="87">
        <f t="shared" si="9"/>
        <v>0</v>
      </c>
      <c r="P161" s="87" t="b">
        <f t="shared" si="10"/>
        <v>0</v>
      </c>
      <c r="Q161" s="87" t="b">
        <f>(Requirements!K163="Normative")</f>
        <v>0</v>
      </c>
      <c r="R161" s="87" t="b">
        <f>AND(Requirements!L163&lt;&gt;"Non-testable",Requirements!L163&lt;&gt;"Deleted",Requirements!L163&lt;&gt;"")</f>
        <v>1</v>
      </c>
      <c r="S161" s="87" t="b">
        <f>(VLOOKUP(Requirements!I163,Scope[[Role]:[Description]],2,FALSE)="In")</f>
        <v>1</v>
      </c>
      <c r="T161" s="87">
        <f t="shared" si="11"/>
        <v>0</v>
      </c>
    </row>
    <row r="162" spans="1:60">
      <c r="A162" s="44" t="str">
        <f>Requirements!A164</f>
        <v>MS-SMB_R9090</v>
      </c>
      <c r="B162" s="87"/>
      <c r="C162" s="87"/>
      <c r="D162" s="87"/>
      <c r="E162" s="87"/>
      <c r="F162" s="87"/>
      <c r="G162" s="87"/>
      <c r="H162" s="87"/>
      <c r="I162" s="87"/>
      <c r="J162" s="87"/>
      <c r="K162" s="87"/>
      <c r="L162" s="87"/>
      <c r="M162" s="87"/>
      <c r="N162" s="87">
        <f t="shared" si="8"/>
        <v>0</v>
      </c>
      <c r="O162" s="87">
        <f t="shared" si="9"/>
        <v>0</v>
      </c>
      <c r="P162" s="87" t="b">
        <f t="shared" si="10"/>
        <v>0</v>
      </c>
      <c r="Q162" s="87" t="b">
        <f>(Requirements!K164="Normative")</f>
        <v>0</v>
      </c>
      <c r="R162" s="87" t="b">
        <f>AND(Requirements!L164&lt;&gt;"Non-testable",Requirements!L164&lt;&gt;"Deleted",Requirements!L164&lt;&gt;"")</f>
        <v>1</v>
      </c>
      <c r="S162" s="87" t="b">
        <f>(VLOOKUP(Requirements!I164,Scope[[Role]:[Description]],2,FALSE)="In")</f>
        <v>1</v>
      </c>
      <c r="T162" s="87">
        <f t="shared" si="11"/>
        <v>0</v>
      </c>
    </row>
    <row r="163" spans="1:60">
      <c r="A163" s="44" t="str">
        <f>Requirements!A165</f>
        <v>MS-SMB_R9091</v>
      </c>
      <c r="B163" s="87"/>
      <c r="C163" s="87"/>
      <c r="D163" s="87"/>
      <c r="E163" s="87"/>
      <c r="F163" s="87"/>
      <c r="G163" s="87"/>
      <c r="H163" s="87"/>
      <c r="I163" s="87"/>
      <c r="J163" s="87"/>
      <c r="K163" s="87"/>
      <c r="L163" s="87"/>
      <c r="M163" s="87"/>
      <c r="N163" s="87">
        <f t="shared" si="8"/>
        <v>0</v>
      </c>
      <c r="O163" s="87">
        <f t="shared" si="9"/>
        <v>0</v>
      </c>
      <c r="P163" s="87" t="b">
        <f t="shared" si="10"/>
        <v>0</v>
      </c>
      <c r="Q163" s="87" t="b">
        <f>(Requirements!K165="Normative")</f>
        <v>0</v>
      </c>
      <c r="R163" s="87" t="b">
        <f>AND(Requirements!L165&lt;&gt;"Non-testable",Requirements!L165&lt;&gt;"Deleted",Requirements!L165&lt;&gt;"")</f>
        <v>1</v>
      </c>
      <c r="S163" s="87" t="b">
        <f>(VLOOKUP(Requirements!I165,Scope[[Role]:[Description]],2,FALSE)="In")</f>
        <v>1</v>
      </c>
      <c r="T163" s="87">
        <f t="shared" si="11"/>
        <v>0</v>
      </c>
    </row>
    <row r="164" spans="1:60">
      <c r="A164" s="44" t="str">
        <f>Requirements!A166</f>
        <v>MS-SMB_R9092</v>
      </c>
      <c r="B164" s="87"/>
      <c r="C164" s="87"/>
      <c r="D164" s="87"/>
      <c r="E164" s="87"/>
      <c r="F164" s="87"/>
      <c r="G164" s="87"/>
      <c r="H164" s="87"/>
      <c r="I164" s="87"/>
      <c r="J164" s="87"/>
      <c r="K164" s="87"/>
      <c r="L164" s="87"/>
      <c r="M164" s="87"/>
      <c r="N164" s="87">
        <f t="shared" si="8"/>
        <v>0</v>
      </c>
      <c r="O164" s="87">
        <f t="shared" si="9"/>
        <v>0</v>
      </c>
      <c r="P164" s="87" t="b">
        <f t="shared" si="10"/>
        <v>0</v>
      </c>
      <c r="Q164" s="87" t="b">
        <f>(Requirements!K166="Normative")</f>
        <v>0</v>
      </c>
      <c r="R164" s="87" t="b">
        <f>AND(Requirements!L166&lt;&gt;"Non-testable",Requirements!L166&lt;&gt;"Deleted",Requirements!L166&lt;&gt;"")</f>
        <v>1</v>
      </c>
      <c r="S164" s="87" t="b">
        <f>(VLOOKUP(Requirements!I166,Scope[[Role]:[Description]],2,FALSE)="In")</f>
        <v>1</v>
      </c>
      <c r="T164" s="87">
        <f t="shared" si="11"/>
        <v>0</v>
      </c>
    </row>
    <row r="165" spans="1:60">
      <c r="A165" s="44" t="str">
        <f>Requirements!A167</f>
        <v>MS-SMB_R9093</v>
      </c>
      <c r="B165" s="87"/>
      <c r="C165" s="87"/>
      <c r="D165" s="87"/>
      <c r="E165" s="87"/>
      <c r="F165" s="87"/>
      <c r="G165" s="87"/>
      <c r="H165" s="87"/>
      <c r="I165" s="87"/>
      <c r="J165" s="87"/>
      <c r="K165" s="87"/>
      <c r="L165" s="87"/>
      <c r="M165" s="87"/>
      <c r="N165" s="87">
        <f t="shared" si="8"/>
        <v>0</v>
      </c>
      <c r="O165" s="87">
        <f t="shared" si="9"/>
        <v>0</v>
      </c>
      <c r="P165" s="87" t="b">
        <f t="shared" si="10"/>
        <v>0</v>
      </c>
      <c r="Q165" s="87" t="b">
        <f>(Requirements!K167="Normative")</f>
        <v>1</v>
      </c>
      <c r="R165" s="87" t="b">
        <f>AND(Requirements!L167&lt;&gt;"Non-testable",Requirements!L167&lt;&gt;"Deleted",Requirements!L167&lt;&gt;"")</f>
        <v>0</v>
      </c>
      <c r="S165" s="87" t="b">
        <f>(VLOOKUP(Requirements!I167,Scope[[Role]:[Description]],2,FALSE)="In")</f>
        <v>1</v>
      </c>
      <c r="T165" s="87">
        <f t="shared" si="11"/>
        <v>0</v>
      </c>
    </row>
    <row r="166" spans="1:60">
      <c r="A166" s="83" t="str">
        <f>Requirements!A168</f>
        <v>MS-SMB_R19093</v>
      </c>
      <c r="B166" s="46"/>
      <c r="C166" s="46"/>
      <c r="D166" s="46"/>
      <c r="E166" s="46"/>
      <c r="F166" s="46"/>
      <c r="G166" s="46"/>
      <c r="H166" s="46"/>
      <c r="I166" s="46"/>
      <c r="J166" s="46"/>
      <c r="K166" s="46"/>
      <c r="L166" s="46"/>
      <c r="M166" s="46"/>
      <c r="N166" s="46">
        <f t="shared" si="8"/>
        <v>0</v>
      </c>
      <c r="O166" s="46">
        <f t="shared" si="9"/>
        <v>0</v>
      </c>
      <c r="P166" s="46" t="b">
        <f t="shared" si="10"/>
        <v>0</v>
      </c>
      <c r="Q166" s="46" t="b">
        <f>(Requirements!K168="Normative")</f>
        <v>0</v>
      </c>
      <c r="R166" s="46" t="b">
        <f>AND(Requirements!L168&lt;&gt;"Non-testable",Requirements!L168&lt;&gt;"Deleted",Requirements!L168&lt;&gt;"")</f>
        <v>0</v>
      </c>
      <c r="S166" s="46" t="b">
        <f>(VLOOKUP(Requirements!I168,Scope[[Role]:[Description]],2,FALSE)="In")</f>
        <v>1</v>
      </c>
      <c r="T166" s="46">
        <f t="shared" si="11"/>
        <v>0</v>
      </c>
      <c r="U166" s="45"/>
      <c r="V166" s="45"/>
      <c r="W166" s="45"/>
      <c r="X166" s="45"/>
      <c r="Y166" s="45"/>
      <c r="Z166" s="45"/>
      <c r="AA166" s="45"/>
      <c r="AB166" s="45"/>
      <c r="AC166" s="45"/>
      <c r="AD166" s="45"/>
      <c r="AE166" s="45"/>
      <c r="AF166" s="45"/>
      <c r="AG166" s="45"/>
      <c r="AH166" s="45"/>
      <c r="AI166" s="45"/>
      <c r="AJ166" s="45"/>
      <c r="AK166" s="45"/>
      <c r="AL166" s="45"/>
      <c r="AM166" s="45"/>
      <c r="AN166" s="45"/>
      <c r="AO166" s="45"/>
      <c r="AP166" s="45"/>
      <c r="AQ166" s="45"/>
      <c r="AR166" s="45"/>
      <c r="AS166" s="45"/>
      <c r="AT166" s="45"/>
      <c r="AU166" s="45"/>
      <c r="AV166" s="45"/>
      <c r="AW166" s="45"/>
      <c r="AX166" s="45"/>
      <c r="AY166" s="45"/>
      <c r="AZ166" s="45"/>
      <c r="BA166" s="45"/>
      <c r="BB166" s="45"/>
      <c r="BC166" s="45"/>
      <c r="BD166" s="45"/>
      <c r="BE166" s="45"/>
      <c r="BF166" s="45"/>
      <c r="BG166" s="45"/>
      <c r="BH166" s="45"/>
    </row>
    <row r="167" spans="1:60">
      <c r="A167" s="83" t="str">
        <f>Requirements!A169</f>
        <v>MS-SMB_R29093</v>
      </c>
      <c r="B167" s="46"/>
      <c r="C167" s="46"/>
      <c r="D167" s="46"/>
      <c r="E167" s="46"/>
      <c r="F167" s="46"/>
      <c r="G167" s="46"/>
      <c r="H167" s="46"/>
      <c r="I167" s="46"/>
      <c r="J167" s="46"/>
      <c r="K167" s="46"/>
      <c r="L167" s="46"/>
      <c r="M167" s="46"/>
      <c r="N167" s="46">
        <f t="shared" si="8"/>
        <v>0</v>
      </c>
      <c r="O167" s="46">
        <f t="shared" si="9"/>
        <v>0</v>
      </c>
      <c r="P167" s="46" t="b">
        <f t="shared" si="10"/>
        <v>0</v>
      </c>
      <c r="Q167" s="46" t="b">
        <f>(Requirements!K169="Normative")</f>
        <v>0</v>
      </c>
      <c r="R167" s="46" t="b">
        <f>AND(Requirements!L169&lt;&gt;"Non-testable",Requirements!L169&lt;&gt;"Deleted",Requirements!L169&lt;&gt;"")</f>
        <v>0</v>
      </c>
      <c r="S167" s="46" t="b">
        <f>(VLOOKUP(Requirements!I169,Scope[[Role]:[Description]],2,FALSE)="In")</f>
        <v>1</v>
      </c>
      <c r="T167" s="46">
        <f t="shared" si="11"/>
        <v>0</v>
      </c>
      <c r="U167" s="45"/>
      <c r="V167" s="45"/>
      <c r="W167" s="45"/>
      <c r="X167" s="45"/>
      <c r="Y167" s="45"/>
      <c r="Z167" s="45"/>
      <c r="AA167" s="45"/>
      <c r="AB167" s="45"/>
      <c r="AC167" s="45"/>
      <c r="AD167" s="45"/>
      <c r="AE167" s="45"/>
      <c r="AF167" s="45"/>
      <c r="AG167" s="45"/>
      <c r="AH167" s="45"/>
      <c r="AI167" s="45"/>
      <c r="AJ167" s="45"/>
      <c r="AK167" s="45"/>
      <c r="AL167" s="45"/>
      <c r="AM167" s="45"/>
      <c r="AN167" s="45"/>
      <c r="AO167" s="45"/>
      <c r="AP167" s="45"/>
      <c r="AQ167" s="45"/>
      <c r="AR167" s="45"/>
      <c r="AS167" s="45"/>
      <c r="AT167" s="45"/>
      <c r="AU167" s="45"/>
      <c r="AV167" s="45"/>
      <c r="AW167" s="45"/>
      <c r="AX167" s="45"/>
      <c r="AY167" s="45"/>
      <c r="AZ167" s="45"/>
      <c r="BA167" s="45"/>
      <c r="BB167" s="45"/>
      <c r="BC167" s="45"/>
      <c r="BD167" s="45"/>
      <c r="BE167" s="45"/>
      <c r="BF167" s="45"/>
      <c r="BG167" s="45"/>
      <c r="BH167" s="45"/>
    </row>
    <row r="168" spans="1:60">
      <c r="A168" s="44" t="str">
        <f>Requirements!A170</f>
        <v>MS-SMB_R9094</v>
      </c>
      <c r="B168" s="87"/>
      <c r="C168" s="87"/>
      <c r="D168" s="87"/>
      <c r="E168" s="87"/>
      <c r="F168" s="87"/>
      <c r="G168" s="87"/>
      <c r="H168" s="87"/>
      <c r="I168" s="87"/>
      <c r="J168" s="87"/>
      <c r="K168" s="87"/>
      <c r="L168" s="87"/>
      <c r="M168" s="87"/>
      <c r="N168" s="87">
        <f t="shared" si="8"/>
        <v>0</v>
      </c>
      <c r="O168" s="87">
        <f t="shared" si="9"/>
        <v>0</v>
      </c>
      <c r="P168" s="87" t="b">
        <f t="shared" si="10"/>
        <v>0</v>
      </c>
      <c r="Q168" s="87" t="b">
        <f>(Requirements!K170="Normative")</f>
        <v>0</v>
      </c>
      <c r="R168" s="87" t="b">
        <f>AND(Requirements!L170&lt;&gt;"Non-testable",Requirements!L170&lt;&gt;"Deleted",Requirements!L170&lt;&gt;"")</f>
        <v>1</v>
      </c>
      <c r="S168" s="87" t="b">
        <f>(VLOOKUP(Requirements!I170,Scope[[Role]:[Description]],2,FALSE)="In")</f>
        <v>1</v>
      </c>
      <c r="T168" s="87">
        <f t="shared" si="11"/>
        <v>0</v>
      </c>
    </row>
    <row r="169" spans="1:60">
      <c r="A169" s="44" t="str">
        <f>Requirements!A171</f>
        <v>MS-SMB_R9095</v>
      </c>
      <c r="B169" s="87"/>
      <c r="C169" s="87"/>
      <c r="D169" s="87"/>
      <c r="E169" s="87"/>
      <c r="F169" s="87"/>
      <c r="G169" s="87"/>
      <c r="H169" s="87"/>
      <c r="I169" s="87"/>
      <c r="J169" s="87"/>
      <c r="K169" s="87"/>
      <c r="L169" s="87"/>
      <c r="M169" s="87"/>
      <c r="N169" s="87">
        <f t="shared" si="8"/>
        <v>0</v>
      </c>
      <c r="O169" s="87">
        <f t="shared" si="9"/>
        <v>0</v>
      </c>
      <c r="P169" s="87" t="b">
        <f t="shared" si="10"/>
        <v>0</v>
      </c>
      <c r="Q169" s="87" t="b">
        <f>(Requirements!K171="Normative")</f>
        <v>0</v>
      </c>
      <c r="R169" s="87" t="b">
        <f>AND(Requirements!L171&lt;&gt;"Non-testable",Requirements!L171&lt;&gt;"Deleted",Requirements!L171&lt;&gt;"")</f>
        <v>1</v>
      </c>
      <c r="S169" s="87" t="b">
        <f>(VLOOKUP(Requirements!I171,Scope[[Role]:[Description]],2,FALSE)="In")</f>
        <v>1</v>
      </c>
      <c r="T169" s="87">
        <f t="shared" si="11"/>
        <v>0</v>
      </c>
    </row>
    <row r="170" spans="1:60">
      <c r="A170" s="84" t="str">
        <f>Requirements!A172</f>
        <v>MS-SMB_R9096</v>
      </c>
      <c r="B170" s="87"/>
      <c r="C170" s="87"/>
      <c r="D170" s="87"/>
      <c r="E170" s="87"/>
      <c r="F170" s="87"/>
      <c r="G170" s="87"/>
      <c r="H170" s="87"/>
      <c r="I170" s="87"/>
      <c r="J170" s="87"/>
      <c r="K170" s="87">
        <v>1</v>
      </c>
      <c r="L170" s="87"/>
      <c r="M170" s="87"/>
      <c r="N170" s="87">
        <f t="shared" si="8"/>
        <v>1</v>
      </c>
      <c r="O170" s="60">
        <f t="shared" si="9"/>
        <v>1</v>
      </c>
      <c r="P170" s="60" t="b">
        <f t="shared" si="10"/>
        <v>1</v>
      </c>
      <c r="Q170" s="87" t="b">
        <f>(Requirements!K172="Normative")</f>
        <v>1</v>
      </c>
      <c r="R170" s="87" t="b">
        <f>AND(Requirements!L172&lt;&gt;"Non-testable",Requirements!L172&lt;&gt;"Deleted",Requirements!L172&lt;&gt;"")</f>
        <v>1</v>
      </c>
      <c r="S170" s="87" t="b">
        <f>(VLOOKUP(Requirements!I172,Scope[[Role]:[Description]],2,FALSE)="In")</f>
        <v>1</v>
      </c>
      <c r="T170" s="87">
        <f t="shared" si="11"/>
        <v>1</v>
      </c>
    </row>
    <row r="171" spans="1:60">
      <c r="A171" s="44" t="str">
        <f>Requirements!A173</f>
        <v>MS-SMB_R9097</v>
      </c>
      <c r="B171" s="87"/>
      <c r="C171" s="87"/>
      <c r="D171" s="87"/>
      <c r="E171" s="87"/>
      <c r="F171" s="87"/>
      <c r="G171" s="87"/>
      <c r="H171" s="87"/>
      <c r="I171" s="87"/>
      <c r="J171" s="87"/>
      <c r="K171" s="87"/>
      <c r="L171" s="87"/>
      <c r="M171" s="87"/>
      <c r="N171" s="87">
        <f t="shared" si="8"/>
        <v>0</v>
      </c>
      <c r="O171" s="87">
        <f t="shared" si="9"/>
        <v>0</v>
      </c>
      <c r="P171" s="87" t="b">
        <f t="shared" si="10"/>
        <v>0</v>
      </c>
      <c r="Q171" s="87" t="b">
        <f>(Requirements!K173="Normative")</f>
        <v>0</v>
      </c>
      <c r="R171" s="87" t="b">
        <f>AND(Requirements!L173&lt;&gt;"Non-testable",Requirements!L173&lt;&gt;"Deleted",Requirements!L173&lt;&gt;"")</f>
        <v>1</v>
      </c>
      <c r="S171" s="87" t="b">
        <f>(VLOOKUP(Requirements!I173,Scope[[Role]:[Description]],2,FALSE)="In")</f>
        <v>1</v>
      </c>
      <c r="T171" s="87">
        <f t="shared" si="11"/>
        <v>0</v>
      </c>
    </row>
    <row r="172" spans="1:60">
      <c r="A172" s="44" t="str">
        <f>Requirements!A174</f>
        <v>MS-SMB_R9098</v>
      </c>
      <c r="B172" s="87"/>
      <c r="C172" s="87"/>
      <c r="D172" s="87"/>
      <c r="E172" s="87"/>
      <c r="F172" s="87"/>
      <c r="G172" s="87"/>
      <c r="H172" s="87"/>
      <c r="I172" s="87"/>
      <c r="J172" s="87"/>
      <c r="K172" s="87"/>
      <c r="L172" s="87"/>
      <c r="M172" s="87"/>
      <c r="N172" s="87">
        <f t="shared" si="8"/>
        <v>0</v>
      </c>
      <c r="O172" s="87">
        <f t="shared" si="9"/>
        <v>0</v>
      </c>
      <c r="P172" s="87" t="b">
        <f t="shared" si="10"/>
        <v>0</v>
      </c>
      <c r="Q172" s="87" t="b">
        <f>(Requirements!K174="Normative")</f>
        <v>0</v>
      </c>
      <c r="R172" s="87" t="b">
        <f>AND(Requirements!L174&lt;&gt;"Non-testable",Requirements!L174&lt;&gt;"Deleted",Requirements!L174&lt;&gt;"")</f>
        <v>1</v>
      </c>
      <c r="S172" s="87" t="b">
        <f>(VLOOKUP(Requirements!I174,Scope[[Role]:[Description]],2,FALSE)="In")</f>
        <v>1</v>
      </c>
      <c r="T172" s="87">
        <f t="shared" si="11"/>
        <v>0</v>
      </c>
    </row>
    <row r="173" spans="1:60">
      <c r="A173" s="44" t="str">
        <f>Requirements!A175</f>
        <v>MS-SMB_R9099</v>
      </c>
      <c r="B173" s="87"/>
      <c r="C173" s="87"/>
      <c r="D173" s="87"/>
      <c r="E173" s="87"/>
      <c r="F173" s="87"/>
      <c r="G173" s="87"/>
      <c r="H173" s="87"/>
      <c r="I173" s="87"/>
      <c r="J173" s="87"/>
      <c r="K173" s="87"/>
      <c r="L173" s="87"/>
      <c r="M173" s="87"/>
      <c r="N173" s="87">
        <f t="shared" si="8"/>
        <v>0</v>
      </c>
      <c r="O173" s="87">
        <f t="shared" si="9"/>
        <v>0</v>
      </c>
      <c r="P173" s="87" t="b">
        <f t="shared" si="10"/>
        <v>0</v>
      </c>
      <c r="Q173" s="87" t="b">
        <f>(Requirements!K175="Normative")</f>
        <v>0</v>
      </c>
      <c r="R173" s="87" t="b">
        <f>AND(Requirements!L175&lt;&gt;"Non-testable",Requirements!L175&lt;&gt;"Deleted",Requirements!L175&lt;&gt;"")</f>
        <v>1</v>
      </c>
      <c r="S173" s="87" t="b">
        <f>(VLOOKUP(Requirements!I175,Scope[[Role]:[Description]],2,FALSE)="In")</f>
        <v>1</v>
      </c>
      <c r="T173" s="87">
        <f t="shared" si="11"/>
        <v>0</v>
      </c>
    </row>
    <row r="174" spans="1:60">
      <c r="A174" s="44" t="str">
        <f>Requirements!A176</f>
        <v>MS-SMB_R9100</v>
      </c>
      <c r="B174" s="87"/>
      <c r="C174" s="87"/>
      <c r="D174" s="87"/>
      <c r="E174" s="87"/>
      <c r="F174" s="87"/>
      <c r="G174" s="87"/>
      <c r="H174" s="87"/>
      <c r="I174" s="87"/>
      <c r="J174" s="87"/>
      <c r="K174" s="87"/>
      <c r="L174" s="87"/>
      <c r="M174" s="87"/>
      <c r="N174" s="87">
        <f t="shared" si="8"/>
        <v>0</v>
      </c>
      <c r="O174" s="87">
        <f t="shared" si="9"/>
        <v>0</v>
      </c>
      <c r="P174" s="87" t="b">
        <f t="shared" si="10"/>
        <v>0</v>
      </c>
      <c r="Q174" s="87" t="b">
        <f>(Requirements!K176="Normative")</f>
        <v>0</v>
      </c>
      <c r="R174" s="87" t="b">
        <f>AND(Requirements!L176&lt;&gt;"Non-testable",Requirements!L176&lt;&gt;"Deleted",Requirements!L176&lt;&gt;"")</f>
        <v>1</v>
      </c>
      <c r="S174" s="87" t="b">
        <f>(VLOOKUP(Requirements!I176,Scope[[Role]:[Description]],2,FALSE)="In")</f>
        <v>1</v>
      </c>
      <c r="T174" s="87">
        <f t="shared" si="11"/>
        <v>0</v>
      </c>
    </row>
    <row r="175" spans="1:60">
      <c r="A175" s="44" t="str">
        <f>Requirements!A177</f>
        <v>MS-SMB_R9101</v>
      </c>
      <c r="B175" s="87"/>
      <c r="C175" s="87"/>
      <c r="D175" s="87"/>
      <c r="E175" s="87"/>
      <c r="F175" s="87"/>
      <c r="G175" s="87"/>
      <c r="H175" s="87"/>
      <c r="I175" s="87"/>
      <c r="J175" s="87"/>
      <c r="K175" s="87"/>
      <c r="L175" s="87"/>
      <c r="M175" s="87"/>
      <c r="N175" s="87">
        <f t="shared" si="8"/>
        <v>0</v>
      </c>
      <c r="O175" s="87">
        <f t="shared" si="9"/>
        <v>0</v>
      </c>
      <c r="P175" s="87" t="b">
        <f t="shared" si="10"/>
        <v>0</v>
      </c>
      <c r="Q175" s="87" t="b">
        <f>(Requirements!K177="Normative")</f>
        <v>0</v>
      </c>
      <c r="R175" s="87" t="b">
        <f>AND(Requirements!L177&lt;&gt;"Non-testable",Requirements!L177&lt;&gt;"Deleted",Requirements!L177&lt;&gt;"")</f>
        <v>1</v>
      </c>
      <c r="S175" s="87" t="b">
        <f>(VLOOKUP(Requirements!I177,Scope[[Role]:[Description]],2,FALSE)="In")</f>
        <v>1</v>
      </c>
      <c r="T175" s="87">
        <f t="shared" si="11"/>
        <v>0</v>
      </c>
    </row>
    <row r="176" spans="1:60">
      <c r="A176" s="84" t="str">
        <f>Requirements!A178</f>
        <v>MS-SMB_R9102</v>
      </c>
      <c r="B176" s="87"/>
      <c r="C176" s="87"/>
      <c r="D176" s="87"/>
      <c r="E176" s="87"/>
      <c r="F176" s="87"/>
      <c r="G176" s="87"/>
      <c r="H176" s="87"/>
      <c r="I176" s="87"/>
      <c r="J176" s="87"/>
      <c r="K176" s="87">
        <v>1</v>
      </c>
      <c r="L176" s="87"/>
      <c r="M176" s="87"/>
      <c r="N176" s="87">
        <f t="shared" si="8"/>
        <v>1</v>
      </c>
      <c r="O176" s="60">
        <f t="shared" si="9"/>
        <v>1</v>
      </c>
      <c r="P176" s="60" t="b">
        <f t="shared" si="10"/>
        <v>1</v>
      </c>
      <c r="Q176" s="87" t="b">
        <f>(Requirements!K178="Normative")</f>
        <v>1</v>
      </c>
      <c r="R176" s="87" t="b">
        <f>AND(Requirements!L178&lt;&gt;"Non-testable",Requirements!L178&lt;&gt;"Deleted",Requirements!L178&lt;&gt;"")</f>
        <v>1</v>
      </c>
      <c r="S176" s="87" t="b">
        <f>(VLOOKUP(Requirements!I178,Scope[[Role]:[Description]],2,FALSE)="In")</f>
        <v>1</v>
      </c>
      <c r="T176" s="87">
        <f t="shared" si="11"/>
        <v>1</v>
      </c>
    </row>
    <row r="177" spans="1:60">
      <c r="A177" s="44" t="str">
        <f>Requirements!A179</f>
        <v>MS-SMB_R9103</v>
      </c>
      <c r="B177" s="87"/>
      <c r="C177" s="87"/>
      <c r="D177" s="87"/>
      <c r="E177" s="87"/>
      <c r="F177" s="87"/>
      <c r="G177" s="87"/>
      <c r="H177" s="87"/>
      <c r="I177" s="87"/>
      <c r="J177" s="87"/>
      <c r="K177" s="87"/>
      <c r="L177" s="87"/>
      <c r="M177" s="87"/>
      <c r="N177" s="87">
        <f t="shared" si="8"/>
        <v>0</v>
      </c>
      <c r="O177" s="87">
        <f t="shared" si="9"/>
        <v>0</v>
      </c>
      <c r="P177" s="87" t="b">
        <f t="shared" si="10"/>
        <v>0</v>
      </c>
      <c r="Q177" s="87" t="b">
        <f>(Requirements!K179="Normative")</f>
        <v>0</v>
      </c>
      <c r="R177" s="87" t="b">
        <f>AND(Requirements!L179&lt;&gt;"Non-testable",Requirements!L179&lt;&gt;"Deleted",Requirements!L179&lt;&gt;"")</f>
        <v>1</v>
      </c>
      <c r="S177" s="87" t="b">
        <f>(VLOOKUP(Requirements!I179,Scope[[Role]:[Description]],2,FALSE)="In")</f>
        <v>1</v>
      </c>
      <c r="T177" s="87">
        <f t="shared" si="11"/>
        <v>0</v>
      </c>
    </row>
    <row r="178" spans="1:60">
      <c r="A178" s="44" t="str">
        <f>Requirements!A180</f>
        <v>MS-SMB_R9104</v>
      </c>
      <c r="B178" s="87"/>
      <c r="C178" s="87"/>
      <c r="D178" s="87"/>
      <c r="E178" s="87"/>
      <c r="F178" s="87"/>
      <c r="G178" s="87"/>
      <c r="H178" s="87"/>
      <c r="I178" s="87"/>
      <c r="J178" s="87"/>
      <c r="K178" s="87"/>
      <c r="L178" s="87"/>
      <c r="M178" s="87"/>
      <c r="N178" s="87">
        <f t="shared" si="8"/>
        <v>0</v>
      </c>
      <c r="O178" s="87">
        <f t="shared" si="9"/>
        <v>0</v>
      </c>
      <c r="P178" s="87" t="b">
        <f t="shared" si="10"/>
        <v>0</v>
      </c>
      <c r="Q178" s="87" t="b">
        <f>(Requirements!K180="Normative")</f>
        <v>0</v>
      </c>
      <c r="R178" s="87" t="b">
        <f>AND(Requirements!L180&lt;&gt;"Non-testable",Requirements!L180&lt;&gt;"Deleted",Requirements!L180&lt;&gt;"")</f>
        <v>1</v>
      </c>
      <c r="S178" s="87" t="b">
        <f>(VLOOKUP(Requirements!I180,Scope[[Role]:[Description]],2,FALSE)="In")</f>
        <v>1</v>
      </c>
      <c r="T178" s="87">
        <f t="shared" si="11"/>
        <v>0</v>
      </c>
    </row>
    <row r="179" spans="1:60">
      <c r="A179" s="44" t="str">
        <f>Requirements!A181</f>
        <v>MS-SMB_R9105</v>
      </c>
      <c r="B179" s="87"/>
      <c r="C179" s="87"/>
      <c r="D179" s="87"/>
      <c r="E179" s="87"/>
      <c r="F179" s="87"/>
      <c r="G179" s="87"/>
      <c r="H179" s="87"/>
      <c r="I179" s="87"/>
      <c r="J179" s="87"/>
      <c r="K179" s="87"/>
      <c r="L179" s="87"/>
      <c r="M179" s="87"/>
      <c r="N179" s="87">
        <f t="shared" si="8"/>
        <v>0</v>
      </c>
      <c r="O179" s="87">
        <f t="shared" si="9"/>
        <v>0</v>
      </c>
      <c r="P179" s="87" t="b">
        <f t="shared" si="10"/>
        <v>0</v>
      </c>
      <c r="Q179" s="87" t="b">
        <f>(Requirements!K181="Normative")</f>
        <v>0</v>
      </c>
      <c r="R179" s="87" t="b">
        <f>AND(Requirements!L181&lt;&gt;"Non-testable",Requirements!L181&lt;&gt;"Deleted",Requirements!L181&lt;&gt;"")</f>
        <v>1</v>
      </c>
      <c r="S179" s="87" t="b">
        <f>(VLOOKUP(Requirements!I181,Scope[[Role]:[Description]],2,FALSE)="In")</f>
        <v>1</v>
      </c>
      <c r="T179" s="87">
        <f t="shared" si="11"/>
        <v>0</v>
      </c>
    </row>
    <row r="180" spans="1:60">
      <c r="A180" s="44" t="str">
        <f>Requirements!A182</f>
        <v>MS-SMB_R9106</v>
      </c>
      <c r="B180" s="87"/>
      <c r="C180" s="87"/>
      <c r="D180" s="87"/>
      <c r="E180" s="87"/>
      <c r="F180" s="87"/>
      <c r="G180" s="87"/>
      <c r="H180" s="87"/>
      <c r="I180" s="87"/>
      <c r="J180" s="87"/>
      <c r="K180" s="87"/>
      <c r="L180" s="87"/>
      <c r="M180" s="87"/>
      <c r="N180" s="87">
        <f t="shared" si="8"/>
        <v>0</v>
      </c>
      <c r="O180" s="87">
        <f t="shared" si="9"/>
        <v>0</v>
      </c>
      <c r="P180" s="87" t="b">
        <f t="shared" si="10"/>
        <v>0</v>
      </c>
      <c r="Q180" s="87" t="b">
        <f>(Requirements!K182="Normative")</f>
        <v>0</v>
      </c>
      <c r="R180" s="87" t="b">
        <f>AND(Requirements!L182&lt;&gt;"Non-testable",Requirements!L182&lt;&gt;"Deleted",Requirements!L182&lt;&gt;"")</f>
        <v>1</v>
      </c>
      <c r="S180" s="87" t="b">
        <f>(VLOOKUP(Requirements!I182,Scope[[Role]:[Description]],2,FALSE)="In")</f>
        <v>1</v>
      </c>
      <c r="T180" s="87">
        <f t="shared" si="11"/>
        <v>0</v>
      </c>
    </row>
    <row r="181" spans="1:60">
      <c r="A181" s="44" t="str">
        <f>Requirements!A183</f>
        <v>MS-SMB_R9107</v>
      </c>
      <c r="B181" s="87"/>
      <c r="C181" s="87"/>
      <c r="D181" s="87"/>
      <c r="E181" s="87"/>
      <c r="F181" s="87"/>
      <c r="G181" s="87"/>
      <c r="H181" s="87"/>
      <c r="I181" s="87"/>
      <c r="J181" s="87"/>
      <c r="K181" s="87"/>
      <c r="L181" s="87"/>
      <c r="M181" s="87"/>
      <c r="N181" s="87">
        <f t="shared" si="8"/>
        <v>0</v>
      </c>
      <c r="O181" s="87">
        <f t="shared" si="9"/>
        <v>0</v>
      </c>
      <c r="P181" s="87" t="b">
        <f t="shared" si="10"/>
        <v>0</v>
      </c>
      <c r="Q181" s="87" t="b">
        <f>(Requirements!K183="Normative")</f>
        <v>0</v>
      </c>
      <c r="R181" s="87" t="b">
        <f>AND(Requirements!L183&lt;&gt;"Non-testable",Requirements!L183&lt;&gt;"Deleted",Requirements!L183&lt;&gt;"")</f>
        <v>1</v>
      </c>
      <c r="S181" s="87" t="b">
        <f>(VLOOKUP(Requirements!I183,Scope[[Role]:[Description]],2,FALSE)="In")</f>
        <v>1</v>
      </c>
      <c r="T181" s="87">
        <f t="shared" si="11"/>
        <v>0</v>
      </c>
    </row>
    <row r="182" spans="1:60">
      <c r="A182" s="44" t="str">
        <f>Requirements!A184</f>
        <v>MS-SMB_R9108</v>
      </c>
      <c r="B182" s="87"/>
      <c r="C182" s="87"/>
      <c r="D182" s="87"/>
      <c r="E182" s="87"/>
      <c r="F182" s="87"/>
      <c r="G182" s="87"/>
      <c r="H182" s="87"/>
      <c r="I182" s="87"/>
      <c r="J182" s="87"/>
      <c r="K182" s="87"/>
      <c r="L182" s="87"/>
      <c r="M182" s="87"/>
      <c r="N182" s="87">
        <f t="shared" si="8"/>
        <v>0</v>
      </c>
      <c r="O182" s="87">
        <f t="shared" si="9"/>
        <v>0</v>
      </c>
      <c r="P182" s="87" t="b">
        <f t="shared" si="10"/>
        <v>0</v>
      </c>
      <c r="Q182" s="87" t="b">
        <f>(Requirements!K184="Normative")</f>
        <v>0</v>
      </c>
      <c r="R182" s="87" t="b">
        <f>AND(Requirements!L184&lt;&gt;"Non-testable",Requirements!L184&lt;&gt;"Deleted",Requirements!L184&lt;&gt;"")</f>
        <v>1</v>
      </c>
      <c r="S182" s="87" t="b">
        <f>(VLOOKUP(Requirements!I184,Scope[[Role]:[Description]],2,FALSE)="In")</f>
        <v>1</v>
      </c>
      <c r="T182" s="87">
        <f t="shared" si="11"/>
        <v>0</v>
      </c>
    </row>
    <row r="183" spans="1:60">
      <c r="A183" s="44" t="str">
        <f>Requirements!A185</f>
        <v>MS-SMB_R9109</v>
      </c>
      <c r="B183" s="87"/>
      <c r="C183" s="87"/>
      <c r="D183" s="87"/>
      <c r="E183" s="87"/>
      <c r="F183" s="87"/>
      <c r="G183" s="87"/>
      <c r="H183" s="87"/>
      <c r="I183" s="87"/>
      <c r="J183" s="87"/>
      <c r="K183" s="87"/>
      <c r="L183" s="87"/>
      <c r="M183" s="87"/>
      <c r="N183" s="87">
        <f t="shared" si="8"/>
        <v>0</v>
      </c>
      <c r="O183" s="87">
        <f t="shared" si="9"/>
        <v>0</v>
      </c>
      <c r="P183" s="87" t="b">
        <f t="shared" si="10"/>
        <v>0</v>
      </c>
      <c r="Q183" s="87" t="b">
        <f>(Requirements!K185="Normative")</f>
        <v>0</v>
      </c>
      <c r="R183" s="87" t="b">
        <f>AND(Requirements!L185&lt;&gt;"Non-testable",Requirements!L185&lt;&gt;"Deleted",Requirements!L185&lt;&gt;"")</f>
        <v>1</v>
      </c>
      <c r="S183" s="87" t="b">
        <f>(VLOOKUP(Requirements!I185,Scope[[Role]:[Description]],2,FALSE)="In")</f>
        <v>1</v>
      </c>
      <c r="T183" s="87">
        <f t="shared" si="11"/>
        <v>0</v>
      </c>
    </row>
    <row r="184" spans="1:60">
      <c r="A184" s="44" t="str">
        <f>Requirements!A186</f>
        <v>MS-SMB_R9110</v>
      </c>
      <c r="B184" s="87"/>
      <c r="C184" s="87"/>
      <c r="D184" s="87"/>
      <c r="E184" s="87"/>
      <c r="F184" s="87"/>
      <c r="G184" s="87"/>
      <c r="H184" s="87"/>
      <c r="I184" s="87"/>
      <c r="J184" s="87"/>
      <c r="K184" s="87"/>
      <c r="L184" s="87"/>
      <c r="M184" s="87"/>
      <c r="N184" s="87">
        <f t="shared" si="8"/>
        <v>0</v>
      </c>
      <c r="O184" s="87">
        <f t="shared" si="9"/>
        <v>0</v>
      </c>
      <c r="P184" s="87" t="b">
        <f t="shared" si="10"/>
        <v>0</v>
      </c>
      <c r="Q184" s="87" t="b">
        <f>(Requirements!K186="Normative")</f>
        <v>0</v>
      </c>
      <c r="R184" s="87" t="b">
        <f>AND(Requirements!L186&lt;&gt;"Non-testable",Requirements!L186&lt;&gt;"Deleted",Requirements!L186&lt;&gt;"")</f>
        <v>1</v>
      </c>
      <c r="S184" s="87" t="b">
        <f>(VLOOKUP(Requirements!I186,Scope[[Role]:[Description]],2,FALSE)="In")</f>
        <v>1</v>
      </c>
      <c r="T184" s="87">
        <f t="shared" si="11"/>
        <v>0</v>
      </c>
    </row>
    <row r="185" spans="1:60">
      <c r="A185" s="44" t="str">
        <f>Requirements!A187</f>
        <v>MS-SMB_R9111</v>
      </c>
      <c r="B185" s="87"/>
      <c r="C185" s="87"/>
      <c r="D185" s="87"/>
      <c r="E185" s="87"/>
      <c r="F185" s="87"/>
      <c r="G185" s="87"/>
      <c r="H185" s="87"/>
      <c r="I185" s="87"/>
      <c r="J185" s="87"/>
      <c r="K185" s="87"/>
      <c r="L185" s="87"/>
      <c r="M185" s="87"/>
      <c r="N185" s="87">
        <f t="shared" si="8"/>
        <v>0</v>
      </c>
      <c r="O185" s="87">
        <f t="shared" si="9"/>
        <v>0</v>
      </c>
      <c r="P185" s="87" t="b">
        <f t="shared" si="10"/>
        <v>0</v>
      </c>
      <c r="Q185" s="87" t="b">
        <f>(Requirements!K187="Normative")</f>
        <v>0</v>
      </c>
      <c r="R185" s="87" t="b">
        <f>AND(Requirements!L187&lt;&gt;"Non-testable",Requirements!L187&lt;&gt;"Deleted",Requirements!L187&lt;&gt;"")</f>
        <v>1</v>
      </c>
      <c r="S185" s="87" t="b">
        <f>(VLOOKUP(Requirements!I187,Scope[[Role]:[Description]],2,FALSE)="In")</f>
        <v>1</v>
      </c>
      <c r="T185" s="87">
        <f t="shared" si="11"/>
        <v>0</v>
      </c>
    </row>
    <row r="186" spans="1:60">
      <c r="A186" s="44" t="str">
        <f>Requirements!A188</f>
        <v>MS-SMB_R9112</v>
      </c>
      <c r="B186" s="87"/>
      <c r="C186" s="87"/>
      <c r="D186" s="87"/>
      <c r="E186" s="87"/>
      <c r="F186" s="87"/>
      <c r="G186" s="87"/>
      <c r="H186" s="87"/>
      <c r="I186" s="87"/>
      <c r="J186" s="87"/>
      <c r="K186" s="87"/>
      <c r="L186" s="87"/>
      <c r="M186" s="87"/>
      <c r="N186" s="87">
        <f t="shared" si="8"/>
        <v>0</v>
      </c>
      <c r="O186" s="87">
        <f t="shared" si="9"/>
        <v>0</v>
      </c>
      <c r="P186" s="87" t="b">
        <f t="shared" si="10"/>
        <v>0</v>
      </c>
      <c r="Q186" s="87" t="b">
        <f>(Requirements!K188="Normative")</f>
        <v>0</v>
      </c>
      <c r="R186" s="87" t="b">
        <f>AND(Requirements!L188&lt;&gt;"Non-testable",Requirements!L188&lt;&gt;"Deleted",Requirements!L188&lt;&gt;"")</f>
        <v>1</v>
      </c>
      <c r="S186" s="87" t="b">
        <f>(VLOOKUP(Requirements!I188,Scope[[Role]:[Description]],2,FALSE)="In")</f>
        <v>1</v>
      </c>
      <c r="T186" s="87">
        <f t="shared" si="11"/>
        <v>0</v>
      </c>
    </row>
    <row r="187" spans="1:60">
      <c r="A187" s="44" t="str">
        <f>Requirements!A189</f>
        <v>MS-SMB_R9113</v>
      </c>
      <c r="B187" s="87"/>
      <c r="C187" s="87"/>
      <c r="D187" s="87"/>
      <c r="E187" s="87"/>
      <c r="F187" s="87"/>
      <c r="G187" s="87"/>
      <c r="H187" s="87"/>
      <c r="I187" s="87"/>
      <c r="J187" s="87"/>
      <c r="K187" s="87"/>
      <c r="L187" s="87"/>
      <c r="M187" s="87"/>
      <c r="N187" s="87">
        <f t="shared" si="8"/>
        <v>0</v>
      </c>
      <c r="O187" s="87">
        <f t="shared" si="9"/>
        <v>0</v>
      </c>
      <c r="P187" s="87" t="b">
        <f t="shared" si="10"/>
        <v>0</v>
      </c>
      <c r="Q187" s="87" t="b">
        <f>(Requirements!K189="Normative")</f>
        <v>0</v>
      </c>
      <c r="R187" s="87" t="b">
        <f>AND(Requirements!L189&lt;&gt;"Non-testable",Requirements!L189&lt;&gt;"Deleted",Requirements!L189&lt;&gt;"")</f>
        <v>1</v>
      </c>
      <c r="S187" s="87" t="b">
        <f>(VLOOKUP(Requirements!I189,Scope[[Role]:[Description]],2,FALSE)="In")</f>
        <v>1</v>
      </c>
      <c r="T187" s="87">
        <f t="shared" si="11"/>
        <v>0</v>
      </c>
    </row>
    <row r="188" spans="1:60">
      <c r="A188" s="44" t="str">
        <f>Requirements!A190</f>
        <v>MS-SMB_R9114</v>
      </c>
      <c r="B188" s="87"/>
      <c r="C188" s="87"/>
      <c r="D188" s="87"/>
      <c r="E188" s="87"/>
      <c r="F188" s="87"/>
      <c r="G188" s="87"/>
      <c r="H188" s="87"/>
      <c r="I188" s="87"/>
      <c r="J188" s="87"/>
      <c r="K188" s="87"/>
      <c r="L188" s="87"/>
      <c r="M188" s="87"/>
      <c r="N188" s="87">
        <f t="shared" si="8"/>
        <v>0</v>
      </c>
      <c r="O188" s="87">
        <f t="shared" si="9"/>
        <v>0</v>
      </c>
      <c r="P188" s="87" t="b">
        <f t="shared" si="10"/>
        <v>0</v>
      </c>
      <c r="Q188" s="87" t="b">
        <f>(Requirements!K190="Normative")</f>
        <v>0</v>
      </c>
      <c r="R188" s="87" t="b">
        <f>AND(Requirements!L190&lt;&gt;"Non-testable",Requirements!L190&lt;&gt;"Deleted",Requirements!L190&lt;&gt;"")</f>
        <v>1</v>
      </c>
      <c r="S188" s="87" t="b">
        <f>(VLOOKUP(Requirements!I190,Scope[[Role]:[Description]],2,FALSE)="In")</f>
        <v>1</v>
      </c>
      <c r="T188" s="87">
        <f t="shared" si="11"/>
        <v>0</v>
      </c>
    </row>
    <row r="189" spans="1:60">
      <c r="A189" s="44" t="str">
        <f>Requirements!A191</f>
        <v>MS-SMB_R9115</v>
      </c>
      <c r="B189" s="87"/>
      <c r="C189" s="87"/>
      <c r="D189" s="87"/>
      <c r="E189" s="87"/>
      <c r="F189" s="87"/>
      <c r="G189" s="87"/>
      <c r="H189" s="87"/>
      <c r="I189" s="87"/>
      <c r="J189" s="87"/>
      <c r="K189" s="87"/>
      <c r="L189" s="87"/>
      <c r="M189" s="87"/>
      <c r="N189" s="87">
        <f t="shared" si="8"/>
        <v>0</v>
      </c>
      <c r="O189" s="87">
        <f t="shared" si="9"/>
        <v>0</v>
      </c>
      <c r="P189" s="87" t="b">
        <f t="shared" si="10"/>
        <v>0</v>
      </c>
      <c r="Q189" s="87" t="b">
        <f>(Requirements!K191="Normative")</f>
        <v>0</v>
      </c>
      <c r="R189" s="87" t="b">
        <f>AND(Requirements!L191&lt;&gt;"Non-testable",Requirements!L191&lt;&gt;"Deleted",Requirements!L191&lt;&gt;"")</f>
        <v>1</v>
      </c>
      <c r="S189" s="87" t="b">
        <f>(VLOOKUP(Requirements!I191,Scope[[Role]:[Description]],2,FALSE)="In")</f>
        <v>1</v>
      </c>
      <c r="T189" s="87">
        <f t="shared" si="11"/>
        <v>0</v>
      </c>
    </row>
    <row r="190" spans="1:60">
      <c r="A190" s="44" t="str">
        <f>Requirements!A192</f>
        <v>MS-SMB_R9116</v>
      </c>
      <c r="B190" s="87"/>
      <c r="C190" s="87"/>
      <c r="D190" s="87"/>
      <c r="E190" s="87"/>
      <c r="F190" s="87"/>
      <c r="G190" s="87"/>
      <c r="H190" s="87"/>
      <c r="I190" s="87"/>
      <c r="J190" s="87"/>
      <c r="K190" s="87"/>
      <c r="L190" s="87"/>
      <c r="M190" s="87"/>
      <c r="N190" s="87">
        <f t="shared" si="8"/>
        <v>0</v>
      </c>
      <c r="O190" s="87">
        <f t="shared" si="9"/>
        <v>0</v>
      </c>
      <c r="P190" s="87" t="b">
        <f t="shared" si="10"/>
        <v>0</v>
      </c>
      <c r="Q190" s="87" t="b">
        <f>(Requirements!K192="Normative")</f>
        <v>1</v>
      </c>
      <c r="R190" s="87" t="b">
        <f>AND(Requirements!L192&lt;&gt;"Non-testable",Requirements!L192&lt;&gt;"Deleted",Requirements!L192&lt;&gt;"")</f>
        <v>0</v>
      </c>
      <c r="S190" s="87" t="b">
        <f>(VLOOKUP(Requirements!I192,Scope[[Role]:[Description]],2,FALSE)="In")</f>
        <v>1</v>
      </c>
      <c r="T190" s="87">
        <f t="shared" si="11"/>
        <v>0</v>
      </c>
    </row>
    <row r="191" spans="1:60">
      <c r="A191" s="83" t="str">
        <f>Requirements!A193</f>
        <v>MS-SMB_R19116</v>
      </c>
      <c r="B191" s="46"/>
      <c r="C191" s="46"/>
      <c r="D191" s="46"/>
      <c r="E191" s="46"/>
      <c r="F191" s="46"/>
      <c r="G191" s="46"/>
      <c r="H191" s="46"/>
      <c r="I191" s="46"/>
      <c r="J191" s="46"/>
      <c r="K191" s="46"/>
      <c r="L191" s="46"/>
      <c r="M191" s="46"/>
      <c r="N191" s="46">
        <f t="shared" si="8"/>
        <v>0</v>
      </c>
      <c r="O191" s="46">
        <f t="shared" si="9"/>
        <v>0</v>
      </c>
      <c r="P191" s="46" t="b">
        <f t="shared" si="10"/>
        <v>0</v>
      </c>
      <c r="Q191" s="46" t="b">
        <f>(Requirements!K193="Normative")</f>
        <v>0</v>
      </c>
      <c r="R191" s="46" t="b">
        <f>AND(Requirements!L193&lt;&gt;"Non-testable",Requirements!L193&lt;&gt;"Deleted",Requirements!L193&lt;&gt;"")</f>
        <v>0</v>
      </c>
      <c r="S191" s="46" t="b">
        <f>(VLOOKUP(Requirements!I193,Scope[[Role]:[Description]],2,FALSE)="In")</f>
        <v>1</v>
      </c>
      <c r="T191" s="46">
        <f t="shared" si="11"/>
        <v>0</v>
      </c>
      <c r="U191" s="45"/>
      <c r="V191" s="45"/>
      <c r="W191" s="45"/>
      <c r="X191" s="45"/>
      <c r="Y191" s="45"/>
      <c r="Z191" s="45"/>
      <c r="AA191" s="45"/>
      <c r="AB191" s="45"/>
      <c r="AC191" s="45"/>
      <c r="AD191" s="45"/>
      <c r="AE191" s="45"/>
      <c r="AF191" s="45"/>
      <c r="AG191" s="45"/>
      <c r="AH191" s="45"/>
      <c r="AI191" s="45"/>
      <c r="AJ191" s="45"/>
      <c r="AK191" s="45"/>
      <c r="AL191" s="45"/>
      <c r="AM191" s="45"/>
      <c r="AN191" s="45"/>
      <c r="AO191" s="45"/>
      <c r="AP191" s="45"/>
      <c r="AQ191" s="45"/>
      <c r="AR191" s="45"/>
      <c r="AS191" s="45"/>
      <c r="AT191" s="45"/>
      <c r="AU191" s="45"/>
      <c r="AV191" s="45"/>
      <c r="AW191" s="45"/>
      <c r="AX191" s="45"/>
      <c r="AY191" s="45"/>
      <c r="AZ191" s="45"/>
      <c r="BA191" s="45"/>
      <c r="BB191" s="45"/>
      <c r="BC191" s="45"/>
      <c r="BD191" s="45"/>
      <c r="BE191" s="45"/>
      <c r="BF191" s="45"/>
      <c r="BG191" s="45"/>
      <c r="BH191" s="45"/>
    </row>
    <row r="192" spans="1:60">
      <c r="A192" s="83" t="str">
        <f>Requirements!A194</f>
        <v>MS-SMB_R29116</v>
      </c>
      <c r="B192" s="46"/>
      <c r="C192" s="46"/>
      <c r="D192" s="46"/>
      <c r="E192" s="46"/>
      <c r="F192" s="46"/>
      <c r="G192" s="46"/>
      <c r="H192" s="46"/>
      <c r="I192" s="46"/>
      <c r="J192" s="46"/>
      <c r="K192" s="46"/>
      <c r="L192" s="46"/>
      <c r="M192" s="46"/>
      <c r="N192" s="46">
        <f t="shared" si="8"/>
        <v>0</v>
      </c>
      <c r="O192" s="46">
        <f t="shared" si="9"/>
        <v>0</v>
      </c>
      <c r="P192" s="46" t="b">
        <f t="shared" si="10"/>
        <v>0</v>
      </c>
      <c r="Q192" s="46" t="b">
        <f>(Requirements!K194="Normative")</f>
        <v>0</v>
      </c>
      <c r="R192" s="46" t="b">
        <f>AND(Requirements!L194&lt;&gt;"Non-testable",Requirements!L194&lt;&gt;"Deleted",Requirements!L194&lt;&gt;"")</f>
        <v>0</v>
      </c>
      <c r="S192" s="46" t="b">
        <f>(VLOOKUP(Requirements!I194,Scope[[Role]:[Description]],2,FALSE)="In")</f>
        <v>1</v>
      </c>
      <c r="T192" s="46">
        <f t="shared" si="11"/>
        <v>0</v>
      </c>
      <c r="U192" s="45"/>
      <c r="V192" s="45"/>
      <c r="W192" s="45"/>
      <c r="X192" s="45"/>
      <c r="Y192" s="45"/>
      <c r="Z192" s="45"/>
      <c r="AA192" s="45"/>
      <c r="AB192" s="45"/>
      <c r="AC192" s="45"/>
      <c r="AD192" s="45"/>
      <c r="AE192" s="45"/>
      <c r="AF192" s="45"/>
      <c r="AG192" s="45"/>
      <c r="AH192" s="45"/>
      <c r="AI192" s="45"/>
      <c r="AJ192" s="45"/>
      <c r="AK192" s="45"/>
      <c r="AL192" s="45"/>
      <c r="AM192" s="45"/>
      <c r="AN192" s="45"/>
      <c r="AO192" s="45"/>
      <c r="AP192" s="45"/>
      <c r="AQ192" s="45"/>
      <c r="AR192" s="45"/>
      <c r="AS192" s="45"/>
      <c r="AT192" s="45"/>
      <c r="AU192" s="45"/>
      <c r="AV192" s="45"/>
      <c r="AW192" s="45"/>
      <c r="AX192" s="45"/>
      <c r="AY192" s="45"/>
      <c r="AZ192" s="45"/>
      <c r="BA192" s="45"/>
      <c r="BB192" s="45"/>
      <c r="BC192" s="45"/>
      <c r="BD192" s="45"/>
      <c r="BE192" s="45"/>
      <c r="BF192" s="45"/>
      <c r="BG192" s="45"/>
      <c r="BH192" s="45"/>
    </row>
    <row r="193" spans="1:20">
      <c r="A193" s="44" t="str">
        <f>Requirements!A195</f>
        <v>MS-SMB_R9117</v>
      </c>
      <c r="B193" s="87"/>
      <c r="C193" s="87"/>
      <c r="D193" s="87"/>
      <c r="E193" s="87"/>
      <c r="F193" s="87"/>
      <c r="G193" s="87"/>
      <c r="H193" s="87"/>
      <c r="I193" s="87"/>
      <c r="J193" s="87"/>
      <c r="K193" s="87"/>
      <c r="L193" s="87"/>
      <c r="M193" s="87"/>
      <c r="N193" s="87">
        <f t="shared" si="8"/>
        <v>0</v>
      </c>
      <c r="O193" s="87">
        <f t="shared" si="9"/>
        <v>0</v>
      </c>
      <c r="P193" s="87" t="b">
        <f t="shared" si="10"/>
        <v>0</v>
      </c>
      <c r="Q193" s="87" t="b">
        <f>(Requirements!K195="Normative")</f>
        <v>0</v>
      </c>
      <c r="R193" s="87" t="b">
        <f>AND(Requirements!L195&lt;&gt;"Non-testable",Requirements!L195&lt;&gt;"Deleted",Requirements!L195&lt;&gt;"")</f>
        <v>1</v>
      </c>
      <c r="S193" s="87" t="b">
        <f>(VLOOKUP(Requirements!I195,Scope[[Role]:[Description]],2,FALSE)="In")</f>
        <v>1</v>
      </c>
      <c r="T193" s="87">
        <f t="shared" si="11"/>
        <v>0</v>
      </c>
    </row>
    <row r="194" spans="1:20">
      <c r="A194" s="44" t="str">
        <f>Requirements!A196</f>
        <v>MS-SMB_R9118</v>
      </c>
      <c r="B194" s="87"/>
      <c r="C194" s="87"/>
      <c r="D194" s="87"/>
      <c r="E194" s="87"/>
      <c r="F194" s="87"/>
      <c r="G194" s="87"/>
      <c r="H194" s="87"/>
      <c r="I194" s="87"/>
      <c r="J194" s="87"/>
      <c r="K194" s="87"/>
      <c r="L194" s="87"/>
      <c r="M194" s="87"/>
      <c r="N194" s="87">
        <f t="shared" si="8"/>
        <v>0</v>
      </c>
      <c r="O194" s="87">
        <f t="shared" si="9"/>
        <v>0</v>
      </c>
      <c r="P194" s="87" t="b">
        <f t="shared" si="10"/>
        <v>0</v>
      </c>
      <c r="Q194" s="87" t="b">
        <f>(Requirements!K196="Normative")</f>
        <v>0</v>
      </c>
      <c r="R194" s="87" t="b">
        <f>AND(Requirements!L196&lt;&gt;"Non-testable",Requirements!L196&lt;&gt;"Deleted",Requirements!L196&lt;&gt;"")</f>
        <v>1</v>
      </c>
      <c r="S194" s="87" t="b">
        <f>(VLOOKUP(Requirements!I196,Scope[[Role]:[Description]],2,FALSE)="In")</f>
        <v>1</v>
      </c>
      <c r="T194" s="87">
        <f t="shared" si="11"/>
        <v>0</v>
      </c>
    </row>
    <row r="195" spans="1:20">
      <c r="A195" s="84" t="str">
        <f>Requirements!A197</f>
        <v>MS-SMB_R9119</v>
      </c>
      <c r="B195" s="87"/>
      <c r="C195" s="87"/>
      <c r="D195" s="87"/>
      <c r="E195" s="87"/>
      <c r="F195" s="87"/>
      <c r="G195" s="87"/>
      <c r="H195" s="87"/>
      <c r="I195" s="87"/>
      <c r="J195" s="87"/>
      <c r="K195" s="87">
        <v>1</v>
      </c>
      <c r="L195" s="87"/>
      <c r="M195" s="87"/>
      <c r="N195" s="87">
        <f t="shared" si="8"/>
        <v>1</v>
      </c>
      <c r="O195" s="60">
        <f t="shared" si="9"/>
        <v>1</v>
      </c>
      <c r="P195" s="60" t="b">
        <f t="shared" si="10"/>
        <v>1</v>
      </c>
      <c r="Q195" s="87" t="b">
        <f>(Requirements!K197="Normative")</f>
        <v>1</v>
      </c>
      <c r="R195" s="87" t="b">
        <f>AND(Requirements!L197&lt;&gt;"Non-testable",Requirements!L197&lt;&gt;"Deleted",Requirements!L197&lt;&gt;"")</f>
        <v>1</v>
      </c>
      <c r="S195" s="87" t="b">
        <f>(VLOOKUP(Requirements!I197,Scope[[Role]:[Description]],2,FALSE)="In")</f>
        <v>1</v>
      </c>
      <c r="T195" s="87">
        <f t="shared" si="11"/>
        <v>1</v>
      </c>
    </row>
    <row r="196" spans="1:20">
      <c r="A196" s="44" t="str">
        <f>Requirements!A198</f>
        <v>MS-SMB_R9120</v>
      </c>
      <c r="B196" s="87"/>
      <c r="C196" s="87"/>
      <c r="D196" s="87"/>
      <c r="E196" s="87"/>
      <c r="F196" s="87"/>
      <c r="G196" s="87"/>
      <c r="H196" s="87"/>
      <c r="I196" s="87"/>
      <c r="J196" s="87"/>
      <c r="K196" s="87"/>
      <c r="L196" s="87"/>
      <c r="M196" s="87"/>
      <c r="N196" s="87">
        <f t="shared" si="8"/>
        <v>0</v>
      </c>
      <c r="O196" s="87">
        <f t="shared" si="9"/>
        <v>0</v>
      </c>
      <c r="P196" s="87" t="b">
        <f t="shared" si="10"/>
        <v>0</v>
      </c>
      <c r="Q196" s="87" t="b">
        <f>(Requirements!K198="Normative")</f>
        <v>0</v>
      </c>
      <c r="R196" s="87" t="b">
        <f>AND(Requirements!L198&lt;&gt;"Non-testable",Requirements!L198&lt;&gt;"Deleted",Requirements!L198&lt;&gt;"")</f>
        <v>1</v>
      </c>
      <c r="S196" s="87" t="b">
        <f>(VLOOKUP(Requirements!I198,Scope[[Role]:[Description]],2,FALSE)="In")</f>
        <v>1</v>
      </c>
      <c r="T196" s="87">
        <f t="shared" si="11"/>
        <v>0</v>
      </c>
    </row>
    <row r="197" spans="1:20">
      <c r="A197" s="44" t="str">
        <f>Requirements!A199</f>
        <v>MS-SMB_R9121</v>
      </c>
      <c r="B197" s="87"/>
      <c r="C197" s="87"/>
      <c r="D197" s="87"/>
      <c r="E197" s="87"/>
      <c r="F197" s="87"/>
      <c r="G197" s="87"/>
      <c r="H197" s="87"/>
      <c r="I197" s="87"/>
      <c r="J197" s="87"/>
      <c r="K197" s="87"/>
      <c r="L197" s="87"/>
      <c r="M197" s="87"/>
      <c r="N197" s="87">
        <f t="shared" si="8"/>
        <v>0</v>
      </c>
      <c r="O197" s="87">
        <f t="shared" si="9"/>
        <v>0</v>
      </c>
      <c r="P197" s="87" t="b">
        <f t="shared" si="10"/>
        <v>0</v>
      </c>
      <c r="Q197" s="87" t="b">
        <f>(Requirements!K199="Normative")</f>
        <v>0</v>
      </c>
      <c r="R197" s="87" t="b">
        <f>AND(Requirements!L199&lt;&gt;"Non-testable",Requirements!L199&lt;&gt;"Deleted",Requirements!L199&lt;&gt;"")</f>
        <v>1</v>
      </c>
      <c r="S197" s="87" t="b">
        <f>(VLOOKUP(Requirements!I199,Scope[[Role]:[Description]],2,FALSE)="In")</f>
        <v>1</v>
      </c>
      <c r="T197" s="87">
        <f t="shared" si="11"/>
        <v>0</v>
      </c>
    </row>
    <row r="198" spans="1:20">
      <c r="A198" s="44" t="str">
        <f>Requirements!A200</f>
        <v>MS-SMB_R9122</v>
      </c>
      <c r="B198" s="87"/>
      <c r="C198" s="87"/>
      <c r="D198" s="87"/>
      <c r="E198" s="87"/>
      <c r="F198" s="87"/>
      <c r="G198" s="87"/>
      <c r="H198" s="87"/>
      <c r="I198" s="87"/>
      <c r="J198" s="87"/>
      <c r="K198" s="87"/>
      <c r="L198" s="87"/>
      <c r="M198" s="87"/>
      <c r="N198" s="87">
        <f t="shared" si="8"/>
        <v>0</v>
      </c>
      <c r="O198" s="87">
        <f t="shared" si="9"/>
        <v>0</v>
      </c>
      <c r="P198" s="87" t="b">
        <f t="shared" si="10"/>
        <v>0</v>
      </c>
      <c r="Q198" s="87" t="b">
        <f>(Requirements!K200="Normative")</f>
        <v>0</v>
      </c>
      <c r="R198" s="87" t="b">
        <f>AND(Requirements!L200&lt;&gt;"Non-testable",Requirements!L200&lt;&gt;"Deleted",Requirements!L200&lt;&gt;"")</f>
        <v>1</v>
      </c>
      <c r="S198" s="87" t="b">
        <f>(VLOOKUP(Requirements!I200,Scope[[Role]:[Description]],2,FALSE)="In")</f>
        <v>1</v>
      </c>
      <c r="T198" s="87">
        <f t="shared" si="11"/>
        <v>0</v>
      </c>
    </row>
    <row r="199" spans="1:20">
      <c r="A199" s="44" t="str">
        <f>Requirements!A201</f>
        <v>MS-SMB_R9123</v>
      </c>
      <c r="B199" s="87"/>
      <c r="C199" s="87"/>
      <c r="D199" s="87"/>
      <c r="E199" s="87"/>
      <c r="F199" s="87"/>
      <c r="G199" s="87"/>
      <c r="H199" s="87"/>
      <c r="I199" s="87"/>
      <c r="J199" s="87"/>
      <c r="K199" s="87"/>
      <c r="L199" s="87"/>
      <c r="M199" s="87"/>
      <c r="N199" s="87">
        <f t="shared" si="8"/>
        <v>0</v>
      </c>
      <c r="O199" s="87">
        <f t="shared" si="9"/>
        <v>0</v>
      </c>
      <c r="P199" s="87" t="b">
        <f t="shared" si="10"/>
        <v>0</v>
      </c>
      <c r="Q199" s="87" t="b">
        <f>(Requirements!K201="Normative")</f>
        <v>0</v>
      </c>
      <c r="R199" s="87" t="b">
        <f>AND(Requirements!L201&lt;&gt;"Non-testable",Requirements!L201&lt;&gt;"Deleted",Requirements!L201&lt;&gt;"")</f>
        <v>1</v>
      </c>
      <c r="S199" s="87" t="b">
        <f>(VLOOKUP(Requirements!I201,Scope[[Role]:[Description]],2,FALSE)="In")</f>
        <v>1</v>
      </c>
      <c r="T199" s="87">
        <f t="shared" si="11"/>
        <v>0</v>
      </c>
    </row>
    <row r="200" spans="1:20">
      <c r="A200" s="44" t="str">
        <f>Requirements!A202</f>
        <v>MS-SMB_R9124</v>
      </c>
      <c r="B200" s="87"/>
      <c r="C200" s="87"/>
      <c r="D200" s="87"/>
      <c r="E200" s="87"/>
      <c r="F200" s="87"/>
      <c r="G200" s="87"/>
      <c r="H200" s="87"/>
      <c r="I200" s="87"/>
      <c r="J200" s="87"/>
      <c r="K200" s="87"/>
      <c r="L200" s="87"/>
      <c r="M200" s="87"/>
      <c r="N200" s="87">
        <f t="shared" si="8"/>
        <v>0</v>
      </c>
      <c r="O200" s="87">
        <f t="shared" si="9"/>
        <v>0</v>
      </c>
      <c r="P200" s="87" t="b">
        <f t="shared" si="10"/>
        <v>0</v>
      </c>
      <c r="Q200" s="87" t="b">
        <f>(Requirements!K202="Normative")</f>
        <v>0</v>
      </c>
      <c r="R200" s="87" t="b">
        <f>AND(Requirements!L202&lt;&gt;"Non-testable",Requirements!L202&lt;&gt;"Deleted",Requirements!L202&lt;&gt;"")</f>
        <v>1</v>
      </c>
      <c r="S200" s="87" t="b">
        <f>(VLOOKUP(Requirements!I202,Scope[[Role]:[Description]],2,FALSE)="In")</f>
        <v>1</v>
      </c>
      <c r="T200" s="87">
        <f t="shared" si="11"/>
        <v>0</v>
      </c>
    </row>
    <row r="201" spans="1:20">
      <c r="A201" s="44" t="str">
        <f>Requirements!A203</f>
        <v>MS-SMB_R9125</v>
      </c>
      <c r="B201" s="87"/>
      <c r="C201" s="87"/>
      <c r="D201" s="87"/>
      <c r="E201" s="87"/>
      <c r="F201" s="87"/>
      <c r="G201" s="87"/>
      <c r="H201" s="87"/>
      <c r="I201" s="87"/>
      <c r="J201" s="87"/>
      <c r="K201" s="87"/>
      <c r="L201" s="87"/>
      <c r="M201" s="87"/>
      <c r="N201" s="87">
        <f t="shared" si="8"/>
        <v>0</v>
      </c>
      <c r="O201" s="87">
        <f t="shared" si="9"/>
        <v>0</v>
      </c>
      <c r="P201" s="87" t="b">
        <f t="shared" si="10"/>
        <v>0</v>
      </c>
      <c r="Q201" s="87" t="b">
        <f>(Requirements!K203="Normative")</f>
        <v>0</v>
      </c>
      <c r="R201" s="87" t="b">
        <f>AND(Requirements!L203&lt;&gt;"Non-testable",Requirements!L203&lt;&gt;"Deleted",Requirements!L203&lt;&gt;"")</f>
        <v>1</v>
      </c>
      <c r="S201" s="87" t="b">
        <f>(VLOOKUP(Requirements!I203,Scope[[Role]:[Description]],2,FALSE)="In")</f>
        <v>1</v>
      </c>
      <c r="T201" s="87">
        <f t="shared" si="11"/>
        <v>0</v>
      </c>
    </row>
    <row r="202" spans="1:20">
      <c r="A202" s="44" t="str">
        <f>Requirements!A204</f>
        <v>MS-SMB_R9126</v>
      </c>
      <c r="B202" s="87"/>
      <c r="C202" s="87"/>
      <c r="D202" s="87"/>
      <c r="E202" s="87"/>
      <c r="F202" s="87"/>
      <c r="G202" s="87"/>
      <c r="H202" s="87"/>
      <c r="I202" s="87"/>
      <c r="J202" s="87"/>
      <c r="K202" s="87"/>
      <c r="L202" s="87"/>
      <c r="M202" s="87"/>
      <c r="N202" s="87">
        <f t="shared" si="8"/>
        <v>0</v>
      </c>
      <c r="O202" s="87">
        <f t="shared" si="9"/>
        <v>0</v>
      </c>
      <c r="P202" s="87" t="b">
        <f t="shared" si="10"/>
        <v>0</v>
      </c>
      <c r="Q202" s="87" t="b">
        <f>(Requirements!K204="Normative")</f>
        <v>0</v>
      </c>
      <c r="R202" s="87" t="b">
        <f>AND(Requirements!L204&lt;&gt;"Non-testable",Requirements!L204&lt;&gt;"Deleted",Requirements!L204&lt;&gt;"")</f>
        <v>1</v>
      </c>
      <c r="S202" s="87" t="b">
        <f>(VLOOKUP(Requirements!I204,Scope[[Role]:[Description]],2,FALSE)="In")</f>
        <v>1</v>
      </c>
      <c r="T202" s="87">
        <f t="shared" si="11"/>
        <v>0</v>
      </c>
    </row>
    <row r="203" spans="1:20">
      <c r="A203" s="44" t="str">
        <f>Requirements!A205</f>
        <v>MS-SMB_R9127</v>
      </c>
      <c r="B203" s="87"/>
      <c r="C203" s="87"/>
      <c r="D203" s="87"/>
      <c r="E203" s="87"/>
      <c r="F203" s="87"/>
      <c r="G203" s="87"/>
      <c r="H203" s="87"/>
      <c r="I203" s="87"/>
      <c r="J203" s="87"/>
      <c r="K203" s="87"/>
      <c r="L203" s="87"/>
      <c r="M203" s="87"/>
      <c r="N203" s="87">
        <f t="shared" si="8"/>
        <v>0</v>
      </c>
      <c r="O203" s="87">
        <f t="shared" si="9"/>
        <v>0</v>
      </c>
      <c r="P203" s="87" t="b">
        <f t="shared" si="10"/>
        <v>0</v>
      </c>
      <c r="Q203" s="87" t="b">
        <f>(Requirements!K205="Normative")</f>
        <v>0</v>
      </c>
      <c r="R203" s="87" t="b">
        <f>AND(Requirements!L205&lt;&gt;"Non-testable",Requirements!L205&lt;&gt;"Deleted",Requirements!L205&lt;&gt;"")</f>
        <v>1</v>
      </c>
      <c r="S203" s="87" t="b">
        <f>(VLOOKUP(Requirements!I205,Scope[[Role]:[Description]],2,FALSE)="In")</f>
        <v>1</v>
      </c>
      <c r="T203" s="87">
        <f t="shared" si="11"/>
        <v>0</v>
      </c>
    </row>
    <row r="204" spans="1:20">
      <c r="A204" s="44" t="str">
        <f>Requirements!A206</f>
        <v>MS-SMB_R9128</v>
      </c>
      <c r="B204" s="87"/>
      <c r="C204" s="87"/>
      <c r="D204" s="87"/>
      <c r="E204" s="87"/>
      <c r="F204" s="87"/>
      <c r="G204" s="87"/>
      <c r="H204" s="87"/>
      <c r="I204" s="87"/>
      <c r="J204" s="87"/>
      <c r="K204" s="87"/>
      <c r="L204" s="87"/>
      <c r="M204" s="87"/>
      <c r="N204" s="87">
        <f t="shared" si="8"/>
        <v>0</v>
      </c>
      <c r="O204" s="87">
        <f t="shared" si="9"/>
        <v>0</v>
      </c>
      <c r="P204" s="87" t="b">
        <f t="shared" si="10"/>
        <v>0</v>
      </c>
      <c r="Q204" s="87" t="b">
        <f>(Requirements!K206="Normative")</f>
        <v>0</v>
      </c>
      <c r="R204" s="87" t="b">
        <f>AND(Requirements!L206&lt;&gt;"Non-testable",Requirements!L206&lt;&gt;"Deleted",Requirements!L206&lt;&gt;"")</f>
        <v>1</v>
      </c>
      <c r="S204" s="87" t="b">
        <f>(VLOOKUP(Requirements!I206,Scope[[Role]:[Description]],2,FALSE)="In")</f>
        <v>1</v>
      </c>
      <c r="T204" s="87">
        <f t="shared" si="11"/>
        <v>0</v>
      </c>
    </row>
    <row r="205" spans="1:20">
      <c r="A205" s="44" t="str">
        <f>Requirements!A207</f>
        <v>MS-SMB_R9129</v>
      </c>
      <c r="B205" s="87"/>
      <c r="C205" s="87"/>
      <c r="D205" s="87"/>
      <c r="E205" s="87"/>
      <c r="F205" s="87"/>
      <c r="G205" s="87"/>
      <c r="H205" s="87"/>
      <c r="I205" s="87"/>
      <c r="J205" s="87"/>
      <c r="K205" s="87"/>
      <c r="L205" s="87"/>
      <c r="M205" s="87"/>
      <c r="N205" s="87">
        <f t="shared" si="8"/>
        <v>0</v>
      </c>
      <c r="O205" s="87">
        <f t="shared" si="9"/>
        <v>0</v>
      </c>
      <c r="P205" s="87" t="b">
        <f t="shared" si="10"/>
        <v>0</v>
      </c>
      <c r="Q205" s="87" t="b">
        <f>(Requirements!K207="Normative")</f>
        <v>0</v>
      </c>
      <c r="R205" s="87" t="b">
        <f>AND(Requirements!L207&lt;&gt;"Non-testable",Requirements!L207&lt;&gt;"Deleted",Requirements!L207&lt;&gt;"")</f>
        <v>1</v>
      </c>
      <c r="S205" s="87" t="b">
        <f>(VLOOKUP(Requirements!I207,Scope[[Role]:[Description]],2,FALSE)="In")</f>
        <v>1</v>
      </c>
      <c r="T205" s="87">
        <f t="shared" si="11"/>
        <v>0</v>
      </c>
    </row>
    <row r="206" spans="1:20">
      <c r="A206" s="44" t="str">
        <f>Requirements!A208</f>
        <v>MS-SMB_R9130</v>
      </c>
      <c r="B206" s="87"/>
      <c r="C206" s="87"/>
      <c r="D206" s="87"/>
      <c r="E206" s="87"/>
      <c r="F206" s="87"/>
      <c r="G206" s="87"/>
      <c r="H206" s="87"/>
      <c r="I206" s="87"/>
      <c r="J206" s="87"/>
      <c r="K206" s="87"/>
      <c r="L206" s="87"/>
      <c r="M206" s="87"/>
      <c r="N206" s="87">
        <f t="shared" si="8"/>
        <v>0</v>
      </c>
      <c r="O206" s="87">
        <f t="shared" si="9"/>
        <v>0</v>
      </c>
      <c r="P206" s="87" t="b">
        <f t="shared" si="10"/>
        <v>0</v>
      </c>
      <c r="Q206" s="87" t="b">
        <f>(Requirements!K208="Normative")</f>
        <v>0</v>
      </c>
      <c r="R206" s="87" t="b">
        <f>AND(Requirements!L208&lt;&gt;"Non-testable",Requirements!L208&lt;&gt;"Deleted",Requirements!L208&lt;&gt;"")</f>
        <v>1</v>
      </c>
      <c r="S206" s="87" t="b">
        <f>(VLOOKUP(Requirements!I208,Scope[[Role]:[Description]],2,FALSE)="In")</f>
        <v>1</v>
      </c>
      <c r="T206" s="87">
        <f t="shared" si="11"/>
        <v>0</v>
      </c>
    </row>
    <row r="207" spans="1:20">
      <c r="A207" s="44" t="str">
        <f>Requirements!A209</f>
        <v>MS-SMB_R9131</v>
      </c>
      <c r="B207" s="87"/>
      <c r="C207" s="87"/>
      <c r="D207" s="87"/>
      <c r="E207" s="87"/>
      <c r="F207" s="87"/>
      <c r="G207" s="87"/>
      <c r="H207" s="87"/>
      <c r="I207" s="87"/>
      <c r="J207" s="87"/>
      <c r="K207" s="87"/>
      <c r="L207" s="87"/>
      <c r="M207" s="87"/>
      <c r="N207" s="87">
        <f t="shared" si="8"/>
        <v>0</v>
      </c>
      <c r="O207" s="87">
        <f t="shared" si="9"/>
        <v>0</v>
      </c>
      <c r="P207" s="87" t="b">
        <f t="shared" si="10"/>
        <v>0</v>
      </c>
      <c r="Q207" s="87" t="b">
        <f>(Requirements!K209="Normative")</f>
        <v>0</v>
      </c>
      <c r="R207" s="87" t="b">
        <f>AND(Requirements!L209&lt;&gt;"Non-testable",Requirements!L209&lt;&gt;"Deleted",Requirements!L209&lt;&gt;"")</f>
        <v>1</v>
      </c>
      <c r="S207" s="87" t="b">
        <f>(VLOOKUP(Requirements!I209,Scope[[Role]:[Description]],2,FALSE)="In")</f>
        <v>1</v>
      </c>
      <c r="T207" s="87">
        <f t="shared" si="11"/>
        <v>0</v>
      </c>
    </row>
    <row r="208" spans="1:20">
      <c r="A208" s="44" t="str">
        <f>Requirements!A210</f>
        <v>MS-SMB_R9132</v>
      </c>
      <c r="B208" s="87"/>
      <c r="C208" s="87"/>
      <c r="D208" s="87"/>
      <c r="E208" s="87"/>
      <c r="F208" s="87"/>
      <c r="G208" s="87"/>
      <c r="H208" s="87"/>
      <c r="I208" s="87"/>
      <c r="J208" s="87"/>
      <c r="K208" s="87"/>
      <c r="L208" s="87"/>
      <c r="M208" s="87"/>
      <c r="N208" s="87">
        <f t="shared" si="8"/>
        <v>0</v>
      </c>
      <c r="O208" s="87">
        <f t="shared" si="9"/>
        <v>0</v>
      </c>
      <c r="P208" s="87" t="b">
        <f t="shared" si="10"/>
        <v>0</v>
      </c>
      <c r="Q208" s="87" t="b">
        <f>(Requirements!K210="Normative")</f>
        <v>0</v>
      </c>
      <c r="R208" s="87" t="b">
        <f>AND(Requirements!L210&lt;&gt;"Non-testable",Requirements!L210&lt;&gt;"Deleted",Requirements!L210&lt;&gt;"")</f>
        <v>1</v>
      </c>
      <c r="S208" s="87" t="b">
        <f>(VLOOKUP(Requirements!I210,Scope[[Role]:[Description]],2,FALSE)="In")</f>
        <v>1</v>
      </c>
      <c r="T208" s="87">
        <f t="shared" si="11"/>
        <v>0</v>
      </c>
    </row>
    <row r="209" spans="1:20">
      <c r="A209" s="44" t="str">
        <f>Requirements!A211</f>
        <v>MS-SMB_R9133</v>
      </c>
      <c r="B209" s="87"/>
      <c r="C209" s="87"/>
      <c r="D209" s="87"/>
      <c r="E209" s="87"/>
      <c r="F209" s="87"/>
      <c r="G209" s="87"/>
      <c r="H209" s="87"/>
      <c r="I209" s="87"/>
      <c r="J209" s="87"/>
      <c r="K209" s="87"/>
      <c r="L209" s="87"/>
      <c r="M209" s="87"/>
      <c r="N209" s="87">
        <f t="shared" si="8"/>
        <v>0</v>
      </c>
      <c r="O209" s="87">
        <f t="shared" si="9"/>
        <v>0</v>
      </c>
      <c r="P209" s="87" t="b">
        <f t="shared" si="10"/>
        <v>0</v>
      </c>
      <c r="Q209" s="87" t="b">
        <f>(Requirements!K211="Normative")</f>
        <v>0</v>
      </c>
      <c r="R209" s="87" t="b">
        <f>AND(Requirements!L211&lt;&gt;"Non-testable",Requirements!L211&lt;&gt;"Deleted",Requirements!L211&lt;&gt;"")</f>
        <v>1</v>
      </c>
      <c r="S209" s="87" t="b">
        <f>(VLOOKUP(Requirements!I211,Scope[[Role]:[Description]],2,FALSE)="In")</f>
        <v>1</v>
      </c>
      <c r="T209" s="87">
        <f t="shared" si="11"/>
        <v>0</v>
      </c>
    </row>
    <row r="210" spans="1:20">
      <c r="A210" s="44" t="str">
        <f>Requirements!A212</f>
        <v>MS-SMB_R9134</v>
      </c>
      <c r="B210" s="87"/>
      <c r="C210" s="87"/>
      <c r="D210" s="87"/>
      <c r="E210" s="87"/>
      <c r="F210" s="87"/>
      <c r="G210" s="87"/>
      <c r="H210" s="87"/>
      <c r="I210" s="87"/>
      <c r="J210" s="87"/>
      <c r="K210" s="87"/>
      <c r="L210" s="87"/>
      <c r="M210" s="87"/>
      <c r="N210" s="87">
        <f t="shared" si="8"/>
        <v>0</v>
      </c>
      <c r="O210" s="87">
        <f t="shared" si="9"/>
        <v>0</v>
      </c>
      <c r="P210" s="87" t="b">
        <f t="shared" si="10"/>
        <v>0</v>
      </c>
      <c r="Q210" s="87" t="b">
        <f>(Requirements!K212="Normative")</f>
        <v>0</v>
      </c>
      <c r="R210" s="87" t="b">
        <f>AND(Requirements!L212&lt;&gt;"Non-testable",Requirements!L212&lt;&gt;"Deleted",Requirements!L212&lt;&gt;"")</f>
        <v>1</v>
      </c>
      <c r="S210" s="87" t="b">
        <f>(VLOOKUP(Requirements!I212,Scope[[Role]:[Description]],2,FALSE)="In")</f>
        <v>1</v>
      </c>
      <c r="T210" s="87">
        <f t="shared" si="11"/>
        <v>0</v>
      </c>
    </row>
    <row r="211" spans="1:20">
      <c r="A211" s="44" t="str">
        <f>Requirements!A213</f>
        <v>MS-SMB_R9135</v>
      </c>
      <c r="B211" s="87"/>
      <c r="C211" s="87"/>
      <c r="D211" s="87"/>
      <c r="E211" s="87"/>
      <c r="F211" s="87"/>
      <c r="G211" s="87"/>
      <c r="H211" s="87"/>
      <c r="I211" s="87"/>
      <c r="J211" s="87"/>
      <c r="K211" s="87"/>
      <c r="L211" s="87"/>
      <c r="M211" s="87"/>
      <c r="N211" s="87">
        <f t="shared" si="8"/>
        <v>0</v>
      </c>
      <c r="O211" s="87">
        <f t="shared" si="9"/>
        <v>0</v>
      </c>
      <c r="P211" s="87" t="b">
        <f t="shared" si="10"/>
        <v>0</v>
      </c>
      <c r="Q211" s="87" t="b">
        <f>(Requirements!K213="Normative")</f>
        <v>0</v>
      </c>
      <c r="R211" s="87" t="b">
        <f>AND(Requirements!L213&lt;&gt;"Non-testable",Requirements!L213&lt;&gt;"Deleted",Requirements!L213&lt;&gt;"")</f>
        <v>1</v>
      </c>
      <c r="S211" s="87" t="b">
        <f>(VLOOKUP(Requirements!I213,Scope[[Role]:[Description]],2,FALSE)="In")</f>
        <v>1</v>
      </c>
      <c r="T211" s="87">
        <f t="shared" si="11"/>
        <v>0</v>
      </c>
    </row>
    <row r="212" spans="1:20">
      <c r="A212" s="44" t="str">
        <f>Requirements!A214</f>
        <v>MS-SMB_R9136</v>
      </c>
      <c r="B212" s="87"/>
      <c r="C212" s="87"/>
      <c r="D212" s="87"/>
      <c r="E212" s="87"/>
      <c r="F212" s="87"/>
      <c r="G212" s="87"/>
      <c r="H212" s="87"/>
      <c r="I212" s="87"/>
      <c r="J212" s="87"/>
      <c r="K212" s="87"/>
      <c r="L212" s="87"/>
      <c r="M212" s="87"/>
      <c r="N212" s="87">
        <f t="shared" ref="N212:N275" si="12">SUM(B212:M212)</f>
        <v>0</v>
      </c>
      <c r="O212" s="87">
        <f t="shared" ref="O212:O275" si="13">IF(N212=0,0,1)</f>
        <v>0</v>
      </c>
      <c r="P212" s="87" t="b">
        <f t="shared" ref="P212:P275" si="14">AND(Q212:S212)</f>
        <v>0</v>
      </c>
      <c r="Q212" s="87" t="b">
        <f>(Requirements!K214="Normative")</f>
        <v>0</v>
      </c>
      <c r="R212" s="87" t="b">
        <f>AND(Requirements!L214&lt;&gt;"Non-testable",Requirements!L214&lt;&gt;"Deleted",Requirements!L214&lt;&gt;"")</f>
        <v>1</v>
      </c>
      <c r="S212" s="87" t="b">
        <f>(VLOOKUP(Requirements!I214,Scope[[Role]:[Description]],2,FALSE)="In")</f>
        <v>1</v>
      </c>
      <c r="T212" s="87">
        <f t="shared" ref="T212:T275" si="15">IF(P212,O212, 0)</f>
        <v>0</v>
      </c>
    </row>
    <row r="213" spans="1:20">
      <c r="A213" s="44" t="str">
        <f>Requirements!A215</f>
        <v>MS-SMB_R9137</v>
      </c>
      <c r="B213" s="87"/>
      <c r="C213" s="87"/>
      <c r="D213" s="87"/>
      <c r="E213" s="87"/>
      <c r="F213" s="87"/>
      <c r="G213" s="87"/>
      <c r="H213" s="87"/>
      <c r="I213" s="87"/>
      <c r="J213" s="87"/>
      <c r="K213" s="87"/>
      <c r="L213" s="87"/>
      <c r="M213" s="87"/>
      <c r="N213" s="87">
        <f t="shared" si="12"/>
        <v>0</v>
      </c>
      <c r="O213" s="87">
        <f t="shared" si="13"/>
        <v>0</v>
      </c>
      <c r="P213" s="87" t="b">
        <f t="shared" si="14"/>
        <v>0</v>
      </c>
      <c r="Q213" s="87" t="b">
        <f>(Requirements!K215="Normative")</f>
        <v>0</v>
      </c>
      <c r="R213" s="87" t="b">
        <f>AND(Requirements!L215&lt;&gt;"Non-testable",Requirements!L215&lt;&gt;"Deleted",Requirements!L215&lt;&gt;"")</f>
        <v>1</v>
      </c>
      <c r="S213" s="87" t="b">
        <f>(VLOOKUP(Requirements!I215,Scope[[Role]:[Description]],2,FALSE)="In")</f>
        <v>1</v>
      </c>
      <c r="T213" s="87">
        <f t="shared" si="15"/>
        <v>0</v>
      </c>
    </row>
    <row r="214" spans="1:20">
      <c r="A214" s="44" t="str">
        <f>Requirements!A216</f>
        <v>MS-SMB_R9138</v>
      </c>
      <c r="B214" s="87"/>
      <c r="C214" s="87"/>
      <c r="D214" s="87"/>
      <c r="E214" s="87"/>
      <c r="F214" s="87"/>
      <c r="G214" s="87"/>
      <c r="H214" s="87"/>
      <c r="I214" s="87"/>
      <c r="J214" s="87"/>
      <c r="K214" s="87"/>
      <c r="L214" s="87"/>
      <c r="M214" s="87"/>
      <c r="N214" s="87">
        <f t="shared" si="12"/>
        <v>0</v>
      </c>
      <c r="O214" s="87">
        <f t="shared" si="13"/>
        <v>0</v>
      </c>
      <c r="P214" s="87" t="b">
        <f t="shared" si="14"/>
        <v>0</v>
      </c>
      <c r="Q214" s="87" t="b">
        <f>(Requirements!K216="Normative")</f>
        <v>0</v>
      </c>
      <c r="R214" s="87" t="b">
        <f>AND(Requirements!L216&lt;&gt;"Non-testable",Requirements!L216&lt;&gt;"Deleted",Requirements!L216&lt;&gt;"")</f>
        <v>1</v>
      </c>
      <c r="S214" s="87" t="b">
        <f>(VLOOKUP(Requirements!I216,Scope[[Role]:[Description]],2,FALSE)="In")</f>
        <v>1</v>
      </c>
      <c r="T214" s="87">
        <f t="shared" si="15"/>
        <v>0</v>
      </c>
    </row>
    <row r="215" spans="1:20">
      <c r="A215" s="44" t="str">
        <f>Requirements!A217</f>
        <v>MS-SMB_R9139</v>
      </c>
      <c r="B215" s="87"/>
      <c r="C215" s="87"/>
      <c r="D215" s="87"/>
      <c r="E215" s="87"/>
      <c r="F215" s="87"/>
      <c r="G215" s="87"/>
      <c r="H215" s="87"/>
      <c r="I215" s="87"/>
      <c r="J215" s="87"/>
      <c r="K215" s="87"/>
      <c r="L215" s="87"/>
      <c r="M215" s="87"/>
      <c r="N215" s="87">
        <f t="shared" si="12"/>
        <v>0</v>
      </c>
      <c r="O215" s="87">
        <f t="shared" si="13"/>
        <v>0</v>
      </c>
      <c r="P215" s="87" t="b">
        <f t="shared" si="14"/>
        <v>0</v>
      </c>
      <c r="Q215" s="87" t="b">
        <f>(Requirements!K217="Normative")</f>
        <v>0</v>
      </c>
      <c r="R215" s="87" t="b">
        <f>AND(Requirements!L217&lt;&gt;"Non-testable",Requirements!L217&lt;&gt;"Deleted",Requirements!L217&lt;&gt;"")</f>
        <v>1</v>
      </c>
      <c r="S215" s="87" t="b">
        <f>(VLOOKUP(Requirements!I217,Scope[[Role]:[Description]],2,FALSE)="In")</f>
        <v>1</v>
      </c>
      <c r="T215" s="87">
        <f t="shared" si="15"/>
        <v>0</v>
      </c>
    </row>
    <row r="216" spans="1:20">
      <c r="A216" s="44" t="str">
        <f>Requirements!A218</f>
        <v>MS-SMB_R9140</v>
      </c>
      <c r="B216" s="87"/>
      <c r="C216" s="87"/>
      <c r="D216" s="87"/>
      <c r="E216" s="87"/>
      <c r="F216" s="87"/>
      <c r="G216" s="87"/>
      <c r="H216" s="87"/>
      <c r="I216" s="87"/>
      <c r="J216" s="87"/>
      <c r="K216" s="87"/>
      <c r="L216" s="87"/>
      <c r="M216" s="87"/>
      <c r="N216" s="87">
        <f t="shared" si="12"/>
        <v>0</v>
      </c>
      <c r="O216" s="87">
        <f t="shared" si="13"/>
        <v>0</v>
      </c>
      <c r="P216" s="87" t="b">
        <f t="shared" si="14"/>
        <v>0</v>
      </c>
      <c r="Q216" s="87" t="b">
        <f>(Requirements!K218="Normative")</f>
        <v>0</v>
      </c>
      <c r="R216" s="87" t="b">
        <f>AND(Requirements!L218&lt;&gt;"Non-testable",Requirements!L218&lt;&gt;"Deleted",Requirements!L218&lt;&gt;"")</f>
        <v>1</v>
      </c>
      <c r="S216" s="87" t="b">
        <f>(VLOOKUP(Requirements!I218,Scope[[Role]:[Description]],2,FALSE)="In")</f>
        <v>1</v>
      </c>
      <c r="T216" s="87">
        <f t="shared" si="15"/>
        <v>0</v>
      </c>
    </row>
    <row r="217" spans="1:20">
      <c r="A217" s="44" t="str">
        <f>Requirements!A219</f>
        <v>MS-SMB_R9141</v>
      </c>
      <c r="B217" s="87"/>
      <c r="C217" s="87"/>
      <c r="D217" s="87"/>
      <c r="E217" s="87"/>
      <c r="F217" s="87"/>
      <c r="G217" s="87"/>
      <c r="H217" s="87"/>
      <c r="I217" s="87"/>
      <c r="J217" s="87"/>
      <c r="K217" s="87"/>
      <c r="L217" s="87"/>
      <c r="M217" s="87"/>
      <c r="N217" s="87">
        <f t="shared" si="12"/>
        <v>0</v>
      </c>
      <c r="O217" s="87">
        <f t="shared" si="13"/>
        <v>0</v>
      </c>
      <c r="P217" s="87" t="b">
        <f t="shared" si="14"/>
        <v>0</v>
      </c>
      <c r="Q217" s="87" t="b">
        <f>(Requirements!K219="Normative")</f>
        <v>0</v>
      </c>
      <c r="R217" s="87" t="b">
        <f>AND(Requirements!L219&lt;&gt;"Non-testable",Requirements!L219&lt;&gt;"Deleted",Requirements!L219&lt;&gt;"")</f>
        <v>1</v>
      </c>
      <c r="S217" s="87" t="b">
        <f>(VLOOKUP(Requirements!I219,Scope[[Role]:[Description]],2,FALSE)="In")</f>
        <v>1</v>
      </c>
      <c r="T217" s="87">
        <f t="shared" si="15"/>
        <v>0</v>
      </c>
    </row>
    <row r="218" spans="1:20">
      <c r="A218" s="44" t="str">
        <f>Requirements!A220</f>
        <v>MS-SMB_R9142</v>
      </c>
      <c r="B218" s="87"/>
      <c r="C218" s="87"/>
      <c r="D218" s="87"/>
      <c r="E218" s="87"/>
      <c r="F218" s="87"/>
      <c r="G218" s="87"/>
      <c r="H218" s="87"/>
      <c r="I218" s="87"/>
      <c r="J218" s="87"/>
      <c r="K218" s="87"/>
      <c r="L218" s="87"/>
      <c r="M218" s="87"/>
      <c r="N218" s="87">
        <f t="shared" si="12"/>
        <v>0</v>
      </c>
      <c r="O218" s="87">
        <f t="shared" si="13"/>
        <v>0</v>
      </c>
      <c r="P218" s="87" t="b">
        <f t="shared" si="14"/>
        <v>0</v>
      </c>
      <c r="Q218" s="87" t="b">
        <f>(Requirements!K220="Normative")</f>
        <v>0</v>
      </c>
      <c r="R218" s="87" t="b">
        <f>AND(Requirements!L220&lt;&gt;"Non-testable",Requirements!L220&lt;&gt;"Deleted",Requirements!L220&lt;&gt;"")</f>
        <v>1</v>
      </c>
      <c r="S218" s="87" t="b">
        <f>(VLOOKUP(Requirements!I220,Scope[[Role]:[Description]],2,FALSE)="In")</f>
        <v>1</v>
      </c>
      <c r="T218" s="87">
        <f t="shared" si="15"/>
        <v>0</v>
      </c>
    </row>
    <row r="219" spans="1:20">
      <c r="A219" s="44" t="str">
        <f>Requirements!A221</f>
        <v>MS-SMB_R9143</v>
      </c>
      <c r="B219" s="87"/>
      <c r="C219" s="87"/>
      <c r="D219" s="87"/>
      <c r="E219" s="87"/>
      <c r="F219" s="87"/>
      <c r="G219" s="87"/>
      <c r="H219" s="87"/>
      <c r="I219" s="87"/>
      <c r="J219" s="87"/>
      <c r="K219" s="87"/>
      <c r="L219" s="87"/>
      <c r="M219" s="87"/>
      <c r="N219" s="87">
        <f t="shared" si="12"/>
        <v>0</v>
      </c>
      <c r="O219" s="87">
        <f t="shared" si="13"/>
        <v>0</v>
      </c>
      <c r="P219" s="87" t="b">
        <f t="shared" si="14"/>
        <v>0</v>
      </c>
      <c r="Q219" s="87" t="b">
        <f>(Requirements!K221="Normative")</f>
        <v>0</v>
      </c>
      <c r="R219" s="87" t="b">
        <f>AND(Requirements!L221&lt;&gt;"Non-testable",Requirements!L221&lt;&gt;"Deleted",Requirements!L221&lt;&gt;"")</f>
        <v>1</v>
      </c>
      <c r="S219" s="87" t="b">
        <f>(VLOOKUP(Requirements!I221,Scope[[Role]:[Description]],2,FALSE)="In")</f>
        <v>1</v>
      </c>
      <c r="T219" s="87">
        <f t="shared" si="15"/>
        <v>0</v>
      </c>
    </row>
    <row r="220" spans="1:20">
      <c r="A220" s="44" t="str">
        <f>Requirements!A222</f>
        <v>MS-SMB_R9144</v>
      </c>
      <c r="B220" s="87"/>
      <c r="C220" s="87"/>
      <c r="D220" s="87"/>
      <c r="E220" s="87"/>
      <c r="F220" s="87"/>
      <c r="G220" s="87"/>
      <c r="H220" s="87"/>
      <c r="I220" s="87"/>
      <c r="J220" s="87"/>
      <c r="K220" s="87"/>
      <c r="L220" s="87"/>
      <c r="M220" s="87"/>
      <c r="N220" s="87">
        <f t="shared" si="12"/>
        <v>0</v>
      </c>
      <c r="O220" s="87">
        <f t="shared" si="13"/>
        <v>0</v>
      </c>
      <c r="P220" s="87" t="b">
        <f t="shared" si="14"/>
        <v>0</v>
      </c>
      <c r="Q220" s="87" t="b">
        <f>(Requirements!K222="Normative")</f>
        <v>0</v>
      </c>
      <c r="R220" s="87" t="b">
        <f>AND(Requirements!L222&lt;&gt;"Non-testable",Requirements!L222&lt;&gt;"Deleted",Requirements!L222&lt;&gt;"")</f>
        <v>1</v>
      </c>
      <c r="S220" s="87" t="b">
        <f>(VLOOKUP(Requirements!I222,Scope[[Role]:[Description]],2,FALSE)="In")</f>
        <v>1</v>
      </c>
      <c r="T220" s="87">
        <f t="shared" si="15"/>
        <v>0</v>
      </c>
    </row>
    <row r="221" spans="1:20">
      <c r="A221" s="44" t="str">
        <f>Requirements!A223</f>
        <v>MS-SMB_R9145</v>
      </c>
      <c r="B221" s="87"/>
      <c r="C221" s="87"/>
      <c r="D221" s="87"/>
      <c r="E221" s="87"/>
      <c r="F221" s="87"/>
      <c r="G221" s="87"/>
      <c r="H221" s="87"/>
      <c r="I221" s="87"/>
      <c r="J221" s="87"/>
      <c r="K221" s="87"/>
      <c r="L221" s="87"/>
      <c r="M221" s="87"/>
      <c r="N221" s="87">
        <f t="shared" si="12"/>
        <v>0</v>
      </c>
      <c r="O221" s="87">
        <f t="shared" si="13"/>
        <v>0</v>
      </c>
      <c r="P221" s="87" t="b">
        <f t="shared" si="14"/>
        <v>0</v>
      </c>
      <c r="Q221" s="87" t="b">
        <f>(Requirements!K223="Normative")</f>
        <v>0</v>
      </c>
      <c r="R221" s="87" t="b">
        <f>AND(Requirements!L223&lt;&gt;"Non-testable",Requirements!L223&lt;&gt;"Deleted",Requirements!L223&lt;&gt;"")</f>
        <v>1</v>
      </c>
      <c r="S221" s="87" t="b">
        <f>(VLOOKUP(Requirements!I223,Scope[[Role]:[Description]],2,FALSE)="In")</f>
        <v>1</v>
      </c>
      <c r="T221" s="87">
        <f t="shared" si="15"/>
        <v>0</v>
      </c>
    </row>
    <row r="222" spans="1:20">
      <c r="A222" s="44" t="str">
        <f>Requirements!A224</f>
        <v>MS-SMB_R9146</v>
      </c>
      <c r="B222" s="87"/>
      <c r="C222" s="87"/>
      <c r="D222" s="87"/>
      <c r="E222" s="87"/>
      <c r="F222" s="87"/>
      <c r="G222" s="87"/>
      <c r="H222" s="87"/>
      <c r="I222" s="87"/>
      <c r="J222" s="87"/>
      <c r="K222" s="87"/>
      <c r="L222" s="87"/>
      <c r="M222" s="87"/>
      <c r="N222" s="87">
        <f t="shared" si="12"/>
        <v>0</v>
      </c>
      <c r="O222" s="87">
        <f t="shared" si="13"/>
        <v>0</v>
      </c>
      <c r="P222" s="87" t="b">
        <f t="shared" si="14"/>
        <v>0</v>
      </c>
      <c r="Q222" s="87" t="b">
        <f>(Requirements!K224="Normative")</f>
        <v>0</v>
      </c>
      <c r="R222" s="87" t="b">
        <f>AND(Requirements!L224&lt;&gt;"Non-testable",Requirements!L224&lt;&gt;"Deleted",Requirements!L224&lt;&gt;"")</f>
        <v>1</v>
      </c>
      <c r="S222" s="87" t="b">
        <f>(VLOOKUP(Requirements!I224,Scope[[Role]:[Description]],2,FALSE)="In")</f>
        <v>1</v>
      </c>
      <c r="T222" s="87">
        <f t="shared" si="15"/>
        <v>0</v>
      </c>
    </row>
    <row r="223" spans="1:20">
      <c r="A223" s="44" t="str">
        <f>Requirements!A225</f>
        <v>MS-SMB_R9147</v>
      </c>
      <c r="B223" s="87"/>
      <c r="C223" s="87"/>
      <c r="D223" s="87"/>
      <c r="E223" s="87"/>
      <c r="F223" s="87"/>
      <c r="G223" s="87"/>
      <c r="H223" s="87"/>
      <c r="I223" s="87"/>
      <c r="J223" s="87"/>
      <c r="K223" s="87"/>
      <c r="L223" s="87"/>
      <c r="M223" s="87"/>
      <c r="N223" s="87">
        <f t="shared" si="12"/>
        <v>0</v>
      </c>
      <c r="O223" s="87">
        <f t="shared" si="13"/>
        <v>0</v>
      </c>
      <c r="P223" s="87" t="b">
        <f t="shared" si="14"/>
        <v>0</v>
      </c>
      <c r="Q223" s="87" t="b">
        <f>(Requirements!K225="Normative")</f>
        <v>0</v>
      </c>
      <c r="R223" s="87" t="b">
        <f>AND(Requirements!L225&lt;&gt;"Non-testable",Requirements!L225&lt;&gt;"Deleted",Requirements!L225&lt;&gt;"")</f>
        <v>1</v>
      </c>
      <c r="S223" s="87" t="b">
        <f>(VLOOKUP(Requirements!I225,Scope[[Role]:[Description]],2,FALSE)="In")</f>
        <v>1</v>
      </c>
      <c r="T223" s="87">
        <f t="shared" si="15"/>
        <v>0</v>
      </c>
    </row>
    <row r="224" spans="1:20">
      <c r="A224" s="44" t="str">
        <f>Requirements!A226</f>
        <v>MS-SMB_R9148</v>
      </c>
      <c r="B224" s="87"/>
      <c r="C224" s="87"/>
      <c r="D224" s="87"/>
      <c r="E224" s="87"/>
      <c r="F224" s="87"/>
      <c r="G224" s="87"/>
      <c r="H224" s="87"/>
      <c r="I224" s="87"/>
      <c r="J224" s="87"/>
      <c r="K224" s="87"/>
      <c r="L224" s="87"/>
      <c r="M224" s="87"/>
      <c r="N224" s="87">
        <f t="shared" si="12"/>
        <v>0</v>
      </c>
      <c r="O224" s="87">
        <f t="shared" si="13"/>
        <v>0</v>
      </c>
      <c r="P224" s="87" t="b">
        <f t="shared" si="14"/>
        <v>0</v>
      </c>
      <c r="Q224" s="87" t="b">
        <f>(Requirements!K226="Normative")</f>
        <v>0</v>
      </c>
      <c r="R224" s="87" t="b">
        <f>AND(Requirements!L226&lt;&gt;"Non-testable",Requirements!L226&lt;&gt;"Deleted",Requirements!L226&lt;&gt;"")</f>
        <v>1</v>
      </c>
      <c r="S224" s="87" t="b">
        <f>(VLOOKUP(Requirements!I226,Scope[[Role]:[Description]],2,FALSE)="In")</f>
        <v>1</v>
      </c>
      <c r="T224" s="87">
        <f t="shared" si="15"/>
        <v>0</v>
      </c>
    </row>
    <row r="225" spans="1:20">
      <c r="A225" s="44" t="str">
        <f>Requirements!A227</f>
        <v>MS-SMB_R9149</v>
      </c>
      <c r="B225" s="87"/>
      <c r="C225" s="87"/>
      <c r="D225" s="87"/>
      <c r="E225" s="87"/>
      <c r="F225" s="87"/>
      <c r="G225" s="87"/>
      <c r="H225" s="87"/>
      <c r="I225" s="87"/>
      <c r="J225" s="87"/>
      <c r="K225" s="87"/>
      <c r="L225" s="87"/>
      <c r="M225" s="87"/>
      <c r="N225" s="87">
        <f t="shared" si="12"/>
        <v>0</v>
      </c>
      <c r="O225" s="87">
        <f t="shared" si="13"/>
        <v>0</v>
      </c>
      <c r="P225" s="87" t="b">
        <f t="shared" si="14"/>
        <v>0</v>
      </c>
      <c r="Q225" s="87" t="b">
        <f>(Requirements!K227="Normative")</f>
        <v>0</v>
      </c>
      <c r="R225" s="87" t="b">
        <f>AND(Requirements!L227&lt;&gt;"Non-testable",Requirements!L227&lt;&gt;"Deleted",Requirements!L227&lt;&gt;"")</f>
        <v>1</v>
      </c>
      <c r="S225" s="87" t="b">
        <f>(VLOOKUP(Requirements!I227,Scope[[Role]:[Description]],2,FALSE)="In")</f>
        <v>1</v>
      </c>
      <c r="T225" s="87">
        <f t="shared" si="15"/>
        <v>0</v>
      </c>
    </row>
    <row r="226" spans="1:20">
      <c r="A226" s="44" t="str">
        <f>Requirements!A228</f>
        <v>MS-SMB_R9150</v>
      </c>
      <c r="B226" s="87"/>
      <c r="C226" s="87"/>
      <c r="D226" s="87"/>
      <c r="E226" s="87"/>
      <c r="F226" s="87"/>
      <c r="G226" s="87"/>
      <c r="H226" s="87"/>
      <c r="I226" s="87"/>
      <c r="J226" s="87"/>
      <c r="K226" s="87"/>
      <c r="L226" s="87"/>
      <c r="M226" s="87"/>
      <c r="N226" s="87">
        <f t="shared" si="12"/>
        <v>0</v>
      </c>
      <c r="O226" s="87">
        <f t="shared" si="13"/>
        <v>0</v>
      </c>
      <c r="P226" s="87" t="b">
        <f t="shared" si="14"/>
        <v>0</v>
      </c>
      <c r="Q226" s="87" t="b">
        <f>(Requirements!K228="Normative")</f>
        <v>0</v>
      </c>
      <c r="R226" s="87" t="b">
        <f>AND(Requirements!L228&lt;&gt;"Non-testable",Requirements!L228&lt;&gt;"Deleted",Requirements!L228&lt;&gt;"")</f>
        <v>1</v>
      </c>
      <c r="S226" s="87" t="b">
        <f>(VLOOKUP(Requirements!I228,Scope[[Role]:[Description]],2,FALSE)="In")</f>
        <v>1</v>
      </c>
      <c r="T226" s="87">
        <f t="shared" si="15"/>
        <v>0</v>
      </c>
    </row>
    <row r="227" spans="1:20">
      <c r="A227" s="44" t="str">
        <f>Requirements!A229</f>
        <v>MS-SMB_R9151</v>
      </c>
      <c r="B227" s="87"/>
      <c r="C227" s="87"/>
      <c r="D227" s="87"/>
      <c r="E227" s="87"/>
      <c r="F227" s="87"/>
      <c r="G227" s="87"/>
      <c r="H227" s="87"/>
      <c r="I227" s="87"/>
      <c r="J227" s="87"/>
      <c r="K227" s="87"/>
      <c r="L227" s="87"/>
      <c r="M227" s="87"/>
      <c r="N227" s="87">
        <f t="shared" si="12"/>
        <v>0</v>
      </c>
      <c r="O227" s="87">
        <f t="shared" si="13"/>
        <v>0</v>
      </c>
      <c r="P227" s="87" t="b">
        <f t="shared" si="14"/>
        <v>0</v>
      </c>
      <c r="Q227" s="87" t="b">
        <f>(Requirements!K229="Normative")</f>
        <v>0</v>
      </c>
      <c r="R227" s="87" t="b">
        <f>AND(Requirements!L229&lt;&gt;"Non-testable",Requirements!L229&lt;&gt;"Deleted",Requirements!L229&lt;&gt;"")</f>
        <v>1</v>
      </c>
      <c r="S227" s="87" t="b">
        <f>(VLOOKUP(Requirements!I229,Scope[[Role]:[Description]],2,FALSE)="In")</f>
        <v>1</v>
      </c>
      <c r="T227" s="87">
        <f t="shared" si="15"/>
        <v>0</v>
      </c>
    </row>
    <row r="228" spans="1:20">
      <c r="A228" s="44" t="str">
        <f>Requirements!A230</f>
        <v>MS-SMB_R9152</v>
      </c>
      <c r="B228" s="87"/>
      <c r="C228" s="87"/>
      <c r="D228" s="87"/>
      <c r="E228" s="87"/>
      <c r="F228" s="87"/>
      <c r="G228" s="87"/>
      <c r="H228" s="87"/>
      <c r="I228" s="87"/>
      <c r="J228" s="87"/>
      <c r="K228" s="87"/>
      <c r="L228" s="87"/>
      <c r="M228" s="87"/>
      <c r="N228" s="87">
        <f t="shared" si="12"/>
        <v>0</v>
      </c>
      <c r="O228" s="87">
        <f t="shared" si="13"/>
        <v>0</v>
      </c>
      <c r="P228" s="87" t="b">
        <f t="shared" si="14"/>
        <v>0</v>
      </c>
      <c r="Q228" s="87" t="b">
        <f>(Requirements!K230="Normative")</f>
        <v>0</v>
      </c>
      <c r="R228" s="87" t="b">
        <f>AND(Requirements!L230&lt;&gt;"Non-testable",Requirements!L230&lt;&gt;"Deleted",Requirements!L230&lt;&gt;"")</f>
        <v>1</v>
      </c>
      <c r="S228" s="87" t="b">
        <f>(VLOOKUP(Requirements!I230,Scope[[Role]:[Description]],2,FALSE)="In")</f>
        <v>1</v>
      </c>
      <c r="T228" s="87">
        <f t="shared" si="15"/>
        <v>0</v>
      </c>
    </row>
    <row r="229" spans="1:20">
      <c r="A229" s="85" t="str">
        <f>Requirements!A231</f>
        <v>MS-SMB_R9153</v>
      </c>
      <c r="B229" s="87"/>
      <c r="C229" s="87"/>
      <c r="D229" s="87"/>
      <c r="E229" s="87"/>
      <c r="F229" s="87"/>
      <c r="G229" s="87"/>
      <c r="H229" s="87"/>
      <c r="I229" s="87"/>
      <c r="J229" s="87"/>
      <c r="K229" s="87"/>
      <c r="L229" s="87"/>
      <c r="M229" s="87"/>
      <c r="N229" s="87">
        <f t="shared" si="12"/>
        <v>0</v>
      </c>
      <c r="O229" s="61">
        <f t="shared" si="13"/>
        <v>0</v>
      </c>
      <c r="P229" s="61" t="b">
        <f t="shared" si="14"/>
        <v>1</v>
      </c>
      <c r="Q229" s="87" t="b">
        <f>(Requirements!K231="Normative")</f>
        <v>1</v>
      </c>
      <c r="R229" s="87" t="b">
        <f>AND(Requirements!L231&lt;&gt;"Non-testable",Requirements!L231&lt;&gt;"Deleted",Requirements!L231&lt;&gt;"")</f>
        <v>1</v>
      </c>
      <c r="S229" s="87" t="b">
        <f>(VLOOKUP(Requirements!I231,Scope[[Role]:[Description]],2,FALSE)="In")</f>
        <v>1</v>
      </c>
      <c r="T229" s="87">
        <f t="shared" si="15"/>
        <v>0</v>
      </c>
    </row>
    <row r="230" spans="1:20">
      <c r="A230" s="44" t="str">
        <f>Requirements!A232</f>
        <v>MS-SMB_R9154</v>
      </c>
      <c r="B230" s="87"/>
      <c r="C230" s="87"/>
      <c r="D230" s="87"/>
      <c r="E230" s="87"/>
      <c r="F230" s="87"/>
      <c r="G230" s="87"/>
      <c r="H230" s="87"/>
      <c r="I230" s="87"/>
      <c r="J230" s="87"/>
      <c r="K230" s="87"/>
      <c r="L230" s="87"/>
      <c r="M230" s="87"/>
      <c r="N230" s="87">
        <f t="shared" si="12"/>
        <v>0</v>
      </c>
      <c r="O230" s="87">
        <f t="shared" si="13"/>
        <v>0</v>
      </c>
      <c r="P230" s="87" t="b">
        <f t="shared" si="14"/>
        <v>0</v>
      </c>
      <c r="Q230" s="87" t="b">
        <f>(Requirements!K232="Normative")</f>
        <v>0</v>
      </c>
      <c r="R230" s="87" t="b">
        <f>AND(Requirements!L232&lt;&gt;"Non-testable",Requirements!L232&lt;&gt;"Deleted",Requirements!L232&lt;&gt;"")</f>
        <v>1</v>
      </c>
      <c r="S230" s="87" t="b">
        <f>(VLOOKUP(Requirements!I232,Scope[[Role]:[Description]],2,FALSE)="In")</f>
        <v>1</v>
      </c>
      <c r="T230" s="87">
        <f t="shared" si="15"/>
        <v>0</v>
      </c>
    </row>
    <row r="231" spans="1:20">
      <c r="A231" s="44" t="str">
        <f>Requirements!A233</f>
        <v>MS-SMB_R9155</v>
      </c>
      <c r="B231" s="87"/>
      <c r="C231" s="87"/>
      <c r="D231" s="87"/>
      <c r="E231" s="87"/>
      <c r="F231" s="87"/>
      <c r="G231" s="87"/>
      <c r="H231" s="87"/>
      <c r="I231" s="87"/>
      <c r="J231" s="87"/>
      <c r="K231" s="87"/>
      <c r="L231" s="87"/>
      <c r="M231" s="87"/>
      <c r="N231" s="87">
        <f t="shared" si="12"/>
        <v>0</v>
      </c>
      <c r="O231" s="87">
        <f t="shared" si="13"/>
        <v>0</v>
      </c>
      <c r="P231" s="87" t="b">
        <f t="shared" si="14"/>
        <v>0</v>
      </c>
      <c r="Q231" s="87" t="b">
        <f>(Requirements!K233="Normative")</f>
        <v>0</v>
      </c>
      <c r="R231" s="87" t="b">
        <f>AND(Requirements!L233&lt;&gt;"Non-testable",Requirements!L233&lt;&gt;"Deleted",Requirements!L233&lt;&gt;"")</f>
        <v>1</v>
      </c>
      <c r="S231" s="87" t="b">
        <f>(VLOOKUP(Requirements!I233,Scope[[Role]:[Description]],2,FALSE)="In")</f>
        <v>1</v>
      </c>
      <c r="T231" s="87">
        <f t="shared" si="15"/>
        <v>0</v>
      </c>
    </row>
    <row r="232" spans="1:20">
      <c r="A232" s="44" t="str">
        <f>Requirements!A234</f>
        <v>MS-SMB_R9156</v>
      </c>
      <c r="B232" s="87"/>
      <c r="C232" s="87"/>
      <c r="D232" s="87"/>
      <c r="E232" s="87"/>
      <c r="F232" s="87"/>
      <c r="G232" s="87"/>
      <c r="H232" s="87"/>
      <c r="I232" s="87"/>
      <c r="J232" s="87"/>
      <c r="K232" s="87"/>
      <c r="L232" s="87"/>
      <c r="M232" s="87"/>
      <c r="N232" s="87">
        <f t="shared" si="12"/>
        <v>0</v>
      </c>
      <c r="O232" s="87">
        <f t="shared" si="13"/>
        <v>0</v>
      </c>
      <c r="P232" s="87" t="b">
        <f t="shared" si="14"/>
        <v>0</v>
      </c>
      <c r="Q232" s="87" t="b">
        <f>(Requirements!K234="Normative")</f>
        <v>0</v>
      </c>
      <c r="R232" s="87" t="b">
        <f>AND(Requirements!L234&lt;&gt;"Non-testable",Requirements!L234&lt;&gt;"Deleted",Requirements!L234&lt;&gt;"")</f>
        <v>1</v>
      </c>
      <c r="S232" s="87" t="b">
        <f>(VLOOKUP(Requirements!I234,Scope[[Role]:[Description]],2,FALSE)="In")</f>
        <v>1</v>
      </c>
      <c r="T232" s="87">
        <f t="shared" si="15"/>
        <v>0</v>
      </c>
    </row>
    <row r="233" spans="1:20">
      <c r="A233" s="44" t="str">
        <f>Requirements!A235</f>
        <v>MS-SMB_R9157</v>
      </c>
      <c r="B233" s="87"/>
      <c r="C233" s="87"/>
      <c r="D233" s="87"/>
      <c r="E233" s="87"/>
      <c r="F233" s="87"/>
      <c r="G233" s="87"/>
      <c r="H233" s="87"/>
      <c r="I233" s="87"/>
      <c r="J233" s="87"/>
      <c r="K233" s="87"/>
      <c r="L233" s="87"/>
      <c r="M233" s="87"/>
      <c r="N233" s="87">
        <f t="shared" si="12"/>
        <v>0</v>
      </c>
      <c r="O233" s="87">
        <f t="shared" si="13"/>
        <v>0</v>
      </c>
      <c r="P233" s="87" t="b">
        <f t="shared" si="14"/>
        <v>0</v>
      </c>
      <c r="Q233" s="87" t="b">
        <f>(Requirements!K235="Normative")</f>
        <v>0</v>
      </c>
      <c r="R233" s="87" t="b">
        <f>AND(Requirements!L235&lt;&gt;"Non-testable",Requirements!L235&lt;&gt;"Deleted",Requirements!L235&lt;&gt;"")</f>
        <v>1</v>
      </c>
      <c r="S233" s="87" t="b">
        <f>(VLOOKUP(Requirements!I235,Scope[[Role]:[Description]],2,FALSE)="In")</f>
        <v>1</v>
      </c>
      <c r="T233" s="87">
        <f t="shared" si="15"/>
        <v>0</v>
      </c>
    </row>
    <row r="234" spans="1:20">
      <c r="A234" s="44" t="str">
        <f>Requirements!A236</f>
        <v>MS-SMB_R9158</v>
      </c>
      <c r="B234" s="87"/>
      <c r="C234" s="87"/>
      <c r="D234" s="87"/>
      <c r="E234" s="87"/>
      <c r="F234" s="87"/>
      <c r="G234" s="87"/>
      <c r="H234" s="87"/>
      <c r="I234" s="87"/>
      <c r="J234" s="87"/>
      <c r="K234" s="87"/>
      <c r="L234" s="87"/>
      <c r="M234" s="87"/>
      <c r="N234" s="87">
        <f t="shared" si="12"/>
        <v>0</v>
      </c>
      <c r="O234" s="87">
        <f t="shared" si="13"/>
        <v>0</v>
      </c>
      <c r="P234" s="87" t="b">
        <f t="shared" si="14"/>
        <v>0</v>
      </c>
      <c r="Q234" s="87" t="b">
        <f>(Requirements!K236="Normative")</f>
        <v>0</v>
      </c>
      <c r="R234" s="87" t="b">
        <f>AND(Requirements!L236&lt;&gt;"Non-testable",Requirements!L236&lt;&gt;"Deleted",Requirements!L236&lt;&gt;"")</f>
        <v>1</v>
      </c>
      <c r="S234" s="87" t="b">
        <f>(VLOOKUP(Requirements!I236,Scope[[Role]:[Description]],2,FALSE)="In")</f>
        <v>1</v>
      </c>
      <c r="T234" s="87">
        <f t="shared" si="15"/>
        <v>0</v>
      </c>
    </row>
    <row r="235" spans="1:20">
      <c r="A235" s="44" t="str">
        <f>Requirements!A237</f>
        <v>MS-SMB_R9159</v>
      </c>
      <c r="B235" s="87"/>
      <c r="C235" s="87"/>
      <c r="D235" s="87"/>
      <c r="E235" s="87"/>
      <c r="F235" s="87"/>
      <c r="G235" s="87"/>
      <c r="H235" s="87"/>
      <c r="I235" s="87"/>
      <c r="J235" s="87"/>
      <c r="K235" s="87"/>
      <c r="L235" s="87"/>
      <c r="M235" s="87"/>
      <c r="N235" s="87">
        <f t="shared" si="12"/>
        <v>0</v>
      </c>
      <c r="O235" s="87">
        <f t="shared" si="13"/>
        <v>0</v>
      </c>
      <c r="P235" s="87" t="b">
        <f t="shared" si="14"/>
        <v>0</v>
      </c>
      <c r="Q235" s="87" t="b">
        <f>(Requirements!K237="Normative")</f>
        <v>0</v>
      </c>
      <c r="R235" s="87" t="b">
        <f>AND(Requirements!L237&lt;&gt;"Non-testable",Requirements!L237&lt;&gt;"Deleted",Requirements!L237&lt;&gt;"")</f>
        <v>1</v>
      </c>
      <c r="S235" s="87" t="b">
        <f>(VLOOKUP(Requirements!I237,Scope[[Role]:[Description]],2,FALSE)="In")</f>
        <v>1</v>
      </c>
      <c r="T235" s="87">
        <f t="shared" si="15"/>
        <v>0</v>
      </c>
    </row>
    <row r="236" spans="1:20">
      <c r="A236" s="44" t="str">
        <f>Requirements!A238</f>
        <v>MS-SMB_R9160</v>
      </c>
      <c r="B236" s="87"/>
      <c r="C236" s="87"/>
      <c r="D236" s="87"/>
      <c r="E236" s="87"/>
      <c r="F236" s="87"/>
      <c r="G236" s="87"/>
      <c r="H236" s="87"/>
      <c r="I236" s="87"/>
      <c r="J236" s="87"/>
      <c r="K236" s="87"/>
      <c r="L236" s="87"/>
      <c r="M236" s="87"/>
      <c r="N236" s="87">
        <f t="shared" si="12"/>
        <v>0</v>
      </c>
      <c r="O236" s="87">
        <f t="shared" si="13"/>
        <v>0</v>
      </c>
      <c r="P236" s="87" t="b">
        <f t="shared" si="14"/>
        <v>0</v>
      </c>
      <c r="Q236" s="87" t="b">
        <f>(Requirements!K238="Normative")</f>
        <v>0</v>
      </c>
      <c r="R236" s="87" t="b">
        <f>AND(Requirements!L238&lt;&gt;"Non-testable",Requirements!L238&lt;&gt;"Deleted",Requirements!L238&lt;&gt;"")</f>
        <v>1</v>
      </c>
      <c r="S236" s="87" t="b">
        <f>(VLOOKUP(Requirements!I238,Scope[[Role]:[Description]],2,FALSE)="In")</f>
        <v>1</v>
      </c>
      <c r="T236" s="87">
        <f t="shared" si="15"/>
        <v>0</v>
      </c>
    </row>
    <row r="237" spans="1:20">
      <c r="A237" s="44" t="str">
        <f>Requirements!A239</f>
        <v>MS-SMB_R9161</v>
      </c>
      <c r="B237" s="87"/>
      <c r="C237" s="87"/>
      <c r="D237" s="87"/>
      <c r="E237" s="87"/>
      <c r="F237" s="87"/>
      <c r="G237" s="87"/>
      <c r="H237" s="87"/>
      <c r="I237" s="87"/>
      <c r="J237" s="87"/>
      <c r="K237" s="87"/>
      <c r="L237" s="87"/>
      <c r="M237" s="87"/>
      <c r="N237" s="87">
        <f t="shared" si="12"/>
        <v>0</v>
      </c>
      <c r="O237" s="87">
        <f t="shared" si="13"/>
        <v>0</v>
      </c>
      <c r="P237" s="87" t="b">
        <f t="shared" si="14"/>
        <v>0</v>
      </c>
      <c r="Q237" s="87" t="b">
        <f>(Requirements!K239="Normative")</f>
        <v>0</v>
      </c>
      <c r="R237" s="87" t="b">
        <f>AND(Requirements!L239&lt;&gt;"Non-testable",Requirements!L239&lt;&gt;"Deleted",Requirements!L239&lt;&gt;"")</f>
        <v>1</v>
      </c>
      <c r="S237" s="87" t="b">
        <f>(VLOOKUP(Requirements!I239,Scope[[Role]:[Description]],2,FALSE)="In")</f>
        <v>1</v>
      </c>
      <c r="T237" s="87">
        <f t="shared" si="15"/>
        <v>0</v>
      </c>
    </row>
    <row r="238" spans="1:20">
      <c r="A238" s="44" t="str">
        <f>Requirements!A240</f>
        <v>MS-SMB_R9162</v>
      </c>
      <c r="B238" s="87"/>
      <c r="C238" s="87"/>
      <c r="D238" s="87"/>
      <c r="E238" s="87"/>
      <c r="F238" s="87"/>
      <c r="G238" s="87"/>
      <c r="H238" s="87"/>
      <c r="I238" s="87"/>
      <c r="J238" s="87"/>
      <c r="K238" s="87"/>
      <c r="L238" s="87"/>
      <c r="M238" s="87"/>
      <c r="N238" s="87">
        <f t="shared" si="12"/>
        <v>0</v>
      </c>
      <c r="O238" s="87">
        <f t="shared" si="13"/>
        <v>0</v>
      </c>
      <c r="P238" s="87" t="b">
        <f t="shared" si="14"/>
        <v>0</v>
      </c>
      <c r="Q238" s="87" t="b">
        <f>(Requirements!K240="Normative")</f>
        <v>0</v>
      </c>
      <c r="R238" s="87" t="b">
        <f>AND(Requirements!L240&lt;&gt;"Non-testable",Requirements!L240&lt;&gt;"Deleted",Requirements!L240&lt;&gt;"")</f>
        <v>1</v>
      </c>
      <c r="S238" s="87" t="b">
        <f>(VLOOKUP(Requirements!I240,Scope[[Role]:[Description]],2,FALSE)="In")</f>
        <v>1</v>
      </c>
      <c r="T238" s="87">
        <f t="shared" si="15"/>
        <v>0</v>
      </c>
    </row>
    <row r="239" spans="1:20">
      <c r="A239" s="44" t="str">
        <f>Requirements!A241</f>
        <v>MS-SMB_R9163</v>
      </c>
      <c r="B239" s="87"/>
      <c r="C239" s="87"/>
      <c r="D239" s="87"/>
      <c r="E239" s="87"/>
      <c r="F239" s="87"/>
      <c r="G239" s="87"/>
      <c r="H239" s="87"/>
      <c r="I239" s="87"/>
      <c r="J239" s="87"/>
      <c r="K239" s="87"/>
      <c r="L239" s="87"/>
      <c r="M239" s="87"/>
      <c r="N239" s="87">
        <f t="shared" si="12"/>
        <v>0</v>
      </c>
      <c r="O239" s="87">
        <f t="shared" si="13"/>
        <v>0</v>
      </c>
      <c r="P239" s="87" t="b">
        <f t="shared" si="14"/>
        <v>0</v>
      </c>
      <c r="Q239" s="87" t="b">
        <f>(Requirements!K241="Normative")</f>
        <v>0</v>
      </c>
      <c r="R239" s="87" t="b">
        <f>AND(Requirements!L241&lt;&gt;"Non-testable",Requirements!L241&lt;&gt;"Deleted",Requirements!L241&lt;&gt;"")</f>
        <v>1</v>
      </c>
      <c r="S239" s="87" t="b">
        <f>(VLOOKUP(Requirements!I241,Scope[[Role]:[Description]],2,FALSE)="In")</f>
        <v>1</v>
      </c>
      <c r="T239" s="87">
        <f t="shared" si="15"/>
        <v>0</v>
      </c>
    </row>
    <row r="240" spans="1:20">
      <c r="A240" s="44" t="str">
        <f>Requirements!A242</f>
        <v>MS-SMB_R9164</v>
      </c>
      <c r="B240" s="87"/>
      <c r="C240" s="87"/>
      <c r="D240" s="87"/>
      <c r="E240" s="87"/>
      <c r="F240" s="87"/>
      <c r="G240" s="87"/>
      <c r="H240" s="87"/>
      <c r="I240" s="87"/>
      <c r="J240" s="87"/>
      <c r="K240" s="87"/>
      <c r="L240" s="87"/>
      <c r="M240" s="87"/>
      <c r="N240" s="87">
        <f t="shared" si="12"/>
        <v>0</v>
      </c>
      <c r="O240" s="87">
        <f t="shared" si="13"/>
        <v>0</v>
      </c>
      <c r="P240" s="87" t="b">
        <f t="shared" si="14"/>
        <v>0</v>
      </c>
      <c r="Q240" s="87" t="b">
        <f>(Requirements!K242="Normative")</f>
        <v>0</v>
      </c>
      <c r="R240" s="87" t="b">
        <f>AND(Requirements!L242&lt;&gt;"Non-testable",Requirements!L242&lt;&gt;"Deleted",Requirements!L242&lt;&gt;"")</f>
        <v>1</v>
      </c>
      <c r="S240" s="87" t="b">
        <f>(VLOOKUP(Requirements!I242,Scope[[Role]:[Description]],2,FALSE)="In")</f>
        <v>1</v>
      </c>
      <c r="T240" s="87">
        <f t="shared" si="15"/>
        <v>0</v>
      </c>
    </row>
    <row r="241" spans="1:20">
      <c r="A241" s="44" t="str">
        <f>Requirements!A243</f>
        <v>MS-SMB_R9165</v>
      </c>
      <c r="B241" s="87"/>
      <c r="C241" s="87"/>
      <c r="D241" s="87"/>
      <c r="E241" s="87"/>
      <c r="F241" s="87"/>
      <c r="G241" s="87"/>
      <c r="H241" s="87"/>
      <c r="I241" s="87"/>
      <c r="J241" s="87"/>
      <c r="K241" s="87"/>
      <c r="L241" s="87"/>
      <c r="M241" s="87"/>
      <c r="N241" s="87">
        <f t="shared" si="12"/>
        <v>0</v>
      </c>
      <c r="O241" s="87">
        <f t="shared" si="13"/>
        <v>0</v>
      </c>
      <c r="P241" s="87" t="b">
        <f t="shared" si="14"/>
        <v>0</v>
      </c>
      <c r="Q241" s="87" t="b">
        <f>(Requirements!K243="Normative")</f>
        <v>0</v>
      </c>
      <c r="R241" s="87" t="b">
        <f>AND(Requirements!L243&lt;&gt;"Non-testable",Requirements!L243&lt;&gt;"Deleted",Requirements!L243&lt;&gt;"")</f>
        <v>1</v>
      </c>
      <c r="S241" s="87" t="b">
        <f>(VLOOKUP(Requirements!I243,Scope[[Role]:[Description]],2,FALSE)="In")</f>
        <v>1</v>
      </c>
      <c r="T241" s="87">
        <f t="shared" si="15"/>
        <v>0</v>
      </c>
    </row>
    <row r="242" spans="1:20">
      <c r="A242" s="44" t="str">
        <f>Requirements!A244</f>
        <v>MS-SMB_R9166</v>
      </c>
      <c r="B242" s="87"/>
      <c r="C242" s="87"/>
      <c r="D242" s="87"/>
      <c r="E242" s="87"/>
      <c r="F242" s="87"/>
      <c r="G242" s="87"/>
      <c r="H242" s="87"/>
      <c r="I242" s="87"/>
      <c r="J242" s="87"/>
      <c r="K242" s="87"/>
      <c r="L242" s="87"/>
      <c r="M242" s="87"/>
      <c r="N242" s="87">
        <f t="shared" si="12"/>
        <v>0</v>
      </c>
      <c r="O242" s="87">
        <f t="shared" si="13"/>
        <v>0</v>
      </c>
      <c r="P242" s="87" t="b">
        <f t="shared" si="14"/>
        <v>0</v>
      </c>
      <c r="Q242" s="87" t="b">
        <f>(Requirements!K244="Normative")</f>
        <v>0</v>
      </c>
      <c r="R242" s="87" t="b">
        <f>AND(Requirements!L244&lt;&gt;"Non-testable",Requirements!L244&lt;&gt;"Deleted",Requirements!L244&lt;&gt;"")</f>
        <v>1</v>
      </c>
      <c r="S242" s="87" t="b">
        <f>(VLOOKUP(Requirements!I244,Scope[[Role]:[Description]],2,FALSE)="In")</f>
        <v>1</v>
      </c>
      <c r="T242" s="87">
        <f t="shared" si="15"/>
        <v>0</v>
      </c>
    </row>
    <row r="243" spans="1:20">
      <c r="A243" s="44" t="str">
        <f>Requirements!A245</f>
        <v>MS-SMB_R9167</v>
      </c>
      <c r="B243" s="87"/>
      <c r="C243" s="87"/>
      <c r="D243" s="87"/>
      <c r="E243" s="87"/>
      <c r="F243" s="87"/>
      <c r="G243" s="87"/>
      <c r="H243" s="87"/>
      <c r="I243" s="87"/>
      <c r="J243" s="87"/>
      <c r="K243" s="87"/>
      <c r="L243" s="87"/>
      <c r="M243" s="87"/>
      <c r="N243" s="87">
        <f t="shared" si="12"/>
        <v>0</v>
      </c>
      <c r="O243" s="87">
        <f t="shared" si="13"/>
        <v>0</v>
      </c>
      <c r="P243" s="87" t="b">
        <f t="shared" si="14"/>
        <v>0</v>
      </c>
      <c r="Q243" s="87" t="b">
        <f>(Requirements!K245="Normative")</f>
        <v>0</v>
      </c>
      <c r="R243" s="87" t="b">
        <f>AND(Requirements!L245&lt;&gt;"Non-testable",Requirements!L245&lt;&gt;"Deleted",Requirements!L245&lt;&gt;"")</f>
        <v>1</v>
      </c>
      <c r="S243" s="87" t="b">
        <f>(VLOOKUP(Requirements!I245,Scope[[Role]:[Description]],2,FALSE)="In")</f>
        <v>1</v>
      </c>
      <c r="T243" s="87">
        <f t="shared" si="15"/>
        <v>0</v>
      </c>
    </row>
    <row r="244" spans="1:20">
      <c r="A244" s="44" t="str">
        <f>Requirements!A246</f>
        <v>MS-SMB_R9168</v>
      </c>
      <c r="B244" s="87"/>
      <c r="C244" s="87"/>
      <c r="D244" s="87"/>
      <c r="E244" s="87"/>
      <c r="F244" s="87"/>
      <c r="G244" s="87"/>
      <c r="H244" s="87"/>
      <c r="I244" s="87"/>
      <c r="J244" s="87"/>
      <c r="K244" s="87"/>
      <c r="L244" s="87"/>
      <c r="M244" s="87"/>
      <c r="N244" s="87">
        <f t="shared" si="12"/>
        <v>0</v>
      </c>
      <c r="O244" s="87">
        <f t="shared" si="13"/>
        <v>0</v>
      </c>
      <c r="P244" s="87" t="b">
        <f t="shared" si="14"/>
        <v>0</v>
      </c>
      <c r="Q244" s="87" t="b">
        <f>(Requirements!K246="Normative")</f>
        <v>0</v>
      </c>
      <c r="R244" s="87" t="b">
        <f>AND(Requirements!L246&lt;&gt;"Non-testable",Requirements!L246&lt;&gt;"Deleted",Requirements!L246&lt;&gt;"")</f>
        <v>1</v>
      </c>
      <c r="S244" s="87" t="b">
        <f>(VLOOKUP(Requirements!I246,Scope[[Role]:[Description]],2,FALSE)="In")</f>
        <v>1</v>
      </c>
      <c r="T244" s="87">
        <f t="shared" si="15"/>
        <v>0</v>
      </c>
    </row>
    <row r="245" spans="1:20">
      <c r="A245" s="44" t="str">
        <f>Requirements!A247</f>
        <v>MS-SMB_R9169</v>
      </c>
      <c r="B245" s="87"/>
      <c r="C245" s="87"/>
      <c r="D245" s="87"/>
      <c r="E245" s="87"/>
      <c r="F245" s="87"/>
      <c r="G245" s="87"/>
      <c r="H245" s="87"/>
      <c r="I245" s="87"/>
      <c r="J245" s="87"/>
      <c r="K245" s="87"/>
      <c r="L245" s="87"/>
      <c r="M245" s="87"/>
      <c r="N245" s="87">
        <f t="shared" si="12"/>
        <v>0</v>
      </c>
      <c r="O245" s="87">
        <f t="shared" si="13"/>
        <v>0</v>
      </c>
      <c r="P245" s="87" t="b">
        <f t="shared" si="14"/>
        <v>0</v>
      </c>
      <c r="Q245" s="87" t="b">
        <f>(Requirements!K247="Normative")</f>
        <v>0</v>
      </c>
      <c r="R245" s="87" t="b">
        <f>AND(Requirements!L247&lt;&gt;"Non-testable",Requirements!L247&lt;&gt;"Deleted",Requirements!L247&lt;&gt;"")</f>
        <v>1</v>
      </c>
      <c r="S245" s="87" t="b">
        <f>(VLOOKUP(Requirements!I247,Scope[[Role]:[Description]],2,FALSE)="In")</f>
        <v>1</v>
      </c>
      <c r="T245" s="87">
        <f t="shared" si="15"/>
        <v>0</v>
      </c>
    </row>
    <row r="246" spans="1:20">
      <c r="A246" s="44" t="str">
        <f>Requirements!A248</f>
        <v>MS-SMB_R9170</v>
      </c>
      <c r="B246" s="87"/>
      <c r="C246" s="87"/>
      <c r="D246" s="87"/>
      <c r="E246" s="87"/>
      <c r="F246" s="87"/>
      <c r="G246" s="87"/>
      <c r="H246" s="87"/>
      <c r="I246" s="87"/>
      <c r="J246" s="87"/>
      <c r="K246" s="87"/>
      <c r="L246" s="87"/>
      <c r="M246" s="87"/>
      <c r="N246" s="87">
        <f t="shared" si="12"/>
        <v>0</v>
      </c>
      <c r="O246" s="87">
        <f t="shared" si="13"/>
        <v>0</v>
      </c>
      <c r="P246" s="87" t="b">
        <f t="shared" si="14"/>
        <v>0</v>
      </c>
      <c r="Q246" s="87" t="b">
        <f>(Requirements!K248="Normative")</f>
        <v>0</v>
      </c>
      <c r="R246" s="87" t="b">
        <f>AND(Requirements!L248&lt;&gt;"Non-testable",Requirements!L248&lt;&gt;"Deleted",Requirements!L248&lt;&gt;"")</f>
        <v>1</v>
      </c>
      <c r="S246" s="87" t="b">
        <f>(VLOOKUP(Requirements!I248,Scope[[Role]:[Description]],2,FALSE)="In")</f>
        <v>1</v>
      </c>
      <c r="T246" s="87">
        <f t="shared" si="15"/>
        <v>0</v>
      </c>
    </row>
    <row r="247" spans="1:20">
      <c r="A247" s="44" t="str">
        <f>Requirements!A249</f>
        <v>MS-SMB_R9171</v>
      </c>
      <c r="B247" s="87"/>
      <c r="C247" s="87"/>
      <c r="D247" s="87"/>
      <c r="E247" s="87"/>
      <c r="F247" s="87"/>
      <c r="G247" s="87"/>
      <c r="H247" s="87"/>
      <c r="I247" s="87"/>
      <c r="J247" s="87"/>
      <c r="K247" s="87"/>
      <c r="L247" s="87"/>
      <c r="M247" s="87"/>
      <c r="N247" s="87">
        <f t="shared" si="12"/>
        <v>0</v>
      </c>
      <c r="O247" s="87">
        <f t="shared" si="13"/>
        <v>0</v>
      </c>
      <c r="P247" s="87" t="b">
        <f t="shared" si="14"/>
        <v>0</v>
      </c>
      <c r="Q247" s="87" t="b">
        <f>(Requirements!K249="Normative")</f>
        <v>0</v>
      </c>
      <c r="R247" s="87" t="b">
        <f>AND(Requirements!L249&lt;&gt;"Non-testable",Requirements!L249&lt;&gt;"Deleted",Requirements!L249&lt;&gt;"")</f>
        <v>1</v>
      </c>
      <c r="S247" s="87" t="b">
        <f>(VLOOKUP(Requirements!I249,Scope[[Role]:[Description]],2,FALSE)="In")</f>
        <v>1</v>
      </c>
      <c r="T247" s="87">
        <f t="shared" si="15"/>
        <v>0</v>
      </c>
    </row>
    <row r="248" spans="1:20">
      <c r="A248" s="44" t="str">
        <f>Requirements!A250</f>
        <v>MS-SMB_R9172</v>
      </c>
      <c r="B248" s="87"/>
      <c r="C248" s="87"/>
      <c r="D248" s="87"/>
      <c r="E248" s="87"/>
      <c r="F248" s="87"/>
      <c r="G248" s="87"/>
      <c r="H248" s="87"/>
      <c r="I248" s="87"/>
      <c r="J248" s="87"/>
      <c r="K248" s="87"/>
      <c r="L248" s="87"/>
      <c r="M248" s="87"/>
      <c r="N248" s="87">
        <f t="shared" si="12"/>
        <v>0</v>
      </c>
      <c r="O248" s="87">
        <f t="shared" si="13"/>
        <v>0</v>
      </c>
      <c r="P248" s="87" t="b">
        <f t="shared" si="14"/>
        <v>0</v>
      </c>
      <c r="Q248" s="87" t="b">
        <f>(Requirements!K250="Normative")</f>
        <v>0</v>
      </c>
      <c r="R248" s="87" t="b">
        <f>AND(Requirements!L250&lt;&gt;"Non-testable",Requirements!L250&lt;&gt;"Deleted",Requirements!L250&lt;&gt;"")</f>
        <v>1</v>
      </c>
      <c r="S248" s="87" t="b">
        <f>(VLOOKUP(Requirements!I250,Scope[[Role]:[Description]],2,FALSE)="In")</f>
        <v>1</v>
      </c>
      <c r="T248" s="87">
        <f t="shared" si="15"/>
        <v>0</v>
      </c>
    </row>
    <row r="249" spans="1:20">
      <c r="A249" s="44" t="str">
        <f>Requirements!A251</f>
        <v>MS-SMB_R9173</v>
      </c>
      <c r="B249" s="87"/>
      <c r="C249" s="87"/>
      <c r="D249" s="87"/>
      <c r="E249" s="87"/>
      <c r="F249" s="87"/>
      <c r="G249" s="87"/>
      <c r="H249" s="87"/>
      <c r="I249" s="87"/>
      <c r="J249" s="87"/>
      <c r="K249" s="87"/>
      <c r="L249" s="87"/>
      <c r="M249" s="87"/>
      <c r="N249" s="87">
        <f t="shared" si="12"/>
        <v>0</v>
      </c>
      <c r="O249" s="87">
        <f t="shared" si="13"/>
        <v>0</v>
      </c>
      <c r="P249" s="87" t="b">
        <f t="shared" si="14"/>
        <v>0</v>
      </c>
      <c r="Q249" s="87" t="b">
        <f>(Requirements!K251="Normative")</f>
        <v>0</v>
      </c>
      <c r="R249" s="87" t="b">
        <f>AND(Requirements!L251&lt;&gt;"Non-testable",Requirements!L251&lt;&gt;"Deleted",Requirements!L251&lt;&gt;"")</f>
        <v>1</v>
      </c>
      <c r="S249" s="87" t="b">
        <f>(VLOOKUP(Requirements!I251,Scope[[Role]:[Description]],2,FALSE)="In")</f>
        <v>1</v>
      </c>
      <c r="T249" s="87">
        <f t="shared" si="15"/>
        <v>0</v>
      </c>
    </row>
    <row r="250" spans="1:20">
      <c r="A250" s="44" t="str">
        <f>Requirements!A252</f>
        <v>MS-SMB_R9174</v>
      </c>
      <c r="B250" s="87"/>
      <c r="C250" s="87"/>
      <c r="D250" s="87"/>
      <c r="E250" s="87"/>
      <c r="F250" s="87"/>
      <c r="G250" s="87"/>
      <c r="H250" s="87"/>
      <c r="I250" s="87"/>
      <c r="J250" s="87"/>
      <c r="K250" s="87"/>
      <c r="L250" s="87"/>
      <c r="M250" s="87"/>
      <c r="N250" s="87">
        <f t="shared" si="12"/>
        <v>0</v>
      </c>
      <c r="O250" s="87">
        <f t="shared" si="13"/>
        <v>0</v>
      </c>
      <c r="P250" s="87" t="b">
        <f t="shared" si="14"/>
        <v>0</v>
      </c>
      <c r="Q250" s="87" t="b">
        <f>(Requirements!K252="Normative")</f>
        <v>0</v>
      </c>
      <c r="R250" s="87" t="b">
        <f>AND(Requirements!L252&lt;&gt;"Non-testable",Requirements!L252&lt;&gt;"Deleted",Requirements!L252&lt;&gt;"")</f>
        <v>1</v>
      </c>
      <c r="S250" s="87" t="b">
        <f>(VLOOKUP(Requirements!I252,Scope[[Role]:[Description]],2,FALSE)="In")</f>
        <v>1</v>
      </c>
      <c r="T250" s="87">
        <f t="shared" si="15"/>
        <v>0</v>
      </c>
    </row>
    <row r="251" spans="1:20">
      <c r="A251" s="44" t="str">
        <f>Requirements!A253</f>
        <v>MS-SMB_R9175</v>
      </c>
      <c r="B251" s="87"/>
      <c r="C251" s="87"/>
      <c r="D251" s="87"/>
      <c r="E251" s="87"/>
      <c r="F251" s="87"/>
      <c r="G251" s="87"/>
      <c r="H251" s="87"/>
      <c r="I251" s="87"/>
      <c r="J251" s="87"/>
      <c r="K251" s="87"/>
      <c r="L251" s="87"/>
      <c r="M251" s="87"/>
      <c r="N251" s="87">
        <f t="shared" si="12"/>
        <v>0</v>
      </c>
      <c r="O251" s="87">
        <f t="shared" si="13"/>
        <v>0</v>
      </c>
      <c r="P251" s="87" t="b">
        <f t="shared" si="14"/>
        <v>0</v>
      </c>
      <c r="Q251" s="87" t="b">
        <f>(Requirements!K253="Normative")</f>
        <v>0</v>
      </c>
      <c r="R251" s="87" t="b">
        <f>AND(Requirements!L253&lt;&gt;"Non-testable",Requirements!L253&lt;&gt;"Deleted",Requirements!L253&lt;&gt;"")</f>
        <v>1</v>
      </c>
      <c r="S251" s="87" t="b">
        <f>(VLOOKUP(Requirements!I253,Scope[[Role]:[Description]],2,FALSE)="In")</f>
        <v>1</v>
      </c>
      <c r="T251" s="87">
        <f t="shared" si="15"/>
        <v>0</v>
      </c>
    </row>
    <row r="252" spans="1:20">
      <c r="A252" s="44" t="str">
        <f>Requirements!A254</f>
        <v>MS-SMB_R9176</v>
      </c>
      <c r="B252" s="87"/>
      <c r="C252" s="87"/>
      <c r="D252" s="87"/>
      <c r="E252" s="87"/>
      <c r="F252" s="87"/>
      <c r="G252" s="87"/>
      <c r="H252" s="87"/>
      <c r="I252" s="87"/>
      <c r="J252" s="87"/>
      <c r="K252" s="87"/>
      <c r="L252" s="87"/>
      <c r="M252" s="87"/>
      <c r="N252" s="87">
        <f t="shared" si="12"/>
        <v>0</v>
      </c>
      <c r="O252" s="87">
        <f t="shared" si="13"/>
        <v>0</v>
      </c>
      <c r="P252" s="87" t="b">
        <f t="shared" si="14"/>
        <v>0</v>
      </c>
      <c r="Q252" s="87" t="b">
        <f>(Requirements!K254="Normative")</f>
        <v>0</v>
      </c>
      <c r="R252" s="87" t="b">
        <f>AND(Requirements!L254&lt;&gt;"Non-testable",Requirements!L254&lt;&gt;"Deleted",Requirements!L254&lt;&gt;"")</f>
        <v>1</v>
      </c>
      <c r="S252" s="87" t="b">
        <f>(VLOOKUP(Requirements!I254,Scope[[Role]:[Description]],2,FALSE)="In")</f>
        <v>1</v>
      </c>
      <c r="T252" s="87">
        <f t="shared" si="15"/>
        <v>0</v>
      </c>
    </row>
    <row r="253" spans="1:20">
      <c r="A253" s="44" t="str">
        <f>Requirements!A255</f>
        <v>MS-SMB_R9177</v>
      </c>
      <c r="B253" s="87"/>
      <c r="C253" s="87"/>
      <c r="D253" s="87"/>
      <c r="E253" s="87"/>
      <c r="F253" s="87"/>
      <c r="G253" s="87"/>
      <c r="H253" s="87"/>
      <c r="I253" s="87"/>
      <c r="J253" s="87"/>
      <c r="K253" s="87"/>
      <c r="L253" s="87"/>
      <c r="M253" s="87"/>
      <c r="N253" s="87">
        <f t="shared" si="12"/>
        <v>0</v>
      </c>
      <c r="O253" s="87">
        <f t="shared" si="13"/>
        <v>0</v>
      </c>
      <c r="P253" s="87" t="b">
        <f t="shared" si="14"/>
        <v>0</v>
      </c>
      <c r="Q253" s="87" t="b">
        <f>(Requirements!K255="Normative")</f>
        <v>0</v>
      </c>
      <c r="R253" s="87" t="b">
        <f>AND(Requirements!L255&lt;&gt;"Non-testable",Requirements!L255&lt;&gt;"Deleted",Requirements!L255&lt;&gt;"")</f>
        <v>1</v>
      </c>
      <c r="S253" s="87" t="b">
        <f>(VLOOKUP(Requirements!I255,Scope[[Role]:[Description]],2,FALSE)="In")</f>
        <v>1</v>
      </c>
      <c r="T253" s="87">
        <f t="shared" si="15"/>
        <v>0</v>
      </c>
    </row>
    <row r="254" spans="1:20">
      <c r="A254" s="85" t="str">
        <f>Requirements!A256</f>
        <v>MS-SMB_R9178</v>
      </c>
      <c r="B254" s="87"/>
      <c r="C254" s="87"/>
      <c r="D254" s="87"/>
      <c r="E254" s="87"/>
      <c r="F254" s="87"/>
      <c r="G254" s="87"/>
      <c r="H254" s="87"/>
      <c r="I254" s="87"/>
      <c r="J254" s="87"/>
      <c r="K254" s="87"/>
      <c r="L254" s="87"/>
      <c r="M254" s="87"/>
      <c r="N254" s="87">
        <f t="shared" si="12"/>
        <v>0</v>
      </c>
      <c r="O254" s="61">
        <f t="shared" si="13"/>
        <v>0</v>
      </c>
      <c r="P254" s="61" t="b">
        <f t="shared" si="14"/>
        <v>1</v>
      </c>
      <c r="Q254" s="87" t="b">
        <f>(Requirements!K256="Normative")</f>
        <v>1</v>
      </c>
      <c r="R254" s="87" t="b">
        <f>AND(Requirements!L256&lt;&gt;"Non-testable",Requirements!L256&lt;&gt;"Deleted",Requirements!L256&lt;&gt;"")</f>
        <v>1</v>
      </c>
      <c r="S254" s="87" t="b">
        <f>(VLOOKUP(Requirements!I256,Scope[[Role]:[Description]],2,FALSE)="In")</f>
        <v>1</v>
      </c>
      <c r="T254" s="87">
        <f t="shared" si="15"/>
        <v>0</v>
      </c>
    </row>
    <row r="255" spans="1:20">
      <c r="A255" s="44" t="str">
        <f>Requirements!A257</f>
        <v>MS-SMB_R9179</v>
      </c>
      <c r="B255" s="87"/>
      <c r="C255" s="87"/>
      <c r="D255" s="87"/>
      <c r="E255" s="87"/>
      <c r="F255" s="87"/>
      <c r="G255" s="87"/>
      <c r="H255" s="87"/>
      <c r="I255" s="87"/>
      <c r="J255" s="87"/>
      <c r="K255" s="87"/>
      <c r="L255" s="87"/>
      <c r="M255" s="87"/>
      <c r="N255" s="87">
        <f t="shared" si="12"/>
        <v>0</v>
      </c>
      <c r="O255" s="87">
        <f t="shared" si="13"/>
        <v>0</v>
      </c>
      <c r="P255" s="87" t="b">
        <f t="shared" si="14"/>
        <v>0</v>
      </c>
      <c r="Q255" s="87" t="b">
        <f>(Requirements!K257="Normative")</f>
        <v>0</v>
      </c>
      <c r="R255" s="87" t="b">
        <f>AND(Requirements!L257&lt;&gt;"Non-testable",Requirements!L257&lt;&gt;"Deleted",Requirements!L257&lt;&gt;"")</f>
        <v>1</v>
      </c>
      <c r="S255" s="87" t="b">
        <f>(VLOOKUP(Requirements!I257,Scope[[Role]:[Description]],2,FALSE)="In")</f>
        <v>1</v>
      </c>
      <c r="T255" s="87">
        <f t="shared" si="15"/>
        <v>0</v>
      </c>
    </row>
    <row r="256" spans="1:20">
      <c r="A256" s="44" t="str">
        <f>Requirements!A258</f>
        <v>MS-SMB_R9180</v>
      </c>
      <c r="B256" s="87"/>
      <c r="C256" s="87"/>
      <c r="D256" s="87"/>
      <c r="E256" s="87"/>
      <c r="F256" s="87"/>
      <c r="G256" s="87"/>
      <c r="H256" s="87"/>
      <c r="I256" s="87"/>
      <c r="J256" s="87"/>
      <c r="K256" s="87"/>
      <c r="L256" s="87"/>
      <c r="M256" s="87"/>
      <c r="N256" s="87">
        <f t="shared" si="12"/>
        <v>0</v>
      </c>
      <c r="O256" s="87">
        <f t="shared" si="13"/>
        <v>0</v>
      </c>
      <c r="P256" s="87" t="b">
        <f t="shared" si="14"/>
        <v>0</v>
      </c>
      <c r="Q256" s="87" t="b">
        <f>(Requirements!K258="Normative")</f>
        <v>0</v>
      </c>
      <c r="R256" s="87" t="b">
        <f>AND(Requirements!L258&lt;&gt;"Non-testable",Requirements!L258&lt;&gt;"Deleted",Requirements!L258&lt;&gt;"")</f>
        <v>1</v>
      </c>
      <c r="S256" s="87" t="b">
        <f>(VLOOKUP(Requirements!I258,Scope[[Role]:[Description]],2,FALSE)="In")</f>
        <v>1</v>
      </c>
      <c r="T256" s="87">
        <f t="shared" si="15"/>
        <v>0</v>
      </c>
    </row>
    <row r="257" spans="1:60">
      <c r="A257" s="85" t="str">
        <f>Requirements!A259</f>
        <v>MS-SMB_R9181</v>
      </c>
      <c r="B257" s="87"/>
      <c r="C257" s="87"/>
      <c r="D257" s="87"/>
      <c r="E257" s="87"/>
      <c r="F257" s="87"/>
      <c r="G257" s="87"/>
      <c r="H257" s="87"/>
      <c r="I257" s="87"/>
      <c r="J257" s="87"/>
      <c r="K257" s="87"/>
      <c r="L257" s="87"/>
      <c r="M257" s="87"/>
      <c r="N257" s="87">
        <f t="shared" si="12"/>
        <v>0</v>
      </c>
      <c r="O257" s="61">
        <f t="shared" si="13"/>
        <v>0</v>
      </c>
      <c r="P257" s="61" t="b">
        <f t="shared" si="14"/>
        <v>1</v>
      </c>
      <c r="Q257" s="87" t="b">
        <f>(Requirements!K259="Normative")</f>
        <v>1</v>
      </c>
      <c r="R257" s="87" t="b">
        <f>AND(Requirements!L259&lt;&gt;"Non-testable",Requirements!L259&lt;&gt;"Deleted",Requirements!L259&lt;&gt;"")</f>
        <v>1</v>
      </c>
      <c r="S257" s="87" t="b">
        <f>(VLOOKUP(Requirements!I259,Scope[[Role]:[Description]],2,FALSE)="In")</f>
        <v>1</v>
      </c>
      <c r="T257" s="87">
        <f t="shared" si="15"/>
        <v>0</v>
      </c>
    </row>
    <row r="258" spans="1:60">
      <c r="A258" s="44" t="str">
        <f>Requirements!A260</f>
        <v>MS-SMB_R9182</v>
      </c>
      <c r="B258" s="87"/>
      <c r="C258" s="87"/>
      <c r="D258" s="87"/>
      <c r="E258" s="87"/>
      <c r="F258" s="87"/>
      <c r="G258" s="87"/>
      <c r="H258" s="87"/>
      <c r="I258" s="87"/>
      <c r="J258" s="87"/>
      <c r="K258" s="87"/>
      <c r="L258" s="87"/>
      <c r="M258" s="87"/>
      <c r="N258" s="87">
        <f t="shared" si="12"/>
        <v>0</v>
      </c>
      <c r="O258" s="87">
        <f t="shared" si="13"/>
        <v>0</v>
      </c>
      <c r="P258" s="87" t="b">
        <f t="shared" si="14"/>
        <v>0</v>
      </c>
      <c r="Q258" s="87" t="b">
        <f>(Requirements!K260="Normative")</f>
        <v>1</v>
      </c>
      <c r="R258" s="87" t="b">
        <f>AND(Requirements!L260&lt;&gt;"Non-testable",Requirements!L260&lt;&gt;"Deleted",Requirements!L260&lt;&gt;"")</f>
        <v>0</v>
      </c>
      <c r="S258" s="87" t="b">
        <f>(VLOOKUP(Requirements!I260,Scope[[Role]:[Description]],2,FALSE)="In")</f>
        <v>1</v>
      </c>
      <c r="T258" s="87">
        <f t="shared" si="15"/>
        <v>0</v>
      </c>
    </row>
    <row r="259" spans="1:60">
      <c r="A259" s="84" t="str">
        <f>Requirements!A261</f>
        <v>MS-SMB_R9183</v>
      </c>
      <c r="B259" s="87">
        <v>1</v>
      </c>
      <c r="C259" s="87"/>
      <c r="D259" s="87"/>
      <c r="E259" s="87"/>
      <c r="F259" s="87"/>
      <c r="G259" s="87"/>
      <c r="H259" s="87"/>
      <c r="I259" s="87"/>
      <c r="J259" s="87"/>
      <c r="K259" s="87"/>
      <c r="L259" s="87"/>
      <c r="M259" s="87"/>
      <c r="N259" s="87">
        <f t="shared" si="12"/>
        <v>1</v>
      </c>
      <c r="O259" s="60">
        <f t="shared" si="13"/>
        <v>1</v>
      </c>
      <c r="P259" s="60" t="b">
        <f t="shared" si="14"/>
        <v>1</v>
      </c>
      <c r="Q259" s="87" t="b">
        <f>(Requirements!K261="Normative")</f>
        <v>1</v>
      </c>
      <c r="R259" s="87" t="b">
        <f>AND(Requirements!L261&lt;&gt;"Non-testable",Requirements!L261&lt;&gt;"Deleted",Requirements!L261&lt;&gt;"")</f>
        <v>1</v>
      </c>
      <c r="S259" s="87" t="b">
        <f>(VLOOKUP(Requirements!I261,Scope[[Role]:[Description]],2,FALSE)="In")</f>
        <v>1</v>
      </c>
      <c r="T259" s="87">
        <f t="shared" si="15"/>
        <v>1</v>
      </c>
    </row>
    <row r="260" spans="1:60">
      <c r="A260" s="44" t="str">
        <f>Requirements!A262</f>
        <v>MS-SMB_R5274</v>
      </c>
      <c r="B260" s="87"/>
      <c r="C260" s="87"/>
      <c r="D260" s="87"/>
      <c r="E260" s="87"/>
      <c r="F260" s="87"/>
      <c r="G260" s="87"/>
      <c r="H260" s="87"/>
      <c r="I260" s="87"/>
      <c r="J260" s="87"/>
      <c r="K260" s="87"/>
      <c r="L260" s="87"/>
      <c r="M260" s="87"/>
      <c r="N260" s="87">
        <f t="shared" si="12"/>
        <v>0</v>
      </c>
      <c r="O260" s="87">
        <f t="shared" si="13"/>
        <v>0</v>
      </c>
      <c r="P260" s="87" t="b">
        <f t="shared" si="14"/>
        <v>0</v>
      </c>
      <c r="Q260" s="87" t="b">
        <f>(Requirements!K262="Normative")</f>
        <v>0</v>
      </c>
      <c r="R260" s="87" t="b">
        <f>AND(Requirements!L262&lt;&gt;"Non-testable",Requirements!L262&lt;&gt;"Deleted",Requirements!L262&lt;&gt;"")</f>
        <v>1</v>
      </c>
      <c r="S260" s="87" t="b">
        <f>(VLOOKUP(Requirements!I262,Scope[[Role]:[Description]],2,FALSE)="In")</f>
        <v>1</v>
      </c>
      <c r="T260" s="87">
        <f t="shared" si="15"/>
        <v>0</v>
      </c>
    </row>
    <row r="261" spans="1:60">
      <c r="A261" s="44" t="str">
        <f>Requirements!A263</f>
        <v>MS-SMB_R5275</v>
      </c>
      <c r="B261" s="87"/>
      <c r="C261" s="87"/>
      <c r="D261" s="87"/>
      <c r="E261" s="87"/>
      <c r="F261" s="87"/>
      <c r="G261" s="87"/>
      <c r="H261" s="87"/>
      <c r="I261" s="87"/>
      <c r="J261" s="87"/>
      <c r="K261" s="87"/>
      <c r="L261" s="87"/>
      <c r="M261" s="87"/>
      <c r="N261" s="87">
        <f t="shared" si="12"/>
        <v>0</v>
      </c>
      <c r="O261" s="87">
        <f t="shared" si="13"/>
        <v>0</v>
      </c>
      <c r="P261" s="87" t="b">
        <f t="shared" si="14"/>
        <v>0</v>
      </c>
      <c r="Q261" s="87" t="b">
        <f>(Requirements!K263="Normative")</f>
        <v>0</v>
      </c>
      <c r="R261" s="87" t="b">
        <f>AND(Requirements!L263&lt;&gt;"Non-testable",Requirements!L263&lt;&gt;"Deleted",Requirements!L263&lt;&gt;"")</f>
        <v>1</v>
      </c>
      <c r="S261" s="87" t="b">
        <f>(VLOOKUP(Requirements!I263,Scope[[Role]:[Description]],2,FALSE)="In")</f>
        <v>1</v>
      </c>
      <c r="T261" s="87">
        <f t="shared" si="15"/>
        <v>0</v>
      </c>
    </row>
    <row r="262" spans="1:60">
      <c r="A262" s="44" t="str">
        <f>Requirements!A264</f>
        <v>MS-SMB_R105275</v>
      </c>
      <c r="B262" s="87"/>
      <c r="C262" s="87"/>
      <c r="D262" s="87"/>
      <c r="E262" s="87"/>
      <c r="F262" s="87"/>
      <c r="G262" s="87"/>
      <c r="H262" s="87"/>
      <c r="I262" s="87"/>
      <c r="J262" s="87"/>
      <c r="K262" s="87"/>
      <c r="L262" s="87"/>
      <c r="M262" s="87"/>
      <c r="N262" s="87">
        <f t="shared" si="12"/>
        <v>0</v>
      </c>
      <c r="O262" s="87">
        <f t="shared" si="13"/>
        <v>0</v>
      </c>
      <c r="P262" s="87" t="b">
        <f t="shared" si="14"/>
        <v>0</v>
      </c>
      <c r="Q262" s="87" t="b">
        <f>(Requirements!K264="Normative")</f>
        <v>0</v>
      </c>
      <c r="R262" s="87" t="b">
        <f>AND(Requirements!L264&lt;&gt;"Non-testable",Requirements!L264&lt;&gt;"Deleted",Requirements!L264&lt;&gt;"")</f>
        <v>1</v>
      </c>
      <c r="S262" s="87" t="b">
        <f>(VLOOKUP(Requirements!I264,Scope[[Role]:[Description]],2,FALSE)="In")</f>
        <v>1</v>
      </c>
      <c r="T262" s="87">
        <f t="shared" si="15"/>
        <v>0</v>
      </c>
    </row>
    <row r="263" spans="1:60">
      <c r="A263" s="85" t="str">
        <f>Requirements!A265</f>
        <v>MS-SMB_R107</v>
      </c>
      <c r="B263" s="87"/>
      <c r="C263" s="87"/>
      <c r="D263" s="87"/>
      <c r="E263" s="87"/>
      <c r="F263" s="87"/>
      <c r="G263" s="87"/>
      <c r="H263" s="87"/>
      <c r="I263" s="87"/>
      <c r="J263" s="87"/>
      <c r="K263" s="87"/>
      <c r="L263" s="87"/>
      <c r="M263" s="87"/>
      <c r="N263" s="87">
        <f t="shared" si="12"/>
        <v>0</v>
      </c>
      <c r="O263" s="61">
        <f t="shared" si="13"/>
        <v>0</v>
      </c>
      <c r="P263" s="61" t="b">
        <f t="shared" si="14"/>
        <v>1</v>
      </c>
      <c r="Q263" s="87" t="b">
        <f>(Requirements!K265="Normative")</f>
        <v>1</v>
      </c>
      <c r="R263" s="87" t="b">
        <f>AND(Requirements!L265&lt;&gt;"Non-testable",Requirements!L265&lt;&gt;"Deleted",Requirements!L265&lt;&gt;"")</f>
        <v>1</v>
      </c>
      <c r="S263" s="87" t="b">
        <f>(VLOOKUP(Requirements!I265,Scope[[Role]:[Description]],2,FALSE)="In")</f>
        <v>1</v>
      </c>
      <c r="T263" s="87">
        <f t="shared" si="15"/>
        <v>0</v>
      </c>
    </row>
    <row r="264" spans="1:60">
      <c r="A264" s="44" t="str">
        <f>Requirements!A266</f>
        <v>MS-SMB_R11107</v>
      </c>
      <c r="B264" s="87"/>
      <c r="C264" s="87"/>
      <c r="D264" s="87"/>
      <c r="E264" s="87"/>
      <c r="F264" s="87"/>
      <c r="G264" s="87"/>
      <c r="H264" s="87"/>
      <c r="I264" s="87"/>
      <c r="J264" s="87"/>
      <c r="K264" s="87"/>
      <c r="L264" s="87"/>
      <c r="M264" s="87"/>
      <c r="N264" s="87">
        <f t="shared" si="12"/>
        <v>0</v>
      </c>
      <c r="O264" s="87">
        <f t="shared" si="13"/>
        <v>0</v>
      </c>
      <c r="P264" s="87" t="b">
        <f t="shared" si="14"/>
        <v>0</v>
      </c>
      <c r="Q264" s="87" t="b">
        <f>(Requirements!K266="Normative")</f>
        <v>1</v>
      </c>
      <c r="R264" s="87" t="b">
        <f>AND(Requirements!L266&lt;&gt;"Non-testable",Requirements!L266&lt;&gt;"Deleted",Requirements!L266&lt;&gt;"")</f>
        <v>0</v>
      </c>
      <c r="S264" s="87" t="b">
        <f>(VLOOKUP(Requirements!I266,Scope[[Role]:[Description]],2,FALSE)="In")</f>
        <v>1</v>
      </c>
      <c r="T264" s="87">
        <f t="shared" si="15"/>
        <v>0</v>
      </c>
    </row>
    <row r="265" spans="1:60">
      <c r="A265" s="84" t="str">
        <f>Requirements!A267</f>
        <v>MS-SMB_R5277</v>
      </c>
      <c r="B265" s="87"/>
      <c r="C265" s="87"/>
      <c r="D265" s="87"/>
      <c r="E265" s="87"/>
      <c r="F265" s="87"/>
      <c r="G265" s="87"/>
      <c r="H265" s="87"/>
      <c r="I265" s="87">
        <v>1</v>
      </c>
      <c r="J265" s="87"/>
      <c r="K265" s="87"/>
      <c r="L265" s="87"/>
      <c r="M265" s="87"/>
      <c r="N265" s="87">
        <f t="shared" si="12"/>
        <v>1</v>
      </c>
      <c r="O265" s="60">
        <f t="shared" si="13"/>
        <v>1</v>
      </c>
      <c r="P265" s="60" t="b">
        <f t="shared" si="14"/>
        <v>1</v>
      </c>
      <c r="Q265" s="87" t="b">
        <f>(Requirements!K267="Normative")</f>
        <v>1</v>
      </c>
      <c r="R265" s="87" t="b">
        <f>AND(Requirements!L267&lt;&gt;"Non-testable",Requirements!L267&lt;&gt;"Deleted",Requirements!L267&lt;&gt;"")</f>
        <v>1</v>
      </c>
      <c r="S265" s="87" t="b">
        <f>(VLOOKUP(Requirements!I267,Scope[[Role]:[Description]],2,FALSE)="In")</f>
        <v>1</v>
      </c>
      <c r="T265" s="87">
        <f t="shared" si="15"/>
        <v>1</v>
      </c>
    </row>
    <row r="266" spans="1:60">
      <c r="A266" s="44" t="str">
        <f>Requirements!A268</f>
        <v>MS-SMB_R5278</v>
      </c>
      <c r="B266" s="87"/>
      <c r="C266" s="87"/>
      <c r="D266" s="87"/>
      <c r="E266" s="87"/>
      <c r="F266" s="87"/>
      <c r="G266" s="87"/>
      <c r="H266" s="87"/>
      <c r="I266" s="87"/>
      <c r="J266" s="87"/>
      <c r="K266" s="87"/>
      <c r="L266" s="87"/>
      <c r="M266" s="87"/>
      <c r="N266" s="87">
        <f t="shared" si="12"/>
        <v>0</v>
      </c>
      <c r="O266" s="87">
        <f t="shared" si="13"/>
        <v>0</v>
      </c>
      <c r="P266" s="87" t="b">
        <f t="shared" si="14"/>
        <v>0</v>
      </c>
      <c r="Q266" s="87" t="b">
        <f>(Requirements!K268="Normative")</f>
        <v>0</v>
      </c>
      <c r="R266" s="87" t="b">
        <f>AND(Requirements!L268&lt;&gt;"Non-testable",Requirements!L268&lt;&gt;"Deleted",Requirements!L268&lt;&gt;"")</f>
        <v>1</v>
      </c>
      <c r="S266" s="87" t="b">
        <f>(VLOOKUP(Requirements!I268,Scope[[Role]:[Description]],2,FALSE)="In")</f>
        <v>1</v>
      </c>
      <c r="T266" s="87">
        <f t="shared" si="15"/>
        <v>0</v>
      </c>
    </row>
    <row r="267" spans="1:60">
      <c r="A267" s="44" t="str">
        <f>Requirements!A269</f>
        <v>MS-SMB_R5279</v>
      </c>
      <c r="B267" s="87"/>
      <c r="C267" s="87"/>
      <c r="D267" s="87"/>
      <c r="E267" s="87"/>
      <c r="F267" s="87"/>
      <c r="G267" s="87"/>
      <c r="H267" s="87"/>
      <c r="I267" s="87"/>
      <c r="J267" s="87"/>
      <c r="K267" s="87"/>
      <c r="L267" s="87"/>
      <c r="M267" s="87"/>
      <c r="N267" s="87">
        <f t="shared" si="12"/>
        <v>0</v>
      </c>
      <c r="O267" s="87">
        <f t="shared" si="13"/>
        <v>0</v>
      </c>
      <c r="P267" s="87" t="b">
        <f t="shared" si="14"/>
        <v>0</v>
      </c>
      <c r="Q267" s="87" t="b">
        <f>(Requirements!K269="Normative")</f>
        <v>0</v>
      </c>
      <c r="R267" s="87" t="b">
        <f>AND(Requirements!L269&lt;&gt;"Non-testable",Requirements!L269&lt;&gt;"Deleted",Requirements!L269&lt;&gt;"")</f>
        <v>1</v>
      </c>
      <c r="S267" s="87" t="b">
        <f>(VLOOKUP(Requirements!I269,Scope[[Role]:[Description]],2,FALSE)="In")</f>
        <v>1</v>
      </c>
      <c r="T267" s="87">
        <f t="shared" si="15"/>
        <v>0</v>
      </c>
    </row>
    <row r="268" spans="1:60">
      <c r="A268" s="44" t="str">
        <f>Requirements!A270</f>
        <v>MS-SMB_R105279</v>
      </c>
      <c r="B268" s="87"/>
      <c r="C268" s="87"/>
      <c r="D268" s="87"/>
      <c r="E268" s="87"/>
      <c r="F268" s="87"/>
      <c r="G268" s="87"/>
      <c r="H268" s="87"/>
      <c r="I268" s="87"/>
      <c r="J268" s="87"/>
      <c r="K268" s="87"/>
      <c r="L268" s="87"/>
      <c r="M268" s="87"/>
      <c r="N268" s="87">
        <f t="shared" si="12"/>
        <v>0</v>
      </c>
      <c r="O268" s="87">
        <f t="shared" si="13"/>
        <v>0</v>
      </c>
      <c r="P268" s="87" t="b">
        <f t="shared" si="14"/>
        <v>0</v>
      </c>
      <c r="Q268" s="87" t="b">
        <f>(Requirements!K270="Normative")</f>
        <v>0</v>
      </c>
      <c r="R268" s="87" t="b">
        <f>AND(Requirements!L270&lt;&gt;"Non-testable",Requirements!L270&lt;&gt;"Deleted",Requirements!L270&lt;&gt;"")</f>
        <v>1</v>
      </c>
      <c r="S268" s="87" t="b">
        <f>(VLOOKUP(Requirements!I270,Scope[[Role]:[Description]],2,FALSE)="In")</f>
        <v>1</v>
      </c>
      <c r="T268" s="87">
        <f t="shared" si="15"/>
        <v>0</v>
      </c>
    </row>
    <row r="269" spans="1:60">
      <c r="A269" s="44" t="str">
        <f>Requirements!A271</f>
        <v>MS-SMB_R114</v>
      </c>
      <c r="B269" s="87"/>
      <c r="C269" s="87"/>
      <c r="D269" s="87"/>
      <c r="E269" s="87"/>
      <c r="F269" s="87"/>
      <c r="G269" s="87"/>
      <c r="H269" s="87"/>
      <c r="I269" s="87"/>
      <c r="J269" s="87"/>
      <c r="K269" s="87"/>
      <c r="L269" s="87"/>
      <c r="M269" s="87"/>
      <c r="N269" s="87">
        <f t="shared" si="12"/>
        <v>0</v>
      </c>
      <c r="O269" s="87">
        <f t="shared" si="13"/>
        <v>0</v>
      </c>
      <c r="P269" s="87" t="b">
        <f t="shared" si="14"/>
        <v>0</v>
      </c>
      <c r="Q269" s="87" t="b">
        <f>(Requirements!K271="Normative")</f>
        <v>1</v>
      </c>
      <c r="R269" s="87" t="b">
        <f>AND(Requirements!L271&lt;&gt;"Non-testable",Requirements!L271&lt;&gt;"Deleted",Requirements!L271&lt;&gt;"")</f>
        <v>0</v>
      </c>
      <c r="S269" s="87" t="b">
        <f>(VLOOKUP(Requirements!I271,Scope[[Role]:[Description]],2,FALSE)="In")</f>
        <v>1</v>
      </c>
      <c r="T269" s="87">
        <f t="shared" si="15"/>
        <v>0</v>
      </c>
    </row>
    <row r="270" spans="1:60">
      <c r="A270" s="83" t="str">
        <f>Requirements!A272</f>
        <v>MS-SMB_R11114</v>
      </c>
      <c r="B270" s="46"/>
      <c r="C270" s="46"/>
      <c r="D270" s="46"/>
      <c r="E270" s="46"/>
      <c r="F270" s="46"/>
      <c r="G270" s="46"/>
      <c r="H270" s="46"/>
      <c r="I270" s="46"/>
      <c r="J270" s="46"/>
      <c r="K270" s="46"/>
      <c r="L270" s="46"/>
      <c r="M270" s="46"/>
      <c r="N270" s="46">
        <f t="shared" si="12"/>
        <v>0</v>
      </c>
      <c r="O270" s="46">
        <f t="shared" si="13"/>
        <v>0</v>
      </c>
      <c r="P270" s="46" t="b">
        <f t="shared" si="14"/>
        <v>0</v>
      </c>
      <c r="Q270" s="46" t="b">
        <f>(Requirements!K272="Normative")</f>
        <v>0</v>
      </c>
      <c r="R270" s="46" t="b">
        <f>AND(Requirements!L272&lt;&gt;"Non-testable",Requirements!L272&lt;&gt;"Deleted",Requirements!L272&lt;&gt;"")</f>
        <v>0</v>
      </c>
      <c r="S270" s="46" t="b">
        <f>(VLOOKUP(Requirements!I272,Scope[[Role]:[Description]],2,FALSE)="In")</f>
        <v>1</v>
      </c>
      <c r="T270" s="46">
        <f t="shared" si="15"/>
        <v>0</v>
      </c>
      <c r="U270" s="45"/>
      <c r="V270" s="45"/>
      <c r="W270" s="45"/>
      <c r="X270" s="45"/>
      <c r="Y270" s="45"/>
      <c r="Z270" s="45"/>
      <c r="AA270" s="45"/>
      <c r="AB270" s="45"/>
      <c r="AC270" s="45"/>
      <c r="AD270" s="45"/>
      <c r="AE270" s="45"/>
      <c r="AF270" s="45"/>
      <c r="AG270" s="45"/>
      <c r="AH270" s="45"/>
      <c r="AI270" s="45"/>
      <c r="AJ270" s="45"/>
      <c r="AK270" s="45"/>
      <c r="AL270" s="45"/>
      <c r="AM270" s="45"/>
      <c r="AN270" s="45"/>
      <c r="AO270" s="45"/>
      <c r="AP270" s="45"/>
      <c r="AQ270" s="45"/>
      <c r="AR270" s="45"/>
      <c r="AS270" s="45"/>
      <c r="AT270" s="45"/>
      <c r="AU270" s="45"/>
      <c r="AV270" s="45"/>
      <c r="AW270" s="45"/>
      <c r="AX270" s="45"/>
      <c r="AY270" s="45"/>
      <c r="AZ270" s="45"/>
      <c r="BA270" s="45"/>
      <c r="BB270" s="45"/>
      <c r="BC270" s="45"/>
      <c r="BD270" s="45"/>
      <c r="BE270" s="45"/>
      <c r="BF270" s="45"/>
      <c r="BG270" s="45"/>
      <c r="BH270" s="45"/>
    </row>
    <row r="271" spans="1:60">
      <c r="A271" s="83" t="str">
        <f>Requirements!A273</f>
        <v>MS-SMB_R115</v>
      </c>
      <c r="B271" s="46"/>
      <c r="C271" s="46"/>
      <c r="D271" s="46"/>
      <c r="E271" s="46"/>
      <c r="F271" s="46"/>
      <c r="G271" s="46"/>
      <c r="H271" s="46"/>
      <c r="I271" s="46"/>
      <c r="J271" s="46"/>
      <c r="K271" s="46"/>
      <c r="L271" s="46"/>
      <c r="M271" s="46"/>
      <c r="N271" s="46">
        <f t="shared" si="12"/>
        <v>0</v>
      </c>
      <c r="O271" s="46">
        <f t="shared" si="13"/>
        <v>0</v>
      </c>
      <c r="P271" s="46" t="b">
        <f t="shared" si="14"/>
        <v>0</v>
      </c>
      <c r="Q271" s="46" t="b">
        <f>(Requirements!K273="Normative")</f>
        <v>0</v>
      </c>
      <c r="R271" s="46" t="b">
        <f>AND(Requirements!L273&lt;&gt;"Non-testable",Requirements!L273&lt;&gt;"Deleted",Requirements!L273&lt;&gt;"")</f>
        <v>0</v>
      </c>
      <c r="S271" s="46" t="b">
        <f>(VLOOKUP(Requirements!I273,Scope[[Role]:[Description]],2,FALSE)="In")</f>
        <v>1</v>
      </c>
      <c r="T271" s="46">
        <f t="shared" si="15"/>
        <v>0</v>
      </c>
      <c r="U271" s="45"/>
      <c r="V271" s="45"/>
      <c r="W271" s="45"/>
      <c r="X271" s="45"/>
      <c r="Y271" s="45"/>
      <c r="Z271" s="45"/>
      <c r="AA271" s="45"/>
      <c r="AB271" s="45"/>
      <c r="AC271" s="45"/>
      <c r="AD271" s="45"/>
      <c r="AE271" s="45"/>
      <c r="AF271" s="45"/>
      <c r="AG271" s="45"/>
      <c r="AH271" s="45"/>
      <c r="AI271" s="45"/>
      <c r="AJ271" s="45"/>
      <c r="AK271" s="45"/>
      <c r="AL271" s="45"/>
      <c r="AM271" s="45"/>
      <c r="AN271" s="45"/>
      <c r="AO271" s="45"/>
      <c r="AP271" s="45"/>
      <c r="AQ271" s="45"/>
      <c r="AR271" s="45"/>
      <c r="AS271" s="45"/>
      <c r="AT271" s="45"/>
      <c r="AU271" s="45"/>
      <c r="AV271" s="45"/>
      <c r="AW271" s="45"/>
      <c r="AX271" s="45"/>
      <c r="AY271" s="45"/>
      <c r="AZ271" s="45"/>
      <c r="BA271" s="45"/>
      <c r="BB271" s="45"/>
      <c r="BC271" s="45"/>
      <c r="BD271" s="45"/>
      <c r="BE271" s="45"/>
      <c r="BF271" s="45"/>
      <c r="BG271" s="45"/>
      <c r="BH271" s="45"/>
    </row>
    <row r="272" spans="1:60">
      <c r="A272" s="85" t="str">
        <f>Requirements!A274</f>
        <v>MS-SMB_R5294</v>
      </c>
      <c r="B272" s="87"/>
      <c r="C272" s="87"/>
      <c r="D272" s="87"/>
      <c r="E272" s="87"/>
      <c r="F272" s="87"/>
      <c r="G272" s="87"/>
      <c r="H272" s="87"/>
      <c r="I272" s="87"/>
      <c r="J272" s="87"/>
      <c r="K272" s="87"/>
      <c r="L272" s="87"/>
      <c r="M272" s="87"/>
      <c r="N272" s="87">
        <f t="shared" si="12"/>
        <v>0</v>
      </c>
      <c r="O272" s="61">
        <f t="shared" si="13"/>
        <v>0</v>
      </c>
      <c r="P272" s="61" t="b">
        <f t="shared" si="14"/>
        <v>1</v>
      </c>
      <c r="Q272" s="87" t="b">
        <f>(Requirements!K274="Normative")</f>
        <v>1</v>
      </c>
      <c r="R272" s="87" t="b">
        <f>AND(Requirements!L274&lt;&gt;"Non-testable",Requirements!L274&lt;&gt;"Deleted",Requirements!L274&lt;&gt;"")</f>
        <v>1</v>
      </c>
      <c r="S272" s="87" t="b">
        <f>(VLOOKUP(Requirements!I274,Scope[[Role]:[Description]],2,FALSE)="In")</f>
        <v>1</v>
      </c>
      <c r="T272" s="87">
        <f t="shared" si="15"/>
        <v>0</v>
      </c>
    </row>
    <row r="273" spans="1:20">
      <c r="A273" s="84" t="str">
        <f>Requirements!A275</f>
        <v>MS-SMB_R5295</v>
      </c>
      <c r="B273" s="87">
        <v>1</v>
      </c>
      <c r="C273" s="87"/>
      <c r="D273" s="87"/>
      <c r="E273" s="87"/>
      <c r="F273" s="87"/>
      <c r="G273" s="87"/>
      <c r="H273" s="87"/>
      <c r="I273" s="87"/>
      <c r="J273" s="87"/>
      <c r="K273" s="87"/>
      <c r="L273" s="87"/>
      <c r="M273" s="87"/>
      <c r="N273" s="87">
        <f t="shared" si="12"/>
        <v>1</v>
      </c>
      <c r="O273" s="60">
        <f t="shared" si="13"/>
        <v>1</v>
      </c>
      <c r="P273" s="60" t="b">
        <f t="shared" si="14"/>
        <v>1</v>
      </c>
      <c r="Q273" s="87" t="b">
        <f>(Requirements!K275="Normative")</f>
        <v>1</v>
      </c>
      <c r="R273" s="87" t="b">
        <f>AND(Requirements!L275&lt;&gt;"Non-testable",Requirements!L275&lt;&gt;"Deleted",Requirements!L275&lt;&gt;"")</f>
        <v>1</v>
      </c>
      <c r="S273" s="87" t="b">
        <f>(VLOOKUP(Requirements!I275,Scope[[Role]:[Description]],2,FALSE)="In")</f>
        <v>1</v>
      </c>
      <c r="T273" s="87">
        <f t="shared" si="15"/>
        <v>1</v>
      </c>
    </row>
    <row r="274" spans="1:20">
      <c r="A274" s="85" t="str">
        <f>Requirements!A276</f>
        <v>MS-SMB_R5296</v>
      </c>
      <c r="B274" s="87"/>
      <c r="C274" s="87"/>
      <c r="D274" s="87"/>
      <c r="E274" s="87"/>
      <c r="F274" s="87"/>
      <c r="G274" s="87"/>
      <c r="H274" s="87"/>
      <c r="I274" s="87"/>
      <c r="J274" s="87"/>
      <c r="K274" s="87"/>
      <c r="L274" s="87"/>
      <c r="M274" s="87"/>
      <c r="N274" s="87">
        <f t="shared" si="12"/>
        <v>0</v>
      </c>
      <c r="O274" s="61">
        <f t="shared" si="13"/>
        <v>0</v>
      </c>
      <c r="P274" s="61" t="b">
        <f t="shared" si="14"/>
        <v>1</v>
      </c>
      <c r="Q274" s="87" t="b">
        <f>(Requirements!K276="Normative")</f>
        <v>1</v>
      </c>
      <c r="R274" s="87" t="b">
        <f>AND(Requirements!L276&lt;&gt;"Non-testable",Requirements!L276&lt;&gt;"Deleted",Requirements!L276&lt;&gt;"")</f>
        <v>1</v>
      </c>
      <c r="S274" s="87" t="b">
        <f>(VLOOKUP(Requirements!I276,Scope[[Role]:[Description]],2,FALSE)="In")</f>
        <v>1</v>
      </c>
      <c r="T274" s="87">
        <f t="shared" si="15"/>
        <v>0</v>
      </c>
    </row>
    <row r="275" spans="1:20">
      <c r="A275" s="44" t="str">
        <f>Requirements!A277</f>
        <v>MS-SMB_R5297</v>
      </c>
      <c r="B275" s="87"/>
      <c r="C275" s="87"/>
      <c r="D275" s="87"/>
      <c r="E275" s="87"/>
      <c r="F275" s="87"/>
      <c r="G275" s="87"/>
      <c r="H275" s="87"/>
      <c r="I275" s="87"/>
      <c r="J275" s="87"/>
      <c r="K275" s="87"/>
      <c r="L275" s="87"/>
      <c r="M275" s="87"/>
      <c r="N275" s="87">
        <f t="shared" si="12"/>
        <v>0</v>
      </c>
      <c r="O275" s="87">
        <f t="shared" si="13"/>
        <v>0</v>
      </c>
      <c r="P275" s="87" t="b">
        <f t="shared" si="14"/>
        <v>0</v>
      </c>
      <c r="Q275" s="87" t="b">
        <f>(Requirements!K277="Normative")</f>
        <v>1</v>
      </c>
      <c r="R275" s="87" t="b">
        <f>AND(Requirements!L277&lt;&gt;"Non-testable",Requirements!L277&lt;&gt;"Deleted",Requirements!L277&lt;&gt;"")</f>
        <v>0</v>
      </c>
      <c r="S275" s="87" t="b">
        <f>(VLOOKUP(Requirements!I277,Scope[[Role]:[Description]],2,FALSE)="In")</f>
        <v>1</v>
      </c>
      <c r="T275" s="87">
        <f t="shared" si="15"/>
        <v>0</v>
      </c>
    </row>
    <row r="276" spans="1:20">
      <c r="A276" s="84" t="str">
        <f>Requirements!A278</f>
        <v>MS-SMB_R5298</v>
      </c>
      <c r="B276" s="87">
        <v>1</v>
      </c>
      <c r="C276" s="87"/>
      <c r="D276" s="87"/>
      <c r="E276" s="87"/>
      <c r="F276" s="87"/>
      <c r="G276" s="87"/>
      <c r="H276" s="87"/>
      <c r="I276" s="87"/>
      <c r="J276" s="87"/>
      <c r="K276" s="87"/>
      <c r="L276" s="87"/>
      <c r="M276" s="87"/>
      <c r="N276" s="87">
        <f t="shared" ref="N276:N339" si="16">SUM(B276:M276)</f>
        <v>1</v>
      </c>
      <c r="O276" s="60">
        <f t="shared" ref="O276:O339" si="17">IF(N276=0,0,1)</f>
        <v>1</v>
      </c>
      <c r="P276" s="60" t="b">
        <f t="shared" ref="P276:P339" si="18">AND(Q276:S276)</f>
        <v>1</v>
      </c>
      <c r="Q276" s="87" t="b">
        <f>(Requirements!K278="Normative")</f>
        <v>1</v>
      </c>
      <c r="R276" s="87" t="b">
        <f>AND(Requirements!L278&lt;&gt;"Non-testable",Requirements!L278&lt;&gt;"Deleted",Requirements!L278&lt;&gt;"")</f>
        <v>1</v>
      </c>
      <c r="S276" s="87" t="b">
        <f>(VLOOKUP(Requirements!I278,Scope[[Role]:[Description]],2,FALSE)="In")</f>
        <v>1</v>
      </c>
      <c r="T276" s="87">
        <f t="shared" ref="T276:T339" si="19">IF(P276,O276, 0)</f>
        <v>1</v>
      </c>
    </row>
    <row r="277" spans="1:20">
      <c r="A277" s="85" t="str">
        <f>Requirements!A279</f>
        <v>MS-SMB_R5299</v>
      </c>
      <c r="B277" s="87"/>
      <c r="C277" s="87"/>
      <c r="D277" s="87"/>
      <c r="E277" s="87"/>
      <c r="F277" s="87"/>
      <c r="G277" s="87"/>
      <c r="H277" s="87"/>
      <c r="I277" s="87"/>
      <c r="J277" s="87"/>
      <c r="K277" s="87"/>
      <c r="L277" s="87"/>
      <c r="M277" s="87"/>
      <c r="N277" s="87">
        <f t="shared" si="16"/>
        <v>0</v>
      </c>
      <c r="O277" s="61">
        <f t="shared" si="17"/>
        <v>0</v>
      </c>
      <c r="P277" s="61" t="b">
        <f t="shared" si="18"/>
        <v>1</v>
      </c>
      <c r="Q277" s="87" t="b">
        <f>(Requirements!K279="Normative")</f>
        <v>1</v>
      </c>
      <c r="R277" s="87" t="b">
        <f>AND(Requirements!L279&lt;&gt;"Non-testable",Requirements!L279&lt;&gt;"Deleted",Requirements!L279&lt;&gt;"")</f>
        <v>1</v>
      </c>
      <c r="S277" s="87" t="b">
        <f>(VLOOKUP(Requirements!I279,Scope[[Role]:[Description]],2,FALSE)="In")</f>
        <v>1</v>
      </c>
      <c r="T277" s="87">
        <f t="shared" si="19"/>
        <v>0</v>
      </c>
    </row>
    <row r="278" spans="1:20">
      <c r="A278" s="85" t="str">
        <f>Requirements!A280</f>
        <v>MS-SMB_R129</v>
      </c>
      <c r="B278" s="87"/>
      <c r="C278" s="87"/>
      <c r="D278" s="87"/>
      <c r="E278" s="87"/>
      <c r="F278" s="87"/>
      <c r="G278" s="87"/>
      <c r="H278" s="87"/>
      <c r="I278" s="87"/>
      <c r="J278" s="87"/>
      <c r="K278" s="87"/>
      <c r="L278" s="87"/>
      <c r="M278" s="87"/>
      <c r="N278" s="87">
        <f t="shared" si="16"/>
        <v>0</v>
      </c>
      <c r="O278" s="61">
        <f t="shared" si="17"/>
        <v>0</v>
      </c>
      <c r="P278" s="61" t="b">
        <f t="shared" si="18"/>
        <v>1</v>
      </c>
      <c r="Q278" s="87" t="b">
        <f>(Requirements!K280="Normative")</f>
        <v>1</v>
      </c>
      <c r="R278" s="87" t="b">
        <f>AND(Requirements!L280&lt;&gt;"Non-testable",Requirements!L280&lt;&gt;"Deleted",Requirements!L280&lt;&gt;"")</f>
        <v>1</v>
      </c>
      <c r="S278" s="87" t="b">
        <f>(VLOOKUP(Requirements!I280,Scope[[Role]:[Description]],2,FALSE)="In")</f>
        <v>1</v>
      </c>
      <c r="T278" s="87">
        <f t="shared" si="19"/>
        <v>0</v>
      </c>
    </row>
    <row r="279" spans="1:20">
      <c r="A279" s="84" t="str">
        <f>Requirements!A281</f>
        <v>MS-SMB_R5300</v>
      </c>
      <c r="B279" s="87">
        <v>1</v>
      </c>
      <c r="C279" s="87"/>
      <c r="D279" s="87"/>
      <c r="E279" s="87"/>
      <c r="F279" s="87"/>
      <c r="G279" s="87"/>
      <c r="H279" s="87"/>
      <c r="I279" s="87"/>
      <c r="J279" s="87"/>
      <c r="K279" s="87"/>
      <c r="L279" s="87"/>
      <c r="M279" s="87"/>
      <c r="N279" s="87">
        <f t="shared" si="16"/>
        <v>1</v>
      </c>
      <c r="O279" s="60">
        <f t="shared" si="17"/>
        <v>1</v>
      </c>
      <c r="P279" s="60" t="b">
        <f t="shared" si="18"/>
        <v>1</v>
      </c>
      <c r="Q279" s="87" t="b">
        <f>(Requirements!K281="Normative")</f>
        <v>1</v>
      </c>
      <c r="R279" s="87" t="b">
        <f>AND(Requirements!L281&lt;&gt;"Non-testable",Requirements!L281&lt;&gt;"Deleted",Requirements!L281&lt;&gt;"")</f>
        <v>1</v>
      </c>
      <c r="S279" s="87" t="b">
        <f>(VLOOKUP(Requirements!I281,Scope[[Role]:[Description]],2,FALSE)="In")</f>
        <v>1</v>
      </c>
      <c r="T279" s="87">
        <f t="shared" si="19"/>
        <v>1</v>
      </c>
    </row>
    <row r="280" spans="1:20">
      <c r="A280" s="84" t="str">
        <f>Requirements!A282</f>
        <v>MS-SMB_R5301</v>
      </c>
      <c r="B280" s="87">
        <v>1</v>
      </c>
      <c r="C280" s="87"/>
      <c r="D280" s="87"/>
      <c r="E280" s="87"/>
      <c r="F280" s="87"/>
      <c r="G280" s="87"/>
      <c r="H280" s="87"/>
      <c r="I280" s="87"/>
      <c r="J280" s="87"/>
      <c r="K280" s="87"/>
      <c r="L280" s="87"/>
      <c r="M280" s="87"/>
      <c r="N280" s="87">
        <f t="shared" si="16"/>
        <v>1</v>
      </c>
      <c r="O280" s="60">
        <f t="shared" si="17"/>
        <v>1</v>
      </c>
      <c r="P280" s="60" t="b">
        <f t="shared" si="18"/>
        <v>1</v>
      </c>
      <c r="Q280" s="87" t="b">
        <f>(Requirements!K282="Normative")</f>
        <v>1</v>
      </c>
      <c r="R280" s="87" t="b">
        <f>AND(Requirements!L282&lt;&gt;"Non-testable",Requirements!L282&lt;&gt;"Deleted",Requirements!L282&lt;&gt;"")</f>
        <v>1</v>
      </c>
      <c r="S280" s="87" t="b">
        <f>(VLOOKUP(Requirements!I282,Scope[[Role]:[Description]],2,FALSE)="In")</f>
        <v>1</v>
      </c>
      <c r="T280" s="87">
        <f t="shared" si="19"/>
        <v>1</v>
      </c>
    </row>
    <row r="281" spans="1:20">
      <c r="A281" s="44" t="str">
        <f>Requirements!A283</f>
        <v>MS-SMB_R131</v>
      </c>
      <c r="B281" s="87"/>
      <c r="C281" s="87"/>
      <c r="D281" s="87"/>
      <c r="E281" s="87"/>
      <c r="F281" s="87"/>
      <c r="G281" s="87"/>
      <c r="H281" s="87"/>
      <c r="I281" s="87"/>
      <c r="J281" s="87"/>
      <c r="K281" s="87"/>
      <c r="L281" s="87"/>
      <c r="M281" s="87"/>
      <c r="N281" s="87">
        <f t="shared" si="16"/>
        <v>0</v>
      </c>
      <c r="O281" s="87">
        <f t="shared" si="17"/>
        <v>0</v>
      </c>
      <c r="P281" s="87" t="b">
        <f t="shared" si="18"/>
        <v>0</v>
      </c>
      <c r="Q281" s="87" t="b">
        <f>(Requirements!K283="Normative")</f>
        <v>1</v>
      </c>
      <c r="R281" s="87" t="b">
        <f>AND(Requirements!L283&lt;&gt;"Non-testable",Requirements!L283&lt;&gt;"Deleted",Requirements!L283&lt;&gt;"")</f>
        <v>0</v>
      </c>
      <c r="S281" s="87" t="b">
        <f>(VLOOKUP(Requirements!I283,Scope[[Role]:[Description]],2,FALSE)="In")</f>
        <v>1</v>
      </c>
      <c r="T281" s="87">
        <f t="shared" si="19"/>
        <v>0</v>
      </c>
    </row>
    <row r="282" spans="1:20">
      <c r="A282" s="84" t="str">
        <f>Requirements!A284</f>
        <v>MS-SMB_R11132</v>
      </c>
      <c r="B282" s="87">
        <v>1</v>
      </c>
      <c r="C282" s="87"/>
      <c r="D282" s="87"/>
      <c r="E282" s="87"/>
      <c r="F282" s="87"/>
      <c r="G282" s="87"/>
      <c r="H282" s="87"/>
      <c r="I282" s="87"/>
      <c r="J282" s="87"/>
      <c r="K282" s="87"/>
      <c r="L282" s="87"/>
      <c r="M282" s="87"/>
      <c r="N282" s="87">
        <f t="shared" si="16"/>
        <v>1</v>
      </c>
      <c r="O282" s="60">
        <f t="shared" si="17"/>
        <v>1</v>
      </c>
      <c r="P282" s="60" t="b">
        <f t="shared" si="18"/>
        <v>1</v>
      </c>
      <c r="Q282" s="87" t="b">
        <f>(Requirements!K284="Normative")</f>
        <v>1</v>
      </c>
      <c r="R282" s="87" t="b">
        <f>AND(Requirements!L284&lt;&gt;"Non-testable",Requirements!L284&lt;&gt;"Deleted",Requirements!L284&lt;&gt;"")</f>
        <v>1</v>
      </c>
      <c r="S282" s="87" t="b">
        <f>(VLOOKUP(Requirements!I284,Scope[[Role]:[Description]],2,FALSE)="In")</f>
        <v>1</v>
      </c>
      <c r="T282" s="87">
        <f t="shared" si="19"/>
        <v>1</v>
      </c>
    </row>
    <row r="283" spans="1:20">
      <c r="A283" s="84" t="str">
        <f>Requirements!A285</f>
        <v>MS-SMB_R132</v>
      </c>
      <c r="B283" s="87">
        <v>1</v>
      </c>
      <c r="C283" s="87"/>
      <c r="D283" s="87"/>
      <c r="E283" s="87"/>
      <c r="F283" s="87"/>
      <c r="G283" s="87"/>
      <c r="H283" s="87"/>
      <c r="I283" s="87"/>
      <c r="J283" s="87"/>
      <c r="K283" s="87"/>
      <c r="L283" s="87"/>
      <c r="M283" s="87"/>
      <c r="N283" s="87">
        <f t="shared" si="16"/>
        <v>1</v>
      </c>
      <c r="O283" s="60">
        <f t="shared" si="17"/>
        <v>1</v>
      </c>
      <c r="P283" s="60" t="b">
        <f t="shared" si="18"/>
        <v>1</v>
      </c>
      <c r="Q283" s="87" t="b">
        <f>(Requirements!K285="Normative")</f>
        <v>1</v>
      </c>
      <c r="R283" s="87" t="b">
        <f>AND(Requirements!L285&lt;&gt;"Non-testable",Requirements!L285&lt;&gt;"Deleted",Requirements!L285&lt;&gt;"")</f>
        <v>1</v>
      </c>
      <c r="S283" s="87" t="b">
        <f>(VLOOKUP(Requirements!I285,Scope[[Role]:[Description]],2,FALSE)="In")</f>
        <v>1</v>
      </c>
      <c r="T283" s="87">
        <f t="shared" si="19"/>
        <v>1</v>
      </c>
    </row>
    <row r="284" spans="1:20">
      <c r="A284" s="85" t="str">
        <f>Requirements!A286</f>
        <v>MS-SMB_R5303</v>
      </c>
      <c r="B284" s="87"/>
      <c r="C284" s="87"/>
      <c r="D284" s="87"/>
      <c r="E284" s="87"/>
      <c r="F284" s="87"/>
      <c r="G284" s="87"/>
      <c r="H284" s="87"/>
      <c r="I284" s="87"/>
      <c r="J284" s="87"/>
      <c r="K284" s="87"/>
      <c r="L284" s="87"/>
      <c r="M284" s="87"/>
      <c r="N284" s="87">
        <f t="shared" si="16"/>
        <v>0</v>
      </c>
      <c r="O284" s="61">
        <f t="shared" si="17"/>
        <v>0</v>
      </c>
      <c r="P284" s="61" t="b">
        <f t="shared" si="18"/>
        <v>1</v>
      </c>
      <c r="Q284" s="87" t="b">
        <f>(Requirements!K286="Normative")</f>
        <v>1</v>
      </c>
      <c r="R284" s="87" t="b">
        <f>AND(Requirements!L286&lt;&gt;"Non-testable",Requirements!L286&lt;&gt;"Deleted",Requirements!L286&lt;&gt;"")</f>
        <v>1</v>
      </c>
      <c r="S284" s="87" t="b">
        <f>(VLOOKUP(Requirements!I286,Scope[[Role]:[Description]],2,FALSE)="In")</f>
        <v>1</v>
      </c>
      <c r="T284" s="87">
        <f t="shared" si="19"/>
        <v>0</v>
      </c>
    </row>
    <row r="285" spans="1:20">
      <c r="A285" s="84" t="str">
        <f>Requirements!A287</f>
        <v>MS-SMB_R134</v>
      </c>
      <c r="B285" s="87">
        <v>1</v>
      </c>
      <c r="C285" s="87"/>
      <c r="D285" s="87"/>
      <c r="E285" s="87"/>
      <c r="F285" s="87"/>
      <c r="G285" s="87"/>
      <c r="H285" s="87"/>
      <c r="I285" s="87"/>
      <c r="J285" s="87"/>
      <c r="K285" s="87"/>
      <c r="L285" s="87"/>
      <c r="M285" s="87"/>
      <c r="N285" s="87">
        <f t="shared" si="16"/>
        <v>1</v>
      </c>
      <c r="O285" s="60">
        <f t="shared" si="17"/>
        <v>1</v>
      </c>
      <c r="P285" s="60" t="b">
        <f t="shared" si="18"/>
        <v>1</v>
      </c>
      <c r="Q285" s="87" t="b">
        <f>(Requirements!K287="Normative")</f>
        <v>1</v>
      </c>
      <c r="R285" s="87" t="b">
        <f>AND(Requirements!L287&lt;&gt;"Non-testable",Requirements!L287&lt;&gt;"Deleted",Requirements!L287&lt;&gt;"")</f>
        <v>1</v>
      </c>
      <c r="S285" s="87" t="b">
        <f>(VLOOKUP(Requirements!I287,Scope[[Role]:[Description]],2,FALSE)="In")</f>
        <v>1</v>
      </c>
      <c r="T285" s="87">
        <f t="shared" si="19"/>
        <v>1</v>
      </c>
    </row>
    <row r="286" spans="1:20">
      <c r="A286" s="84" t="str">
        <f>Requirements!A288</f>
        <v>MS-SMB_R135</v>
      </c>
      <c r="B286" s="87">
        <v>1</v>
      </c>
      <c r="C286" s="87"/>
      <c r="D286" s="87"/>
      <c r="E286" s="87"/>
      <c r="F286" s="87"/>
      <c r="G286" s="87"/>
      <c r="H286" s="87"/>
      <c r="I286" s="87"/>
      <c r="J286" s="87"/>
      <c r="K286" s="87"/>
      <c r="L286" s="87"/>
      <c r="M286" s="87"/>
      <c r="N286" s="87">
        <f t="shared" si="16"/>
        <v>1</v>
      </c>
      <c r="O286" s="60">
        <f t="shared" si="17"/>
        <v>1</v>
      </c>
      <c r="P286" s="60" t="b">
        <f t="shared" si="18"/>
        <v>1</v>
      </c>
      <c r="Q286" s="87" t="b">
        <f>(Requirements!K288="Normative")</f>
        <v>1</v>
      </c>
      <c r="R286" s="87" t="b">
        <f>AND(Requirements!L288&lt;&gt;"Non-testable",Requirements!L288&lt;&gt;"Deleted",Requirements!L288&lt;&gt;"")</f>
        <v>1</v>
      </c>
      <c r="S286" s="87" t="b">
        <f>(VLOOKUP(Requirements!I288,Scope[[Role]:[Description]],2,FALSE)="In")</f>
        <v>1</v>
      </c>
      <c r="T286" s="87">
        <f t="shared" si="19"/>
        <v>1</v>
      </c>
    </row>
    <row r="287" spans="1:20">
      <c r="A287" s="44" t="str">
        <f>Requirements!A289</f>
        <v>MS-SMB_R5305</v>
      </c>
      <c r="B287" s="87"/>
      <c r="C287" s="87"/>
      <c r="D287" s="87"/>
      <c r="E287" s="87"/>
      <c r="F287" s="87"/>
      <c r="G287" s="87"/>
      <c r="H287" s="87"/>
      <c r="I287" s="87"/>
      <c r="J287" s="87"/>
      <c r="K287" s="87"/>
      <c r="L287" s="87"/>
      <c r="M287" s="87"/>
      <c r="N287" s="87">
        <f t="shared" si="16"/>
        <v>0</v>
      </c>
      <c r="O287" s="87">
        <f t="shared" si="17"/>
        <v>0</v>
      </c>
      <c r="P287" s="87" t="b">
        <f t="shared" si="18"/>
        <v>0</v>
      </c>
      <c r="Q287" s="87" t="b">
        <f>(Requirements!K289="Normative")</f>
        <v>0</v>
      </c>
      <c r="R287" s="87" t="b">
        <f>AND(Requirements!L289&lt;&gt;"Non-testable",Requirements!L289&lt;&gt;"Deleted",Requirements!L289&lt;&gt;"")</f>
        <v>1</v>
      </c>
      <c r="S287" s="87" t="b">
        <f>(VLOOKUP(Requirements!I289,Scope[[Role]:[Description]],2,FALSE)="In")</f>
        <v>1</v>
      </c>
      <c r="T287" s="87">
        <f t="shared" si="19"/>
        <v>0</v>
      </c>
    </row>
    <row r="288" spans="1:20">
      <c r="A288" s="84" t="str">
        <f>Requirements!A290</f>
        <v>MS-SMB_R138</v>
      </c>
      <c r="B288" s="87">
        <v>1</v>
      </c>
      <c r="C288" s="87"/>
      <c r="D288" s="87"/>
      <c r="E288" s="87"/>
      <c r="F288" s="87"/>
      <c r="G288" s="87"/>
      <c r="H288" s="87"/>
      <c r="I288" s="87"/>
      <c r="J288" s="87"/>
      <c r="K288" s="87"/>
      <c r="L288" s="87"/>
      <c r="M288" s="87"/>
      <c r="N288" s="87">
        <f t="shared" si="16"/>
        <v>1</v>
      </c>
      <c r="O288" s="60">
        <f t="shared" si="17"/>
        <v>1</v>
      </c>
      <c r="P288" s="60" t="b">
        <f t="shared" si="18"/>
        <v>1</v>
      </c>
      <c r="Q288" s="87" t="b">
        <f>(Requirements!K290="Normative")</f>
        <v>1</v>
      </c>
      <c r="R288" s="87" t="b">
        <f>AND(Requirements!L290&lt;&gt;"Non-testable",Requirements!L290&lt;&gt;"Deleted",Requirements!L290&lt;&gt;"")</f>
        <v>1</v>
      </c>
      <c r="S288" s="87" t="b">
        <f>(VLOOKUP(Requirements!I290,Scope[[Role]:[Description]],2,FALSE)="In")</f>
        <v>1</v>
      </c>
      <c r="T288" s="87">
        <f t="shared" si="19"/>
        <v>1</v>
      </c>
    </row>
    <row r="289" spans="1:60">
      <c r="A289" s="84" t="str">
        <f>Requirements!A291</f>
        <v>MS-SMB_R139</v>
      </c>
      <c r="B289" s="87">
        <v>1</v>
      </c>
      <c r="C289" s="87"/>
      <c r="D289" s="87"/>
      <c r="E289" s="87"/>
      <c r="F289" s="87"/>
      <c r="G289" s="87"/>
      <c r="H289" s="87"/>
      <c r="I289" s="87"/>
      <c r="J289" s="87"/>
      <c r="K289" s="87"/>
      <c r="L289" s="87"/>
      <c r="M289" s="87"/>
      <c r="N289" s="87">
        <f t="shared" si="16"/>
        <v>1</v>
      </c>
      <c r="O289" s="60">
        <f t="shared" si="17"/>
        <v>1</v>
      </c>
      <c r="P289" s="60" t="b">
        <f t="shared" si="18"/>
        <v>1</v>
      </c>
      <c r="Q289" s="87" t="b">
        <f>(Requirements!K291="Normative")</f>
        <v>1</v>
      </c>
      <c r="R289" s="87" t="b">
        <f>AND(Requirements!L291&lt;&gt;"Non-testable",Requirements!L291&lt;&gt;"Deleted",Requirements!L291&lt;&gt;"")</f>
        <v>1</v>
      </c>
      <c r="S289" s="87" t="b">
        <f>(VLOOKUP(Requirements!I291,Scope[[Role]:[Description]],2,FALSE)="In")</f>
        <v>1</v>
      </c>
      <c r="T289" s="87">
        <f t="shared" si="19"/>
        <v>1</v>
      </c>
    </row>
    <row r="290" spans="1:60">
      <c r="A290" s="85" t="str">
        <f>Requirements!A292</f>
        <v>MS-SMB_R5322</v>
      </c>
      <c r="B290" s="87"/>
      <c r="C290" s="87"/>
      <c r="D290" s="87"/>
      <c r="E290" s="87"/>
      <c r="F290" s="87"/>
      <c r="G290" s="87"/>
      <c r="H290" s="87"/>
      <c r="I290" s="87"/>
      <c r="J290" s="87"/>
      <c r="K290" s="87"/>
      <c r="L290" s="87"/>
      <c r="M290" s="87"/>
      <c r="N290" s="87">
        <f t="shared" si="16"/>
        <v>0</v>
      </c>
      <c r="O290" s="61">
        <f t="shared" si="17"/>
        <v>0</v>
      </c>
      <c r="P290" s="61" t="b">
        <f t="shared" si="18"/>
        <v>1</v>
      </c>
      <c r="Q290" s="87" t="b">
        <f>(Requirements!K292="Normative")</f>
        <v>1</v>
      </c>
      <c r="R290" s="87" t="b">
        <f>AND(Requirements!L292&lt;&gt;"Non-testable",Requirements!L292&lt;&gt;"Deleted",Requirements!L292&lt;&gt;"")</f>
        <v>1</v>
      </c>
      <c r="S290" s="87" t="b">
        <f>(VLOOKUP(Requirements!I292,Scope[[Role]:[Description]],2,FALSE)="In")</f>
        <v>1</v>
      </c>
      <c r="T290" s="87">
        <f t="shared" si="19"/>
        <v>0</v>
      </c>
    </row>
    <row r="291" spans="1:60">
      <c r="A291" s="85" t="str">
        <f>Requirements!A293</f>
        <v>MS-SMB_R5323</v>
      </c>
      <c r="B291" s="87"/>
      <c r="C291" s="87"/>
      <c r="D291" s="87"/>
      <c r="E291" s="87"/>
      <c r="F291" s="87"/>
      <c r="G291" s="87"/>
      <c r="H291" s="87"/>
      <c r="I291" s="87"/>
      <c r="J291" s="87"/>
      <c r="K291" s="87"/>
      <c r="L291" s="87"/>
      <c r="M291" s="87"/>
      <c r="N291" s="87">
        <f t="shared" si="16"/>
        <v>0</v>
      </c>
      <c r="O291" s="61">
        <f t="shared" si="17"/>
        <v>0</v>
      </c>
      <c r="P291" s="61" t="b">
        <f t="shared" si="18"/>
        <v>1</v>
      </c>
      <c r="Q291" s="87" t="b">
        <f>(Requirements!K293="Normative")</f>
        <v>1</v>
      </c>
      <c r="R291" s="87" t="b">
        <f>AND(Requirements!L293&lt;&gt;"Non-testable",Requirements!L293&lt;&gt;"Deleted",Requirements!L293&lt;&gt;"")</f>
        <v>1</v>
      </c>
      <c r="S291" s="87" t="b">
        <f>(VLOOKUP(Requirements!I293,Scope[[Role]:[Description]],2,FALSE)="In")</f>
        <v>1</v>
      </c>
      <c r="T291" s="87">
        <f t="shared" si="19"/>
        <v>0</v>
      </c>
    </row>
    <row r="292" spans="1:60">
      <c r="A292" s="44" t="str">
        <f>Requirements!A294</f>
        <v>MS-SMB_R10203</v>
      </c>
      <c r="B292" s="87"/>
      <c r="C292" s="87"/>
      <c r="D292" s="87"/>
      <c r="E292" s="87"/>
      <c r="F292" s="87"/>
      <c r="G292" s="87"/>
      <c r="H292" s="87"/>
      <c r="I292" s="87"/>
      <c r="J292" s="87"/>
      <c r="K292" s="87"/>
      <c r="L292" s="87"/>
      <c r="M292" s="87"/>
      <c r="N292" s="87">
        <f t="shared" si="16"/>
        <v>0</v>
      </c>
      <c r="O292" s="87">
        <f t="shared" si="17"/>
        <v>0</v>
      </c>
      <c r="P292" s="87" t="b">
        <f t="shared" si="18"/>
        <v>0</v>
      </c>
      <c r="Q292" s="87" t="b">
        <f>(Requirements!K294="Normative")</f>
        <v>0</v>
      </c>
      <c r="R292" s="87" t="b">
        <f>AND(Requirements!L294&lt;&gt;"Non-testable",Requirements!L294&lt;&gt;"Deleted",Requirements!L294&lt;&gt;"")</f>
        <v>1</v>
      </c>
      <c r="S292" s="87" t="b">
        <f>(VLOOKUP(Requirements!I294,Scope[[Role]:[Description]],2,FALSE)="In")</f>
        <v>1</v>
      </c>
      <c r="T292" s="87">
        <f t="shared" si="19"/>
        <v>0</v>
      </c>
    </row>
    <row r="293" spans="1:60">
      <c r="A293" s="44" t="str">
        <f>Requirements!A295</f>
        <v>MS-SMB_R20203</v>
      </c>
      <c r="B293" s="87"/>
      <c r="C293" s="87"/>
      <c r="D293" s="87"/>
      <c r="E293" s="87"/>
      <c r="F293" s="87"/>
      <c r="G293" s="87"/>
      <c r="H293" s="87"/>
      <c r="I293" s="87"/>
      <c r="J293" s="87"/>
      <c r="K293" s="87"/>
      <c r="L293" s="87"/>
      <c r="M293" s="87"/>
      <c r="N293" s="87">
        <f t="shared" si="16"/>
        <v>0</v>
      </c>
      <c r="O293" s="87">
        <f t="shared" si="17"/>
        <v>0</v>
      </c>
      <c r="P293" s="87" t="b">
        <f t="shared" si="18"/>
        <v>0</v>
      </c>
      <c r="Q293" s="87" t="b">
        <f>(Requirements!K295="Normative")</f>
        <v>0</v>
      </c>
      <c r="R293" s="87" t="b">
        <f>AND(Requirements!L295&lt;&gt;"Non-testable",Requirements!L295&lt;&gt;"Deleted",Requirements!L295&lt;&gt;"")</f>
        <v>1</v>
      </c>
      <c r="S293" s="87" t="b">
        <f>(VLOOKUP(Requirements!I295,Scope[[Role]:[Description]],2,FALSE)="In")</f>
        <v>1</v>
      </c>
      <c r="T293" s="87">
        <f t="shared" si="19"/>
        <v>0</v>
      </c>
    </row>
    <row r="294" spans="1:60">
      <c r="A294" s="85" t="str">
        <f>Requirements!A296</f>
        <v>MS-SMB_R105338</v>
      </c>
      <c r="B294" s="87"/>
      <c r="C294" s="87"/>
      <c r="D294" s="87"/>
      <c r="E294" s="87"/>
      <c r="F294" s="87"/>
      <c r="G294" s="87"/>
      <c r="H294" s="87"/>
      <c r="I294" s="87"/>
      <c r="J294" s="87"/>
      <c r="K294" s="87"/>
      <c r="L294" s="87"/>
      <c r="M294" s="87"/>
      <c r="N294" s="87">
        <f t="shared" si="16"/>
        <v>0</v>
      </c>
      <c r="O294" s="61">
        <f t="shared" si="17"/>
        <v>0</v>
      </c>
      <c r="P294" s="61" t="b">
        <f t="shared" si="18"/>
        <v>1</v>
      </c>
      <c r="Q294" s="87" t="b">
        <f>(Requirements!K296="Normative")</f>
        <v>1</v>
      </c>
      <c r="R294" s="87" t="b">
        <f>AND(Requirements!L296&lt;&gt;"Non-testable",Requirements!L296&lt;&gt;"Deleted",Requirements!L296&lt;&gt;"")</f>
        <v>1</v>
      </c>
      <c r="S294" s="87" t="b">
        <f>(VLOOKUP(Requirements!I296,Scope[[Role]:[Description]],2,FALSE)="In")</f>
        <v>1</v>
      </c>
      <c r="T294" s="87">
        <f t="shared" si="19"/>
        <v>0</v>
      </c>
    </row>
    <row r="295" spans="1:60">
      <c r="A295" s="44" t="str">
        <f>Requirements!A297</f>
        <v>MS-SMB_R105351</v>
      </c>
      <c r="B295" s="87"/>
      <c r="C295" s="87"/>
      <c r="D295" s="87"/>
      <c r="E295" s="87"/>
      <c r="F295" s="87"/>
      <c r="G295" s="87"/>
      <c r="H295" s="87"/>
      <c r="I295" s="87"/>
      <c r="J295" s="87"/>
      <c r="K295" s="87"/>
      <c r="L295" s="87"/>
      <c r="M295" s="87"/>
      <c r="N295" s="87">
        <f t="shared" si="16"/>
        <v>0</v>
      </c>
      <c r="O295" s="87">
        <f t="shared" si="17"/>
        <v>0</v>
      </c>
      <c r="P295" s="87" t="b">
        <f t="shared" si="18"/>
        <v>0</v>
      </c>
      <c r="Q295" s="87" t="b">
        <f>(Requirements!K297="Normative")</f>
        <v>0</v>
      </c>
      <c r="R295" s="87" t="b">
        <f>AND(Requirements!L297&lt;&gt;"Non-testable",Requirements!L297&lt;&gt;"Deleted",Requirements!L297&lt;&gt;"")</f>
        <v>1</v>
      </c>
      <c r="S295" s="87" t="b">
        <f>(VLOOKUP(Requirements!I297,Scope[[Role]:[Description]],2,FALSE)="In")</f>
        <v>1</v>
      </c>
      <c r="T295" s="87">
        <f t="shared" si="19"/>
        <v>0</v>
      </c>
    </row>
    <row r="296" spans="1:60">
      <c r="A296" s="85" t="str">
        <f>Requirements!A298</f>
        <v>MS-SMB_R205351</v>
      </c>
      <c r="B296" s="87"/>
      <c r="C296" s="87"/>
      <c r="D296" s="87"/>
      <c r="E296" s="87"/>
      <c r="F296" s="87"/>
      <c r="G296" s="87"/>
      <c r="H296" s="87"/>
      <c r="I296" s="87"/>
      <c r="J296" s="87"/>
      <c r="K296" s="87"/>
      <c r="L296" s="87"/>
      <c r="M296" s="87"/>
      <c r="N296" s="87">
        <f t="shared" si="16"/>
        <v>0</v>
      </c>
      <c r="O296" s="61">
        <f t="shared" si="17"/>
        <v>0</v>
      </c>
      <c r="P296" s="61" t="b">
        <f t="shared" si="18"/>
        <v>1</v>
      </c>
      <c r="Q296" s="87" t="b">
        <f>(Requirements!K298="Normative")</f>
        <v>1</v>
      </c>
      <c r="R296" s="87" t="b">
        <f>AND(Requirements!L298&lt;&gt;"Non-testable",Requirements!L298&lt;&gt;"Deleted",Requirements!L298&lt;&gt;"")</f>
        <v>1</v>
      </c>
      <c r="S296" s="87" t="b">
        <f>(VLOOKUP(Requirements!I298,Scope[[Role]:[Description]],2,FALSE)="In")</f>
        <v>1</v>
      </c>
      <c r="T296" s="87">
        <f t="shared" si="19"/>
        <v>0</v>
      </c>
    </row>
    <row r="297" spans="1:60">
      <c r="A297" s="44" t="str">
        <f>Requirements!A299</f>
        <v>MS-SMB_R305351</v>
      </c>
      <c r="B297" s="87"/>
      <c r="C297" s="87"/>
      <c r="D297" s="87"/>
      <c r="E297" s="87"/>
      <c r="F297" s="87"/>
      <c r="G297" s="87"/>
      <c r="H297" s="87"/>
      <c r="I297" s="87"/>
      <c r="J297" s="87"/>
      <c r="K297" s="87"/>
      <c r="L297" s="87"/>
      <c r="M297" s="87"/>
      <c r="N297" s="87">
        <f t="shared" si="16"/>
        <v>0</v>
      </c>
      <c r="O297" s="87">
        <f t="shared" si="17"/>
        <v>0</v>
      </c>
      <c r="P297" s="87" t="b">
        <f t="shared" si="18"/>
        <v>0</v>
      </c>
      <c r="Q297" s="87" t="b">
        <f>(Requirements!K299="Normative")</f>
        <v>1</v>
      </c>
      <c r="R297" s="87" t="b">
        <f>AND(Requirements!L299&lt;&gt;"Non-testable",Requirements!L299&lt;&gt;"Deleted",Requirements!L299&lt;&gt;"")</f>
        <v>0</v>
      </c>
      <c r="S297" s="87" t="b">
        <f>(VLOOKUP(Requirements!I299,Scope[[Role]:[Description]],2,FALSE)="In")</f>
        <v>1</v>
      </c>
      <c r="T297" s="87">
        <f t="shared" si="19"/>
        <v>0</v>
      </c>
    </row>
    <row r="298" spans="1:60">
      <c r="A298" s="83" t="str">
        <f>Requirements!A300</f>
        <v>MS-SMB_R405351</v>
      </c>
      <c r="B298" s="46"/>
      <c r="C298" s="46"/>
      <c r="D298" s="46"/>
      <c r="E298" s="46"/>
      <c r="F298" s="46"/>
      <c r="G298" s="46"/>
      <c r="H298" s="46"/>
      <c r="I298" s="46"/>
      <c r="J298" s="46"/>
      <c r="K298" s="46"/>
      <c r="L298" s="46"/>
      <c r="M298" s="46"/>
      <c r="N298" s="46">
        <f t="shared" si="16"/>
        <v>0</v>
      </c>
      <c r="O298" s="46">
        <f t="shared" si="17"/>
        <v>0</v>
      </c>
      <c r="P298" s="46" t="b">
        <f t="shared" si="18"/>
        <v>0</v>
      </c>
      <c r="Q298" s="46" t="b">
        <f>(Requirements!K300="Normative")</f>
        <v>0</v>
      </c>
      <c r="R298" s="46" t="b">
        <f>AND(Requirements!L300&lt;&gt;"Non-testable",Requirements!L300&lt;&gt;"Deleted",Requirements!L300&lt;&gt;"")</f>
        <v>0</v>
      </c>
      <c r="S298" s="46" t="b">
        <f>(VLOOKUP(Requirements!I300,Scope[[Role]:[Description]],2,FALSE)="In")</f>
        <v>1</v>
      </c>
      <c r="T298" s="46">
        <f t="shared" si="19"/>
        <v>0</v>
      </c>
      <c r="U298" s="45"/>
      <c r="V298" s="45"/>
      <c r="W298" s="45"/>
      <c r="X298" s="45"/>
      <c r="Y298" s="45"/>
      <c r="Z298" s="45"/>
      <c r="AA298" s="45"/>
      <c r="AB298" s="45"/>
      <c r="AC298" s="45"/>
      <c r="AD298" s="45"/>
      <c r="AE298" s="45"/>
      <c r="AF298" s="45"/>
      <c r="AG298" s="45"/>
      <c r="AH298" s="45"/>
      <c r="AI298" s="45"/>
      <c r="AJ298" s="45"/>
      <c r="AK298" s="45"/>
      <c r="AL298" s="45"/>
      <c r="AM298" s="45"/>
      <c r="AN298" s="45"/>
      <c r="AO298" s="45"/>
      <c r="AP298" s="45"/>
      <c r="AQ298" s="45"/>
      <c r="AR298" s="45"/>
      <c r="AS298" s="45"/>
      <c r="AT298" s="45"/>
      <c r="AU298" s="45"/>
      <c r="AV298" s="45"/>
      <c r="AW298" s="45"/>
      <c r="AX298" s="45"/>
      <c r="AY298" s="45"/>
      <c r="AZ298" s="45"/>
      <c r="BA298" s="45"/>
      <c r="BB298" s="45"/>
      <c r="BC298" s="45"/>
      <c r="BD298" s="45"/>
      <c r="BE298" s="45"/>
      <c r="BF298" s="45"/>
      <c r="BG298" s="45"/>
      <c r="BH298" s="45"/>
    </row>
    <row r="299" spans="1:60">
      <c r="A299" s="85" t="str">
        <f>Requirements!A301</f>
        <v>MS-SMB_R505351</v>
      </c>
      <c r="B299" s="87"/>
      <c r="C299" s="87"/>
      <c r="D299" s="87"/>
      <c r="E299" s="87"/>
      <c r="F299" s="87"/>
      <c r="G299" s="87"/>
      <c r="H299" s="87"/>
      <c r="I299" s="87"/>
      <c r="J299" s="87"/>
      <c r="K299" s="87"/>
      <c r="L299" s="87"/>
      <c r="M299" s="87"/>
      <c r="N299" s="87">
        <f t="shared" si="16"/>
        <v>0</v>
      </c>
      <c r="O299" s="61">
        <f t="shared" si="17"/>
        <v>0</v>
      </c>
      <c r="P299" s="61" t="b">
        <f t="shared" si="18"/>
        <v>1</v>
      </c>
      <c r="Q299" s="87" t="b">
        <f>(Requirements!K301="Normative")</f>
        <v>1</v>
      </c>
      <c r="R299" s="87" t="b">
        <f>AND(Requirements!L301&lt;&gt;"Non-testable",Requirements!L301&lt;&gt;"Deleted",Requirements!L301&lt;&gt;"")</f>
        <v>1</v>
      </c>
      <c r="S299" s="87" t="b">
        <f>(VLOOKUP(Requirements!I301,Scope[[Role]:[Description]],2,FALSE)="In")</f>
        <v>1</v>
      </c>
      <c r="T299" s="87">
        <f t="shared" si="19"/>
        <v>0</v>
      </c>
    </row>
    <row r="300" spans="1:60">
      <c r="A300" s="44" t="str">
        <f>Requirements!A302</f>
        <v>MS-SMB_R605351</v>
      </c>
      <c r="B300" s="87"/>
      <c r="C300" s="87"/>
      <c r="D300" s="87"/>
      <c r="E300" s="87"/>
      <c r="F300" s="87"/>
      <c r="G300" s="87"/>
      <c r="H300" s="87"/>
      <c r="I300" s="87"/>
      <c r="J300" s="87"/>
      <c r="K300" s="87"/>
      <c r="L300" s="87"/>
      <c r="M300" s="87"/>
      <c r="N300" s="87">
        <f t="shared" si="16"/>
        <v>0</v>
      </c>
      <c r="O300" s="87">
        <f t="shared" si="17"/>
        <v>0</v>
      </c>
      <c r="P300" s="87" t="b">
        <f t="shared" si="18"/>
        <v>0</v>
      </c>
      <c r="Q300" s="87" t="b">
        <f>(Requirements!K302="Normative")</f>
        <v>1</v>
      </c>
      <c r="R300" s="87" t="b">
        <f>AND(Requirements!L302&lt;&gt;"Non-testable",Requirements!L302&lt;&gt;"Deleted",Requirements!L302&lt;&gt;"")</f>
        <v>0</v>
      </c>
      <c r="S300" s="87" t="b">
        <f>(VLOOKUP(Requirements!I302,Scope[[Role]:[Description]],2,FALSE)="In")</f>
        <v>1</v>
      </c>
      <c r="T300" s="87">
        <f t="shared" si="19"/>
        <v>0</v>
      </c>
    </row>
    <row r="301" spans="1:60">
      <c r="A301" s="44" t="str">
        <f>Requirements!A303</f>
        <v>MS-SMB_R705351</v>
      </c>
      <c r="B301" s="87"/>
      <c r="C301" s="87"/>
      <c r="D301" s="87"/>
      <c r="E301" s="87"/>
      <c r="F301" s="87"/>
      <c r="G301" s="87"/>
      <c r="H301" s="87"/>
      <c r="I301" s="87"/>
      <c r="J301" s="87"/>
      <c r="K301" s="87"/>
      <c r="L301" s="87"/>
      <c r="M301" s="87"/>
      <c r="N301" s="87">
        <f t="shared" si="16"/>
        <v>0</v>
      </c>
      <c r="O301" s="87">
        <f t="shared" si="17"/>
        <v>0</v>
      </c>
      <c r="P301" s="87" t="b">
        <f t="shared" si="18"/>
        <v>0</v>
      </c>
      <c r="Q301" s="87" t="b">
        <f>(Requirements!K303="Normative")</f>
        <v>1</v>
      </c>
      <c r="R301" s="87" t="b">
        <f>AND(Requirements!L303&lt;&gt;"Non-testable",Requirements!L303&lt;&gt;"Deleted",Requirements!L303&lt;&gt;"")</f>
        <v>0</v>
      </c>
      <c r="S301" s="87" t="b">
        <f>(VLOOKUP(Requirements!I303,Scope[[Role]:[Description]],2,FALSE)="In")</f>
        <v>1</v>
      </c>
      <c r="T301" s="87">
        <f t="shared" si="19"/>
        <v>0</v>
      </c>
    </row>
    <row r="302" spans="1:60">
      <c r="A302" s="85" t="str">
        <f>Requirements!A304</f>
        <v>MS-SMB_R805351</v>
      </c>
      <c r="B302" s="87"/>
      <c r="C302" s="87"/>
      <c r="D302" s="87"/>
      <c r="E302" s="87"/>
      <c r="F302" s="87"/>
      <c r="G302" s="87"/>
      <c r="H302" s="87"/>
      <c r="I302" s="87"/>
      <c r="J302" s="87"/>
      <c r="K302" s="87"/>
      <c r="L302" s="87"/>
      <c r="M302" s="87"/>
      <c r="N302" s="87">
        <f t="shared" si="16"/>
        <v>0</v>
      </c>
      <c r="O302" s="61">
        <f t="shared" si="17"/>
        <v>0</v>
      </c>
      <c r="P302" s="61" t="b">
        <f t="shared" si="18"/>
        <v>1</v>
      </c>
      <c r="Q302" s="87" t="b">
        <f>(Requirements!K304="Normative")</f>
        <v>1</v>
      </c>
      <c r="R302" s="87" t="b">
        <f>AND(Requirements!L304&lt;&gt;"Non-testable",Requirements!L304&lt;&gt;"Deleted",Requirements!L304&lt;&gt;"")</f>
        <v>1</v>
      </c>
      <c r="S302" s="87" t="b">
        <f>(VLOOKUP(Requirements!I304,Scope[[Role]:[Description]],2,FALSE)="In")</f>
        <v>1</v>
      </c>
      <c r="T302" s="87">
        <f t="shared" si="19"/>
        <v>0</v>
      </c>
    </row>
    <row r="303" spans="1:60">
      <c r="A303" s="85" t="str">
        <f>Requirements!A305</f>
        <v>MS-SMB_R905351</v>
      </c>
      <c r="B303" s="87"/>
      <c r="C303" s="87"/>
      <c r="D303" s="87"/>
      <c r="E303" s="87"/>
      <c r="F303" s="87"/>
      <c r="G303" s="87"/>
      <c r="H303" s="87"/>
      <c r="I303" s="87"/>
      <c r="J303" s="87"/>
      <c r="K303" s="87"/>
      <c r="L303" s="87"/>
      <c r="M303" s="87"/>
      <c r="N303" s="87">
        <f t="shared" si="16"/>
        <v>0</v>
      </c>
      <c r="O303" s="61">
        <f t="shared" si="17"/>
        <v>0</v>
      </c>
      <c r="P303" s="61" t="b">
        <f t="shared" si="18"/>
        <v>1</v>
      </c>
      <c r="Q303" s="87" t="b">
        <f>(Requirements!K305="Normative")</f>
        <v>1</v>
      </c>
      <c r="R303" s="87" t="b">
        <f>AND(Requirements!L305&lt;&gt;"Non-testable",Requirements!L305&lt;&gt;"Deleted",Requirements!L305&lt;&gt;"")</f>
        <v>1</v>
      </c>
      <c r="S303" s="87" t="b">
        <f>(VLOOKUP(Requirements!I305,Scope[[Role]:[Description]],2,FALSE)="In")</f>
        <v>1</v>
      </c>
      <c r="T303" s="87">
        <f t="shared" si="19"/>
        <v>0</v>
      </c>
    </row>
    <row r="304" spans="1:60">
      <c r="A304" s="85" t="str">
        <f>Requirements!A306</f>
        <v>MS-SMB_R115351</v>
      </c>
      <c r="B304" s="87"/>
      <c r="C304" s="87"/>
      <c r="D304" s="87"/>
      <c r="E304" s="87"/>
      <c r="F304" s="87"/>
      <c r="G304" s="87"/>
      <c r="H304" s="87"/>
      <c r="I304" s="87"/>
      <c r="J304" s="87"/>
      <c r="K304" s="87"/>
      <c r="L304" s="87"/>
      <c r="M304" s="87"/>
      <c r="N304" s="87">
        <f t="shared" si="16"/>
        <v>0</v>
      </c>
      <c r="O304" s="61">
        <f t="shared" si="17"/>
        <v>0</v>
      </c>
      <c r="P304" s="61" t="b">
        <f t="shared" si="18"/>
        <v>1</v>
      </c>
      <c r="Q304" s="87" t="b">
        <f>(Requirements!K306="Normative")</f>
        <v>1</v>
      </c>
      <c r="R304" s="87" t="b">
        <f>AND(Requirements!L306&lt;&gt;"Non-testable",Requirements!L306&lt;&gt;"Deleted",Requirements!L306&lt;&gt;"")</f>
        <v>1</v>
      </c>
      <c r="S304" s="87" t="b">
        <f>(VLOOKUP(Requirements!I306,Scope[[Role]:[Description]],2,FALSE)="In")</f>
        <v>1</v>
      </c>
      <c r="T304" s="87">
        <f t="shared" si="19"/>
        <v>0</v>
      </c>
    </row>
    <row r="305" spans="1:60">
      <c r="A305" s="44" t="str">
        <f>Requirements!A307</f>
        <v>MS-SMB_R125351</v>
      </c>
      <c r="B305" s="87"/>
      <c r="C305" s="87"/>
      <c r="D305" s="87"/>
      <c r="E305" s="87"/>
      <c r="F305" s="87"/>
      <c r="G305" s="87"/>
      <c r="H305" s="87"/>
      <c r="I305" s="87"/>
      <c r="J305" s="87"/>
      <c r="K305" s="87"/>
      <c r="L305" s="87"/>
      <c r="M305" s="87"/>
      <c r="N305" s="87">
        <f t="shared" si="16"/>
        <v>0</v>
      </c>
      <c r="O305" s="87">
        <f t="shared" si="17"/>
        <v>0</v>
      </c>
      <c r="P305" s="87" t="b">
        <f t="shared" si="18"/>
        <v>0</v>
      </c>
      <c r="Q305" s="87" t="b">
        <f>(Requirements!K307="Normative")</f>
        <v>0</v>
      </c>
      <c r="R305" s="87" t="b">
        <f>AND(Requirements!L307&lt;&gt;"Non-testable",Requirements!L307&lt;&gt;"Deleted",Requirements!L307&lt;&gt;"")</f>
        <v>1</v>
      </c>
      <c r="S305" s="87" t="b">
        <f>(VLOOKUP(Requirements!I307,Scope[[Role]:[Description]],2,FALSE)="In")</f>
        <v>1</v>
      </c>
      <c r="T305" s="87">
        <f t="shared" si="19"/>
        <v>0</v>
      </c>
    </row>
    <row r="306" spans="1:60">
      <c r="A306" s="85" t="str">
        <f>Requirements!A308</f>
        <v>MS-SMB_R135351</v>
      </c>
      <c r="B306" s="87"/>
      <c r="C306" s="87"/>
      <c r="D306" s="87"/>
      <c r="E306" s="87"/>
      <c r="F306" s="87"/>
      <c r="G306" s="87"/>
      <c r="H306" s="87"/>
      <c r="I306" s="87"/>
      <c r="J306" s="87"/>
      <c r="K306" s="87"/>
      <c r="L306" s="87"/>
      <c r="M306" s="87"/>
      <c r="N306" s="87">
        <f t="shared" si="16"/>
        <v>0</v>
      </c>
      <c r="O306" s="61">
        <f t="shared" si="17"/>
        <v>0</v>
      </c>
      <c r="P306" s="61" t="b">
        <f t="shared" si="18"/>
        <v>1</v>
      </c>
      <c r="Q306" s="87" t="b">
        <f>(Requirements!K308="Normative")</f>
        <v>1</v>
      </c>
      <c r="R306" s="87" t="b">
        <f>AND(Requirements!L308&lt;&gt;"Non-testable",Requirements!L308&lt;&gt;"Deleted",Requirements!L308&lt;&gt;"")</f>
        <v>1</v>
      </c>
      <c r="S306" s="87" t="b">
        <f>(VLOOKUP(Requirements!I308,Scope[[Role]:[Description]],2,FALSE)="In")</f>
        <v>1</v>
      </c>
      <c r="T306" s="87">
        <f t="shared" si="19"/>
        <v>0</v>
      </c>
    </row>
    <row r="307" spans="1:60">
      <c r="A307" s="44" t="str">
        <f>Requirements!A309</f>
        <v>MS-SMB_R145351</v>
      </c>
      <c r="B307" s="87"/>
      <c r="C307" s="87"/>
      <c r="D307" s="87"/>
      <c r="E307" s="87"/>
      <c r="F307" s="87"/>
      <c r="G307" s="87"/>
      <c r="H307" s="87"/>
      <c r="I307" s="87"/>
      <c r="J307" s="87"/>
      <c r="K307" s="87"/>
      <c r="L307" s="87"/>
      <c r="M307" s="87"/>
      <c r="N307" s="87">
        <f t="shared" si="16"/>
        <v>0</v>
      </c>
      <c r="O307" s="87">
        <f t="shared" si="17"/>
        <v>0</v>
      </c>
      <c r="P307" s="87" t="b">
        <f t="shared" si="18"/>
        <v>0</v>
      </c>
      <c r="Q307" s="87" t="b">
        <f>(Requirements!K309="Normative")</f>
        <v>1</v>
      </c>
      <c r="R307" s="87" t="b">
        <f>AND(Requirements!L309&lt;&gt;"Non-testable",Requirements!L309&lt;&gt;"Deleted",Requirements!L309&lt;&gt;"")</f>
        <v>0</v>
      </c>
      <c r="S307" s="87" t="b">
        <f>(VLOOKUP(Requirements!I309,Scope[[Role]:[Description]],2,FALSE)="In")</f>
        <v>1</v>
      </c>
      <c r="T307" s="87">
        <f t="shared" si="19"/>
        <v>0</v>
      </c>
    </row>
    <row r="308" spans="1:60">
      <c r="A308" s="83" t="str">
        <f>Requirements!A310</f>
        <v>MS-SMB_R155351</v>
      </c>
      <c r="B308" s="46"/>
      <c r="C308" s="46"/>
      <c r="D308" s="46"/>
      <c r="E308" s="46"/>
      <c r="F308" s="46"/>
      <c r="G308" s="46"/>
      <c r="H308" s="46"/>
      <c r="I308" s="46"/>
      <c r="J308" s="46"/>
      <c r="K308" s="46"/>
      <c r="L308" s="46"/>
      <c r="M308" s="46"/>
      <c r="N308" s="46">
        <f t="shared" si="16"/>
        <v>0</v>
      </c>
      <c r="O308" s="46">
        <f t="shared" si="17"/>
        <v>0</v>
      </c>
      <c r="P308" s="46" t="b">
        <f t="shared" si="18"/>
        <v>0</v>
      </c>
      <c r="Q308" s="46" t="b">
        <f>(Requirements!K310="Normative")</f>
        <v>0</v>
      </c>
      <c r="R308" s="46" t="b">
        <f>AND(Requirements!L310&lt;&gt;"Non-testable",Requirements!L310&lt;&gt;"Deleted",Requirements!L310&lt;&gt;"")</f>
        <v>0</v>
      </c>
      <c r="S308" s="46" t="b">
        <f>(VLOOKUP(Requirements!I310,Scope[[Role]:[Description]],2,FALSE)="In")</f>
        <v>1</v>
      </c>
      <c r="T308" s="46">
        <f t="shared" si="19"/>
        <v>0</v>
      </c>
      <c r="U308" s="45"/>
      <c r="V308" s="45"/>
      <c r="W308" s="45"/>
      <c r="X308" s="45"/>
      <c r="Y308" s="45"/>
      <c r="Z308" s="45"/>
      <c r="AA308" s="45"/>
      <c r="AB308" s="45"/>
      <c r="AC308" s="45"/>
      <c r="AD308" s="45"/>
      <c r="AE308" s="45"/>
      <c r="AF308" s="45"/>
      <c r="AG308" s="45"/>
      <c r="AH308" s="45"/>
      <c r="AI308" s="45"/>
      <c r="AJ308" s="45"/>
      <c r="AK308" s="45"/>
      <c r="AL308" s="45"/>
      <c r="AM308" s="45"/>
      <c r="AN308" s="45"/>
      <c r="AO308" s="45"/>
      <c r="AP308" s="45"/>
      <c r="AQ308" s="45"/>
      <c r="AR308" s="45"/>
      <c r="AS308" s="45"/>
      <c r="AT308" s="45"/>
      <c r="AU308" s="45"/>
      <c r="AV308" s="45"/>
      <c r="AW308" s="45"/>
      <c r="AX308" s="45"/>
      <c r="AY308" s="45"/>
      <c r="AZ308" s="45"/>
      <c r="BA308" s="45"/>
      <c r="BB308" s="45"/>
      <c r="BC308" s="45"/>
      <c r="BD308" s="45"/>
      <c r="BE308" s="45"/>
      <c r="BF308" s="45"/>
      <c r="BG308" s="45"/>
      <c r="BH308" s="45"/>
    </row>
    <row r="309" spans="1:60">
      <c r="A309" s="44" t="str">
        <f>Requirements!A311</f>
        <v>MS-SMB_R9190</v>
      </c>
      <c r="B309" s="87"/>
      <c r="C309" s="87"/>
      <c r="D309" s="87"/>
      <c r="E309" s="87"/>
      <c r="F309" s="87"/>
      <c r="G309" s="87"/>
      <c r="H309" s="87"/>
      <c r="I309" s="87"/>
      <c r="J309" s="87"/>
      <c r="K309" s="87"/>
      <c r="L309" s="87"/>
      <c r="M309" s="87"/>
      <c r="N309" s="87">
        <f t="shared" si="16"/>
        <v>0</v>
      </c>
      <c r="O309" s="87">
        <f t="shared" si="17"/>
        <v>0</v>
      </c>
      <c r="P309" s="87" t="b">
        <f t="shared" si="18"/>
        <v>0</v>
      </c>
      <c r="Q309" s="87" t="b">
        <f>(Requirements!K311="Normative")</f>
        <v>0</v>
      </c>
      <c r="R309" s="87" t="b">
        <f>AND(Requirements!L311&lt;&gt;"Non-testable",Requirements!L311&lt;&gt;"Deleted",Requirements!L311&lt;&gt;"")</f>
        <v>1</v>
      </c>
      <c r="S309" s="87" t="b">
        <f>(VLOOKUP(Requirements!I311,Scope[[Role]:[Description]],2,FALSE)="In")</f>
        <v>1</v>
      </c>
      <c r="T309" s="87">
        <f t="shared" si="19"/>
        <v>0</v>
      </c>
    </row>
    <row r="310" spans="1:60">
      <c r="A310" s="44" t="str">
        <f>Requirements!A312</f>
        <v>MS-SMB_R9192</v>
      </c>
      <c r="B310" s="87"/>
      <c r="C310" s="87"/>
      <c r="D310" s="87"/>
      <c r="E310" s="87"/>
      <c r="F310" s="87"/>
      <c r="G310" s="87"/>
      <c r="H310" s="87"/>
      <c r="I310" s="87"/>
      <c r="J310" s="87"/>
      <c r="K310" s="87"/>
      <c r="L310" s="87"/>
      <c r="M310" s="87"/>
      <c r="N310" s="87">
        <f t="shared" si="16"/>
        <v>0</v>
      </c>
      <c r="O310" s="87">
        <f t="shared" si="17"/>
        <v>0</v>
      </c>
      <c r="P310" s="87" t="b">
        <f t="shared" si="18"/>
        <v>0</v>
      </c>
      <c r="Q310" s="87" t="b">
        <f>(Requirements!K312="Normative")</f>
        <v>0</v>
      </c>
      <c r="R310" s="87" t="b">
        <f>AND(Requirements!L312&lt;&gt;"Non-testable",Requirements!L312&lt;&gt;"Deleted",Requirements!L312&lt;&gt;"")</f>
        <v>1</v>
      </c>
      <c r="S310" s="87" t="b">
        <f>(VLOOKUP(Requirements!I312,Scope[[Role]:[Description]],2,FALSE)="In")</f>
        <v>1</v>
      </c>
      <c r="T310" s="87">
        <f t="shared" si="19"/>
        <v>0</v>
      </c>
    </row>
    <row r="311" spans="1:60">
      <c r="A311" s="44" t="str">
        <f>Requirements!A313</f>
        <v>MS-SMB_R9893</v>
      </c>
      <c r="B311" s="87"/>
      <c r="C311" s="87"/>
      <c r="D311" s="87"/>
      <c r="E311" s="87"/>
      <c r="F311" s="87"/>
      <c r="G311" s="87"/>
      <c r="H311" s="87"/>
      <c r="I311" s="87"/>
      <c r="J311" s="87"/>
      <c r="K311" s="87"/>
      <c r="L311" s="87"/>
      <c r="M311" s="87"/>
      <c r="N311" s="87">
        <f t="shared" si="16"/>
        <v>0</v>
      </c>
      <c r="O311" s="87">
        <f t="shared" si="17"/>
        <v>0</v>
      </c>
      <c r="P311" s="87" t="b">
        <f t="shared" si="18"/>
        <v>0</v>
      </c>
      <c r="Q311" s="87" t="b">
        <f>(Requirements!K313="Normative")</f>
        <v>1</v>
      </c>
      <c r="R311" s="87" t="b">
        <f>AND(Requirements!L313&lt;&gt;"Non-testable",Requirements!L313&lt;&gt;"Deleted",Requirements!L313&lt;&gt;"")</f>
        <v>0</v>
      </c>
      <c r="S311" s="87" t="b">
        <f>(VLOOKUP(Requirements!I313,Scope[[Role]:[Description]],2,FALSE)="In")</f>
        <v>1</v>
      </c>
      <c r="T311" s="87">
        <f t="shared" si="19"/>
        <v>0</v>
      </c>
    </row>
    <row r="312" spans="1:60">
      <c r="A312" s="44" t="str">
        <f>Requirements!A314</f>
        <v>MS-SMB_R9894</v>
      </c>
      <c r="B312" s="87"/>
      <c r="C312" s="87"/>
      <c r="D312" s="87"/>
      <c r="E312" s="87"/>
      <c r="F312" s="87"/>
      <c r="G312" s="87"/>
      <c r="H312" s="87"/>
      <c r="I312" s="87"/>
      <c r="J312" s="87"/>
      <c r="K312" s="87"/>
      <c r="L312" s="87"/>
      <c r="M312" s="87"/>
      <c r="N312" s="87">
        <f t="shared" si="16"/>
        <v>0</v>
      </c>
      <c r="O312" s="87">
        <f t="shared" si="17"/>
        <v>0</v>
      </c>
      <c r="P312" s="87" t="b">
        <f t="shared" si="18"/>
        <v>0</v>
      </c>
      <c r="Q312" s="87" t="b">
        <f>(Requirements!K314="Normative")</f>
        <v>1</v>
      </c>
      <c r="R312" s="87" t="b">
        <f>AND(Requirements!L314&lt;&gt;"Non-testable",Requirements!L314&lt;&gt;"Deleted",Requirements!L314&lt;&gt;"")</f>
        <v>0</v>
      </c>
      <c r="S312" s="87" t="b">
        <f>(VLOOKUP(Requirements!I314,Scope[[Role]:[Description]],2,FALSE)="In")</f>
        <v>1</v>
      </c>
      <c r="T312" s="87">
        <f t="shared" si="19"/>
        <v>0</v>
      </c>
    </row>
    <row r="313" spans="1:60">
      <c r="A313" s="44" t="str">
        <f>Requirements!A315</f>
        <v>MS-SMB_R9895</v>
      </c>
      <c r="B313" s="87"/>
      <c r="C313" s="87"/>
      <c r="D313" s="87"/>
      <c r="E313" s="87"/>
      <c r="F313" s="87"/>
      <c r="G313" s="87"/>
      <c r="H313" s="87"/>
      <c r="I313" s="87"/>
      <c r="J313" s="87"/>
      <c r="K313" s="87"/>
      <c r="L313" s="87"/>
      <c r="M313" s="87"/>
      <c r="N313" s="87">
        <f t="shared" si="16"/>
        <v>0</v>
      </c>
      <c r="O313" s="87">
        <f t="shared" si="17"/>
        <v>0</v>
      </c>
      <c r="P313" s="87" t="b">
        <f t="shared" si="18"/>
        <v>0</v>
      </c>
      <c r="Q313" s="87" t="b">
        <f>(Requirements!K315="Normative")</f>
        <v>0</v>
      </c>
      <c r="R313" s="87" t="b">
        <f>AND(Requirements!L315&lt;&gt;"Non-testable",Requirements!L315&lt;&gt;"Deleted",Requirements!L315&lt;&gt;"")</f>
        <v>1</v>
      </c>
      <c r="S313" s="87" t="b">
        <f>(VLOOKUP(Requirements!I315,Scope[[Role]:[Description]],2,FALSE)="In")</f>
        <v>1</v>
      </c>
      <c r="T313" s="87">
        <f t="shared" si="19"/>
        <v>0</v>
      </c>
    </row>
    <row r="314" spans="1:60">
      <c r="A314" s="44" t="str">
        <f>Requirements!A316</f>
        <v>MS-SMB_R9896</v>
      </c>
      <c r="B314" s="87"/>
      <c r="C314" s="87"/>
      <c r="D314" s="87"/>
      <c r="E314" s="87"/>
      <c r="F314" s="87"/>
      <c r="G314" s="87"/>
      <c r="H314" s="87"/>
      <c r="I314" s="87"/>
      <c r="J314" s="87"/>
      <c r="K314" s="87"/>
      <c r="L314" s="87"/>
      <c r="M314" s="87"/>
      <c r="N314" s="87">
        <f t="shared" si="16"/>
        <v>0</v>
      </c>
      <c r="O314" s="87">
        <f t="shared" si="17"/>
        <v>0</v>
      </c>
      <c r="P314" s="87" t="b">
        <f t="shared" si="18"/>
        <v>0</v>
      </c>
      <c r="Q314" s="87" t="b">
        <f>(Requirements!K316="Normative")</f>
        <v>0</v>
      </c>
      <c r="R314" s="87" t="b">
        <f>AND(Requirements!L316&lt;&gt;"Non-testable",Requirements!L316&lt;&gt;"Deleted",Requirements!L316&lt;&gt;"")</f>
        <v>1</v>
      </c>
      <c r="S314" s="87" t="b">
        <f>(VLOOKUP(Requirements!I316,Scope[[Role]:[Description]],2,FALSE)="In")</f>
        <v>1</v>
      </c>
      <c r="T314" s="87">
        <f t="shared" si="19"/>
        <v>0</v>
      </c>
    </row>
    <row r="315" spans="1:60">
      <c r="A315" s="44" t="str">
        <f>Requirements!A317</f>
        <v>MS-SMB_R9897</v>
      </c>
      <c r="B315" s="87"/>
      <c r="C315" s="87"/>
      <c r="D315" s="87"/>
      <c r="E315" s="87"/>
      <c r="F315" s="87"/>
      <c r="G315" s="87"/>
      <c r="H315" s="87"/>
      <c r="I315" s="87"/>
      <c r="J315" s="87"/>
      <c r="K315" s="87"/>
      <c r="L315" s="87"/>
      <c r="M315" s="87"/>
      <c r="N315" s="87">
        <f t="shared" si="16"/>
        <v>0</v>
      </c>
      <c r="O315" s="87">
        <f t="shared" si="17"/>
        <v>0</v>
      </c>
      <c r="P315" s="87" t="b">
        <f t="shared" si="18"/>
        <v>0</v>
      </c>
      <c r="Q315" s="87" t="b">
        <f>(Requirements!K317="Normative")</f>
        <v>0</v>
      </c>
      <c r="R315" s="87" t="b">
        <f>AND(Requirements!L317&lt;&gt;"Non-testable",Requirements!L317&lt;&gt;"Deleted",Requirements!L317&lt;&gt;"")</f>
        <v>1</v>
      </c>
      <c r="S315" s="87" t="b">
        <f>(VLOOKUP(Requirements!I317,Scope[[Role]:[Description]],2,FALSE)="In")</f>
        <v>1</v>
      </c>
      <c r="T315" s="87">
        <f t="shared" si="19"/>
        <v>0</v>
      </c>
    </row>
    <row r="316" spans="1:60">
      <c r="A316" s="44" t="str">
        <f>Requirements!A318</f>
        <v>MS-SMB_R9898</v>
      </c>
      <c r="B316" s="87"/>
      <c r="C316" s="87"/>
      <c r="D316" s="87"/>
      <c r="E316" s="87"/>
      <c r="F316" s="87"/>
      <c r="G316" s="87"/>
      <c r="H316" s="87"/>
      <c r="I316" s="87"/>
      <c r="J316" s="87"/>
      <c r="K316" s="87"/>
      <c r="L316" s="87"/>
      <c r="M316" s="87"/>
      <c r="N316" s="87">
        <f t="shared" si="16"/>
        <v>0</v>
      </c>
      <c r="O316" s="87">
        <f t="shared" si="17"/>
        <v>0</v>
      </c>
      <c r="P316" s="87" t="b">
        <f t="shared" si="18"/>
        <v>0</v>
      </c>
      <c r="Q316" s="87" t="b">
        <f>(Requirements!K318="Normative")</f>
        <v>0</v>
      </c>
      <c r="R316" s="87" t="b">
        <f>AND(Requirements!L318&lt;&gt;"Non-testable",Requirements!L318&lt;&gt;"Deleted",Requirements!L318&lt;&gt;"")</f>
        <v>1</v>
      </c>
      <c r="S316" s="87" t="b">
        <f>(VLOOKUP(Requirements!I318,Scope[[Role]:[Description]],2,FALSE)="In")</f>
        <v>1</v>
      </c>
      <c r="T316" s="87">
        <f t="shared" si="19"/>
        <v>0</v>
      </c>
    </row>
    <row r="317" spans="1:60">
      <c r="A317" s="44" t="str">
        <f>Requirements!A319</f>
        <v>MS-SMB_R9899</v>
      </c>
      <c r="B317" s="87"/>
      <c r="C317" s="87"/>
      <c r="D317" s="87"/>
      <c r="E317" s="87"/>
      <c r="F317" s="87"/>
      <c r="G317" s="87"/>
      <c r="H317" s="87"/>
      <c r="I317" s="87"/>
      <c r="J317" s="87"/>
      <c r="K317" s="87"/>
      <c r="L317" s="87"/>
      <c r="M317" s="87"/>
      <c r="N317" s="87">
        <f t="shared" si="16"/>
        <v>0</v>
      </c>
      <c r="O317" s="87">
        <f t="shared" si="17"/>
        <v>0</v>
      </c>
      <c r="P317" s="87" t="b">
        <f t="shared" si="18"/>
        <v>0</v>
      </c>
      <c r="Q317" s="87" t="b">
        <f>(Requirements!K319="Normative")</f>
        <v>0</v>
      </c>
      <c r="R317" s="87" t="b">
        <f>AND(Requirements!L319&lt;&gt;"Non-testable",Requirements!L319&lt;&gt;"Deleted",Requirements!L319&lt;&gt;"")</f>
        <v>1</v>
      </c>
      <c r="S317" s="87" t="b">
        <f>(VLOOKUP(Requirements!I319,Scope[[Role]:[Description]],2,FALSE)="In")</f>
        <v>1</v>
      </c>
      <c r="T317" s="87">
        <f t="shared" si="19"/>
        <v>0</v>
      </c>
    </row>
    <row r="318" spans="1:60">
      <c r="A318" s="44" t="str">
        <f>Requirements!A320</f>
        <v>MS-SMB_R9900</v>
      </c>
      <c r="B318" s="87"/>
      <c r="C318" s="87"/>
      <c r="D318" s="87"/>
      <c r="E318" s="87"/>
      <c r="F318" s="87"/>
      <c r="G318" s="87"/>
      <c r="H318" s="87"/>
      <c r="I318" s="87"/>
      <c r="J318" s="87"/>
      <c r="K318" s="87"/>
      <c r="L318" s="87"/>
      <c r="M318" s="87"/>
      <c r="N318" s="87">
        <f t="shared" si="16"/>
        <v>0</v>
      </c>
      <c r="O318" s="87">
        <f t="shared" si="17"/>
        <v>0</v>
      </c>
      <c r="P318" s="87" t="b">
        <f t="shared" si="18"/>
        <v>0</v>
      </c>
      <c r="Q318" s="87" t="b">
        <f>(Requirements!K320="Normative")</f>
        <v>1</v>
      </c>
      <c r="R318" s="87" t="b">
        <f>AND(Requirements!L320&lt;&gt;"Non-testable",Requirements!L320&lt;&gt;"Deleted",Requirements!L320&lt;&gt;"")</f>
        <v>0</v>
      </c>
      <c r="S318" s="87" t="b">
        <f>(VLOOKUP(Requirements!I320,Scope[[Role]:[Description]],2,FALSE)="In")</f>
        <v>1</v>
      </c>
      <c r="T318" s="87">
        <f t="shared" si="19"/>
        <v>0</v>
      </c>
    </row>
    <row r="319" spans="1:60">
      <c r="A319" s="44" t="str">
        <f>Requirements!A321</f>
        <v>MS-SMB_R11001</v>
      </c>
      <c r="B319" s="87"/>
      <c r="C319" s="87"/>
      <c r="D319" s="87"/>
      <c r="E319" s="87"/>
      <c r="F319" s="87"/>
      <c r="G319" s="87"/>
      <c r="H319" s="87"/>
      <c r="I319" s="87"/>
      <c r="J319" s="87"/>
      <c r="K319" s="87"/>
      <c r="L319" s="87"/>
      <c r="M319" s="87"/>
      <c r="N319" s="87">
        <f t="shared" si="16"/>
        <v>0</v>
      </c>
      <c r="O319" s="87">
        <f t="shared" si="17"/>
        <v>0</v>
      </c>
      <c r="P319" s="87" t="b">
        <f t="shared" si="18"/>
        <v>0</v>
      </c>
      <c r="Q319" s="87" t="b">
        <f>(Requirements!K321="Normative")</f>
        <v>1</v>
      </c>
      <c r="R319" s="87" t="b">
        <f>AND(Requirements!L321&lt;&gt;"Non-testable",Requirements!L321&lt;&gt;"Deleted",Requirements!L321&lt;&gt;"")</f>
        <v>0</v>
      </c>
      <c r="S319" s="87" t="b">
        <f>(VLOOKUP(Requirements!I321,Scope[[Role]:[Description]],2,FALSE)="In")</f>
        <v>1</v>
      </c>
      <c r="T319" s="87">
        <f t="shared" si="19"/>
        <v>0</v>
      </c>
    </row>
    <row r="320" spans="1:60">
      <c r="A320" s="44" t="str">
        <f>Requirements!A322</f>
        <v>MS-SMB_R9901</v>
      </c>
      <c r="B320" s="87"/>
      <c r="C320" s="87"/>
      <c r="D320" s="87"/>
      <c r="E320" s="87"/>
      <c r="F320" s="87"/>
      <c r="G320" s="87"/>
      <c r="H320" s="87"/>
      <c r="I320" s="87"/>
      <c r="J320" s="87"/>
      <c r="K320" s="87"/>
      <c r="L320" s="87"/>
      <c r="M320" s="87"/>
      <c r="N320" s="87">
        <f t="shared" si="16"/>
        <v>0</v>
      </c>
      <c r="O320" s="87">
        <f t="shared" si="17"/>
        <v>0</v>
      </c>
      <c r="P320" s="87" t="b">
        <f t="shared" si="18"/>
        <v>0</v>
      </c>
      <c r="Q320" s="87" t="b">
        <f>(Requirements!K322="Normative")</f>
        <v>1</v>
      </c>
      <c r="R320" s="87" t="b">
        <f>AND(Requirements!L322&lt;&gt;"Non-testable",Requirements!L322&lt;&gt;"Deleted",Requirements!L322&lt;&gt;"")</f>
        <v>0</v>
      </c>
      <c r="S320" s="87" t="b">
        <f>(VLOOKUP(Requirements!I322,Scope[[Role]:[Description]],2,FALSE)="In")</f>
        <v>1</v>
      </c>
      <c r="T320" s="87">
        <f t="shared" si="19"/>
        <v>0</v>
      </c>
    </row>
    <row r="321" spans="1:60">
      <c r="A321" s="83" t="str">
        <f>Requirements!A323</f>
        <v>MS-SMB_R109901</v>
      </c>
      <c r="B321" s="46"/>
      <c r="C321" s="46"/>
      <c r="D321" s="46"/>
      <c r="E321" s="46"/>
      <c r="F321" s="46"/>
      <c r="G321" s="46"/>
      <c r="H321" s="46"/>
      <c r="I321" s="46"/>
      <c r="J321" s="46"/>
      <c r="K321" s="46"/>
      <c r="L321" s="46"/>
      <c r="M321" s="46"/>
      <c r="N321" s="46">
        <f t="shared" si="16"/>
        <v>0</v>
      </c>
      <c r="O321" s="46">
        <f t="shared" si="17"/>
        <v>0</v>
      </c>
      <c r="P321" s="46" t="b">
        <f t="shared" si="18"/>
        <v>0</v>
      </c>
      <c r="Q321" s="46" t="b">
        <f>(Requirements!K323="Normative")</f>
        <v>0</v>
      </c>
      <c r="R321" s="46" t="b">
        <f>AND(Requirements!L323&lt;&gt;"Non-testable",Requirements!L323&lt;&gt;"Deleted",Requirements!L323&lt;&gt;"")</f>
        <v>0</v>
      </c>
      <c r="S321" s="46" t="b">
        <f>(VLOOKUP(Requirements!I323,Scope[[Role]:[Description]],2,FALSE)="In")</f>
        <v>1</v>
      </c>
      <c r="T321" s="46">
        <f t="shared" si="19"/>
        <v>0</v>
      </c>
      <c r="U321" s="45"/>
      <c r="V321" s="45"/>
      <c r="W321" s="45"/>
      <c r="X321" s="45"/>
      <c r="Y321" s="45"/>
      <c r="Z321" s="45"/>
      <c r="AA321" s="45"/>
      <c r="AB321" s="45"/>
      <c r="AC321" s="45"/>
      <c r="AD321" s="45"/>
      <c r="AE321" s="45"/>
      <c r="AF321" s="45"/>
      <c r="AG321" s="45"/>
      <c r="AH321" s="45"/>
      <c r="AI321" s="45"/>
      <c r="AJ321" s="45"/>
      <c r="AK321" s="45"/>
      <c r="AL321" s="45"/>
      <c r="AM321" s="45"/>
      <c r="AN321" s="45"/>
      <c r="AO321" s="45"/>
      <c r="AP321" s="45"/>
      <c r="AQ321" s="45"/>
      <c r="AR321" s="45"/>
      <c r="AS321" s="45"/>
      <c r="AT321" s="45"/>
      <c r="AU321" s="45"/>
      <c r="AV321" s="45"/>
      <c r="AW321" s="45"/>
      <c r="AX321" s="45"/>
      <c r="AY321" s="45"/>
      <c r="AZ321" s="45"/>
      <c r="BA321" s="45"/>
      <c r="BB321" s="45"/>
      <c r="BC321" s="45"/>
      <c r="BD321" s="45"/>
      <c r="BE321" s="45"/>
      <c r="BF321" s="45"/>
      <c r="BG321" s="45"/>
      <c r="BH321" s="45"/>
    </row>
    <row r="322" spans="1:60">
      <c r="A322" s="85" t="str">
        <f>Requirements!A324</f>
        <v>MS-SMB_R9902</v>
      </c>
      <c r="B322" s="87"/>
      <c r="C322" s="87"/>
      <c r="D322" s="87"/>
      <c r="E322" s="87"/>
      <c r="F322" s="87"/>
      <c r="G322" s="87"/>
      <c r="H322" s="87"/>
      <c r="I322" s="87"/>
      <c r="J322" s="87"/>
      <c r="K322" s="87"/>
      <c r="L322" s="87"/>
      <c r="M322" s="87"/>
      <c r="N322" s="87">
        <f t="shared" si="16"/>
        <v>0</v>
      </c>
      <c r="O322" s="61">
        <f t="shared" si="17"/>
        <v>0</v>
      </c>
      <c r="P322" s="61" t="b">
        <f t="shared" si="18"/>
        <v>1</v>
      </c>
      <c r="Q322" s="87" t="b">
        <f>(Requirements!K324="Normative")</f>
        <v>1</v>
      </c>
      <c r="R322" s="87" t="b">
        <f>AND(Requirements!L324&lt;&gt;"Non-testable",Requirements!L324&lt;&gt;"Deleted",Requirements!L324&lt;&gt;"")</f>
        <v>1</v>
      </c>
      <c r="S322" s="87" t="b">
        <f>(VLOOKUP(Requirements!I324,Scope[[Role]:[Description]],2,FALSE)="In")</f>
        <v>1</v>
      </c>
      <c r="T322" s="87">
        <f t="shared" si="19"/>
        <v>0</v>
      </c>
    </row>
    <row r="323" spans="1:60">
      <c r="A323" s="44" t="str">
        <f>Requirements!A325</f>
        <v>MS-SMB_R9903</v>
      </c>
      <c r="B323" s="87"/>
      <c r="C323" s="87"/>
      <c r="D323" s="87"/>
      <c r="E323" s="87"/>
      <c r="F323" s="87"/>
      <c r="G323" s="87"/>
      <c r="H323" s="87"/>
      <c r="I323" s="87"/>
      <c r="J323" s="87"/>
      <c r="K323" s="87"/>
      <c r="L323" s="87"/>
      <c r="M323" s="87"/>
      <c r="N323" s="87">
        <f t="shared" si="16"/>
        <v>0</v>
      </c>
      <c r="O323" s="87">
        <f t="shared" si="17"/>
        <v>0</v>
      </c>
      <c r="P323" s="87" t="b">
        <f t="shared" si="18"/>
        <v>0</v>
      </c>
      <c r="Q323" s="87" t="b">
        <f>(Requirements!K325="Normative")</f>
        <v>0</v>
      </c>
      <c r="R323" s="87" t="b">
        <f>AND(Requirements!L325&lt;&gt;"Non-testable",Requirements!L325&lt;&gt;"Deleted",Requirements!L325&lt;&gt;"")</f>
        <v>1</v>
      </c>
      <c r="S323" s="87" t="b">
        <f>(VLOOKUP(Requirements!I325,Scope[[Role]:[Description]],2,FALSE)="In")</f>
        <v>1</v>
      </c>
      <c r="T323" s="87">
        <f t="shared" si="19"/>
        <v>0</v>
      </c>
    </row>
    <row r="324" spans="1:60">
      <c r="A324" s="44" t="str">
        <f>Requirements!A326</f>
        <v>MS-SMB_R9904</v>
      </c>
      <c r="B324" s="87"/>
      <c r="C324" s="87"/>
      <c r="D324" s="87"/>
      <c r="E324" s="87"/>
      <c r="F324" s="87"/>
      <c r="G324" s="87"/>
      <c r="H324" s="87"/>
      <c r="I324" s="87"/>
      <c r="J324" s="87"/>
      <c r="K324" s="87"/>
      <c r="L324" s="87"/>
      <c r="M324" s="87"/>
      <c r="N324" s="87">
        <f t="shared" si="16"/>
        <v>0</v>
      </c>
      <c r="O324" s="87">
        <f t="shared" si="17"/>
        <v>0</v>
      </c>
      <c r="P324" s="87" t="b">
        <f t="shared" si="18"/>
        <v>0</v>
      </c>
      <c r="Q324" s="87" t="b">
        <f>(Requirements!K326="Normative")</f>
        <v>1</v>
      </c>
      <c r="R324" s="87" t="b">
        <f>AND(Requirements!L326&lt;&gt;"Non-testable",Requirements!L326&lt;&gt;"Deleted",Requirements!L326&lt;&gt;"")</f>
        <v>0</v>
      </c>
      <c r="S324" s="87" t="b">
        <f>(VLOOKUP(Requirements!I326,Scope[[Role]:[Description]],2,FALSE)="In")</f>
        <v>1</v>
      </c>
      <c r="T324" s="87">
        <f t="shared" si="19"/>
        <v>0</v>
      </c>
    </row>
    <row r="325" spans="1:60">
      <c r="A325" s="44" t="str">
        <f>Requirements!A327</f>
        <v>MS-SMB_R9905</v>
      </c>
      <c r="B325" s="87"/>
      <c r="C325" s="87"/>
      <c r="D325" s="87"/>
      <c r="E325" s="87"/>
      <c r="F325" s="87"/>
      <c r="G325" s="87"/>
      <c r="H325" s="87"/>
      <c r="I325" s="87"/>
      <c r="J325" s="87"/>
      <c r="K325" s="87"/>
      <c r="L325" s="87"/>
      <c r="M325" s="87"/>
      <c r="N325" s="87">
        <f t="shared" si="16"/>
        <v>0</v>
      </c>
      <c r="O325" s="87">
        <f t="shared" si="17"/>
        <v>0</v>
      </c>
      <c r="P325" s="87" t="b">
        <f t="shared" si="18"/>
        <v>0</v>
      </c>
      <c r="Q325" s="87" t="b">
        <f>(Requirements!K327="Normative")</f>
        <v>0</v>
      </c>
      <c r="R325" s="87" t="b">
        <f>AND(Requirements!L327&lt;&gt;"Non-testable",Requirements!L327&lt;&gt;"Deleted",Requirements!L327&lt;&gt;"")</f>
        <v>1</v>
      </c>
      <c r="S325" s="87" t="b">
        <f>(VLOOKUP(Requirements!I327,Scope[[Role]:[Description]],2,FALSE)="In")</f>
        <v>1</v>
      </c>
      <c r="T325" s="87">
        <f t="shared" si="19"/>
        <v>0</v>
      </c>
    </row>
    <row r="326" spans="1:60">
      <c r="A326" s="44" t="str">
        <f>Requirements!A328</f>
        <v>MS-SMB_R9906</v>
      </c>
      <c r="B326" s="87"/>
      <c r="C326" s="87"/>
      <c r="D326" s="87"/>
      <c r="E326" s="87"/>
      <c r="F326" s="87"/>
      <c r="G326" s="87"/>
      <c r="H326" s="87"/>
      <c r="I326" s="87"/>
      <c r="J326" s="87"/>
      <c r="K326" s="87"/>
      <c r="L326" s="87"/>
      <c r="M326" s="87"/>
      <c r="N326" s="87">
        <f t="shared" si="16"/>
        <v>0</v>
      </c>
      <c r="O326" s="87">
        <f t="shared" si="17"/>
        <v>0</v>
      </c>
      <c r="P326" s="87" t="b">
        <f t="shared" si="18"/>
        <v>0</v>
      </c>
      <c r="Q326" s="87" t="b">
        <f>(Requirements!K328="Normative")</f>
        <v>1</v>
      </c>
      <c r="R326" s="87" t="b">
        <f>AND(Requirements!L328&lt;&gt;"Non-testable",Requirements!L328&lt;&gt;"Deleted",Requirements!L328&lt;&gt;"")</f>
        <v>0</v>
      </c>
      <c r="S326" s="87" t="b">
        <f>(VLOOKUP(Requirements!I328,Scope[[Role]:[Description]],2,FALSE)="In")</f>
        <v>1</v>
      </c>
      <c r="T326" s="87">
        <f t="shared" si="19"/>
        <v>0</v>
      </c>
    </row>
    <row r="327" spans="1:60">
      <c r="A327" s="44" t="str">
        <f>Requirements!A329</f>
        <v>MS-SMB_R9907</v>
      </c>
      <c r="B327" s="87"/>
      <c r="C327" s="87"/>
      <c r="D327" s="87"/>
      <c r="E327" s="87"/>
      <c r="F327" s="87"/>
      <c r="G327" s="87"/>
      <c r="H327" s="87"/>
      <c r="I327" s="87"/>
      <c r="J327" s="87"/>
      <c r="K327" s="87"/>
      <c r="L327" s="87"/>
      <c r="M327" s="87"/>
      <c r="N327" s="87">
        <f t="shared" si="16"/>
        <v>0</v>
      </c>
      <c r="O327" s="87">
        <f t="shared" si="17"/>
        <v>0</v>
      </c>
      <c r="P327" s="87" t="b">
        <f t="shared" si="18"/>
        <v>0</v>
      </c>
      <c r="Q327" s="87" t="b">
        <f>(Requirements!K329="Normative")</f>
        <v>0</v>
      </c>
      <c r="R327" s="87" t="b">
        <f>AND(Requirements!L329&lt;&gt;"Non-testable",Requirements!L329&lt;&gt;"Deleted",Requirements!L329&lt;&gt;"")</f>
        <v>1</v>
      </c>
      <c r="S327" s="87" t="b">
        <f>(VLOOKUP(Requirements!I329,Scope[[Role]:[Description]],2,FALSE)="In")</f>
        <v>1</v>
      </c>
      <c r="T327" s="87">
        <f t="shared" si="19"/>
        <v>0</v>
      </c>
    </row>
    <row r="328" spans="1:60">
      <c r="A328" s="44" t="str">
        <f>Requirements!A330</f>
        <v>MS-SMB_R9908</v>
      </c>
      <c r="B328" s="87"/>
      <c r="C328" s="87"/>
      <c r="D328" s="87"/>
      <c r="E328" s="87"/>
      <c r="F328" s="87"/>
      <c r="G328" s="87"/>
      <c r="H328" s="87"/>
      <c r="I328" s="87"/>
      <c r="J328" s="87"/>
      <c r="K328" s="87"/>
      <c r="L328" s="87"/>
      <c r="M328" s="87"/>
      <c r="N328" s="87">
        <f t="shared" si="16"/>
        <v>0</v>
      </c>
      <c r="O328" s="87">
        <f t="shared" si="17"/>
        <v>0</v>
      </c>
      <c r="P328" s="87" t="b">
        <f t="shared" si="18"/>
        <v>0</v>
      </c>
      <c r="Q328" s="87" t="b">
        <f>(Requirements!K330="Normative")</f>
        <v>1</v>
      </c>
      <c r="R328" s="87" t="b">
        <f>AND(Requirements!L330&lt;&gt;"Non-testable",Requirements!L330&lt;&gt;"Deleted",Requirements!L330&lt;&gt;"")</f>
        <v>0</v>
      </c>
      <c r="S328" s="87" t="b">
        <f>(VLOOKUP(Requirements!I330,Scope[[Role]:[Description]],2,FALSE)="In")</f>
        <v>1</v>
      </c>
      <c r="T328" s="87">
        <f t="shared" si="19"/>
        <v>0</v>
      </c>
    </row>
    <row r="329" spans="1:60">
      <c r="A329" s="44" t="str">
        <f>Requirements!A331</f>
        <v>MS-SMB_R9909</v>
      </c>
      <c r="B329" s="87"/>
      <c r="C329" s="87"/>
      <c r="D329" s="87"/>
      <c r="E329" s="87"/>
      <c r="F329" s="87"/>
      <c r="G329" s="87"/>
      <c r="H329" s="87"/>
      <c r="I329" s="87"/>
      <c r="J329" s="87"/>
      <c r="K329" s="87"/>
      <c r="L329" s="87"/>
      <c r="M329" s="87"/>
      <c r="N329" s="87">
        <f t="shared" si="16"/>
        <v>0</v>
      </c>
      <c r="O329" s="87">
        <f t="shared" si="17"/>
        <v>0</v>
      </c>
      <c r="P329" s="87" t="b">
        <f t="shared" si="18"/>
        <v>0</v>
      </c>
      <c r="Q329" s="87" t="b">
        <f>(Requirements!K331="Normative")</f>
        <v>1</v>
      </c>
      <c r="R329" s="87" t="b">
        <f>AND(Requirements!L331&lt;&gt;"Non-testable",Requirements!L331&lt;&gt;"Deleted",Requirements!L331&lt;&gt;"")</f>
        <v>0</v>
      </c>
      <c r="S329" s="87" t="b">
        <f>(VLOOKUP(Requirements!I331,Scope[[Role]:[Description]],2,FALSE)="In")</f>
        <v>1</v>
      </c>
      <c r="T329" s="87">
        <f t="shared" si="19"/>
        <v>0</v>
      </c>
    </row>
    <row r="330" spans="1:60">
      <c r="A330" s="83" t="str">
        <f>Requirements!A332</f>
        <v>MS-SMB_R109909</v>
      </c>
      <c r="B330" s="46"/>
      <c r="C330" s="46"/>
      <c r="D330" s="46"/>
      <c r="E330" s="46"/>
      <c r="F330" s="46"/>
      <c r="G330" s="46"/>
      <c r="H330" s="46"/>
      <c r="I330" s="46"/>
      <c r="J330" s="46"/>
      <c r="K330" s="46"/>
      <c r="L330" s="46"/>
      <c r="M330" s="46"/>
      <c r="N330" s="46">
        <f t="shared" si="16"/>
        <v>0</v>
      </c>
      <c r="O330" s="46">
        <f t="shared" si="17"/>
        <v>0</v>
      </c>
      <c r="P330" s="46" t="b">
        <f t="shared" si="18"/>
        <v>0</v>
      </c>
      <c r="Q330" s="46" t="b">
        <f>(Requirements!K332="Normative")</f>
        <v>0</v>
      </c>
      <c r="R330" s="46" t="b">
        <f>AND(Requirements!L332&lt;&gt;"Non-testable",Requirements!L332&lt;&gt;"Deleted",Requirements!L332&lt;&gt;"")</f>
        <v>0</v>
      </c>
      <c r="S330" s="46" t="b">
        <f>(VLOOKUP(Requirements!I332,Scope[[Role]:[Description]],2,FALSE)="In")</f>
        <v>1</v>
      </c>
      <c r="T330" s="46">
        <f t="shared" si="19"/>
        <v>0</v>
      </c>
      <c r="U330" s="45"/>
      <c r="V330" s="45"/>
      <c r="W330" s="45"/>
      <c r="X330" s="45"/>
      <c r="Y330" s="45"/>
      <c r="Z330" s="45"/>
      <c r="AA330" s="45"/>
      <c r="AB330" s="45"/>
      <c r="AC330" s="45"/>
      <c r="AD330" s="45"/>
      <c r="AE330" s="45"/>
      <c r="AF330" s="45"/>
      <c r="AG330" s="45"/>
      <c r="AH330" s="45"/>
      <c r="AI330" s="45"/>
      <c r="AJ330" s="45"/>
      <c r="AK330" s="45"/>
      <c r="AL330" s="45"/>
      <c r="AM330" s="45"/>
      <c r="AN330" s="45"/>
      <c r="AO330" s="45"/>
      <c r="AP330" s="45"/>
      <c r="AQ330" s="45"/>
      <c r="AR330" s="45"/>
      <c r="AS330" s="45"/>
      <c r="AT330" s="45"/>
      <c r="AU330" s="45"/>
      <c r="AV330" s="45"/>
      <c r="AW330" s="45"/>
      <c r="AX330" s="45"/>
      <c r="AY330" s="45"/>
      <c r="AZ330" s="45"/>
      <c r="BA330" s="45"/>
      <c r="BB330" s="45"/>
      <c r="BC330" s="45"/>
      <c r="BD330" s="45"/>
      <c r="BE330" s="45"/>
      <c r="BF330" s="45"/>
      <c r="BG330" s="45"/>
      <c r="BH330" s="45"/>
    </row>
    <row r="331" spans="1:60">
      <c r="A331" s="44" t="str">
        <f>Requirements!A333</f>
        <v>MS-SMB_R9910</v>
      </c>
      <c r="B331" s="87"/>
      <c r="C331" s="87"/>
      <c r="D331" s="87"/>
      <c r="E331" s="87"/>
      <c r="F331" s="87"/>
      <c r="G331" s="87"/>
      <c r="H331" s="87"/>
      <c r="I331" s="87"/>
      <c r="J331" s="87"/>
      <c r="K331" s="87"/>
      <c r="L331" s="87"/>
      <c r="M331" s="87"/>
      <c r="N331" s="87">
        <f t="shared" si="16"/>
        <v>0</v>
      </c>
      <c r="O331" s="87">
        <f t="shared" si="17"/>
        <v>0</v>
      </c>
      <c r="P331" s="87" t="b">
        <f t="shared" si="18"/>
        <v>0</v>
      </c>
      <c r="Q331" s="87" t="b">
        <f>(Requirements!K333="Normative")</f>
        <v>0</v>
      </c>
      <c r="R331" s="87" t="b">
        <f>AND(Requirements!L333&lt;&gt;"Non-testable",Requirements!L333&lt;&gt;"Deleted",Requirements!L333&lt;&gt;"")</f>
        <v>1</v>
      </c>
      <c r="S331" s="87" t="b">
        <f>(VLOOKUP(Requirements!I333,Scope[[Role]:[Description]],2,FALSE)="In")</f>
        <v>1</v>
      </c>
      <c r="T331" s="87">
        <f t="shared" si="19"/>
        <v>0</v>
      </c>
    </row>
    <row r="332" spans="1:60">
      <c r="A332" s="44" t="str">
        <f>Requirements!A334</f>
        <v>MS-SMB_R9911</v>
      </c>
      <c r="B332" s="87"/>
      <c r="C332" s="87"/>
      <c r="D332" s="87"/>
      <c r="E332" s="87"/>
      <c r="F332" s="87"/>
      <c r="G332" s="87"/>
      <c r="H332" s="87"/>
      <c r="I332" s="87"/>
      <c r="J332" s="87"/>
      <c r="K332" s="87"/>
      <c r="L332" s="87"/>
      <c r="M332" s="87"/>
      <c r="N332" s="87">
        <f t="shared" si="16"/>
        <v>0</v>
      </c>
      <c r="O332" s="87">
        <f t="shared" si="17"/>
        <v>0</v>
      </c>
      <c r="P332" s="87" t="b">
        <f t="shared" si="18"/>
        <v>0</v>
      </c>
      <c r="Q332" s="87" t="b">
        <f>(Requirements!K334="Normative")</f>
        <v>0</v>
      </c>
      <c r="R332" s="87" t="b">
        <f>AND(Requirements!L334&lt;&gt;"Non-testable",Requirements!L334&lt;&gt;"Deleted",Requirements!L334&lt;&gt;"")</f>
        <v>1</v>
      </c>
      <c r="S332" s="87" t="b">
        <f>(VLOOKUP(Requirements!I334,Scope[[Role]:[Description]],2,FALSE)="In")</f>
        <v>1</v>
      </c>
      <c r="T332" s="87">
        <f t="shared" si="19"/>
        <v>0</v>
      </c>
    </row>
    <row r="333" spans="1:60">
      <c r="A333" s="44" t="str">
        <f>Requirements!A335</f>
        <v>MS-SMB_R9912</v>
      </c>
      <c r="B333" s="87"/>
      <c r="C333" s="87"/>
      <c r="D333" s="87"/>
      <c r="E333" s="87"/>
      <c r="F333" s="87"/>
      <c r="G333" s="87"/>
      <c r="H333" s="87"/>
      <c r="I333" s="87"/>
      <c r="J333" s="87"/>
      <c r="K333" s="87"/>
      <c r="L333" s="87"/>
      <c r="M333" s="87"/>
      <c r="N333" s="87">
        <f t="shared" si="16"/>
        <v>0</v>
      </c>
      <c r="O333" s="87">
        <f t="shared" si="17"/>
        <v>0</v>
      </c>
      <c r="P333" s="87" t="b">
        <f t="shared" si="18"/>
        <v>0</v>
      </c>
      <c r="Q333" s="87" t="b">
        <f>(Requirements!K335="Normative")</f>
        <v>0</v>
      </c>
      <c r="R333" s="87" t="b">
        <f>AND(Requirements!L335&lt;&gt;"Non-testable",Requirements!L335&lt;&gt;"Deleted",Requirements!L335&lt;&gt;"")</f>
        <v>1</v>
      </c>
      <c r="S333" s="87" t="b">
        <f>(VLOOKUP(Requirements!I335,Scope[[Role]:[Description]],2,FALSE)="In")</f>
        <v>1</v>
      </c>
      <c r="T333" s="87">
        <f t="shared" si="19"/>
        <v>0</v>
      </c>
    </row>
    <row r="334" spans="1:60">
      <c r="A334" s="44" t="str">
        <f>Requirements!A336</f>
        <v>MS-SMB_R9913</v>
      </c>
      <c r="B334" s="87"/>
      <c r="C334" s="87"/>
      <c r="D334" s="87"/>
      <c r="E334" s="87"/>
      <c r="F334" s="87"/>
      <c r="G334" s="87"/>
      <c r="H334" s="87"/>
      <c r="I334" s="87"/>
      <c r="J334" s="87"/>
      <c r="K334" s="87"/>
      <c r="L334" s="87"/>
      <c r="M334" s="87"/>
      <c r="N334" s="87">
        <f t="shared" si="16"/>
        <v>0</v>
      </c>
      <c r="O334" s="87">
        <f t="shared" si="17"/>
        <v>0</v>
      </c>
      <c r="P334" s="87" t="b">
        <f t="shared" si="18"/>
        <v>0</v>
      </c>
      <c r="Q334" s="87" t="b">
        <f>(Requirements!K336="Normative")</f>
        <v>0</v>
      </c>
      <c r="R334" s="87" t="b">
        <f>AND(Requirements!L336&lt;&gt;"Non-testable",Requirements!L336&lt;&gt;"Deleted",Requirements!L336&lt;&gt;"")</f>
        <v>1</v>
      </c>
      <c r="S334" s="87" t="b">
        <f>(VLOOKUP(Requirements!I336,Scope[[Role]:[Description]],2,FALSE)="In")</f>
        <v>1</v>
      </c>
      <c r="T334" s="87">
        <f t="shared" si="19"/>
        <v>0</v>
      </c>
    </row>
    <row r="335" spans="1:60">
      <c r="A335" s="85" t="str">
        <f>Requirements!A337</f>
        <v>MS-SMB_R9914</v>
      </c>
      <c r="B335" s="87"/>
      <c r="C335" s="87"/>
      <c r="D335" s="87"/>
      <c r="E335" s="87"/>
      <c r="F335" s="87"/>
      <c r="G335" s="87"/>
      <c r="H335" s="87"/>
      <c r="I335" s="87"/>
      <c r="J335" s="87"/>
      <c r="K335" s="87"/>
      <c r="L335" s="87"/>
      <c r="M335" s="87"/>
      <c r="N335" s="87">
        <f t="shared" si="16"/>
        <v>0</v>
      </c>
      <c r="O335" s="61">
        <f t="shared" si="17"/>
        <v>0</v>
      </c>
      <c r="P335" s="61" t="b">
        <f t="shared" si="18"/>
        <v>1</v>
      </c>
      <c r="Q335" s="87" t="b">
        <f>(Requirements!K337="Normative")</f>
        <v>1</v>
      </c>
      <c r="R335" s="87" t="b">
        <f>AND(Requirements!L337&lt;&gt;"Non-testable",Requirements!L337&lt;&gt;"Deleted",Requirements!L337&lt;&gt;"")</f>
        <v>1</v>
      </c>
      <c r="S335" s="87" t="b">
        <f>(VLOOKUP(Requirements!I337,Scope[[Role]:[Description]],2,FALSE)="In")</f>
        <v>1</v>
      </c>
      <c r="T335" s="87">
        <f t="shared" si="19"/>
        <v>0</v>
      </c>
    </row>
    <row r="336" spans="1:60">
      <c r="A336" s="85" t="str">
        <f>Requirements!A338</f>
        <v>MS-SMB_R11002</v>
      </c>
      <c r="B336" s="87"/>
      <c r="C336" s="87"/>
      <c r="D336" s="87"/>
      <c r="E336" s="87"/>
      <c r="F336" s="87"/>
      <c r="G336" s="87"/>
      <c r="H336" s="87"/>
      <c r="I336" s="87"/>
      <c r="J336" s="87"/>
      <c r="K336" s="87"/>
      <c r="L336" s="87"/>
      <c r="M336" s="87"/>
      <c r="N336" s="87">
        <f t="shared" si="16"/>
        <v>0</v>
      </c>
      <c r="O336" s="61">
        <f t="shared" si="17"/>
        <v>0</v>
      </c>
      <c r="P336" s="61" t="b">
        <f t="shared" si="18"/>
        <v>1</v>
      </c>
      <c r="Q336" s="87" t="b">
        <f>(Requirements!K338="Normative")</f>
        <v>1</v>
      </c>
      <c r="R336" s="87" t="b">
        <f>AND(Requirements!L338&lt;&gt;"Non-testable",Requirements!L338&lt;&gt;"Deleted",Requirements!L338&lt;&gt;"")</f>
        <v>1</v>
      </c>
      <c r="S336" s="87" t="b">
        <f>(VLOOKUP(Requirements!I338,Scope[[Role]:[Description]],2,FALSE)="In")</f>
        <v>1</v>
      </c>
      <c r="T336" s="87">
        <f t="shared" si="19"/>
        <v>0</v>
      </c>
    </row>
    <row r="337" spans="1:20">
      <c r="A337" s="85" t="str">
        <f>Requirements!A339</f>
        <v>MS-SMB_R9915</v>
      </c>
      <c r="B337" s="87"/>
      <c r="C337" s="87"/>
      <c r="D337" s="87"/>
      <c r="E337" s="87"/>
      <c r="F337" s="87"/>
      <c r="G337" s="87"/>
      <c r="H337" s="87"/>
      <c r="I337" s="87"/>
      <c r="J337" s="87"/>
      <c r="K337" s="87"/>
      <c r="L337" s="87"/>
      <c r="M337" s="87"/>
      <c r="N337" s="87">
        <f t="shared" si="16"/>
        <v>0</v>
      </c>
      <c r="O337" s="61">
        <f t="shared" si="17"/>
        <v>0</v>
      </c>
      <c r="P337" s="61" t="b">
        <f t="shared" si="18"/>
        <v>1</v>
      </c>
      <c r="Q337" s="87" t="b">
        <f>(Requirements!K339="Normative")</f>
        <v>1</v>
      </c>
      <c r="R337" s="87" t="b">
        <f>AND(Requirements!L339&lt;&gt;"Non-testable",Requirements!L339&lt;&gt;"Deleted",Requirements!L339&lt;&gt;"")</f>
        <v>1</v>
      </c>
      <c r="S337" s="87" t="b">
        <f>(VLOOKUP(Requirements!I339,Scope[[Role]:[Description]],2,FALSE)="In")</f>
        <v>1</v>
      </c>
      <c r="T337" s="87">
        <f t="shared" si="19"/>
        <v>0</v>
      </c>
    </row>
    <row r="338" spans="1:20">
      <c r="A338" s="85" t="str">
        <f>Requirements!A340</f>
        <v>MS-SMB_R11003</v>
      </c>
      <c r="B338" s="87"/>
      <c r="C338" s="87"/>
      <c r="D338" s="87"/>
      <c r="E338" s="87"/>
      <c r="F338" s="87"/>
      <c r="G338" s="87"/>
      <c r="H338" s="87"/>
      <c r="I338" s="87"/>
      <c r="J338" s="87"/>
      <c r="K338" s="87"/>
      <c r="L338" s="87"/>
      <c r="M338" s="87"/>
      <c r="N338" s="87">
        <f t="shared" si="16"/>
        <v>0</v>
      </c>
      <c r="O338" s="61">
        <f t="shared" si="17"/>
        <v>0</v>
      </c>
      <c r="P338" s="61" t="b">
        <f t="shared" si="18"/>
        <v>1</v>
      </c>
      <c r="Q338" s="87" t="b">
        <f>(Requirements!K340="Normative")</f>
        <v>1</v>
      </c>
      <c r="R338" s="87" t="b">
        <f>AND(Requirements!L340&lt;&gt;"Non-testable",Requirements!L340&lt;&gt;"Deleted",Requirements!L340&lt;&gt;"")</f>
        <v>1</v>
      </c>
      <c r="S338" s="87" t="b">
        <f>(VLOOKUP(Requirements!I340,Scope[[Role]:[Description]],2,FALSE)="In")</f>
        <v>1</v>
      </c>
      <c r="T338" s="87">
        <f t="shared" si="19"/>
        <v>0</v>
      </c>
    </row>
    <row r="339" spans="1:20">
      <c r="A339" s="85" t="str">
        <f>Requirements!A341</f>
        <v>MS-SMB_R9916</v>
      </c>
      <c r="B339" s="87"/>
      <c r="C339" s="87"/>
      <c r="D339" s="87"/>
      <c r="E339" s="87"/>
      <c r="F339" s="87"/>
      <c r="G339" s="87"/>
      <c r="H339" s="87"/>
      <c r="I339" s="87"/>
      <c r="J339" s="87"/>
      <c r="K339" s="87"/>
      <c r="L339" s="87"/>
      <c r="M339" s="87"/>
      <c r="N339" s="87">
        <f t="shared" si="16"/>
        <v>0</v>
      </c>
      <c r="O339" s="61">
        <f t="shared" si="17"/>
        <v>0</v>
      </c>
      <c r="P339" s="61" t="b">
        <f t="shared" si="18"/>
        <v>1</v>
      </c>
      <c r="Q339" s="87" t="b">
        <f>(Requirements!K341="Normative")</f>
        <v>1</v>
      </c>
      <c r="R339" s="87" t="b">
        <f>AND(Requirements!L341&lt;&gt;"Non-testable",Requirements!L341&lt;&gt;"Deleted",Requirements!L341&lt;&gt;"")</f>
        <v>1</v>
      </c>
      <c r="S339" s="87" t="b">
        <f>(VLOOKUP(Requirements!I341,Scope[[Role]:[Description]],2,FALSE)="In")</f>
        <v>1</v>
      </c>
      <c r="T339" s="87">
        <f t="shared" si="19"/>
        <v>0</v>
      </c>
    </row>
    <row r="340" spans="1:20">
      <c r="A340" s="44" t="str">
        <f>Requirements!A342</f>
        <v>MS-SMB_R9917</v>
      </c>
      <c r="B340" s="87"/>
      <c r="C340" s="87"/>
      <c r="D340" s="87"/>
      <c r="E340" s="87"/>
      <c r="F340" s="87"/>
      <c r="G340" s="87"/>
      <c r="H340" s="87"/>
      <c r="I340" s="87"/>
      <c r="J340" s="87"/>
      <c r="K340" s="87"/>
      <c r="L340" s="87"/>
      <c r="M340" s="87"/>
      <c r="N340" s="87">
        <f t="shared" ref="N340:N403" si="20">SUM(B340:M340)</f>
        <v>0</v>
      </c>
      <c r="O340" s="87">
        <f t="shared" ref="O340:O403" si="21">IF(N340=0,0,1)</f>
        <v>0</v>
      </c>
      <c r="P340" s="87" t="b">
        <f t="shared" ref="P340:P403" si="22">AND(Q340:S340)</f>
        <v>0</v>
      </c>
      <c r="Q340" s="87" t="b">
        <f>(Requirements!K342="Normative")</f>
        <v>0</v>
      </c>
      <c r="R340" s="87" t="b">
        <f>AND(Requirements!L342&lt;&gt;"Non-testable",Requirements!L342&lt;&gt;"Deleted",Requirements!L342&lt;&gt;"")</f>
        <v>1</v>
      </c>
      <c r="S340" s="87" t="b">
        <f>(VLOOKUP(Requirements!I342,Scope[[Role]:[Description]],2,FALSE)="In")</f>
        <v>1</v>
      </c>
      <c r="T340" s="87">
        <f t="shared" ref="T340:T403" si="23">IF(P340,O340, 0)</f>
        <v>0</v>
      </c>
    </row>
    <row r="341" spans="1:20">
      <c r="A341" s="85" t="str">
        <f>Requirements!A343</f>
        <v>MS-SMB_R9918</v>
      </c>
      <c r="B341" s="87"/>
      <c r="C341" s="87"/>
      <c r="D341" s="87"/>
      <c r="E341" s="87"/>
      <c r="F341" s="87"/>
      <c r="G341" s="87"/>
      <c r="H341" s="87"/>
      <c r="I341" s="87"/>
      <c r="J341" s="87"/>
      <c r="K341" s="87"/>
      <c r="L341" s="87"/>
      <c r="M341" s="87"/>
      <c r="N341" s="87">
        <f t="shared" si="20"/>
        <v>0</v>
      </c>
      <c r="O341" s="61">
        <f t="shared" si="21"/>
        <v>0</v>
      </c>
      <c r="P341" s="61" t="b">
        <f t="shared" si="22"/>
        <v>1</v>
      </c>
      <c r="Q341" s="87" t="b">
        <f>(Requirements!K343="Normative")</f>
        <v>1</v>
      </c>
      <c r="R341" s="87" t="b">
        <f>AND(Requirements!L343&lt;&gt;"Non-testable",Requirements!L343&lt;&gt;"Deleted",Requirements!L343&lt;&gt;"")</f>
        <v>1</v>
      </c>
      <c r="S341" s="87" t="b">
        <f>(VLOOKUP(Requirements!I343,Scope[[Role]:[Description]],2,FALSE)="In")</f>
        <v>1</v>
      </c>
      <c r="T341" s="87">
        <f t="shared" si="23"/>
        <v>0</v>
      </c>
    </row>
    <row r="342" spans="1:20">
      <c r="A342" s="85" t="str">
        <f>Requirements!A344</f>
        <v>MS-SMB_R9919</v>
      </c>
      <c r="B342" s="87"/>
      <c r="C342" s="87"/>
      <c r="D342" s="87"/>
      <c r="E342" s="87"/>
      <c r="F342" s="87"/>
      <c r="G342" s="87"/>
      <c r="H342" s="87"/>
      <c r="I342" s="87"/>
      <c r="J342" s="87"/>
      <c r="K342" s="87"/>
      <c r="L342" s="87"/>
      <c r="M342" s="87"/>
      <c r="N342" s="87">
        <f t="shared" si="20"/>
        <v>0</v>
      </c>
      <c r="O342" s="61">
        <f t="shared" si="21"/>
        <v>0</v>
      </c>
      <c r="P342" s="61" t="b">
        <f t="shared" si="22"/>
        <v>1</v>
      </c>
      <c r="Q342" s="87" t="b">
        <f>(Requirements!K344="Normative")</f>
        <v>1</v>
      </c>
      <c r="R342" s="87" t="b">
        <f>AND(Requirements!L344&lt;&gt;"Non-testable",Requirements!L344&lt;&gt;"Deleted",Requirements!L344&lt;&gt;"")</f>
        <v>1</v>
      </c>
      <c r="S342" s="87" t="b">
        <f>(VLOOKUP(Requirements!I344,Scope[[Role]:[Description]],2,FALSE)="In")</f>
        <v>1</v>
      </c>
      <c r="T342" s="87">
        <f t="shared" si="23"/>
        <v>0</v>
      </c>
    </row>
    <row r="343" spans="1:20">
      <c r="A343" s="44" t="str">
        <f>Requirements!A345</f>
        <v>MS-SMB_R9920</v>
      </c>
      <c r="B343" s="87"/>
      <c r="C343" s="87"/>
      <c r="D343" s="87"/>
      <c r="E343" s="87"/>
      <c r="F343" s="87"/>
      <c r="G343" s="87"/>
      <c r="H343" s="87"/>
      <c r="I343" s="87"/>
      <c r="J343" s="87"/>
      <c r="K343" s="87"/>
      <c r="L343" s="87"/>
      <c r="M343" s="87"/>
      <c r="N343" s="87">
        <f t="shared" si="20"/>
        <v>0</v>
      </c>
      <c r="O343" s="87">
        <f t="shared" si="21"/>
        <v>0</v>
      </c>
      <c r="P343" s="87" t="b">
        <f t="shared" si="22"/>
        <v>0</v>
      </c>
      <c r="Q343" s="87" t="b">
        <f>(Requirements!K345="Normative")</f>
        <v>0</v>
      </c>
      <c r="R343" s="87" t="b">
        <f>AND(Requirements!L345&lt;&gt;"Non-testable",Requirements!L345&lt;&gt;"Deleted",Requirements!L345&lt;&gt;"")</f>
        <v>1</v>
      </c>
      <c r="S343" s="87" t="b">
        <f>(VLOOKUP(Requirements!I345,Scope[[Role]:[Description]],2,FALSE)="In")</f>
        <v>1</v>
      </c>
      <c r="T343" s="87">
        <f t="shared" si="23"/>
        <v>0</v>
      </c>
    </row>
    <row r="344" spans="1:20">
      <c r="A344" s="85" t="str">
        <f>Requirements!A346</f>
        <v>MS-SMB_R9921</v>
      </c>
      <c r="B344" s="87"/>
      <c r="C344" s="87"/>
      <c r="D344" s="87"/>
      <c r="E344" s="87"/>
      <c r="F344" s="87"/>
      <c r="G344" s="87"/>
      <c r="H344" s="87"/>
      <c r="I344" s="87"/>
      <c r="J344" s="87"/>
      <c r="K344" s="87"/>
      <c r="L344" s="87"/>
      <c r="M344" s="87"/>
      <c r="N344" s="87">
        <f t="shared" si="20"/>
        <v>0</v>
      </c>
      <c r="O344" s="61">
        <f t="shared" si="21"/>
        <v>0</v>
      </c>
      <c r="P344" s="61" t="b">
        <f t="shared" si="22"/>
        <v>1</v>
      </c>
      <c r="Q344" s="87" t="b">
        <f>(Requirements!K346="Normative")</f>
        <v>1</v>
      </c>
      <c r="R344" s="87" t="b">
        <f>AND(Requirements!L346&lt;&gt;"Non-testable",Requirements!L346&lt;&gt;"Deleted",Requirements!L346&lt;&gt;"")</f>
        <v>1</v>
      </c>
      <c r="S344" s="87" t="b">
        <f>(VLOOKUP(Requirements!I346,Scope[[Role]:[Description]],2,FALSE)="In")</f>
        <v>1</v>
      </c>
      <c r="T344" s="87">
        <f t="shared" si="23"/>
        <v>0</v>
      </c>
    </row>
    <row r="345" spans="1:20">
      <c r="A345" s="85" t="str">
        <f>Requirements!A347</f>
        <v>MS-SMB_R9922</v>
      </c>
      <c r="B345" s="87"/>
      <c r="C345" s="87"/>
      <c r="D345" s="87"/>
      <c r="E345" s="87"/>
      <c r="F345" s="87"/>
      <c r="G345" s="87"/>
      <c r="H345" s="87"/>
      <c r="I345" s="87"/>
      <c r="J345" s="87"/>
      <c r="K345" s="87"/>
      <c r="L345" s="87"/>
      <c r="M345" s="87"/>
      <c r="N345" s="87">
        <f t="shared" si="20"/>
        <v>0</v>
      </c>
      <c r="O345" s="61">
        <f t="shared" si="21"/>
        <v>0</v>
      </c>
      <c r="P345" s="61" t="b">
        <f t="shared" si="22"/>
        <v>1</v>
      </c>
      <c r="Q345" s="87" t="b">
        <f>(Requirements!K347="Normative")</f>
        <v>1</v>
      </c>
      <c r="R345" s="87" t="b">
        <f>AND(Requirements!L347&lt;&gt;"Non-testable",Requirements!L347&lt;&gt;"Deleted",Requirements!L347&lt;&gt;"")</f>
        <v>1</v>
      </c>
      <c r="S345" s="87" t="b">
        <f>(VLOOKUP(Requirements!I347,Scope[[Role]:[Description]],2,FALSE)="In")</f>
        <v>1</v>
      </c>
      <c r="T345" s="87">
        <f t="shared" si="23"/>
        <v>0</v>
      </c>
    </row>
    <row r="346" spans="1:20">
      <c r="A346" s="85" t="str">
        <f>Requirements!A348</f>
        <v>MS-SMB_R9923</v>
      </c>
      <c r="B346" s="87"/>
      <c r="C346" s="87"/>
      <c r="D346" s="87"/>
      <c r="E346" s="87"/>
      <c r="F346" s="87"/>
      <c r="G346" s="87"/>
      <c r="H346" s="87"/>
      <c r="I346" s="87"/>
      <c r="J346" s="87"/>
      <c r="K346" s="87"/>
      <c r="L346" s="87"/>
      <c r="M346" s="87"/>
      <c r="N346" s="87">
        <f t="shared" si="20"/>
        <v>0</v>
      </c>
      <c r="O346" s="61">
        <f t="shared" si="21"/>
        <v>0</v>
      </c>
      <c r="P346" s="61" t="b">
        <f t="shared" si="22"/>
        <v>1</v>
      </c>
      <c r="Q346" s="87" t="b">
        <f>(Requirements!K348="Normative")</f>
        <v>1</v>
      </c>
      <c r="R346" s="87" t="b">
        <f>AND(Requirements!L348&lt;&gt;"Non-testable",Requirements!L348&lt;&gt;"Deleted",Requirements!L348&lt;&gt;"")</f>
        <v>1</v>
      </c>
      <c r="S346" s="87" t="b">
        <f>(VLOOKUP(Requirements!I348,Scope[[Role]:[Description]],2,FALSE)="In")</f>
        <v>1</v>
      </c>
      <c r="T346" s="87">
        <f t="shared" si="23"/>
        <v>0</v>
      </c>
    </row>
    <row r="347" spans="1:20">
      <c r="A347" s="44" t="str">
        <f>Requirements!A349</f>
        <v>MS-SMB_R9924</v>
      </c>
      <c r="B347" s="87"/>
      <c r="C347" s="87"/>
      <c r="D347" s="87"/>
      <c r="E347" s="87"/>
      <c r="F347" s="87"/>
      <c r="G347" s="87"/>
      <c r="H347" s="87"/>
      <c r="I347" s="87"/>
      <c r="J347" s="87"/>
      <c r="K347" s="87"/>
      <c r="L347" s="87"/>
      <c r="M347" s="87"/>
      <c r="N347" s="87">
        <f t="shared" si="20"/>
        <v>0</v>
      </c>
      <c r="O347" s="87">
        <f t="shared" si="21"/>
        <v>0</v>
      </c>
      <c r="P347" s="87" t="b">
        <f t="shared" si="22"/>
        <v>0</v>
      </c>
      <c r="Q347" s="87" t="b">
        <f>(Requirements!K349="Normative")</f>
        <v>1</v>
      </c>
      <c r="R347" s="87" t="b">
        <f>AND(Requirements!L349&lt;&gt;"Non-testable",Requirements!L349&lt;&gt;"Deleted",Requirements!L349&lt;&gt;"")</f>
        <v>0</v>
      </c>
      <c r="S347" s="87" t="b">
        <f>(VLOOKUP(Requirements!I349,Scope[[Role]:[Description]],2,FALSE)="In")</f>
        <v>1</v>
      </c>
      <c r="T347" s="87">
        <f t="shared" si="23"/>
        <v>0</v>
      </c>
    </row>
    <row r="348" spans="1:20">
      <c r="A348" s="44" t="str">
        <f>Requirements!A350</f>
        <v>MS-SMB_R9925</v>
      </c>
      <c r="B348" s="87"/>
      <c r="C348" s="87"/>
      <c r="D348" s="87"/>
      <c r="E348" s="87"/>
      <c r="F348" s="87"/>
      <c r="G348" s="87"/>
      <c r="H348" s="87"/>
      <c r="I348" s="87"/>
      <c r="J348" s="87"/>
      <c r="K348" s="87"/>
      <c r="L348" s="87"/>
      <c r="M348" s="87"/>
      <c r="N348" s="87">
        <f t="shared" si="20"/>
        <v>0</v>
      </c>
      <c r="O348" s="87">
        <f t="shared" si="21"/>
        <v>0</v>
      </c>
      <c r="P348" s="87" t="b">
        <f t="shared" si="22"/>
        <v>0</v>
      </c>
      <c r="Q348" s="87" t="b">
        <f>(Requirements!K350="Normative")</f>
        <v>0</v>
      </c>
      <c r="R348" s="87" t="b">
        <f>AND(Requirements!L350&lt;&gt;"Non-testable",Requirements!L350&lt;&gt;"Deleted",Requirements!L350&lt;&gt;"")</f>
        <v>1</v>
      </c>
      <c r="S348" s="87" t="b">
        <f>(VLOOKUP(Requirements!I350,Scope[[Role]:[Description]],2,FALSE)="In")</f>
        <v>1</v>
      </c>
      <c r="T348" s="87">
        <f t="shared" si="23"/>
        <v>0</v>
      </c>
    </row>
    <row r="349" spans="1:20">
      <c r="A349" s="44" t="str">
        <f>Requirements!A351</f>
        <v>MS-SMB_R9926</v>
      </c>
      <c r="B349" s="87"/>
      <c r="C349" s="87"/>
      <c r="D349" s="87"/>
      <c r="E349" s="87"/>
      <c r="F349" s="87"/>
      <c r="G349" s="87"/>
      <c r="H349" s="87"/>
      <c r="I349" s="87"/>
      <c r="J349" s="87"/>
      <c r="K349" s="87"/>
      <c r="L349" s="87"/>
      <c r="M349" s="87"/>
      <c r="N349" s="87">
        <f t="shared" si="20"/>
        <v>0</v>
      </c>
      <c r="O349" s="87">
        <f t="shared" si="21"/>
        <v>0</v>
      </c>
      <c r="P349" s="87" t="b">
        <f t="shared" si="22"/>
        <v>0</v>
      </c>
      <c r="Q349" s="87" t="b">
        <f>(Requirements!K351="Normative")</f>
        <v>0</v>
      </c>
      <c r="R349" s="87" t="b">
        <f>AND(Requirements!L351&lt;&gt;"Non-testable",Requirements!L351&lt;&gt;"Deleted",Requirements!L351&lt;&gt;"")</f>
        <v>1</v>
      </c>
      <c r="S349" s="87" t="b">
        <f>(VLOOKUP(Requirements!I351,Scope[[Role]:[Description]],2,FALSE)="In")</f>
        <v>1</v>
      </c>
      <c r="T349" s="87">
        <f t="shared" si="23"/>
        <v>0</v>
      </c>
    </row>
    <row r="350" spans="1:20">
      <c r="A350" s="85" t="str">
        <f>Requirements!A352</f>
        <v>MS-SMB_R9927</v>
      </c>
      <c r="B350" s="87"/>
      <c r="C350" s="87"/>
      <c r="D350" s="87"/>
      <c r="E350" s="87"/>
      <c r="F350" s="87"/>
      <c r="G350" s="87"/>
      <c r="H350" s="87"/>
      <c r="I350" s="87"/>
      <c r="J350" s="87"/>
      <c r="K350" s="87"/>
      <c r="L350" s="87"/>
      <c r="M350" s="87"/>
      <c r="N350" s="87">
        <f t="shared" si="20"/>
        <v>0</v>
      </c>
      <c r="O350" s="61">
        <f t="shared" si="21"/>
        <v>0</v>
      </c>
      <c r="P350" s="61" t="b">
        <f t="shared" si="22"/>
        <v>1</v>
      </c>
      <c r="Q350" s="87" t="b">
        <f>(Requirements!K352="Normative")</f>
        <v>1</v>
      </c>
      <c r="R350" s="87" t="b">
        <f>AND(Requirements!L352&lt;&gt;"Non-testable",Requirements!L352&lt;&gt;"Deleted",Requirements!L352&lt;&gt;"")</f>
        <v>1</v>
      </c>
      <c r="S350" s="87" t="b">
        <f>(VLOOKUP(Requirements!I352,Scope[[Role]:[Description]],2,FALSE)="In")</f>
        <v>1</v>
      </c>
      <c r="T350" s="87">
        <f t="shared" si="23"/>
        <v>0</v>
      </c>
    </row>
    <row r="351" spans="1:20">
      <c r="A351" s="85" t="str">
        <f>Requirements!A353</f>
        <v>MS-SMB_R6000</v>
      </c>
      <c r="B351" s="87"/>
      <c r="C351" s="87"/>
      <c r="D351" s="87"/>
      <c r="E351" s="87"/>
      <c r="F351" s="87"/>
      <c r="G351" s="87"/>
      <c r="H351" s="87"/>
      <c r="I351" s="87"/>
      <c r="J351" s="87"/>
      <c r="K351" s="87"/>
      <c r="L351" s="87"/>
      <c r="M351" s="87"/>
      <c r="N351" s="87">
        <f t="shared" si="20"/>
        <v>0</v>
      </c>
      <c r="O351" s="61">
        <f t="shared" si="21"/>
        <v>0</v>
      </c>
      <c r="P351" s="61" t="b">
        <f t="shared" si="22"/>
        <v>1</v>
      </c>
      <c r="Q351" s="87" t="b">
        <f>(Requirements!K353="Normative")</f>
        <v>1</v>
      </c>
      <c r="R351" s="87" t="b">
        <f>AND(Requirements!L353&lt;&gt;"Non-testable",Requirements!L353&lt;&gt;"Deleted",Requirements!L353&lt;&gt;"")</f>
        <v>1</v>
      </c>
      <c r="S351" s="87" t="b">
        <f>(VLOOKUP(Requirements!I353,Scope[[Role]:[Description]],2,FALSE)="In")</f>
        <v>1</v>
      </c>
      <c r="T351" s="87">
        <f t="shared" si="23"/>
        <v>0</v>
      </c>
    </row>
    <row r="352" spans="1:20">
      <c r="A352" s="85" t="str">
        <f>Requirements!A354</f>
        <v>MS-SMB_R9928</v>
      </c>
      <c r="B352" s="87"/>
      <c r="C352" s="87"/>
      <c r="D352" s="87"/>
      <c r="E352" s="87"/>
      <c r="F352" s="87"/>
      <c r="G352" s="87"/>
      <c r="H352" s="87"/>
      <c r="I352" s="87"/>
      <c r="J352" s="87"/>
      <c r="K352" s="87"/>
      <c r="L352" s="87"/>
      <c r="M352" s="87"/>
      <c r="N352" s="87">
        <f t="shared" si="20"/>
        <v>0</v>
      </c>
      <c r="O352" s="61">
        <f t="shared" si="21"/>
        <v>0</v>
      </c>
      <c r="P352" s="61" t="b">
        <f t="shared" si="22"/>
        <v>1</v>
      </c>
      <c r="Q352" s="87" t="b">
        <f>(Requirements!K354="Normative")</f>
        <v>1</v>
      </c>
      <c r="R352" s="87" t="b">
        <f>AND(Requirements!L354&lt;&gt;"Non-testable",Requirements!L354&lt;&gt;"Deleted",Requirements!L354&lt;&gt;"")</f>
        <v>1</v>
      </c>
      <c r="S352" s="87" t="b">
        <f>(VLOOKUP(Requirements!I354,Scope[[Role]:[Description]],2,FALSE)="In")</f>
        <v>1</v>
      </c>
      <c r="T352" s="87">
        <f t="shared" si="23"/>
        <v>0</v>
      </c>
    </row>
    <row r="353" spans="1:20">
      <c r="A353" s="85" t="str">
        <f>Requirements!A355</f>
        <v>MS-SMB_R6001</v>
      </c>
      <c r="B353" s="87"/>
      <c r="C353" s="87"/>
      <c r="D353" s="87"/>
      <c r="E353" s="87"/>
      <c r="F353" s="87"/>
      <c r="G353" s="87"/>
      <c r="H353" s="87"/>
      <c r="I353" s="87"/>
      <c r="J353" s="87"/>
      <c r="K353" s="87"/>
      <c r="L353" s="87"/>
      <c r="M353" s="87"/>
      <c r="N353" s="87">
        <f t="shared" si="20"/>
        <v>0</v>
      </c>
      <c r="O353" s="61">
        <f t="shared" si="21"/>
        <v>0</v>
      </c>
      <c r="P353" s="61" t="b">
        <f t="shared" si="22"/>
        <v>1</v>
      </c>
      <c r="Q353" s="87" t="b">
        <f>(Requirements!K355="Normative")</f>
        <v>1</v>
      </c>
      <c r="R353" s="87" t="b">
        <f>AND(Requirements!L355&lt;&gt;"Non-testable",Requirements!L355&lt;&gt;"Deleted",Requirements!L355&lt;&gt;"")</f>
        <v>1</v>
      </c>
      <c r="S353" s="87" t="b">
        <f>(VLOOKUP(Requirements!I355,Scope[[Role]:[Description]],2,FALSE)="In")</f>
        <v>1</v>
      </c>
      <c r="T353" s="87">
        <f t="shared" si="23"/>
        <v>0</v>
      </c>
    </row>
    <row r="354" spans="1:20">
      <c r="A354" s="84" t="str">
        <f>Requirements!A356</f>
        <v>MS-SMB_R9929</v>
      </c>
      <c r="B354" s="87"/>
      <c r="C354" s="87"/>
      <c r="D354" s="87"/>
      <c r="E354" s="87"/>
      <c r="F354" s="87"/>
      <c r="G354" s="87"/>
      <c r="H354" s="87"/>
      <c r="I354" s="87"/>
      <c r="J354" s="87"/>
      <c r="K354" s="87"/>
      <c r="L354" s="87">
        <v>1</v>
      </c>
      <c r="M354" s="87"/>
      <c r="N354" s="87">
        <f t="shared" si="20"/>
        <v>1</v>
      </c>
      <c r="O354" s="60">
        <f t="shared" si="21"/>
        <v>1</v>
      </c>
      <c r="P354" s="60" t="b">
        <f t="shared" si="22"/>
        <v>1</v>
      </c>
      <c r="Q354" s="87" t="b">
        <f>(Requirements!K356="Normative")</f>
        <v>1</v>
      </c>
      <c r="R354" s="87" t="b">
        <f>AND(Requirements!L356&lt;&gt;"Non-testable",Requirements!L356&lt;&gt;"Deleted",Requirements!L356&lt;&gt;"")</f>
        <v>1</v>
      </c>
      <c r="S354" s="87" t="b">
        <f>(VLOOKUP(Requirements!I356,Scope[[Role]:[Description]],2,FALSE)="In")</f>
        <v>1</v>
      </c>
      <c r="T354" s="87">
        <f t="shared" si="23"/>
        <v>1</v>
      </c>
    </row>
    <row r="355" spans="1:20">
      <c r="A355" s="84" t="str">
        <f>Requirements!A357</f>
        <v>MS-SMB_R9930</v>
      </c>
      <c r="B355" s="87"/>
      <c r="C355" s="87"/>
      <c r="D355" s="87"/>
      <c r="E355" s="87"/>
      <c r="F355" s="87"/>
      <c r="G355" s="87"/>
      <c r="H355" s="87"/>
      <c r="I355" s="87"/>
      <c r="J355" s="87"/>
      <c r="K355" s="87"/>
      <c r="L355" s="87">
        <v>1</v>
      </c>
      <c r="M355" s="87"/>
      <c r="N355" s="87">
        <f t="shared" si="20"/>
        <v>1</v>
      </c>
      <c r="O355" s="60">
        <f t="shared" si="21"/>
        <v>1</v>
      </c>
      <c r="P355" s="60" t="b">
        <f t="shared" si="22"/>
        <v>1</v>
      </c>
      <c r="Q355" s="87" t="b">
        <f>(Requirements!K357="Normative")</f>
        <v>1</v>
      </c>
      <c r="R355" s="87" t="b">
        <f>AND(Requirements!L357&lt;&gt;"Non-testable",Requirements!L357&lt;&gt;"Deleted",Requirements!L357&lt;&gt;"")</f>
        <v>1</v>
      </c>
      <c r="S355" s="87" t="b">
        <f>(VLOOKUP(Requirements!I357,Scope[[Role]:[Description]],2,FALSE)="In")</f>
        <v>1</v>
      </c>
      <c r="T355" s="87">
        <f t="shared" si="23"/>
        <v>1</v>
      </c>
    </row>
    <row r="356" spans="1:20">
      <c r="A356" s="85" t="str">
        <f>Requirements!A358</f>
        <v>MS-SMB_R9931</v>
      </c>
      <c r="B356" s="87"/>
      <c r="C356" s="87"/>
      <c r="D356" s="87"/>
      <c r="E356" s="87"/>
      <c r="F356" s="87"/>
      <c r="G356" s="87"/>
      <c r="H356" s="87"/>
      <c r="I356" s="87"/>
      <c r="J356" s="87"/>
      <c r="K356" s="87"/>
      <c r="L356" s="87"/>
      <c r="M356" s="87"/>
      <c r="N356" s="87">
        <f t="shared" si="20"/>
        <v>0</v>
      </c>
      <c r="O356" s="61">
        <f t="shared" si="21"/>
        <v>0</v>
      </c>
      <c r="P356" s="61" t="b">
        <f t="shared" si="22"/>
        <v>1</v>
      </c>
      <c r="Q356" s="87" t="b">
        <f>(Requirements!K358="Normative")</f>
        <v>1</v>
      </c>
      <c r="R356" s="87" t="b">
        <f>AND(Requirements!L358&lt;&gt;"Non-testable",Requirements!L358&lt;&gt;"Deleted",Requirements!L358&lt;&gt;"")</f>
        <v>1</v>
      </c>
      <c r="S356" s="87" t="b">
        <f>(VLOOKUP(Requirements!I358,Scope[[Role]:[Description]],2,FALSE)="In")</f>
        <v>1</v>
      </c>
      <c r="T356" s="87">
        <f t="shared" si="23"/>
        <v>0</v>
      </c>
    </row>
    <row r="357" spans="1:20">
      <c r="A357" s="44" t="str">
        <f>Requirements!A359</f>
        <v>MS-SMB_R9932</v>
      </c>
      <c r="B357" s="87"/>
      <c r="C357" s="87"/>
      <c r="D357" s="87"/>
      <c r="E357" s="87"/>
      <c r="F357" s="87"/>
      <c r="G357" s="87"/>
      <c r="H357" s="87"/>
      <c r="I357" s="87"/>
      <c r="J357" s="87"/>
      <c r="K357" s="87"/>
      <c r="L357" s="87"/>
      <c r="M357" s="87"/>
      <c r="N357" s="87">
        <f t="shared" si="20"/>
        <v>0</v>
      </c>
      <c r="O357" s="87">
        <f t="shared" si="21"/>
        <v>0</v>
      </c>
      <c r="P357" s="87" t="b">
        <f t="shared" si="22"/>
        <v>0</v>
      </c>
      <c r="Q357" s="87" t="b">
        <f>(Requirements!K359="Normative")</f>
        <v>0</v>
      </c>
      <c r="R357" s="87" t="b">
        <f>AND(Requirements!L359&lt;&gt;"Non-testable",Requirements!L359&lt;&gt;"Deleted",Requirements!L359&lt;&gt;"")</f>
        <v>1</v>
      </c>
      <c r="S357" s="87" t="b">
        <f>(VLOOKUP(Requirements!I359,Scope[[Role]:[Description]],2,FALSE)="In")</f>
        <v>1</v>
      </c>
      <c r="T357" s="87">
        <f t="shared" si="23"/>
        <v>0</v>
      </c>
    </row>
    <row r="358" spans="1:20">
      <c r="A358" s="44" t="str">
        <f>Requirements!A360</f>
        <v>MS-SMB_R9933</v>
      </c>
      <c r="B358" s="87"/>
      <c r="C358" s="87"/>
      <c r="D358" s="87"/>
      <c r="E358" s="87"/>
      <c r="F358" s="87"/>
      <c r="G358" s="87"/>
      <c r="H358" s="87"/>
      <c r="I358" s="87"/>
      <c r="J358" s="87"/>
      <c r="K358" s="87"/>
      <c r="L358" s="87"/>
      <c r="M358" s="87"/>
      <c r="N358" s="87">
        <f t="shared" si="20"/>
        <v>0</v>
      </c>
      <c r="O358" s="87">
        <f t="shared" si="21"/>
        <v>0</v>
      </c>
      <c r="P358" s="87" t="b">
        <f t="shared" si="22"/>
        <v>0</v>
      </c>
      <c r="Q358" s="87" t="b">
        <f>(Requirements!K360="Normative")</f>
        <v>0</v>
      </c>
      <c r="R358" s="87" t="b">
        <f>AND(Requirements!L360&lt;&gt;"Non-testable",Requirements!L360&lt;&gt;"Deleted",Requirements!L360&lt;&gt;"")</f>
        <v>1</v>
      </c>
      <c r="S358" s="87" t="b">
        <f>(VLOOKUP(Requirements!I360,Scope[[Role]:[Description]],2,FALSE)="In")</f>
        <v>1</v>
      </c>
      <c r="T358" s="87">
        <f t="shared" si="23"/>
        <v>0</v>
      </c>
    </row>
    <row r="359" spans="1:20">
      <c r="A359" s="44" t="str">
        <f>Requirements!A361</f>
        <v>MS-SMB_R9934</v>
      </c>
      <c r="B359" s="87"/>
      <c r="C359" s="87"/>
      <c r="D359" s="87"/>
      <c r="E359" s="87"/>
      <c r="F359" s="87"/>
      <c r="G359" s="87"/>
      <c r="H359" s="87"/>
      <c r="I359" s="87"/>
      <c r="J359" s="87"/>
      <c r="K359" s="87"/>
      <c r="L359" s="87"/>
      <c r="M359" s="87"/>
      <c r="N359" s="87">
        <f t="shared" si="20"/>
        <v>0</v>
      </c>
      <c r="O359" s="87">
        <f t="shared" si="21"/>
        <v>0</v>
      </c>
      <c r="P359" s="87" t="b">
        <f t="shared" si="22"/>
        <v>0</v>
      </c>
      <c r="Q359" s="87" t="b">
        <f>(Requirements!K361="Normative")</f>
        <v>0</v>
      </c>
      <c r="R359" s="87" t="b">
        <f>AND(Requirements!L361&lt;&gt;"Non-testable",Requirements!L361&lt;&gt;"Deleted",Requirements!L361&lt;&gt;"")</f>
        <v>1</v>
      </c>
      <c r="S359" s="87" t="b">
        <f>(VLOOKUP(Requirements!I361,Scope[[Role]:[Description]],2,FALSE)="In")</f>
        <v>1</v>
      </c>
      <c r="T359" s="87">
        <f t="shared" si="23"/>
        <v>0</v>
      </c>
    </row>
    <row r="360" spans="1:20">
      <c r="A360" s="44" t="str">
        <f>Requirements!A362</f>
        <v>MS-SMB_R9935</v>
      </c>
      <c r="B360" s="87"/>
      <c r="C360" s="87"/>
      <c r="D360" s="87"/>
      <c r="E360" s="87"/>
      <c r="F360" s="87"/>
      <c r="G360" s="87"/>
      <c r="H360" s="87"/>
      <c r="I360" s="87"/>
      <c r="J360" s="87"/>
      <c r="K360" s="87"/>
      <c r="L360" s="87"/>
      <c r="M360" s="87"/>
      <c r="N360" s="87">
        <f t="shared" si="20"/>
        <v>0</v>
      </c>
      <c r="O360" s="87">
        <f t="shared" si="21"/>
        <v>0</v>
      </c>
      <c r="P360" s="87" t="b">
        <f t="shared" si="22"/>
        <v>0</v>
      </c>
      <c r="Q360" s="87" t="b">
        <f>(Requirements!K362="Normative")</f>
        <v>0</v>
      </c>
      <c r="R360" s="87" t="b">
        <f>AND(Requirements!L362&lt;&gt;"Non-testable",Requirements!L362&lt;&gt;"Deleted",Requirements!L362&lt;&gt;"")</f>
        <v>1</v>
      </c>
      <c r="S360" s="87" t="b">
        <f>(VLOOKUP(Requirements!I362,Scope[[Role]:[Description]],2,FALSE)="In")</f>
        <v>1</v>
      </c>
      <c r="T360" s="87">
        <f t="shared" si="23"/>
        <v>0</v>
      </c>
    </row>
    <row r="361" spans="1:20">
      <c r="A361" s="44" t="str">
        <f>Requirements!A363</f>
        <v>MS-SMB_R9936</v>
      </c>
      <c r="B361" s="87"/>
      <c r="C361" s="87"/>
      <c r="D361" s="87"/>
      <c r="E361" s="87"/>
      <c r="F361" s="87"/>
      <c r="G361" s="87"/>
      <c r="H361" s="87"/>
      <c r="I361" s="87"/>
      <c r="J361" s="87"/>
      <c r="K361" s="87"/>
      <c r="L361" s="87"/>
      <c r="M361" s="87"/>
      <c r="N361" s="87">
        <f t="shared" si="20"/>
        <v>0</v>
      </c>
      <c r="O361" s="87">
        <f t="shared" si="21"/>
        <v>0</v>
      </c>
      <c r="P361" s="87" t="b">
        <f t="shared" si="22"/>
        <v>0</v>
      </c>
      <c r="Q361" s="87" t="b">
        <f>(Requirements!K363="Normative")</f>
        <v>0</v>
      </c>
      <c r="R361" s="87" t="b">
        <f>AND(Requirements!L363&lt;&gt;"Non-testable",Requirements!L363&lt;&gt;"Deleted",Requirements!L363&lt;&gt;"")</f>
        <v>1</v>
      </c>
      <c r="S361" s="87" t="b">
        <f>(VLOOKUP(Requirements!I363,Scope[[Role]:[Description]],2,FALSE)="In")</f>
        <v>1</v>
      </c>
      <c r="T361" s="87">
        <f t="shared" si="23"/>
        <v>0</v>
      </c>
    </row>
    <row r="362" spans="1:20">
      <c r="A362" s="85" t="str">
        <f>Requirements!A364</f>
        <v>MS-SMB_R9937</v>
      </c>
      <c r="B362" s="87"/>
      <c r="C362" s="87"/>
      <c r="D362" s="87"/>
      <c r="E362" s="87"/>
      <c r="F362" s="87"/>
      <c r="G362" s="87"/>
      <c r="H362" s="87"/>
      <c r="I362" s="87"/>
      <c r="J362" s="87"/>
      <c r="K362" s="87"/>
      <c r="L362" s="87"/>
      <c r="M362" s="87"/>
      <c r="N362" s="87">
        <f t="shared" si="20"/>
        <v>0</v>
      </c>
      <c r="O362" s="61">
        <f t="shared" si="21"/>
        <v>0</v>
      </c>
      <c r="P362" s="61" t="b">
        <f t="shared" si="22"/>
        <v>1</v>
      </c>
      <c r="Q362" s="87" t="b">
        <f>(Requirements!K364="Normative")</f>
        <v>1</v>
      </c>
      <c r="R362" s="87" t="b">
        <f>AND(Requirements!L364&lt;&gt;"Non-testable",Requirements!L364&lt;&gt;"Deleted",Requirements!L364&lt;&gt;"")</f>
        <v>1</v>
      </c>
      <c r="S362" s="87" t="b">
        <f>(VLOOKUP(Requirements!I364,Scope[[Role]:[Description]],2,FALSE)="In")</f>
        <v>1</v>
      </c>
      <c r="T362" s="87">
        <f t="shared" si="23"/>
        <v>0</v>
      </c>
    </row>
    <row r="363" spans="1:20">
      <c r="A363" s="44" t="str">
        <f>Requirements!A365</f>
        <v>MS-SMB_R9938</v>
      </c>
      <c r="B363" s="87"/>
      <c r="C363" s="87"/>
      <c r="D363" s="87"/>
      <c r="E363" s="87"/>
      <c r="F363" s="87"/>
      <c r="G363" s="87"/>
      <c r="H363" s="87"/>
      <c r="I363" s="87"/>
      <c r="J363" s="87"/>
      <c r="K363" s="87"/>
      <c r="L363" s="87"/>
      <c r="M363" s="87"/>
      <c r="N363" s="87">
        <f t="shared" si="20"/>
        <v>0</v>
      </c>
      <c r="O363" s="87">
        <f t="shared" si="21"/>
        <v>0</v>
      </c>
      <c r="P363" s="87" t="b">
        <f t="shared" si="22"/>
        <v>0</v>
      </c>
      <c r="Q363" s="87" t="b">
        <f>(Requirements!K365="Normative")</f>
        <v>0</v>
      </c>
      <c r="R363" s="87" t="b">
        <f>AND(Requirements!L365&lt;&gt;"Non-testable",Requirements!L365&lt;&gt;"Deleted",Requirements!L365&lt;&gt;"")</f>
        <v>1</v>
      </c>
      <c r="S363" s="87" t="b">
        <f>(VLOOKUP(Requirements!I365,Scope[[Role]:[Description]],2,FALSE)="In")</f>
        <v>1</v>
      </c>
      <c r="T363" s="87">
        <f t="shared" si="23"/>
        <v>0</v>
      </c>
    </row>
    <row r="364" spans="1:20">
      <c r="A364" s="44" t="str">
        <f>Requirements!A366</f>
        <v>MS-SMB_R9939</v>
      </c>
      <c r="B364" s="87"/>
      <c r="C364" s="87"/>
      <c r="D364" s="87"/>
      <c r="E364" s="87"/>
      <c r="F364" s="87"/>
      <c r="G364" s="87"/>
      <c r="H364" s="87"/>
      <c r="I364" s="87"/>
      <c r="J364" s="87"/>
      <c r="K364" s="87"/>
      <c r="L364" s="87"/>
      <c r="M364" s="87"/>
      <c r="N364" s="87">
        <f t="shared" si="20"/>
        <v>0</v>
      </c>
      <c r="O364" s="87">
        <f t="shared" si="21"/>
        <v>0</v>
      </c>
      <c r="P364" s="87" t="b">
        <f t="shared" si="22"/>
        <v>0</v>
      </c>
      <c r="Q364" s="87" t="b">
        <f>(Requirements!K366="Normative")</f>
        <v>0</v>
      </c>
      <c r="R364" s="87" t="b">
        <f>AND(Requirements!L366&lt;&gt;"Non-testable",Requirements!L366&lt;&gt;"Deleted",Requirements!L366&lt;&gt;"")</f>
        <v>1</v>
      </c>
      <c r="S364" s="87" t="b">
        <f>(VLOOKUP(Requirements!I366,Scope[[Role]:[Description]],2,FALSE)="In")</f>
        <v>1</v>
      </c>
      <c r="T364" s="87">
        <f t="shared" si="23"/>
        <v>0</v>
      </c>
    </row>
    <row r="365" spans="1:20">
      <c r="A365" s="44" t="str">
        <f>Requirements!A367</f>
        <v>MS-SMB_R9940</v>
      </c>
      <c r="B365" s="87"/>
      <c r="C365" s="87"/>
      <c r="D365" s="87"/>
      <c r="E365" s="87"/>
      <c r="F365" s="87"/>
      <c r="G365" s="87"/>
      <c r="H365" s="87"/>
      <c r="I365" s="87"/>
      <c r="J365" s="87"/>
      <c r="K365" s="87"/>
      <c r="L365" s="87"/>
      <c r="M365" s="87"/>
      <c r="N365" s="87">
        <f t="shared" si="20"/>
        <v>0</v>
      </c>
      <c r="O365" s="87">
        <f t="shared" si="21"/>
        <v>0</v>
      </c>
      <c r="P365" s="87" t="b">
        <f t="shared" si="22"/>
        <v>0</v>
      </c>
      <c r="Q365" s="87" t="b">
        <f>(Requirements!K367="Normative")</f>
        <v>0</v>
      </c>
      <c r="R365" s="87" t="b">
        <f>AND(Requirements!L367&lt;&gt;"Non-testable",Requirements!L367&lt;&gt;"Deleted",Requirements!L367&lt;&gt;"")</f>
        <v>1</v>
      </c>
      <c r="S365" s="87" t="b">
        <f>(VLOOKUP(Requirements!I367,Scope[[Role]:[Description]],2,FALSE)="In")</f>
        <v>1</v>
      </c>
      <c r="T365" s="87">
        <f t="shared" si="23"/>
        <v>0</v>
      </c>
    </row>
    <row r="366" spans="1:20">
      <c r="A366" s="44" t="str">
        <f>Requirements!A368</f>
        <v>MS-SMB_R9941</v>
      </c>
      <c r="B366" s="87"/>
      <c r="C366" s="87"/>
      <c r="D366" s="87"/>
      <c r="E366" s="87"/>
      <c r="F366" s="87"/>
      <c r="G366" s="87"/>
      <c r="H366" s="87"/>
      <c r="I366" s="87"/>
      <c r="J366" s="87"/>
      <c r="K366" s="87"/>
      <c r="L366" s="87"/>
      <c r="M366" s="87"/>
      <c r="N366" s="87">
        <f t="shared" si="20"/>
        <v>0</v>
      </c>
      <c r="O366" s="87">
        <f t="shared" si="21"/>
        <v>0</v>
      </c>
      <c r="P366" s="87" t="b">
        <f t="shared" si="22"/>
        <v>0</v>
      </c>
      <c r="Q366" s="87" t="b">
        <f>(Requirements!K368="Normative")</f>
        <v>0</v>
      </c>
      <c r="R366" s="87" t="b">
        <f>AND(Requirements!L368&lt;&gt;"Non-testable",Requirements!L368&lt;&gt;"Deleted",Requirements!L368&lt;&gt;"")</f>
        <v>1</v>
      </c>
      <c r="S366" s="87" t="b">
        <f>(VLOOKUP(Requirements!I368,Scope[[Role]:[Description]],2,FALSE)="In")</f>
        <v>1</v>
      </c>
      <c r="T366" s="87">
        <f t="shared" si="23"/>
        <v>0</v>
      </c>
    </row>
    <row r="367" spans="1:20">
      <c r="A367" s="85" t="str">
        <f>Requirements!A369</f>
        <v>MS-SMB_R9942</v>
      </c>
      <c r="B367" s="87"/>
      <c r="C367" s="87"/>
      <c r="D367" s="87"/>
      <c r="E367" s="87"/>
      <c r="F367" s="87"/>
      <c r="G367" s="87"/>
      <c r="H367" s="87"/>
      <c r="I367" s="87"/>
      <c r="J367" s="87"/>
      <c r="K367" s="87"/>
      <c r="L367" s="87"/>
      <c r="M367" s="87"/>
      <c r="N367" s="87">
        <f t="shared" si="20"/>
        <v>0</v>
      </c>
      <c r="O367" s="61">
        <f t="shared" si="21"/>
        <v>0</v>
      </c>
      <c r="P367" s="61" t="b">
        <f t="shared" si="22"/>
        <v>1</v>
      </c>
      <c r="Q367" s="87" t="b">
        <f>(Requirements!K369="Normative")</f>
        <v>1</v>
      </c>
      <c r="R367" s="87" t="b">
        <f>AND(Requirements!L369&lt;&gt;"Non-testable",Requirements!L369&lt;&gt;"Deleted",Requirements!L369&lt;&gt;"")</f>
        <v>1</v>
      </c>
      <c r="S367" s="87" t="b">
        <f>(VLOOKUP(Requirements!I369,Scope[[Role]:[Description]],2,FALSE)="In")</f>
        <v>1</v>
      </c>
      <c r="T367" s="87">
        <f t="shared" si="23"/>
        <v>0</v>
      </c>
    </row>
    <row r="368" spans="1:20">
      <c r="A368" s="84" t="str">
        <f>Requirements!A370</f>
        <v>MS-SMB_R6002</v>
      </c>
      <c r="B368" s="87"/>
      <c r="C368" s="87"/>
      <c r="D368" s="87"/>
      <c r="E368" s="87"/>
      <c r="F368" s="87"/>
      <c r="G368" s="87"/>
      <c r="H368" s="87"/>
      <c r="I368" s="87"/>
      <c r="J368" s="87"/>
      <c r="K368" s="87"/>
      <c r="L368" s="87">
        <v>1</v>
      </c>
      <c r="M368" s="87"/>
      <c r="N368" s="87">
        <f t="shared" si="20"/>
        <v>1</v>
      </c>
      <c r="O368" s="60">
        <f t="shared" si="21"/>
        <v>1</v>
      </c>
      <c r="P368" s="60" t="b">
        <f t="shared" si="22"/>
        <v>1</v>
      </c>
      <c r="Q368" s="87" t="b">
        <f>(Requirements!K370="Normative")</f>
        <v>1</v>
      </c>
      <c r="R368" s="87" t="b">
        <f>AND(Requirements!L370&lt;&gt;"Non-testable",Requirements!L370&lt;&gt;"Deleted",Requirements!L370&lt;&gt;"")</f>
        <v>1</v>
      </c>
      <c r="S368" s="87" t="b">
        <f>(VLOOKUP(Requirements!I370,Scope[[Role]:[Description]],2,FALSE)="In")</f>
        <v>1</v>
      </c>
      <c r="T368" s="87">
        <f t="shared" si="23"/>
        <v>1</v>
      </c>
    </row>
    <row r="369" spans="1:20">
      <c r="A369" s="85" t="str">
        <f>Requirements!A371</f>
        <v>MS-SMB_R109942</v>
      </c>
      <c r="B369" s="87"/>
      <c r="C369" s="87"/>
      <c r="D369" s="87"/>
      <c r="E369" s="87"/>
      <c r="F369" s="87"/>
      <c r="G369" s="87"/>
      <c r="H369" s="87"/>
      <c r="I369" s="87"/>
      <c r="J369" s="87"/>
      <c r="K369" s="87"/>
      <c r="L369" s="87"/>
      <c r="M369" s="87"/>
      <c r="N369" s="87">
        <f t="shared" si="20"/>
        <v>0</v>
      </c>
      <c r="O369" s="61">
        <f t="shared" si="21"/>
        <v>0</v>
      </c>
      <c r="P369" s="61" t="b">
        <f t="shared" si="22"/>
        <v>1</v>
      </c>
      <c r="Q369" s="87" t="b">
        <f>(Requirements!K371="Normative")</f>
        <v>1</v>
      </c>
      <c r="R369" s="87" t="b">
        <f>AND(Requirements!L371&lt;&gt;"Non-testable",Requirements!L371&lt;&gt;"Deleted",Requirements!L371&lt;&gt;"")</f>
        <v>1</v>
      </c>
      <c r="S369" s="87" t="b">
        <f>(VLOOKUP(Requirements!I371,Scope[[Role]:[Description]],2,FALSE)="In")</f>
        <v>1</v>
      </c>
      <c r="T369" s="87">
        <f t="shared" si="23"/>
        <v>0</v>
      </c>
    </row>
    <row r="370" spans="1:20">
      <c r="A370" s="84" t="str">
        <f>Requirements!A372</f>
        <v>MS-SMB_R6003</v>
      </c>
      <c r="B370" s="87"/>
      <c r="C370" s="87"/>
      <c r="D370" s="87"/>
      <c r="E370" s="87"/>
      <c r="F370" s="87"/>
      <c r="G370" s="87"/>
      <c r="H370" s="87"/>
      <c r="I370" s="87"/>
      <c r="J370" s="87"/>
      <c r="K370" s="87"/>
      <c r="L370" s="87">
        <v>1</v>
      </c>
      <c r="M370" s="87"/>
      <c r="N370" s="87">
        <f t="shared" si="20"/>
        <v>1</v>
      </c>
      <c r="O370" s="60">
        <f t="shared" si="21"/>
        <v>1</v>
      </c>
      <c r="P370" s="60" t="b">
        <f t="shared" si="22"/>
        <v>1</v>
      </c>
      <c r="Q370" s="87" t="b">
        <f>(Requirements!K372="Normative")</f>
        <v>1</v>
      </c>
      <c r="R370" s="87" t="b">
        <f>AND(Requirements!L372&lt;&gt;"Non-testable",Requirements!L372&lt;&gt;"Deleted",Requirements!L372&lt;&gt;"")</f>
        <v>1</v>
      </c>
      <c r="S370" s="87" t="b">
        <f>(VLOOKUP(Requirements!I372,Scope[[Role]:[Description]],2,FALSE)="In")</f>
        <v>1</v>
      </c>
      <c r="T370" s="87">
        <f t="shared" si="23"/>
        <v>1</v>
      </c>
    </row>
    <row r="371" spans="1:20">
      <c r="A371" s="44" t="str">
        <f>Requirements!A373</f>
        <v>MS-SMB_R9943</v>
      </c>
      <c r="B371" s="87"/>
      <c r="C371" s="87"/>
      <c r="D371" s="87"/>
      <c r="E371" s="87"/>
      <c r="F371" s="87"/>
      <c r="G371" s="87"/>
      <c r="H371" s="87"/>
      <c r="I371" s="87"/>
      <c r="J371" s="87"/>
      <c r="K371" s="87"/>
      <c r="L371" s="87"/>
      <c r="M371" s="87"/>
      <c r="N371" s="87">
        <f t="shared" si="20"/>
        <v>0</v>
      </c>
      <c r="O371" s="87">
        <f t="shared" si="21"/>
        <v>0</v>
      </c>
      <c r="P371" s="87" t="b">
        <f t="shared" si="22"/>
        <v>0</v>
      </c>
      <c r="Q371" s="87" t="b">
        <f>(Requirements!K373="Normative")</f>
        <v>0</v>
      </c>
      <c r="R371" s="87" t="b">
        <f>AND(Requirements!L373&lt;&gt;"Non-testable",Requirements!L373&lt;&gt;"Deleted",Requirements!L373&lt;&gt;"")</f>
        <v>1</v>
      </c>
      <c r="S371" s="87" t="b">
        <f>(VLOOKUP(Requirements!I373,Scope[[Role]:[Description]],2,FALSE)="In")</f>
        <v>1</v>
      </c>
      <c r="T371" s="87">
        <f t="shared" si="23"/>
        <v>0</v>
      </c>
    </row>
    <row r="372" spans="1:20">
      <c r="A372" s="84" t="str">
        <f>Requirements!A374</f>
        <v>MS-SMB_R9944</v>
      </c>
      <c r="B372" s="87"/>
      <c r="C372" s="87"/>
      <c r="D372" s="87"/>
      <c r="E372" s="87"/>
      <c r="F372" s="87"/>
      <c r="G372" s="87"/>
      <c r="H372" s="87"/>
      <c r="I372" s="87"/>
      <c r="J372" s="87"/>
      <c r="K372" s="87"/>
      <c r="L372" s="87">
        <v>1</v>
      </c>
      <c r="M372" s="87"/>
      <c r="N372" s="87">
        <f t="shared" si="20"/>
        <v>1</v>
      </c>
      <c r="O372" s="60">
        <f t="shared" si="21"/>
        <v>1</v>
      </c>
      <c r="P372" s="60" t="b">
        <f t="shared" si="22"/>
        <v>1</v>
      </c>
      <c r="Q372" s="87" t="b">
        <f>(Requirements!K374="Normative")</f>
        <v>1</v>
      </c>
      <c r="R372" s="87" t="b">
        <f>AND(Requirements!L374&lt;&gt;"Non-testable",Requirements!L374&lt;&gt;"Deleted",Requirements!L374&lt;&gt;"")</f>
        <v>1</v>
      </c>
      <c r="S372" s="87" t="b">
        <f>(VLOOKUP(Requirements!I374,Scope[[Role]:[Description]],2,FALSE)="In")</f>
        <v>1</v>
      </c>
      <c r="T372" s="87">
        <f t="shared" si="23"/>
        <v>1</v>
      </c>
    </row>
    <row r="373" spans="1:20">
      <c r="A373" s="85" t="str">
        <f>Requirements!A375</f>
        <v>MS-SMB_R9945</v>
      </c>
      <c r="B373" s="87"/>
      <c r="C373" s="87"/>
      <c r="D373" s="87"/>
      <c r="E373" s="87"/>
      <c r="F373" s="87"/>
      <c r="G373" s="87"/>
      <c r="H373" s="87"/>
      <c r="I373" s="87"/>
      <c r="J373" s="87"/>
      <c r="K373" s="87"/>
      <c r="L373" s="87"/>
      <c r="M373" s="87"/>
      <c r="N373" s="87">
        <f t="shared" si="20"/>
        <v>0</v>
      </c>
      <c r="O373" s="61">
        <f t="shared" si="21"/>
        <v>0</v>
      </c>
      <c r="P373" s="61" t="b">
        <f t="shared" si="22"/>
        <v>1</v>
      </c>
      <c r="Q373" s="87" t="b">
        <f>(Requirements!K375="Normative")</f>
        <v>1</v>
      </c>
      <c r="R373" s="87" t="b">
        <f>AND(Requirements!L375&lt;&gt;"Non-testable",Requirements!L375&lt;&gt;"Deleted",Requirements!L375&lt;&gt;"")</f>
        <v>1</v>
      </c>
      <c r="S373" s="87" t="b">
        <f>(VLOOKUP(Requirements!I375,Scope[[Role]:[Description]],2,FALSE)="In")</f>
        <v>1</v>
      </c>
      <c r="T373" s="87">
        <f t="shared" si="23"/>
        <v>0</v>
      </c>
    </row>
    <row r="374" spans="1:20">
      <c r="A374" s="44" t="str">
        <f>Requirements!A376</f>
        <v>MS-SMB_R9946</v>
      </c>
      <c r="B374" s="87"/>
      <c r="C374" s="87"/>
      <c r="D374" s="87"/>
      <c r="E374" s="87"/>
      <c r="F374" s="87"/>
      <c r="G374" s="87"/>
      <c r="H374" s="87"/>
      <c r="I374" s="87"/>
      <c r="J374" s="87"/>
      <c r="K374" s="87"/>
      <c r="L374" s="87"/>
      <c r="M374" s="87"/>
      <c r="N374" s="87">
        <f t="shared" si="20"/>
        <v>0</v>
      </c>
      <c r="O374" s="87">
        <f t="shared" si="21"/>
        <v>0</v>
      </c>
      <c r="P374" s="87" t="b">
        <f t="shared" si="22"/>
        <v>0</v>
      </c>
      <c r="Q374" s="87" t="b">
        <f>(Requirements!K376="Normative")</f>
        <v>0</v>
      </c>
      <c r="R374" s="87" t="b">
        <f>AND(Requirements!L376&lt;&gt;"Non-testable",Requirements!L376&lt;&gt;"Deleted",Requirements!L376&lt;&gt;"")</f>
        <v>1</v>
      </c>
      <c r="S374" s="87" t="b">
        <f>(VLOOKUP(Requirements!I376,Scope[[Role]:[Description]],2,FALSE)="In")</f>
        <v>1</v>
      </c>
      <c r="T374" s="87">
        <f t="shared" si="23"/>
        <v>0</v>
      </c>
    </row>
    <row r="375" spans="1:20">
      <c r="A375" s="44" t="str">
        <f>Requirements!A377</f>
        <v>MS-SMB_R9947</v>
      </c>
      <c r="B375" s="87"/>
      <c r="C375" s="87"/>
      <c r="D375" s="87"/>
      <c r="E375" s="87"/>
      <c r="F375" s="87"/>
      <c r="G375" s="87"/>
      <c r="H375" s="87"/>
      <c r="I375" s="87"/>
      <c r="J375" s="87"/>
      <c r="K375" s="87"/>
      <c r="L375" s="87"/>
      <c r="M375" s="87"/>
      <c r="N375" s="87">
        <f t="shared" si="20"/>
        <v>0</v>
      </c>
      <c r="O375" s="87">
        <f t="shared" si="21"/>
        <v>0</v>
      </c>
      <c r="P375" s="87" t="b">
        <f t="shared" si="22"/>
        <v>0</v>
      </c>
      <c r="Q375" s="87" t="b">
        <f>(Requirements!K377="Normative")</f>
        <v>0</v>
      </c>
      <c r="R375" s="87" t="b">
        <f>AND(Requirements!L377&lt;&gt;"Non-testable",Requirements!L377&lt;&gt;"Deleted",Requirements!L377&lt;&gt;"")</f>
        <v>1</v>
      </c>
      <c r="S375" s="87" t="b">
        <f>(VLOOKUP(Requirements!I377,Scope[[Role]:[Description]],2,FALSE)="In")</f>
        <v>1</v>
      </c>
      <c r="T375" s="87">
        <f t="shared" si="23"/>
        <v>0</v>
      </c>
    </row>
    <row r="376" spans="1:20">
      <c r="A376" s="44" t="str">
        <f>Requirements!A378</f>
        <v>MS-SMB_R9948</v>
      </c>
      <c r="B376" s="87"/>
      <c r="C376" s="87"/>
      <c r="D376" s="87"/>
      <c r="E376" s="87"/>
      <c r="F376" s="87"/>
      <c r="G376" s="87"/>
      <c r="H376" s="87"/>
      <c r="I376" s="87"/>
      <c r="J376" s="87"/>
      <c r="K376" s="87"/>
      <c r="L376" s="87"/>
      <c r="M376" s="87"/>
      <c r="N376" s="87">
        <f t="shared" si="20"/>
        <v>0</v>
      </c>
      <c r="O376" s="87">
        <f t="shared" si="21"/>
        <v>0</v>
      </c>
      <c r="P376" s="87" t="b">
        <f t="shared" si="22"/>
        <v>0</v>
      </c>
      <c r="Q376" s="87" t="b">
        <f>(Requirements!K378="Normative")</f>
        <v>0</v>
      </c>
      <c r="R376" s="87" t="b">
        <f>AND(Requirements!L378&lt;&gt;"Non-testable",Requirements!L378&lt;&gt;"Deleted",Requirements!L378&lt;&gt;"")</f>
        <v>1</v>
      </c>
      <c r="S376" s="87" t="b">
        <f>(VLOOKUP(Requirements!I378,Scope[[Role]:[Description]],2,FALSE)="In")</f>
        <v>1</v>
      </c>
      <c r="T376" s="87">
        <f t="shared" si="23"/>
        <v>0</v>
      </c>
    </row>
    <row r="377" spans="1:20">
      <c r="A377" s="44" t="str">
        <f>Requirements!A379</f>
        <v>MS-SMB_R9949</v>
      </c>
      <c r="B377" s="87"/>
      <c r="C377" s="87"/>
      <c r="D377" s="87"/>
      <c r="E377" s="87"/>
      <c r="F377" s="87"/>
      <c r="G377" s="87"/>
      <c r="H377" s="87"/>
      <c r="I377" s="87"/>
      <c r="J377" s="87"/>
      <c r="K377" s="87"/>
      <c r="L377" s="87"/>
      <c r="M377" s="87"/>
      <c r="N377" s="87">
        <f t="shared" si="20"/>
        <v>0</v>
      </c>
      <c r="O377" s="87">
        <f t="shared" si="21"/>
        <v>0</v>
      </c>
      <c r="P377" s="87" t="b">
        <f t="shared" si="22"/>
        <v>0</v>
      </c>
      <c r="Q377" s="87" t="b">
        <f>(Requirements!K379="Normative")</f>
        <v>0</v>
      </c>
      <c r="R377" s="87" t="b">
        <f>AND(Requirements!L379&lt;&gt;"Non-testable",Requirements!L379&lt;&gt;"Deleted",Requirements!L379&lt;&gt;"")</f>
        <v>1</v>
      </c>
      <c r="S377" s="87" t="b">
        <f>(VLOOKUP(Requirements!I379,Scope[[Role]:[Description]],2,FALSE)="In")</f>
        <v>1</v>
      </c>
      <c r="T377" s="87">
        <f t="shared" si="23"/>
        <v>0</v>
      </c>
    </row>
    <row r="378" spans="1:20">
      <c r="A378" s="85" t="str">
        <f>Requirements!A380</f>
        <v>MS-SMB_R9950</v>
      </c>
      <c r="B378" s="87"/>
      <c r="C378" s="87"/>
      <c r="D378" s="87"/>
      <c r="E378" s="87"/>
      <c r="F378" s="87"/>
      <c r="G378" s="87"/>
      <c r="H378" s="87"/>
      <c r="I378" s="87"/>
      <c r="J378" s="87"/>
      <c r="K378" s="87"/>
      <c r="L378" s="87"/>
      <c r="M378" s="87"/>
      <c r="N378" s="87">
        <f t="shared" si="20"/>
        <v>0</v>
      </c>
      <c r="O378" s="61">
        <f t="shared" si="21"/>
        <v>0</v>
      </c>
      <c r="P378" s="61" t="b">
        <f t="shared" si="22"/>
        <v>1</v>
      </c>
      <c r="Q378" s="87" t="b">
        <f>(Requirements!K380="Normative")</f>
        <v>1</v>
      </c>
      <c r="R378" s="87" t="b">
        <f>AND(Requirements!L380&lt;&gt;"Non-testable",Requirements!L380&lt;&gt;"Deleted",Requirements!L380&lt;&gt;"")</f>
        <v>1</v>
      </c>
      <c r="S378" s="87" t="b">
        <f>(VLOOKUP(Requirements!I380,Scope[[Role]:[Description]],2,FALSE)="In")</f>
        <v>1</v>
      </c>
      <c r="T378" s="87">
        <f t="shared" si="23"/>
        <v>0</v>
      </c>
    </row>
    <row r="379" spans="1:20">
      <c r="A379" s="44" t="str">
        <f>Requirements!A381</f>
        <v>MS-SMB_R9951</v>
      </c>
      <c r="B379" s="87"/>
      <c r="C379" s="87"/>
      <c r="D379" s="87"/>
      <c r="E379" s="87"/>
      <c r="F379" s="87"/>
      <c r="G379" s="87"/>
      <c r="H379" s="87"/>
      <c r="I379" s="87"/>
      <c r="J379" s="87"/>
      <c r="K379" s="87"/>
      <c r="L379" s="87"/>
      <c r="M379" s="87"/>
      <c r="N379" s="87">
        <f t="shared" si="20"/>
        <v>0</v>
      </c>
      <c r="O379" s="87">
        <f t="shared" si="21"/>
        <v>0</v>
      </c>
      <c r="P379" s="87" t="b">
        <f t="shared" si="22"/>
        <v>0</v>
      </c>
      <c r="Q379" s="87" t="b">
        <f>(Requirements!K381="Normative")</f>
        <v>0</v>
      </c>
      <c r="R379" s="87" t="b">
        <f>AND(Requirements!L381&lt;&gt;"Non-testable",Requirements!L381&lt;&gt;"Deleted",Requirements!L381&lt;&gt;"")</f>
        <v>1</v>
      </c>
      <c r="S379" s="87" t="b">
        <f>(VLOOKUP(Requirements!I381,Scope[[Role]:[Description]],2,FALSE)="In")</f>
        <v>1</v>
      </c>
      <c r="T379" s="87">
        <f t="shared" si="23"/>
        <v>0</v>
      </c>
    </row>
    <row r="380" spans="1:20">
      <c r="A380" s="84" t="str">
        <f>Requirements!A382</f>
        <v>MS-SMB_R9952</v>
      </c>
      <c r="B380" s="87"/>
      <c r="C380" s="87"/>
      <c r="D380" s="87"/>
      <c r="E380" s="87"/>
      <c r="F380" s="87"/>
      <c r="G380" s="87"/>
      <c r="H380" s="87"/>
      <c r="I380" s="87"/>
      <c r="J380" s="87"/>
      <c r="K380" s="87"/>
      <c r="L380" s="87">
        <v>1</v>
      </c>
      <c r="M380" s="87"/>
      <c r="N380" s="87">
        <f t="shared" si="20"/>
        <v>1</v>
      </c>
      <c r="O380" s="60">
        <f t="shared" si="21"/>
        <v>1</v>
      </c>
      <c r="P380" s="60" t="b">
        <f t="shared" si="22"/>
        <v>1</v>
      </c>
      <c r="Q380" s="87" t="b">
        <f>(Requirements!K382="Normative")</f>
        <v>1</v>
      </c>
      <c r="R380" s="87" t="b">
        <f>AND(Requirements!L382&lt;&gt;"Non-testable",Requirements!L382&lt;&gt;"Deleted",Requirements!L382&lt;&gt;"")</f>
        <v>1</v>
      </c>
      <c r="S380" s="87" t="b">
        <f>(VLOOKUP(Requirements!I382,Scope[[Role]:[Description]],2,FALSE)="In")</f>
        <v>1</v>
      </c>
      <c r="T380" s="87">
        <f t="shared" si="23"/>
        <v>1</v>
      </c>
    </row>
    <row r="381" spans="1:20">
      <c r="A381" s="44" t="str">
        <f>Requirements!A383</f>
        <v>MS-SMB_R9953</v>
      </c>
      <c r="B381" s="87"/>
      <c r="C381" s="87"/>
      <c r="D381" s="87"/>
      <c r="E381" s="87"/>
      <c r="F381" s="87"/>
      <c r="G381" s="87"/>
      <c r="H381" s="87"/>
      <c r="I381" s="87"/>
      <c r="J381" s="87"/>
      <c r="K381" s="87"/>
      <c r="L381" s="87"/>
      <c r="M381" s="87"/>
      <c r="N381" s="87">
        <f t="shared" si="20"/>
        <v>0</v>
      </c>
      <c r="O381" s="87">
        <f t="shared" si="21"/>
        <v>0</v>
      </c>
      <c r="P381" s="87" t="b">
        <f t="shared" si="22"/>
        <v>0</v>
      </c>
      <c r="Q381" s="87" t="b">
        <f>(Requirements!K383="Normative")</f>
        <v>0</v>
      </c>
      <c r="R381" s="87" t="b">
        <f>AND(Requirements!L383&lt;&gt;"Non-testable",Requirements!L383&lt;&gt;"Deleted",Requirements!L383&lt;&gt;"")</f>
        <v>1</v>
      </c>
      <c r="S381" s="87" t="b">
        <f>(VLOOKUP(Requirements!I383,Scope[[Role]:[Description]],2,FALSE)="In")</f>
        <v>1</v>
      </c>
      <c r="T381" s="87">
        <f t="shared" si="23"/>
        <v>0</v>
      </c>
    </row>
    <row r="382" spans="1:20">
      <c r="A382" s="44" t="str">
        <f>Requirements!A384</f>
        <v>MS-SMB_R9954</v>
      </c>
      <c r="B382" s="87"/>
      <c r="C382" s="87"/>
      <c r="D382" s="87"/>
      <c r="E382" s="87"/>
      <c r="F382" s="87"/>
      <c r="G382" s="87"/>
      <c r="H382" s="87"/>
      <c r="I382" s="87"/>
      <c r="J382" s="87"/>
      <c r="K382" s="87"/>
      <c r="L382" s="87"/>
      <c r="M382" s="87"/>
      <c r="N382" s="87">
        <f t="shared" si="20"/>
        <v>0</v>
      </c>
      <c r="O382" s="87">
        <f t="shared" si="21"/>
        <v>0</v>
      </c>
      <c r="P382" s="87" t="b">
        <f t="shared" si="22"/>
        <v>0</v>
      </c>
      <c r="Q382" s="87" t="b">
        <f>(Requirements!K384="Normative")</f>
        <v>0</v>
      </c>
      <c r="R382" s="87" t="b">
        <f>AND(Requirements!L384&lt;&gt;"Non-testable",Requirements!L384&lt;&gt;"Deleted",Requirements!L384&lt;&gt;"")</f>
        <v>1</v>
      </c>
      <c r="S382" s="87" t="b">
        <f>(VLOOKUP(Requirements!I384,Scope[[Role]:[Description]],2,FALSE)="In")</f>
        <v>1</v>
      </c>
      <c r="T382" s="87">
        <f t="shared" si="23"/>
        <v>0</v>
      </c>
    </row>
    <row r="383" spans="1:20">
      <c r="A383" s="44" t="str">
        <f>Requirements!A385</f>
        <v>MS-SMB_R9955</v>
      </c>
      <c r="B383" s="87"/>
      <c r="C383" s="87"/>
      <c r="D383" s="87"/>
      <c r="E383" s="87"/>
      <c r="F383" s="87"/>
      <c r="G383" s="87"/>
      <c r="H383" s="87"/>
      <c r="I383" s="87"/>
      <c r="J383" s="87"/>
      <c r="K383" s="87"/>
      <c r="L383" s="87"/>
      <c r="M383" s="87"/>
      <c r="N383" s="87">
        <f t="shared" si="20"/>
        <v>0</v>
      </c>
      <c r="O383" s="87">
        <f t="shared" si="21"/>
        <v>0</v>
      </c>
      <c r="P383" s="87" t="b">
        <f t="shared" si="22"/>
        <v>0</v>
      </c>
      <c r="Q383" s="87" t="b">
        <f>(Requirements!K385="Normative")</f>
        <v>0</v>
      </c>
      <c r="R383" s="87" t="b">
        <f>AND(Requirements!L385&lt;&gt;"Non-testable",Requirements!L385&lt;&gt;"Deleted",Requirements!L385&lt;&gt;"")</f>
        <v>1</v>
      </c>
      <c r="S383" s="87" t="b">
        <f>(VLOOKUP(Requirements!I385,Scope[[Role]:[Description]],2,FALSE)="In")</f>
        <v>1</v>
      </c>
      <c r="T383" s="87">
        <f t="shared" si="23"/>
        <v>0</v>
      </c>
    </row>
    <row r="384" spans="1:20">
      <c r="A384" s="44" t="str">
        <f>Requirements!A386</f>
        <v>MS-SMB_R9956</v>
      </c>
      <c r="B384" s="87"/>
      <c r="C384" s="87"/>
      <c r="D384" s="87"/>
      <c r="E384" s="87"/>
      <c r="F384" s="87"/>
      <c r="G384" s="87"/>
      <c r="H384" s="87"/>
      <c r="I384" s="87"/>
      <c r="J384" s="87"/>
      <c r="K384" s="87"/>
      <c r="L384" s="87"/>
      <c r="M384" s="87"/>
      <c r="N384" s="87">
        <f t="shared" si="20"/>
        <v>0</v>
      </c>
      <c r="O384" s="87">
        <f t="shared" si="21"/>
        <v>0</v>
      </c>
      <c r="P384" s="87" t="b">
        <f t="shared" si="22"/>
        <v>0</v>
      </c>
      <c r="Q384" s="87" t="b">
        <f>(Requirements!K386="Normative")</f>
        <v>0</v>
      </c>
      <c r="R384" s="87" t="b">
        <f>AND(Requirements!L386&lt;&gt;"Non-testable",Requirements!L386&lt;&gt;"Deleted",Requirements!L386&lt;&gt;"")</f>
        <v>1</v>
      </c>
      <c r="S384" s="87" t="b">
        <f>(VLOOKUP(Requirements!I386,Scope[[Role]:[Description]],2,FALSE)="In")</f>
        <v>1</v>
      </c>
      <c r="T384" s="87">
        <f t="shared" si="23"/>
        <v>0</v>
      </c>
    </row>
    <row r="385" spans="1:60">
      <c r="A385" s="84" t="str">
        <f>Requirements!A387</f>
        <v>MS-SMB_R9957</v>
      </c>
      <c r="B385" s="87"/>
      <c r="C385" s="87"/>
      <c r="D385" s="87"/>
      <c r="E385" s="87"/>
      <c r="F385" s="87"/>
      <c r="G385" s="87"/>
      <c r="H385" s="87"/>
      <c r="I385" s="87"/>
      <c r="J385" s="87"/>
      <c r="K385" s="87"/>
      <c r="L385" s="87">
        <v>1</v>
      </c>
      <c r="M385" s="87"/>
      <c r="N385" s="87">
        <f t="shared" si="20"/>
        <v>1</v>
      </c>
      <c r="O385" s="60">
        <f t="shared" si="21"/>
        <v>1</v>
      </c>
      <c r="P385" s="60" t="b">
        <f t="shared" si="22"/>
        <v>1</v>
      </c>
      <c r="Q385" s="87" t="b">
        <f>(Requirements!K387="Normative")</f>
        <v>1</v>
      </c>
      <c r="R385" s="87" t="b">
        <f>AND(Requirements!L387&lt;&gt;"Non-testable",Requirements!L387&lt;&gt;"Deleted",Requirements!L387&lt;&gt;"")</f>
        <v>1</v>
      </c>
      <c r="S385" s="87" t="b">
        <f>(VLOOKUP(Requirements!I387,Scope[[Role]:[Description]],2,FALSE)="In")</f>
        <v>1</v>
      </c>
      <c r="T385" s="87">
        <f t="shared" si="23"/>
        <v>1</v>
      </c>
    </row>
    <row r="386" spans="1:60">
      <c r="A386" s="84" t="str">
        <f>Requirements!A388</f>
        <v>MS-SMB_R109957</v>
      </c>
      <c r="B386" s="87"/>
      <c r="C386" s="87"/>
      <c r="D386" s="87"/>
      <c r="E386" s="87"/>
      <c r="F386" s="87"/>
      <c r="G386" s="87"/>
      <c r="H386" s="87"/>
      <c r="I386" s="87"/>
      <c r="J386" s="87"/>
      <c r="K386" s="87"/>
      <c r="L386" s="87">
        <v>1</v>
      </c>
      <c r="M386" s="87"/>
      <c r="N386" s="87">
        <f t="shared" si="20"/>
        <v>1</v>
      </c>
      <c r="O386" s="60">
        <f t="shared" si="21"/>
        <v>1</v>
      </c>
      <c r="P386" s="60" t="b">
        <f t="shared" si="22"/>
        <v>1</v>
      </c>
      <c r="Q386" s="87" t="b">
        <f>(Requirements!K388="Normative")</f>
        <v>1</v>
      </c>
      <c r="R386" s="87" t="b">
        <f>AND(Requirements!L388&lt;&gt;"Non-testable",Requirements!L388&lt;&gt;"Deleted",Requirements!L388&lt;&gt;"")</f>
        <v>1</v>
      </c>
      <c r="S386" s="87" t="b">
        <f>(VLOOKUP(Requirements!I388,Scope[[Role]:[Description]],2,FALSE)="In")</f>
        <v>1</v>
      </c>
      <c r="T386" s="87">
        <f t="shared" si="23"/>
        <v>1</v>
      </c>
    </row>
    <row r="387" spans="1:60">
      <c r="A387" s="85" t="str">
        <f>Requirements!A389</f>
        <v>MS-SMB_R9958</v>
      </c>
      <c r="B387" s="87"/>
      <c r="C387" s="87"/>
      <c r="D387" s="87"/>
      <c r="E387" s="87"/>
      <c r="F387" s="87"/>
      <c r="G387" s="87"/>
      <c r="H387" s="87"/>
      <c r="I387" s="87"/>
      <c r="J387" s="87"/>
      <c r="K387" s="87"/>
      <c r="L387" s="87"/>
      <c r="M387" s="87"/>
      <c r="N387" s="87">
        <f t="shared" si="20"/>
        <v>0</v>
      </c>
      <c r="O387" s="61">
        <f t="shared" si="21"/>
        <v>0</v>
      </c>
      <c r="P387" s="61" t="b">
        <f t="shared" si="22"/>
        <v>1</v>
      </c>
      <c r="Q387" s="87" t="b">
        <f>(Requirements!K389="Normative")</f>
        <v>1</v>
      </c>
      <c r="R387" s="87" t="b">
        <f>AND(Requirements!L389&lt;&gt;"Non-testable",Requirements!L389&lt;&gt;"Deleted",Requirements!L389&lt;&gt;"")</f>
        <v>1</v>
      </c>
      <c r="S387" s="87" t="b">
        <f>(VLOOKUP(Requirements!I389,Scope[[Role]:[Description]],2,FALSE)="In")</f>
        <v>1</v>
      </c>
      <c r="T387" s="87">
        <f t="shared" si="23"/>
        <v>0</v>
      </c>
    </row>
    <row r="388" spans="1:60">
      <c r="A388" s="83" t="str">
        <f>Requirements!A390</f>
        <v>MS-SMB_R109958</v>
      </c>
      <c r="B388" s="46"/>
      <c r="C388" s="46"/>
      <c r="D388" s="46"/>
      <c r="E388" s="46"/>
      <c r="F388" s="46"/>
      <c r="G388" s="46"/>
      <c r="H388" s="46"/>
      <c r="I388" s="46"/>
      <c r="J388" s="46"/>
      <c r="K388" s="46"/>
      <c r="L388" s="46"/>
      <c r="M388" s="46"/>
      <c r="N388" s="46">
        <f t="shared" si="20"/>
        <v>0</v>
      </c>
      <c r="O388" s="46">
        <f t="shared" si="21"/>
        <v>0</v>
      </c>
      <c r="P388" s="46" t="b">
        <f t="shared" si="22"/>
        <v>0</v>
      </c>
      <c r="Q388" s="46" t="b">
        <f>(Requirements!K390="Normative")</f>
        <v>0</v>
      </c>
      <c r="R388" s="46" t="b">
        <f>AND(Requirements!L390&lt;&gt;"Non-testable",Requirements!L390&lt;&gt;"Deleted",Requirements!L390&lt;&gt;"")</f>
        <v>0</v>
      </c>
      <c r="S388" s="46" t="b">
        <f>(VLOOKUP(Requirements!I390,Scope[[Role]:[Description]],2,FALSE)="In")</f>
        <v>1</v>
      </c>
      <c r="T388" s="46">
        <f t="shared" si="23"/>
        <v>0</v>
      </c>
      <c r="U388" s="45"/>
      <c r="V388" s="45"/>
      <c r="W388" s="45"/>
      <c r="X388" s="45"/>
      <c r="Y388" s="45"/>
      <c r="Z388" s="45"/>
      <c r="AA388" s="45"/>
      <c r="AB388" s="45"/>
      <c r="AC388" s="45"/>
      <c r="AD388" s="45"/>
      <c r="AE388" s="45"/>
      <c r="AF388" s="45"/>
      <c r="AG388" s="45"/>
      <c r="AH388" s="45"/>
      <c r="AI388" s="45"/>
      <c r="AJ388" s="45"/>
      <c r="AK388" s="45"/>
      <c r="AL388" s="45"/>
      <c r="AM388" s="45"/>
      <c r="AN388" s="45"/>
      <c r="AO388" s="45"/>
      <c r="AP388" s="45"/>
      <c r="AQ388" s="45"/>
      <c r="AR388" s="45"/>
      <c r="AS388" s="45"/>
      <c r="AT388" s="45"/>
      <c r="AU388" s="45"/>
      <c r="AV388" s="45"/>
      <c r="AW388" s="45"/>
      <c r="AX388" s="45"/>
      <c r="AY388" s="45"/>
      <c r="AZ388" s="45"/>
      <c r="BA388" s="45"/>
      <c r="BB388" s="45"/>
      <c r="BC388" s="45"/>
      <c r="BD388" s="45"/>
      <c r="BE388" s="45"/>
      <c r="BF388" s="45"/>
      <c r="BG388" s="45"/>
      <c r="BH388" s="45"/>
    </row>
    <row r="389" spans="1:60">
      <c r="A389" s="44" t="str">
        <f>Requirements!A391</f>
        <v>MS-SMB_R9959</v>
      </c>
      <c r="B389" s="87"/>
      <c r="C389" s="87"/>
      <c r="D389" s="87"/>
      <c r="E389" s="87"/>
      <c r="F389" s="87"/>
      <c r="G389" s="87"/>
      <c r="H389" s="87"/>
      <c r="I389" s="87"/>
      <c r="J389" s="87"/>
      <c r="K389" s="87"/>
      <c r="L389" s="87"/>
      <c r="M389" s="87"/>
      <c r="N389" s="87">
        <f t="shared" si="20"/>
        <v>0</v>
      </c>
      <c r="O389" s="87">
        <f t="shared" si="21"/>
        <v>0</v>
      </c>
      <c r="P389" s="87" t="b">
        <f t="shared" si="22"/>
        <v>0</v>
      </c>
      <c r="Q389" s="87" t="b">
        <f>(Requirements!K391="Normative")</f>
        <v>0</v>
      </c>
      <c r="R389" s="87" t="b">
        <f>AND(Requirements!L391&lt;&gt;"Non-testable",Requirements!L391&lt;&gt;"Deleted",Requirements!L391&lt;&gt;"")</f>
        <v>1</v>
      </c>
      <c r="S389" s="87" t="b">
        <f>(VLOOKUP(Requirements!I391,Scope[[Role]:[Description]],2,FALSE)="In")</f>
        <v>1</v>
      </c>
      <c r="T389" s="87">
        <f t="shared" si="23"/>
        <v>0</v>
      </c>
    </row>
    <row r="390" spans="1:60">
      <c r="A390" s="44" t="str">
        <f>Requirements!A392</f>
        <v>MS-SMB_R9960</v>
      </c>
      <c r="B390" s="87"/>
      <c r="C390" s="87"/>
      <c r="D390" s="87"/>
      <c r="E390" s="87"/>
      <c r="F390" s="87"/>
      <c r="G390" s="87"/>
      <c r="H390" s="87"/>
      <c r="I390" s="87"/>
      <c r="J390" s="87"/>
      <c r="K390" s="87"/>
      <c r="L390" s="87"/>
      <c r="M390" s="87"/>
      <c r="N390" s="87">
        <f t="shared" si="20"/>
        <v>0</v>
      </c>
      <c r="O390" s="87">
        <f t="shared" si="21"/>
        <v>0</v>
      </c>
      <c r="P390" s="87" t="b">
        <f t="shared" si="22"/>
        <v>0</v>
      </c>
      <c r="Q390" s="87" t="b">
        <f>(Requirements!K392="Normative")</f>
        <v>0</v>
      </c>
      <c r="R390" s="87" t="b">
        <f>AND(Requirements!L392&lt;&gt;"Non-testable",Requirements!L392&lt;&gt;"Deleted",Requirements!L392&lt;&gt;"")</f>
        <v>1</v>
      </c>
      <c r="S390" s="87" t="b">
        <f>(VLOOKUP(Requirements!I392,Scope[[Role]:[Description]],2,FALSE)="In")</f>
        <v>1</v>
      </c>
      <c r="T390" s="87">
        <f t="shared" si="23"/>
        <v>0</v>
      </c>
    </row>
    <row r="391" spans="1:60">
      <c r="A391" s="44" t="str">
        <f>Requirements!A393</f>
        <v>MS-SMB_R9961</v>
      </c>
      <c r="B391" s="87"/>
      <c r="C391" s="87"/>
      <c r="D391" s="87"/>
      <c r="E391" s="87"/>
      <c r="F391" s="87"/>
      <c r="G391" s="87"/>
      <c r="H391" s="87"/>
      <c r="I391" s="87"/>
      <c r="J391" s="87"/>
      <c r="K391" s="87"/>
      <c r="L391" s="87"/>
      <c r="M391" s="87"/>
      <c r="N391" s="87">
        <f t="shared" si="20"/>
        <v>0</v>
      </c>
      <c r="O391" s="87">
        <f t="shared" si="21"/>
        <v>0</v>
      </c>
      <c r="P391" s="87" t="b">
        <f t="shared" si="22"/>
        <v>0</v>
      </c>
      <c r="Q391" s="87" t="b">
        <f>(Requirements!K393="Normative")</f>
        <v>0</v>
      </c>
      <c r="R391" s="87" t="b">
        <f>AND(Requirements!L393&lt;&gt;"Non-testable",Requirements!L393&lt;&gt;"Deleted",Requirements!L393&lt;&gt;"")</f>
        <v>1</v>
      </c>
      <c r="S391" s="87" t="b">
        <f>(VLOOKUP(Requirements!I393,Scope[[Role]:[Description]],2,FALSE)="In")</f>
        <v>1</v>
      </c>
      <c r="T391" s="87">
        <f t="shared" si="23"/>
        <v>0</v>
      </c>
    </row>
    <row r="392" spans="1:60">
      <c r="A392" s="84" t="str">
        <f>Requirements!A394</f>
        <v>MS-SMB_R9962</v>
      </c>
      <c r="B392" s="87"/>
      <c r="C392" s="87"/>
      <c r="D392" s="87"/>
      <c r="E392" s="87"/>
      <c r="F392" s="87"/>
      <c r="G392" s="87"/>
      <c r="H392" s="87"/>
      <c r="I392" s="87"/>
      <c r="J392" s="87"/>
      <c r="K392" s="87"/>
      <c r="L392" s="87">
        <v>1</v>
      </c>
      <c r="M392" s="87"/>
      <c r="N392" s="87">
        <f t="shared" si="20"/>
        <v>1</v>
      </c>
      <c r="O392" s="60">
        <f t="shared" si="21"/>
        <v>1</v>
      </c>
      <c r="P392" s="60" t="b">
        <f t="shared" si="22"/>
        <v>1</v>
      </c>
      <c r="Q392" s="87" t="b">
        <f>(Requirements!K394="Normative")</f>
        <v>1</v>
      </c>
      <c r="R392" s="87" t="b">
        <f>AND(Requirements!L394&lt;&gt;"Non-testable",Requirements!L394&lt;&gt;"Deleted",Requirements!L394&lt;&gt;"")</f>
        <v>1</v>
      </c>
      <c r="S392" s="87" t="b">
        <f>(VLOOKUP(Requirements!I394,Scope[[Role]:[Description]],2,FALSE)="In")</f>
        <v>1</v>
      </c>
      <c r="T392" s="87">
        <f t="shared" si="23"/>
        <v>1</v>
      </c>
    </row>
    <row r="393" spans="1:60">
      <c r="A393" s="85" t="str">
        <f>Requirements!A395</f>
        <v>MS-SMB_R9963</v>
      </c>
      <c r="B393" s="87"/>
      <c r="C393" s="87"/>
      <c r="D393" s="87"/>
      <c r="E393" s="87"/>
      <c r="F393" s="87"/>
      <c r="G393" s="87"/>
      <c r="H393" s="87"/>
      <c r="I393" s="87"/>
      <c r="J393" s="87"/>
      <c r="K393" s="87"/>
      <c r="L393" s="87"/>
      <c r="M393" s="87"/>
      <c r="N393" s="87">
        <f t="shared" si="20"/>
        <v>0</v>
      </c>
      <c r="O393" s="61">
        <f t="shared" si="21"/>
        <v>0</v>
      </c>
      <c r="P393" s="61" t="b">
        <f t="shared" si="22"/>
        <v>1</v>
      </c>
      <c r="Q393" s="87" t="b">
        <f>(Requirements!K395="Normative")</f>
        <v>1</v>
      </c>
      <c r="R393" s="87" t="b">
        <f>AND(Requirements!L395&lt;&gt;"Non-testable",Requirements!L395&lt;&gt;"Deleted",Requirements!L395&lt;&gt;"")</f>
        <v>1</v>
      </c>
      <c r="S393" s="87" t="b">
        <f>(VLOOKUP(Requirements!I395,Scope[[Role]:[Description]],2,FALSE)="In")</f>
        <v>1</v>
      </c>
      <c r="T393" s="87">
        <f t="shared" si="23"/>
        <v>0</v>
      </c>
    </row>
    <row r="394" spans="1:60">
      <c r="A394" s="44" t="str">
        <f>Requirements!A396</f>
        <v>MS-SMB_R9964</v>
      </c>
      <c r="B394" s="87"/>
      <c r="C394" s="87"/>
      <c r="D394" s="87"/>
      <c r="E394" s="87"/>
      <c r="F394" s="87"/>
      <c r="G394" s="87"/>
      <c r="H394" s="87"/>
      <c r="I394" s="87"/>
      <c r="J394" s="87"/>
      <c r="K394" s="87"/>
      <c r="L394" s="87"/>
      <c r="M394" s="87"/>
      <c r="N394" s="87">
        <f t="shared" si="20"/>
        <v>0</v>
      </c>
      <c r="O394" s="87">
        <f t="shared" si="21"/>
        <v>0</v>
      </c>
      <c r="P394" s="87" t="b">
        <f t="shared" si="22"/>
        <v>0</v>
      </c>
      <c r="Q394" s="87" t="b">
        <f>(Requirements!K396="Normative")</f>
        <v>0</v>
      </c>
      <c r="R394" s="87" t="b">
        <f>AND(Requirements!L396&lt;&gt;"Non-testable",Requirements!L396&lt;&gt;"Deleted",Requirements!L396&lt;&gt;"")</f>
        <v>1</v>
      </c>
      <c r="S394" s="87" t="b">
        <f>(VLOOKUP(Requirements!I396,Scope[[Role]:[Description]],2,FALSE)="In")</f>
        <v>1</v>
      </c>
      <c r="T394" s="87">
        <f t="shared" si="23"/>
        <v>0</v>
      </c>
    </row>
    <row r="395" spans="1:60">
      <c r="A395" s="44" t="str">
        <f>Requirements!A397</f>
        <v>MS-SMB_R9965</v>
      </c>
      <c r="B395" s="87"/>
      <c r="C395" s="87"/>
      <c r="D395" s="87"/>
      <c r="E395" s="87"/>
      <c r="F395" s="87"/>
      <c r="G395" s="87"/>
      <c r="H395" s="87"/>
      <c r="I395" s="87"/>
      <c r="J395" s="87"/>
      <c r="K395" s="87"/>
      <c r="L395" s="87"/>
      <c r="M395" s="87"/>
      <c r="N395" s="87">
        <f t="shared" si="20"/>
        <v>0</v>
      </c>
      <c r="O395" s="87">
        <f t="shared" si="21"/>
        <v>0</v>
      </c>
      <c r="P395" s="87" t="b">
        <f t="shared" si="22"/>
        <v>0</v>
      </c>
      <c r="Q395" s="87" t="b">
        <f>(Requirements!K397="Normative")</f>
        <v>0</v>
      </c>
      <c r="R395" s="87" t="b">
        <f>AND(Requirements!L397&lt;&gt;"Non-testable",Requirements!L397&lt;&gt;"Deleted",Requirements!L397&lt;&gt;"")</f>
        <v>1</v>
      </c>
      <c r="S395" s="87" t="b">
        <f>(VLOOKUP(Requirements!I397,Scope[[Role]:[Description]],2,FALSE)="In")</f>
        <v>1</v>
      </c>
      <c r="T395" s="87">
        <f t="shared" si="23"/>
        <v>0</v>
      </c>
    </row>
    <row r="396" spans="1:60">
      <c r="A396" s="44" t="str">
        <f>Requirements!A398</f>
        <v>MS-SMB_R9966</v>
      </c>
      <c r="B396" s="87"/>
      <c r="C396" s="87"/>
      <c r="D396" s="87"/>
      <c r="E396" s="87"/>
      <c r="F396" s="87"/>
      <c r="G396" s="87"/>
      <c r="H396" s="87"/>
      <c r="I396" s="87"/>
      <c r="J396" s="87"/>
      <c r="K396" s="87"/>
      <c r="L396" s="87"/>
      <c r="M396" s="87"/>
      <c r="N396" s="87">
        <f t="shared" si="20"/>
        <v>0</v>
      </c>
      <c r="O396" s="87">
        <f t="shared" si="21"/>
        <v>0</v>
      </c>
      <c r="P396" s="87" t="b">
        <f t="shared" si="22"/>
        <v>0</v>
      </c>
      <c r="Q396" s="87" t="b">
        <f>(Requirements!K398="Normative")</f>
        <v>0</v>
      </c>
      <c r="R396" s="87" t="b">
        <f>AND(Requirements!L398&lt;&gt;"Non-testable",Requirements!L398&lt;&gt;"Deleted",Requirements!L398&lt;&gt;"")</f>
        <v>1</v>
      </c>
      <c r="S396" s="87" t="b">
        <f>(VLOOKUP(Requirements!I398,Scope[[Role]:[Description]],2,FALSE)="In")</f>
        <v>1</v>
      </c>
      <c r="T396" s="87">
        <f t="shared" si="23"/>
        <v>0</v>
      </c>
    </row>
    <row r="397" spans="1:60">
      <c r="A397" s="44" t="str">
        <f>Requirements!A399</f>
        <v>MS-SMB_R9967</v>
      </c>
      <c r="B397" s="87"/>
      <c r="C397" s="87"/>
      <c r="D397" s="87"/>
      <c r="E397" s="87"/>
      <c r="F397" s="87"/>
      <c r="G397" s="87"/>
      <c r="H397" s="87"/>
      <c r="I397" s="87"/>
      <c r="J397" s="87"/>
      <c r="K397" s="87"/>
      <c r="L397" s="87"/>
      <c r="M397" s="87"/>
      <c r="N397" s="87">
        <f t="shared" si="20"/>
        <v>0</v>
      </c>
      <c r="O397" s="87">
        <f t="shared" si="21"/>
        <v>0</v>
      </c>
      <c r="P397" s="87" t="b">
        <f t="shared" si="22"/>
        <v>0</v>
      </c>
      <c r="Q397" s="87" t="b">
        <f>(Requirements!K399="Normative")</f>
        <v>0</v>
      </c>
      <c r="R397" s="87" t="b">
        <f>AND(Requirements!L399&lt;&gt;"Non-testable",Requirements!L399&lt;&gt;"Deleted",Requirements!L399&lt;&gt;"")</f>
        <v>1</v>
      </c>
      <c r="S397" s="87" t="b">
        <f>(VLOOKUP(Requirements!I399,Scope[[Role]:[Description]],2,FALSE)="In")</f>
        <v>1</v>
      </c>
      <c r="T397" s="87">
        <f t="shared" si="23"/>
        <v>0</v>
      </c>
    </row>
    <row r="398" spans="1:60">
      <c r="A398" s="44" t="str">
        <f>Requirements!A400</f>
        <v>MS-SMB_R9968</v>
      </c>
      <c r="B398" s="87"/>
      <c r="C398" s="87"/>
      <c r="D398" s="87"/>
      <c r="E398" s="87"/>
      <c r="F398" s="87"/>
      <c r="G398" s="87"/>
      <c r="H398" s="87"/>
      <c r="I398" s="87"/>
      <c r="J398" s="87"/>
      <c r="K398" s="87"/>
      <c r="L398" s="87"/>
      <c r="M398" s="87"/>
      <c r="N398" s="87">
        <f t="shared" si="20"/>
        <v>0</v>
      </c>
      <c r="O398" s="87">
        <f t="shared" si="21"/>
        <v>0</v>
      </c>
      <c r="P398" s="87" t="b">
        <f t="shared" si="22"/>
        <v>0</v>
      </c>
      <c r="Q398" s="87" t="b">
        <f>(Requirements!K400="Normative")</f>
        <v>0</v>
      </c>
      <c r="R398" s="87" t="b">
        <f>AND(Requirements!L400&lt;&gt;"Non-testable",Requirements!L400&lt;&gt;"Deleted",Requirements!L400&lt;&gt;"")</f>
        <v>1</v>
      </c>
      <c r="S398" s="87" t="b">
        <f>(VLOOKUP(Requirements!I400,Scope[[Role]:[Description]],2,FALSE)="In")</f>
        <v>1</v>
      </c>
      <c r="T398" s="87">
        <f t="shared" si="23"/>
        <v>0</v>
      </c>
    </row>
    <row r="399" spans="1:60">
      <c r="A399" s="44" t="str">
        <f>Requirements!A401</f>
        <v>MS-SMB_R9969</v>
      </c>
      <c r="B399" s="87"/>
      <c r="C399" s="87"/>
      <c r="D399" s="87"/>
      <c r="E399" s="87"/>
      <c r="F399" s="87"/>
      <c r="G399" s="87"/>
      <c r="H399" s="87"/>
      <c r="I399" s="87"/>
      <c r="J399" s="87"/>
      <c r="K399" s="87"/>
      <c r="L399" s="87"/>
      <c r="M399" s="87"/>
      <c r="N399" s="87">
        <f t="shared" si="20"/>
        <v>0</v>
      </c>
      <c r="O399" s="87">
        <f t="shared" si="21"/>
        <v>0</v>
      </c>
      <c r="P399" s="87" t="b">
        <f t="shared" si="22"/>
        <v>0</v>
      </c>
      <c r="Q399" s="87" t="b">
        <f>(Requirements!K401="Normative")</f>
        <v>0</v>
      </c>
      <c r="R399" s="87" t="b">
        <f>AND(Requirements!L401&lt;&gt;"Non-testable",Requirements!L401&lt;&gt;"Deleted",Requirements!L401&lt;&gt;"")</f>
        <v>1</v>
      </c>
      <c r="S399" s="87" t="b">
        <f>(VLOOKUP(Requirements!I401,Scope[[Role]:[Description]],2,FALSE)="In")</f>
        <v>1</v>
      </c>
      <c r="T399" s="87">
        <f t="shared" si="23"/>
        <v>0</v>
      </c>
    </row>
    <row r="400" spans="1:60">
      <c r="A400" s="44" t="str">
        <f>Requirements!A402</f>
        <v>MS-SMB_R9970</v>
      </c>
      <c r="B400" s="87"/>
      <c r="C400" s="87"/>
      <c r="D400" s="87"/>
      <c r="E400" s="87"/>
      <c r="F400" s="87"/>
      <c r="G400" s="87"/>
      <c r="H400" s="87"/>
      <c r="I400" s="87"/>
      <c r="J400" s="87"/>
      <c r="K400" s="87"/>
      <c r="L400" s="87"/>
      <c r="M400" s="87"/>
      <c r="N400" s="87">
        <f t="shared" si="20"/>
        <v>0</v>
      </c>
      <c r="O400" s="87">
        <f t="shared" si="21"/>
        <v>0</v>
      </c>
      <c r="P400" s="87" t="b">
        <f t="shared" si="22"/>
        <v>0</v>
      </c>
      <c r="Q400" s="87" t="b">
        <f>(Requirements!K402="Normative")</f>
        <v>0</v>
      </c>
      <c r="R400" s="87" t="b">
        <f>AND(Requirements!L402&lt;&gt;"Non-testable",Requirements!L402&lt;&gt;"Deleted",Requirements!L402&lt;&gt;"")</f>
        <v>1</v>
      </c>
      <c r="S400" s="87" t="b">
        <f>(VLOOKUP(Requirements!I402,Scope[[Role]:[Description]],2,FALSE)="In")</f>
        <v>1</v>
      </c>
      <c r="T400" s="87">
        <f t="shared" si="23"/>
        <v>0</v>
      </c>
    </row>
    <row r="401" spans="1:20">
      <c r="A401" s="44" t="str">
        <f>Requirements!A403</f>
        <v>MS-SMB_R9971</v>
      </c>
      <c r="B401" s="87"/>
      <c r="C401" s="87"/>
      <c r="D401" s="87"/>
      <c r="E401" s="87"/>
      <c r="F401" s="87"/>
      <c r="G401" s="87"/>
      <c r="H401" s="87"/>
      <c r="I401" s="87"/>
      <c r="J401" s="87"/>
      <c r="K401" s="87"/>
      <c r="L401" s="87"/>
      <c r="M401" s="87"/>
      <c r="N401" s="87">
        <f t="shared" si="20"/>
        <v>0</v>
      </c>
      <c r="O401" s="87">
        <f t="shared" si="21"/>
        <v>0</v>
      </c>
      <c r="P401" s="87" t="b">
        <f t="shared" si="22"/>
        <v>0</v>
      </c>
      <c r="Q401" s="87" t="b">
        <f>(Requirements!K403="Normative")</f>
        <v>0</v>
      </c>
      <c r="R401" s="87" t="b">
        <f>AND(Requirements!L403&lt;&gt;"Non-testable",Requirements!L403&lt;&gt;"Deleted",Requirements!L403&lt;&gt;"")</f>
        <v>1</v>
      </c>
      <c r="S401" s="87" t="b">
        <f>(VLOOKUP(Requirements!I403,Scope[[Role]:[Description]],2,FALSE)="In")</f>
        <v>1</v>
      </c>
      <c r="T401" s="87">
        <f t="shared" si="23"/>
        <v>0</v>
      </c>
    </row>
    <row r="402" spans="1:20">
      <c r="A402" s="44" t="str">
        <f>Requirements!A404</f>
        <v>MS-SMB_R9972</v>
      </c>
      <c r="B402" s="87"/>
      <c r="C402" s="87"/>
      <c r="D402" s="87"/>
      <c r="E402" s="87"/>
      <c r="F402" s="87"/>
      <c r="G402" s="87"/>
      <c r="H402" s="87"/>
      <c r="I402" s="87"/>
      <c r="J402" s="87"/>
      <c r="K402" s="87"/>
      <c r="L402" s="87"/>
      <c r="M402" s="87"/>
      <c r="N402" s="87">
        <f t="shared" si="20"/>
        <v>0</v>
      </c>
      <c r="O402" s="87">
        <f t="shared" si="21"/>
        <v>0</v>
      </c>
      <c r="P402" s="87" t="b">
        <f t="shared" si="22"/>
        <v>0</v>
      </c>
      <c r="Q402" s="87" t="b">
        <f>(Requirements!K404="Normative")</f>
        <v>0</v>
      </c>
      <c r="R402" s="87" t="b">
        <f>AND(Requirements!L404&lt;&gt;"Non-testable",Requirements!L404&lt;&gt;"Deleted",Requirements!L404&lt;&gt;"")</f>
        <v>1</v>
      </c>
      <c r="S402" s="87" t="b">
        <f>(VLOOKUP(Requirements!I404,Scope[[Role]:[Description]],2,FALSE)="In")</f>
        <v>1</v>
      </c>
      <c r="T402" s="87">
        <f t="shared" si="23"/>
        <v>0</v>
      </c>
    </row>
    <row r="403" spans="1:20">
      <c r="A403" s="44" t="str">
        <f>Requirements!A405</f>
        <v>MS-SMB_R9973</v>
      </c>
      <c r="B403" s="87"/>
      <c r="C403" s="87"/>
      <c r="D403" s="87"/>
      <c r="E403" s="87"/>
      <c r="F403" s="87"/>
      <c r="G403" s="87"/>
      <c r="H403" s="87"/>
      <c r="I403" s="87"/>
      <c r="J403" s="87"/>
      <c r="K403" s="87"/>
      <c r="L403" s="87"/>
      <c r="M403" s="87"/>
      <c r="N403" s="87">
        <f t="shared" si="20"/>
        <v>0</v>
      </c>
      <c r="O403" s="87">
        <f t="shared" si="21"/>
        <v>0</v>
      </c>
      <c r="P403" s="87" t="b">
        <f t="shared" si="22"/>
        <v>0</v>
      </c>
      <c r="Q403" s="87" t="b">
        <f>(Requirements!K405="Normative")</f>
        <v>0</v>
      </c>
      <c r="R403" s="87" t="b">
        <f>AND(Requirements!L405&lt;&gt;"Non-testable",Requirements!L405&lt;&gt;"Deleted",Requirements!L405&lt;&gt;"")</f>
        <v>1</v>
      </c>
      <c r="S403" s="87" t="b">
        <f>(VLOOKUP(Requirements!I405,Scope[[Role]:[Description]],2,FALSE)="In")</f>
        <v>1</v>
      </c>
      <c r="T403" s="87">
        <f t="shared" si="23"/>
        <v>0</v>
      </c>
    </row>
    <row r="404" spans="1:20">
      <c r="A404" s="44" t="str">
        <f>Requirements!A406</f>
        <v>MS-SMB_R9974</v>
      </c>
      <c r="B404" s="87"/>
      <c r="C404" s="87"/>
      <c r="D404" s="87"/>
      <c r="E404" s="87"/>
      <c r="F404" s="87"/>
      <c r="G404" s="87"/>
      <c r="H404" s="87"/>
      <c r="I404" s="87"/>
      <c r="J404" s="87"/>
      <c r="K404" s="87"/>
      <c r="L404" s="87"/>
      <c r="M404" s="87"/>
      <c r="N404" s="87">
        <f t="shared" ref="N404:N467" si="24">SUM(B404:M404)</f>
        <v>0</v>
      </c>
      <c r="O404" s="87">
        <f t="shared" ref="O404:O467" si="25">IF(N404=0,0,1)</f>
        <v>0</v>
      </c>
      <c r="P404" s="87" t="b">
        <f t="shared" ref="P404:P467" si="26">AND(Q404:S404)</f>
        <v>0</v>
      </c>
      <c r="Q404" s="87" t="b">
        <f>(Requirements!K406="Normative")</f>
        <v>0</v>
      </c>
      <c r="R404" s="87" t="b">
        <f>AND(Requirements!L406&lt;&gt;"Non-testable",Requirements!L406&lt;&gt;"Deleted",Requirements!L406&lt;&gt;"")</f>
        <v>1</v>
      </c>
      <c r="S404" s="87" t="b">
        <f>(VLOOKUP(Requirements!I406,Scope[[Role]:[Description]],2,FALSE)="In")</f>
        <v>1</v>
      </c>
      <c r="T404" s="87">
        <f t="shared" ref="T404:T467" si="27">IF(P404,O404, 0)</f>
        <v>0</v>
      </c>
    </row>
    <row r="405" spans="1:20">
      <c r="A405" s="44" t="str">
        <f>Requirements!A407</f>
        <v>MS-SMB_R5392</v>
      </c>
      <c r="B405" s="87"/>
      <c r="C405" s="87"/>
      <c r="D405" s="87"/>
      <c r="E405" s="87"/>
      <c r="F405" s="87"/>
      <c r="G405" s="87"/>
      <c r="H405" s="87"/>
      <c r="I405" s="87"/>
      <c r="J405" s="87"/>
      <c r="K405" s="87"/>
      <c r="L405" s="87"/>
      <c r="M405" s="87"/>
      <c r="N405" s="87">
        <f t="shared" si="24"/>
        <v>0</v>
      </c>
      <c r="O405" s="87">
        <f t="shared" si="25"/>
        <v>0</v>
      </c>
      <c r="P405" s="87" t="b">
        <f t="shared" si="26"/>
        <v>0</v>
      </c>
      <c r="Q405" s="87" t="b">
        <f>(Requirements!K407="Normative")</f>
        <v>0</v>
      </c>
      <c r="R405" s="87" t="b">
        <f>AND(Requirements!L407&lt;&gt;"Non-testable",Requirements!L407&lt;&gt;"Deleted",Requirements!L407&lt;&gt;"")</f>
        <v>1</v>
      </c>
      <c r="S405" s="87" t="b">
        <f>(VLOOKUP(Requirements!I407,Scope[[Role]:[Description]],2,FALSE)="In")</f>
        <v>1</v>
      </c>
      <c r="T405" s="87">
        <f t="shared" si="27"/>
        <v>0</v>
      </c>
    </row>
    <row r="406" spans="1:20">
      <c r="A406" s="44" t="str">
        <f>Requirements!A408</f>
        <v>MS-SMB_R5393</v>
      </c>
      <c r="B406" s="87"/>
      <c r="C406" s="87"/>
      <c r="D406" s="87"/>
      <c r="E406" s="87"/>
      <c r="F406" s="87"/>
      <c r="G406" s="87"/>
      <c r="H406" s="87"/>
      <c r="I406" s="87"/>
      <c r="J406" s="87"/>
      <c r="K406" s="87"/>
      <c r="L406" s="87"/>
      <c r="M406" s="87"/>
      <c r="N406" s="87">
        <f t="shared" si="24"/>
        <v>0</v>
      </c>
      <c r="O406" s="87">
        <f t="shared" si="25"/>
        <v>0</v>
      </c>
      <c r="P406" s="87" t="b">
        <f t="shared" si="26"/>
        <v>0</v>
      </c>
      <c r="Q406" s="87" t="b">
        <f>(Requirements!K408="Normative")</f>
        <v>0</v>
      </c>
      <c r="R406" s="87" t="b">
        <f>AND(Requirements!L408&lt;&gt;"Non-testable",Requirements!L408&lt;&gt;"Deleted",Requirements!L408&lt;&gt;"")</f>
        <v>1</v>
      </c>
      <c r="S406" s="87" t="b">
        <f>(VLOOKUP(Requirements!I408,Scope[[Role]:[Description]],2,FALSE)="In")</f>
        <v>1</v>
      </c>
      <c r="T406" s="87">
        <f t="shared" si="27"/>
        <v>0</v>
      </c>
    </row>
    <row r="407" spans="1:20">
      <c r="A407" s="84" t="str">
        <f>Requirements!A409</f>
        <v>MS-SMB_R9975</v>
      </c>
      <c r="B407" s="87"/>
      <c r="C407" s="87"/>
      <c r="D407" s="87"/>
      <c r="E407" s="87"/>
      <c r="F407" s="87"/>
      <c r="G407" s="87"/>
      <c r="H407" s="87"/>
      <c r="I407" s="87"/>
      <c r="J407" s="87"/>
      <c r="K407" s="87"/>
      <c r="L407" s="87">
        <v>1</v>
      </c>
      <c r="M407" s="87"/>
      <c r="N407" s="87">
        <f t="shared" si="24"/>
        <v>1</v>
      </c>
      <c r="O407" s="60">
        <f t="shared" si="25"/>
        <v>1</v>
      </c>
      <c r="P407" s="60" t="b">
        <f t="shared" si="26"/>
        <v>1</v>
      </c>
      <c r="Q407" s="87" t="b">
        <f>(Requirements!K409="Normative")</f>
        <v>1</v>
      </c>
      <c r="R407" s="87" t="b">
        <f>AND(Requirements!L409&lt;&gt;"Non-testable",Requirements!L409&lt;&gt;"Deleted",Requirements!L409&lt;&gt;"")</f>
        <v>1</v>
      </c>
      <c r="S407" s="87" t="b">
        <f>(VLOOKUP(Requirements!I409,Scope[[Role]:[Description]],2,FALSE)="In")</f>
        <v>1</v>
      </c>
      <c r="T407" s="87">
        <f t="shared" si="27"/>
        <v>1</v>
      </c>
    </row>
    <row r="408" spans="1:20">
      <c r="A408" s="44" t="str">
        <f>Requirements!A410</f>
        <v>MS-SMB_R5394</v>
      </c>
      <c r="B408" s="87"/>
      <c r="C408" s="87"/>
      <c r="D408" s="87"/>
      <c r="E408" s="87"/>
      <c r="F408" s="87"/>
      <c r="G408" s="87"/>
      <c r="H408" s="87"/>
      <c r="I408" s="87"/>
      <c r="J408" s="87"/>
      <c r="K408" s="87"/>
      <c r="L408" s="87"/>
      <c r="M408" s="87"/>
      <c r="N408" s="87">
        <f t="shared" si="24"/>
        <v>0</v>
      </c>
      <c r="O408" s="87">
        <f t="shared" si="25"/>
        <v>0</v>
      </c>
      <c r="P408" s="87" t="b">
        <f t="shared" si="26"/>
        <v>0</v>
      </c>
      <c r="Q408" s="87" t="b">
        <f>(Requirements!K410="Normative")</f>
        <v>0</v>
      </c>
      <c r="R408" s="87" t="b">
        <f>AND(Requirements!L410&lt;&gt;"Non-testable",Requirements!L410&lt;&gt;"Deleted",Requirements!L410&lt;&gt;"")</f>
        <v>1</v>
      </c>
      <c r="S408" s="87" t="b">
        <f>(VLOOKUP(Requirements!I410,Scope[[Role]:[Description]],2,FALSE)="In")</f>
        <v>1</v>
      </c>
      <c r="T408" s="87">
        <f t="shared" si="27"/>
        <v>0</v>
      </c>
    </row>
    <row r="409" spans="1:20">
      <c r="A409" s="44" t="str">
        <f>Requirements!A411</f>
        <v>MS-SMB_R5395</v>
      </c>
      <c r="B409" s="87"/>
      <c r="C409" s="87"/>
      <c r="D409" s="87"/>
      <c r="E409" s="87"/>
      <c r="F409" s="87"/>
      <c r="G409" s="87"/>
      <c r="H409" s="87"/>
      <c r="I409" s="87"/>
      <c r="J409" s="87"/>
      <c r="K409" s="87"/>
      <c r="L409" s="87"/>
      <c r="M409" s="87"/>
      <c r="N409" s="87">
        <f t="shared" si="24"/>
        <v>0</v>
      </c>
      <c r="O409" s="87">
        <f t="shared" si="25"/>
        <v>0</v>
      </c>
      <c r="P409" s="87" t="b">
        <f t="shared" si="26"/>
        <v>0</v>
      </c>
      <c r="Q409" s="87" t="b">
        <f>(Requirements!K411="Normative")</f>
        <v>0</v>
      </c>
      <c r="R409" s="87" t="b">
        <f>AND(Requirements!L411&lt;&gt;"Non-testable",Requirements!L411&lt;&gt;"Deleted",Requirements!L411&lt;&gt;"")</f>
        <v>1</v>
      </c>
      <c r="S409" s="87" t="b">
        <f>(VLOOKUP(Requirements!I411,Scope[[Role]:[Description]],2,FALSE)="In")</f>
        <v>1</v>
      </c>
      <c r="T409" s="87">
        <f t="shared" si="27"/>
        <v>0</v>
      </c>
    </row>
    <row r="410" spans="1:20">
      <c r="A410" s="44" t="str">
        <f>Requirements!A412</f>
        <v>MS-SMB_R5396</v>
      </c>
      <c r="B410" s="87"/>
      <c r="C410" s="87"/>
      <c r="D410" s="87"/>
      <c r="E410" s="87"/>
      <c r="F410" s="87"/>
      <c r="G410" s="87"/>
      <c r="H410" s="87"/>
      <c r="I410" s="87"/>
      <c r="J410" s="87"/>
      <c r="K410" s="87"/>
      <c r="L410" s="87"/>
      <c r="M410" s="87"/>
      <c r="N410" s="87">
        <f t="shared" si="24"/>
        <v>0</v>
      </c>
      <c r="O410" s="87">
        <f t="shared" si="25"/>
        <v>0</v>
      </c>
      <c r="P410" s="87" t="b">
        <f t="shared" si="26"/>
        <v>0</v>
      </c>
      <c r="Q410" s="87" t="b">
        <f>(Requirements!K412="Normative")</f>
        <v>0</v>
      </c>
      <c r="R410" s="87" t="b">
        <f>AND(Requirements!L412&lt;&gt;"Non-testable",Requirements!L412&lt;&gt;"Deleted",Requirements!L412&lt;&gt;"")</f>
        <v>1</v>
      </c>
      <c r="S410" s="87" t="b">
        <f>(VLOOKUP(Requirements!I412,Scope[[Role]:[Description]],2,FALSE)="In")</f>
        <v>1</v>
      </c>
      <c r="T410" s="87">
        <f t="shared" si="27"/>
        <v>0</v>
      </c>
    </row>
    <row r="411" spans="1:20">
      <c r="A411" s="44" t="str">
        <f>Requirements!A413</f>
        <v>MS-SMB_R5397</v>
      </c>
      <c r="B411" s="87"/>
      <c r="C411" s="87"/>
      <c r="D411" s="87"/>
      <c r="E411" s="87"/>
      <c r="F411" s="87"/>
      <c r="G411" s="87"/>
      <c r="H411" s="87"/>
      <c r="I411" s="87"/>
      <c r="J411" s="87"/>
      <c r="K411" s="87"/>
      <c r="L411" s="87"/>
      <c r="M411" s="87"/>
      <c r="N411" s="87">
        <f t="shared" si="24"/>
        <v>0</v>
      </c>
      <c r="O411" s="87">
        <f t="shared" si="25"/>
        <v>0</v>
      </c>
      <c r="P411" s="87" t="b">
        <f t="shared" si="26"/>
        <v>0</v>
      </c>
      <c r="Q411" s="87" t="b">
        <f>(Requirements!K413="Normative")</f>
        <v>0</v>
      </c>
      <c r="R411" s="87" t="b">
        <f>AND(Requirements!L413&lt;&gt;"Non-testable",Requirements!L413&lt;&gt;"Deleted",Requirements!L413&lt;&gt;"")</f>
        <v>1</v>
      </c>
      <c r="S411" s="87" t="b">
        <f>(VLOOKUP(Requirements!I413,Scope[[Role]:[Description]],2,FALSE)="In")</f>
        <v>1</v>
      </c>
      <c r="T411" s="87">
        <f t="shared" si="27"/>
        <v>0</v>
      </c>
    </row>
    <row r="412" spans="1:20">
      <c r="A412" s="44" t="str">
        <f>Requirements!A414</f>
        <v>MS-SMB_R9976</v>
      </c>
      <c r="B412" s="87"/>
      <c r="C412" s="87"/>
      <c r="D412" s="87"/>
      <c r="E412" s="87"/>
      <c r="F412" s="87"/>
      <c r="G412" s="87"/>
      <c r="H412" s="87"/>
      <c r="I412" s="87"/>
      <c r="J412" s="87"/>
      <c r="K412" s="87"/>
      <c r="L412" s="87"/>
      <c r="M412" s="87"/>
      <c r="N412" s="87">
        <f t="shared" si="24"/>
        <v>0</v>
      </c>
      <c r="O412" s="87">
        <f t="shared" si="25"/>
        <v>0</v>
      </c>
      <c r="P412" s="87" t="b">
        <f t="shared" si="26"/>
        <v>0</v>
      </c>
      <c r="Q412" s="87" t="b">
        <f>(Requirements!K414="Normative")</f>
        <v>0</v>
      </c>
      <c r="R412" s="87" t="b">
        <f>AND(Requirements!L414&lt;&gt;"Non-testable",Requirements!L414&lt;&gt;"Deleted",Requirements!L414&lt;&gt;"")</f>
        <v>1</v>
      </c>
      <c r="S412" s="87" t="b">
        <f>(VLOOKUP(Requirements!I414,Scope[[Role]:[Description]],2,FALSE)="In")</f>
        <v>1</v>
      </c>
      <c r="T412" s="87">
        <f t="shared" si="27"/>
        <v>0</v>
      </c>
    </row>
    <row r="413" spans="1:20">
      <c r="A413" s="44" t="str">
        <f>Requirements!A415</f>
        <v>MS-SMB_R9977</v>
      </c>
      <c r="B413" s="87"/>
      <c r="C413" s="87"/>
      <c r="D413" s="87"/>
      <c r="E413" s="87"/>
      <c r="F413" s="87"/>
      <c r="G413" s="87"/>
      <c r="H413" s="87"/>
      <c r="I413" s="87"/>
      <c r="J413" s="87"/>
      <c r="K413" s="87"/>
      <c r="L413" s="87"/>
      <c r="M413" s="87"/>
      <c r="N413" s="87">
        <f t="shared" si="24"/>
        <v>0</v>
      </c>
      <c r="O413" s="87">
        <f t="shared" si="25"/>
        <v>0</v>
      </c>
      <c r="P413" s="87" t="b">
        <f t="shared" si="26"/>
        <v>0</v>
      </c>
      <c r="Q413" s="87" t="b">
        <f>(Requirements!K415="Normative")</f>
        <v>0</v>
      </c>
      <c r="R413" s="87" t="b">
        <f>AND(Requirements!L415&lt;&gt;"Non-testable",Requirements!L415&lt;&gt;"Deleted",Requirements!L415&lt;&gt;"")</f>
        <v>1</v>
      </c>
      <c r="S413" s="87" t="b">
        <f>(VLOOKUP(Requirements!I415,Scope[[Role]:[Description]],2,FALSE)="In")</f>
        <v>1</v>
      </c>
      <c r="T413" s="87">
        <f t="shared" si="27"/>
        <v>0</v>
      </c>
    </row>
    <row r="414" spans="1:20">
      <c r="A414" s="44" t="str">
        <f>Requirements!A416</f>
        <v>MS-SMB_R5400</v>
      </c>
      <c r="B414" s="87"/>
      <c r="C414" s="87"/>
      <c r="D414" s="87"/>
      <c r="E414" s="87"/>
      <c r="F414" s="87"/>
      <c r="G414" s="87"/>
      <c r="H414" s="87"/>
      <c r="I414" s="87"/>
      <c r="J414" s="87"/>
      <c r="K414" s="87"/>
      <c r="L414" s="87"/>
      <c r="M414" s="87"/>
      <c r="N414" s="87">
        <f t="shared" si="24"/>
        <v>0</v>
      </c>
      <c r="O414" s="87">
        <f t="shared" si="25"/>
        <v>0</v>
      </c>
      <c r="P414" s="87" t="b">
        <f t="shared" si="26"/>
        <v>0</v>
      </c>
      <c r="Q414" s="87" t="b">
        <f>(Requirements!K416="Normative")</f>
        <v>0</v>
      </c>
      <c r="R414" s="87" t="b">
        <f>AND(Requirements!L416&lt;&gt;"Non-testable",Requirements!L416&lt;&gt;"Deleted",Requirements!L416&lt;&gt;"")</f>
        <v>1</v>
      </c>
      <c r="S414" s="87" t="b">
        <f>(VLOOKUP(Requirements!I416,Scope[[Role]:[Description]],2,FALSE)="In")</f>
        <v>1</v>
      </c>
      <c r="T414" s="87">
        <f t="shared" si="27"/>
        <v>0</v>
      </c>
    </row>
    <row r="415" spans="1:20">
      <c r="A415" s="44" t="str">
        <f>Requirements!A417</f>
        <v>MS-SMB_R5401</v>
      </c>
      <c r="B415" s="87"/>
      <c r="C415" s="87"/>
      <c r="D415" s="87"/>
      <c r="E415" s="87"/>
      <c r="F415" s="87"/>
      <c r="G415" s="87"/>
      <c r="H415" s="87"/>
      <c r="I415" s="87"/>
      <c r="J415" s="87"/>
      <c r="K415" s="87"/>
      <c r="L415" s="87"/>
      <c r="M415" s="87"/>
      <c r="N415" s="87">
        <f t="shared" si="24"/>
        <v>0</v>
      </c>
      <c r="O415" s="87">
        <f t="shared" si="25"/>
        <v>0</v>
      </c>
      <c r="P415" s="87" t="b">
        <f t="shared" si="26"/>
        <v>0</v>
      </c>
      <c r="Q415" s="87" t="b">
        <f>(Requirements!K417="Normative")</f>
        <v>0</v>
      </c>
      <c r="R415" s="87" t="b">
        <f>AND(Requirements!L417&lt;&gt;"Non-testable",Requirements!L417&lt;&gt;"Deleted",Requirements!L417&lt;&gt;"")</f>
        <v>1</v>
      </c>
      <c r="S415" s="87" t="b">
        <f>(VLOOKUP(Requirements!I417,Scope[[Role]:[Description]],2,FALSE)="In")</f>
        <v>1</v>
      </c>
      <c r="T415" s="87">
        <f t="shared" si="27"/>
        <v>0</v>
      </c>
    </row>
    <row r="416" spans="1:20">
      <c r="A416" s="84" t="str">
        <f>Requirements!A418</f>
        <v>MS-SMB_R5402</v>
      </c>
      <c r="B416" s="87"/>
      <c r="C416" s="87"/>
      <c r="D416" s="87"/>
      <c r="E416" s="87"/>
      <c r="F416" s="87"/>
      <c r="G416" s="87"/>
      <c r="H416" s="87"/>
      <c r="I416" s="87"/>
      <c r="J416" s="87"/>
      <c r="K416" s="87"/>
      <c r="L416" s="87">
        <v>1</v>
      </c>
      <c r="M416" s="87"/>
      <c r="N416" s="87">
        <f t="shared" si="24"/>
        <v>1</v>
      </c>
      <c r="O416" s="60">
        <f t="shared" si="25"/>
        <v>1</v>
      </c>
      <c r="P416" s="60" t="b">
        <f t="shared" si="26"/>
        <v>1</v>
      </c>
      <c r="Q416" s="87" t="b">
        <f>(Requirements!K418="Normative")</f>
        <v>1</v>
      </c>
      <c r="R416" s="87" t="b">
        <f>AND(Requirements!L418&lt;&gt;"Non-testable",Requirements!L418&lt;&gt;"Deleted",Requirements!L418&lt;&gt;"")</f>
        <v>1</v>
      </c>
      <c r="S416" s="87" t="b">
        <f>(VLOOKUP(Requirements!I418,Scope[[Role]:[Description]],2,FALSE)="In")</f>
        <v>1</v>
      </c>
      <c r="T416" s="87">
        <f t="shared" si="27"/>
        <v>1</v>
      </c>
    </row>
    <row r="417" spans="1:20">
      <c r="A417" s="44" t="str">
        <f>Requirements!A419</f>
        <v>MS-SMB_R5403</v>
      </c>
      <c r="B417" s="87"/>
      <c r="C417" s="87"/>
      <c r="D417" s="87"/>
      <c r="E417" s="87"/>
      <c r="F417" s="87"/>
      <c r="G417" s="87"/>
      <c r="H417" s="87"/>
      <c r="I417" s="87"/>
      <c r="J417" s="87"/>
      <c r="K417" s="87"/>
      <c r="L417" s="87"/>
      <c r="M417" s="87"/>
      <c r="N417" s="87">
        <f t="shared" si="24"/>
        <v>0</v>
      </c>
      <c r="O417" s="87">
        <f t="shared" si="25"/>
        <v>0</v>
      </c>
      <c r="P417" s="87" t="b">
        <f t="shared" si="26"/>
        <v>0</v>
      </c>
      <c r="Q417" s="87" t="b">
        <f>(Requirements!K419="Normative")</f>
        <v>0</v>
      </c>
      <c r="R417" s="87" t="b">
        <f>AND(Requirements!L419&lt;&gt;"Non-testable",Requirements!L419&lt;&gt;"Deleted",Requirements!L419&lt;&gt;"")</f>
        <v>1</v>
      </c>
      <c r="S417" s="87" t="b">
        <f>(VLOOKUP(Requirements!I419,Scope[[Role]:[Description]],2,FALSE)="In")</f>
        <v>1</v>
      </c>
      <c r="T417" s="87">
        <f t="shared" si="27"/>
        <v>0</v>
      </c>
    </row>
    <row r="418" spans="1:20">
      <c r="A418" s="85" t="str">
        <f>Requirements!A420</f>
        <v>MS-SMB_R5404</v>
      </c>
      <c r="B418" s="87"/>
      <c r="C418" s="87"/>
      <c r="D418" s="87"/>
      <c r="E418" s="87"/>
      <c r="F418" s="87"/>
      <c r="G418" s="87"/>
      <c r="H418" s="87"/>
      <c r="I418" s="87"/>
      <c r="J418" s="87"/>
      <c r="K418" s="87"/>
      <c r="L418" s="87"/>
      <c r="M418" s="87"/>
      <c r="N418" s="87">
        <f t="shared" si="24"/>
        <v>0</v>
      </c>
      <c r="O418" s="61">
        <f t="shared" si="25"/>
        <v>0</v>
      </c>
      <c r="P418" s="61" t="b">
        <f t="shared" si="26"/>
        <v>1</v>
      </c>
      <c r="Q418" s="87" t="b">
        <f>(Requirements!K420="Normative")</f>
        <v>1</v>
      </c>
      <c r="R418" s="87" t="b">
        <f>AND(Requirements!L420&lt;&gt;"Non-testable",Requirements!L420&lt;&gt;"Deleted",Requirements!L420&lt;&gt;"")</f>
        <v>1</v>
      </c>
      <c r="S418" s="87" t="b">
        <f>(VLOOKUP(Requirements!I420,Scope[[Role]:[Description]],2,FALSE)="In")</f>
        <v>1</v>
      </c>
      <c r="T418" s="87">
        <f t="shared" si="27"/>
        <v>0</v>
      </c>
    </row>
    <row r="419" spans="1:20">
      <c r="A419" s="44" t="str">
        <f>Requirements!A421</f>
        <v>MS-SMB_R5405</v>
      </c>
      <c r="B419" s="87"/>
      <c r="C419" s="87"/>
      <c r="D419" s="87"/>
      <c r="E419" s="87"/>
      <c r="F419" s="87"/>
      <c r="G419" s="87"/>
      <c r="H419" s="87"/>
      <c r="I419" s="87"/>
      <c r="J419" s="87"/>
      <c r="K419" s="87"/>
      <c r="L419" s="87"/>
      <c r="M419" s="87"/>
      <c r="N419" s="87">
        <f t="shared" si="24"/>
        <v>0</v>
      </c>
      <c r="O419" s="87">
        <f t="shared" si="25"/>
        <v>0</v>
      </c>
      <c r="P419" s="87" t="b">
        <f t="shared" si="26"/>
        <v>0</v>
      </c>
      <c r="Q419" s="87" t="b">
        <f>(Requirements!K421="Normative")</f>
        <v>0</v>
      </c>
      <c r="R419" s="87" t="b">
        <f>AND(Requirements!L421&lt;&gt;"Non-testable",Requirements!L421&lt;&gt;"Deleted",Requirements!L421&lt;&gt;"")</f>
        <v>1</v>
      </c>
      <c r="S419" s="87" t="b">
        <f>(VLOOKUP(Requirements!I421,Scope[[Role]:[Description]],2,FALSE)="In")</f>
        <v>1</v>
      </c>
      <c r="T419" s="87">
        <f t="shared" si="27"/>
        <v>0</v>
      </c>
    </row>
    <row r="420" spans="1:20">
      <c r="A420" s="44" t="str">
        <f>Requirements!A422</f>
        <v>MS-SMB_R5406</v>
      </c>
      <c r="B420" s="87"/>
      <c r="C420" s="87"/>
      <c r="D420" s="87"/>
      <c r="E420" s="87"/>
      <c r="F420" s="87"/>
      <c r="G420" s="87"/>
      <c r="H420" s="87"/>
      <c r="I420" s="87"/>
      <c r="J420" s="87"/>
      <c r="K420" s="87"/>
      <c r="L420" s="87"/>
      <c r="M420" s="87"/>
      <c r="N420" s="87">
        <f t="shared" si="24"/>
        <v>0</v>
      </c>
      <c r="O420" s="87">
        <f t="shared" si="25"/>
        <v>0</v>
      </c>
      <c r="P420" s="87" t="b">
        <f t="shared" si="26"/>
        <v>0</v>
      </c>
      <c r="Q420" s="87" t="b">
        <f>(Requirements!K422="Normative")</f>
        <v>0</v>
      </c>
      <c r="R420" s="87" t="b">
        <f>AND(Requirements!L422&lt;&gt;"Non-testable",Requirements!L422&lt;&gt;"Deleted",Requirements!L422&lt;&gt;"")</f>
        <v>1</v>
      </c>
      <c r="S420" s="87" t="b">
        <f>(VLOOKUP(Requirements!I422,Scope[[Role]:[Description]],2,FALSE)="In")</f>
        <v>1</v>
      </c>
      <c r="T420" s="87">
        <f t="shared" si="27"/>
        <v>0</v>
      </c>
    </row>
    <row r="421" spans="1:20">
      <c r="A421" s="84" t="str">
        <f>Requirements!A423</f>
        <v>MS-SMB_R5407</v>
      </c>
      <c r="B421" s="87"/>
      <c r="C421" s="87"/>
      <c r="D421" s="87"/>
      <c r="E421" s="87"/>
      <c r="F421" s="87"/>
      <c r="G421" s="87"/>
      <c r="H421" s="87"/>
      <c r="I421" s="87"/>
      <c r="J421" s="87"/>
      <c r="K421" s="87"/>
      <c r="L421" s="87">
        <v>1</v>
      </c>
      <c r="M421" s="87"/>
      <c r="N421" s="87">
        <f t="shared" si="24"/>
        <v>1</v>
      </c>
      <c r="O421" s="60">
        <f t="shared" si="25"/>
        <v>1</v>
      </c>
      <c r="P421" s="60" t="b">
        <f t="shared" si="26"/>
        <v>1</v>
      </c>
      <c r="Q421" s="87" t="b">
        <f>(Requirements!K423="Normative")</f>
        <v>1</v>
      </c>
      <c r="R421" s="87" t="b">
        <f>AND(Requirements!L423&lt;&gt;"Non-testable",Requirements!L423&lt;&gt;"Deleted",Requirements!L423&lt;&gt;"")</f>
        <v>1</v>
      </c>
      <c r="S421" s="87" t="b">
        <f>(VLOOKUP(Requirements!I423,Scope[[Role]:[Description]],2,FALSE)="In")</f>
        <v>1</v>
      </c>
      <c r="T421" s="87">
        <f t="shared" si="27"/>
        <v>1</v>
      </c>
    </row>
    <row r="422" spans="1:20">
      <c r="A422" s="85" t="str">
        <f>Requirements!A424</f>
        <v>MS-SMB_R5408</v>
      </c>
      <c r="B422" s="87"/>
      <c r="C422" s="87"/>
      <c r="D422" s="87"/>
      <c r="E422" s="87"/>
      <c r="F422" s="87"/>
      <c r="G422" s="87"/>
      <c r="H422" s="87"/>
      <c r="I422" s="87"/>
      <c r="J422" s="87"/>
      <c r="K422" s="87"/>
      <c r="L422" s="87"/>
      <c r="M422" s="87"/>
      <c r="N422" s="87">
        <f t="shared" si="24"/>
        <v>0</v>
      </c>
      <c r="O422" s="61">
        <f t="shared" si="25"/>
        <v>0</v>
      </c>
      <c r="P422" s="61" t="b">
        <f t="shared" si="26"/>
        <v>1</v>
      </c>
      <c r="Q422" s="87" t="b">
        <f>(Requirements!K424="Normative")</f>
        <v>1</v>
      </c>
      <c r="R422" s="87" t="b">
        <f>AND(Requirements!L424&lt;&gt;"Non-testable",Requirements!L424&lt;&gt;"Deleted",Requirements!L424&lt;&gt;"")</f>
        <v>1</v>
      </c>
      <c r="S422" s="87" t="b">
        <f>(VLOOKUP(Requirements!I424,Scope[[Role]:[Description]],2,FALSE)="In")</f>
        <v>1</v>
      </c>
      <c r="T422" s="87">
        <f t="shared" si="27"/>
        <v>0</v>
      </c>
    </row>
    <row r="423" spans="1:20">
      <c r="A423" s="85" t="str">
        <f>Requirements!A425</f>
        <v>MS-SMB_R5409</v>
      </c>
      <c r="B423" s="87"/>
      <c r="C423" s="87"/>
      <c r="D423" s="87"/>
      <c r="E423" s="87"/>
      <c r="F423" s="87"/>
      <c r="G423" s="87"/>
      <c r="H423" s="87"/>
      <c r="I423" s="87"/>
      <c r="J423" s="87"/>
      <c r="K423" s="87"/>
      <c r="L423" s="87"/>
      <c r="M423" s="87"/>
      <c r="N423" s="87">
        <f t="shared" si="24"/>
        <v>0</v>
      </c>
      <c r="O423" s="61">
        <f t="shared" si="25"/>
        <v>0</v>
      </c>
      <c r="P423" s="61" t="b">
        <f t="shared" si="26"/>
        <v>1</v>
      </c>
      <c r="Q423" s="87" t="b">
        <f>(Requirements!K425="Normative")</f>
        <v>1</v>
      </c>
      <c r="R423" s="87" t="b">
        <f>AND(Requirements!L425&lt;&gt;"Non-testable",Requirements!L425&lt;&gt;"Deleted",Requirements!L425&lt;&gt;"")</f>
        <v>1</v>
      </c>
      <c r="S423" s="87" t="b">
        <f>(VLOOKUP(Requirements!I425,Scope[[Role]:[Description]],2,FALSE)="In")</f>
        <v>1</v>
      </c>
      <c r="T423" s="87">
        <f t="shared" si="27"/>
        <v>0</v>
      </c>
    </row>
    <row r="424" spans="1:20">
      <c r="A424" s="44" t="str">
        <f>Requirements!A426</f>
        <v>MS-SMB_R5410</v>
      </c>
      <c r="B424" s="87"/>
      <c r="C424" s="87"/>
      <c r="D424" s="87"/>
      <c r="E424" s="87"/>
      <c r="F424" s="87"/>
      <c r="G424" s="87"/>
      <c r="H424" s="87"/>
      <c r="I424" s="87"/>
      <c r="J424" s="87"/>
      <c r="K424" s="87"/>
      <c r="L424" s="87"/>
      <c r="M424" s="87"/>
      <c r="N424" s="87">
        <f t="shared" si="24"/>
        <v>0</v>
      </c>
      <c r="O424" s="87">
        <f t="shared" si="25"/>
        <v>0</v>
      </c>
      <c r="P424" s="87" t="b">
        <f t="shared" si="26"/>
        <v>0</v>
      </c>
      <c r="Q424" s="87" t="b">
        <f>(Requirements!K426="Normative")</f>
        <v>0</v>
      </c>
      <c r="R424" s="87" t="b">
        <f>AND(Requirements!L426&lt;&gt;"Non-testable",Requirements!L426&lt;&gt;"Deleted",Requirements!L426&lt;&gt;"")</f>
        <v>1</v>
      </c>
      <c r="S424" s="87" t="b">
        <f>(VLOOKUP(Requirements!I426,Scope[[Role]:[Description]],2,FALSE)="In")</f>
        <v>1</v>
      </c>
      <c r="T424" s="87">
        <f t="shared" si="27"/>
        <v>0</v>
      </c>
    </row>
    <row r="425" spans="1:20">
      <c r="A425" s="44" t="str">
        <f>Requirements!A427</f>
        <v>MS-SMB_R5411</v>
      </c>
      <c r="B425" s="87"/>
      <c r="C425" s="87"/>
      <c r="D425" s="87"/>
      <c r="E425" s="87"/>
      <c r="F425" s="87"/>
      <c r="G425" s="87"/>
      <c r="H425" s="87"/>
      <c r="I425" s="87"/>
      <c r="J425" s="87"/>
      <c r="K425" s="87"/>
      <c r="L425" s="87"/>
      <c r="M425" s="87"/>
      <c r="N425" s="87">
        <f t="shared" si="24"/>
        <v>0</v>
      </c>
      <c r="O425" s="87">
        <f t="shared" si="25"/>
        <v>0</v>
      </c>
      <c r="P425" s="87" t="b">
        <f t="shared" si="26"/>
        <v>0</v>
      </c>
      <c r="Q425" s="87" t="b">
        <f>(Requirements!K427="Normative")</f>
        <v>0</v>
      </c>
      <c r="R425" s="87" t="b">
        <f>AND(Requirements!L427&lt;&gt;"Non-testable",Requirements!L427&lt;&gt;"Deleted",Requirements!L427&lt;&gt;"")</f>
        <v>1</v>
      </c>
      <c r="S425" s="87" t="b">
        <f>(VLOOKUP(Requirements!I427,Scope[[Role]:[Description]],2,FALSE)="In")</f>
        <v>1</v>
      </c>
      <c r="T425" s="87">
        <f t="shared" si="27"/>
        <v>0</v>
      </c>
    </row>
    <row r="426" spans="1:20">
      <c r="A426" s="44" t="str">
        <f>Requirements!A428</f>
        <v>MS-SMB_R5412</v>
      </c>
      <c r="B426" s="87"/>
      <c r="C426" s="87"/>
      <c r="D426" s="87"/>
      <c r="E426" s="87"/>
      <c r="F426" s="87"/>
      <c r="G426" s="87"/>
      <c r="H426" s="87"/>
      <c r="I426" s="87"/>
      <c r="J426" s="87"/>
      <c r="K426" s="87"/>
      <c r="L426" s="87"/>
      <c r="M426" s="87"/>
      <c r="N426" s="87">
        <f t="shared" si="24"/>
        <v>0</v>
      </c>
      <c r="O426" s="87">
        <f t="shared" si="25"/>
        <v>0</v>
      </c>
      <c r="P426" s="87" t="b">
        <f t="shared" si="26"/>
        <v>0</v>
      </c>
      <c r="Q426" s="87" t="b">
        <f>(Requirements!K428="Normative")</f>
        <v>0</v>
      </c>
      <c r="R426" s="87" t="b">
        <f>AND(Requirements!L428&lt;&gt;"Non-testable",Requirements!L428&lt;&gt;"Deleted",Requirements!L428&lt;&gt;"")</f>
        <v>1</v>
      </c>
      <c r="S426" s="87" t="b">
        <f>(VLOOKUP(Requirements!I428,Scope[[Role]:[Description]],2,FALSE)="In")</f>
        <v>1</v>
      </c>
      <c r="T426" s="87">
        <f t="shared" si="27"/>
        <v>0</v>
      </c>
    </row>
    <row r="427" spans="1:20">
      <c r="A427" s="44" t="str">
        <f>Requirements!A429</f>
        <v>MS-SMB_R5413</v>
      </c>
      <c r="B427" s="87"/>
      <c r="C427" s="87"/>
      <c r="D427" s="87"/>
      <c r="E427" s="87"/>
      <c r="F427" s="87"/>
      <c r="G427" s="87"/>
      <c r="H427" s="87"/>
      <c r="I427" s="87"/>
      <c r="J427" s="87"/>
      <c r="K427" s="87"/>
      <c r="L427" s="87"/>
      <c r="M427" s="87"/>
      <c r="N427" s="87">
        <f t="shared" si="24"/>
        <v>0</v>
      </c>
      <c r="O427" s="87">
        <f t="shared" si="25"/>
        <v>0</v>
      </c>
      <c r="P427" s="87" t="b">
        <f t="shared" si="26"/>
        <v>0</v>
      </c>
      <c r="Q427" s="87" t="b">
        <f>(Requirements!K429="Normative")</f>
        <v>0</v>
      </c>
      <c r="R427" s="87" t="b">
        <f>AND(Requirements!L429&lt;&gt;"Non-testable",Requirements!L429&lt;&gt;"Deleted",Requirements!L429&lt;&gt;"")</f>
        <v>1</v>
      </c>
      <c r="S427" s="87" t="b">
        <f>(VLOOKUP(Requirements!I429,Scope[[Role]:[Description]],2,FALSE)="In")</f>
        <v>1</v>
      </c>
      <c r="T427" s="87">
        <f t="shared" si="27"/>
        <v>0</v>
      </c>
    </row>
    <row r="428" spans="1:20">
      <c r="A428" s="44" t="str">
        <f>Requirements!A430</f>
        <v>MS-SMB_R5414</v>
      </c>
      <c r="B428" s="87"/>
      <c r="C428" s="87"/>
      <c r="D428" s="87"/>
      <c r="E428" s="87"/>
      <c r="F428" s="87"/>
      <c r="G428" s="87"/>
      <c r="H428" s="87"/>
      <c r="I428" s="87"/>
      <c r="J428" s="87"/>
      <c r="K428" s="87"/>
      <c r="L428" s="87"/>
      <c r="M428" s="87"/>
      <c r="N428" s="87">
        <f t="shared" si="24"/>
        <v>0</v>
      </c>
      <c r="O428" s="87">
        <f t="shared" si="25"/>
        <v>0</v>
      </c>
      <c r="P428" s="87" t="b">
        <f t="shared" si="26"/>
        <v>0</v>
      </c>
      <c r="Q428" s="87" t="b">
        <f>(Requirements!K430="Normative")</f>
        <v>0</v>
      </c>
      <c r="R428" s="87" t="b">
        <f>AND(Requirements!L430&lt;&gt;"Non-testable",Requirements!L430&lt;&gt;"Deleted",Requirements!L430&lt;&gt;"")</f>
        <v>1</v>
      </c>
      <c r="S428" s="87" t="b">
        <f>(VLOOKUP(Requirements!I430,Scope[[Role]:[Description]],2,FALSE)="In")</f>
        <v>1</v>
      </c>
      <c r="T428" s="87">
        <f t="shared" si="27"/>
        <v>0</v>
      </c>
    </row>
    <row r="429" spans="1:20">
      <c r="A429" s="44" t="str">
        <f>Requirements!A431</f>
        <v>MS-SMB_R5415</v>
      </c>
      <c r="B429" s="87"/>
      <c r="C429" s="87"/>
      <c r="D429" s="87"/>
      <c r="E429" s="87"/>
      <c r="F429" s="87"/>
      <c r="G429" s="87"/>
      <c r="H429" s="87"/>
      <c r="I429" s="87"/>
      <c r="J429" s="87"/>
      <c r="K429" s="87"/>
      <c r="L429" s="87"/>
      <c r="M429" s="87"/>
      <c r="N429" s="87">
        <f t="shared" si="24"/>
        <v>0</v>
      </c>
      <c r="O429" s="87">
        <f t="shared" si="25"/>
        <v>0</v>
      </c>
      <c r="P429" s="87" t="b">
        <f t="shared" si="26"/>
        <v>0</v>
      </c>
      <c r="Q429" s="87" t="b">
        <f>(Requirements!K431="Normative")</f>
        <v>0</v>
      </c>
      <c r="R429" s="87" t="b">
        <f>AND(Requirements!L431&lt;&gt;"Non-testable",Requirements!L431&lt;&gt;"Deleted",Requirements!L431&lt;&gt;"")</f>
        <v>1</v>
      </c>
      <c r="S429" s="87" t="b">
        <f>(VLOOKUP(Requirements!I431,Scope[[Role]:[Description]],2,FALSE)="In")</f>
        <v>1</v>
      </c>
      <c r="T429" s="87">
        <f t="shared" si="27"/>
        <v>0</v>
      </c>
    </row>
    <row r="430" spans="1:20">
      <c r="A430" s="44" t="str">
        <f>Requirements!A432</f>
        <v>MS-SMB_R5416</v>
      </c>
      <c r="B430" s="87"/>
      <c r="C430" s="87"/>
      <c r="D430" s="87"/>
      <c r="E430" s="87"/>
      <c r="F430" s="87"/>
      <c r="G430" s="87"/>
      <c r="H430" s="87"/>
      <c r="I430" s="87"/>
      <c r="J430" s="87"/>
      <c r="K430" s="87"/>
      <c r="L430" s="87"/>
      <c r="M430" s="87"/>
      <c r="N430" s="87">
        <f t="shared" si="24"/>
        <v>0</v>
      </c>
      <c r="O430" s="87">
        <f t="shared" si="25"/>
        <v>0</v>
      </c>
      <c r="P430" s="87" t="b">
        <f t="shared" si="26"/>
        <v>0</v>
      </c>
      <c r="Q430" s="87" t="b">
        <f>(Requirements!K432="Normative")</f>
        <v>0</v>
      </c>
      <c r="R430" s="87" t="b">
        <f>AND(Requirements!L432&lt;&gt;"Non-testable",Requirements!L432&lt;&gt;"Deleted",Requirements!L432&lt;&gt;"")</f>
        <v>1</v>
      </c>
      <c r="S430" s="87" t="b">
        <f>(VLOOKUP(Requirements!I432,Scope[[Role]:[Description]],2,FALSE)="In")</f>
        <v>1</v>
      </c>
      <c r="T430" s="87">
        <f t="shared" si="27"/>
        <v>0</v>
      </c>
    </row>
    <row r="431" spans="1:20">
      <c r="A431" s="84" t="str">
        <f>Requirements!A433</f>
        <v>MS-SMB_R239</v>
      </c>
      <c r="B431" s="87"/>
      <c r="C431" s="87"/>
      <c r="D431" s="87"/>
      <c r="E431" s="87"/>
      <c r="F431" s="87"/>
      <c r="G431" s="87"/>
      <c r="H431" s="87"/>
      <c r="I431" s="87"/>
      <c r="J431" s="87"/>
      <c r="K431" s="87"/>
      <c r="L431" s="87">
        <v>1</v>
      </c>
      <c r="M431" s="87"/>
      <c r="N431" s="87">
        <f t="shared" si="24"/>
        <v>1</v>
      </c>
      <c r="O431" s="60">
        <f t="shared" si="25"/>
        <v>1</v>
      </c>
      <c r="P431" s="60" t="b">
        <f t="shared" si="26"/>
        <v>1</v>
      </c>
      <c r="Q431" s="87" t="b">
        <f>(Requirements!K433="Normative")</f>
        <v>1</v>
      </c>
      <c r="R431" s="87" t="b">
        <f>AND(Requirements!L433&lt;&gt;"Non-testable",Requirements!L433&lt;&gt;"Deleted",Requirements!L433&lt;&gt;"")</f>
        <v>1</v>
      </c>
      <c r="S431" s="87" t="b">
        <f>(VLOOKUP(Requirements!I433,Scope[[Role]:[Description]],2,FALSE)="In")</f>
        <v>1</v>
      </c>
      <c r="T431" s="87">
        <f t="shared" si="27"/>
        <v>1</v>
      </c>
    </row>
    <row r="432" spans="1:20">
      <c r="A432" s="85" t="str">
        <f>Requirements!A434</f>
        <v>MS-SMB_R5424</v>
      </c>
      <c r="B432" s="87"/>
      <c r="C432" s="87"/>
      <c r="D432" s="87"/>
      <c r="E432" s="87"/>
      <c r="F432" s="87"/>
      <c r="G432" s="87"/>
      <c r="H432" s="87"/>
      <c r="I432" s="87"/>
      <c r="J432" s="87"/>
      <c r="K432" s="87"/>
      <c r="L432" s="87"/>
      <c r="M432" s="87"/>
      <c r="N432" s="87">
        <f t="shared" si="24"/>
        <v>0</v>
      </c>
      <c r="O432" s="61">
        <f t="shared" si="25"/>
        <v>0</v>
      </c>
      <c r="P432" s="61" t="b">
        <f t="shared" si="26"/>
        <v>1</v>
      </c>
      <c r="Q432" s="87" t="b">
        <f>(Requirements!K434="Normative")</f>
        <v>1</v>
      </c>
      <c r="R432" s="87" t="b">
        <f>AND(Requirements!L434&lt;&gt;"Non-testable",Requirements!L434&lt;&gt;"Deleted",Requirements!L434&lt;&gt;"")</f>
        <v>1</v>
      </c>
      <c r="S432" s="87" t="b">
        <f>(VLOOKUP(Requirements!I434,Scope[[Role]:[Description]],2,FALSE)="In")</f>
        <v>1</v>
      </c>
      <c r="T432" s="87">
        <f t="shared" si="27"/>
        <v>0</v>
      </c>
    </row>
    <row r="433" spans="1:20">
      <c r="A433" s="44" t="str">
        <f>Requirements!A435</f>
        <v>MS-SMB_R105424</v>
      </c>
      <c r="B433" s="87"/>
      <c r="C433" s="87"/>
      <c r="D433" s="87"/>
      <c r="E433" s="87"/>
      <c r="F433" s="87"/>
      <c r="G433" s="87"/>
      <c r="H433" s="87"/>
      <c r="I433" s="87"/>
      <c r="J433" s="87"/>
      <c r="K433" s="87"/>
      <c r="L433" s="87"/>
      <c r="M433" s="87"/>
      <c r="N433" s="87">
        <f t="shared" si="24"/>
        <v>0</v>
      </c>
      <c r="O433" s="87">
        <f t="shared" si="25"/>
        <v>0</v>
      </c>
      <c r="P433" s="87" t="b">
        <f t="shared" si="26"/>
        <v>0</v>
      </c>
      <c r="Q433" s="87" t="b">
        <f>(Requirements!K435="Normative")</f>
        <v>0</v>
      </c>
      <c r="R433" s="87" t="b">
        <f>AND(Requirements!L435&lt;&gt;"Non-testable",Requirements!L435&lt;&gt;"Deleted",Requirements!L435&lt;&gt;"")</f>
        <v>1</v>
      </c>
      <c r="S433" s="87" t="b">
        <f>(VLOOKUP(Requirements!I435,Scope[[Role]:[Description]],2,FALSE)="In")</f>
        <v>1</v>
      </c>
      <c r="T433" s="87">
        <f t="shared" si="27"/>
        <v>0</v>
      </c>
    </row>
    <row r="434" spans="1:20">
      <c r="A434" s="84" t="str">
        <f>Requirements!A436</f>
        <v>MS-SMB_R241</v>
      </c>
      <c r="B434" s="87"/>
      <c r="C434" s="87"/>
      <c r="D434" s="87"/>
      <c r="E434" s="87"/>
      <c r="F434" s="87"/>
      <c r="G434" s="87"/>
      <c r="H434" s="87"/>
      <c r="I434" s="87"/>
      <c r="J434" s="87"/>
      <c r="K434" s="87"/>
      <c r="L434" s="87">
        <v>1</v>
      </c>
      <c r="M434" s="87"/>
      <c r="N434" s="87">
        <f t="shared" si="24"/>
        <v>1</v>
      </c>
      <c r="O434" s="60">
        <f t="shared" si="25"/>
        <v>1</v>
      </c>
      <c r="P434" s="60" t="b">
        <f t="shared" si="26"/>
        <v>1</v>
      </c>
      <c r="Q434" s="87" t="b">
        <f>(Requirements!K436="Normative")</f>
        <v>1</v>
      </c>
      <c r="R434" s="87" t="b">
        <f>AND(Requirements!L436&lt;&gt;"Non-testable",Requirements!L436&lt;&gt;"Deleted",Requirements!L436&lt;&gt;"")</f>
        <v>1</v>
      </c>
      <c r="S434" s="87" t="b">
        <f>(VLOOKUP(Requirements!I436,Scope[[Role]:[Description]],2,FALSE)="In")</f>
        <v>1</v>
      </c>
      <c r="T434" s="87">
        <f t="shared" si="27"/>
        <v>1</v>
      </c>
    </row>
    <row r="435" spans="1:20">
      <c r="A435" s="84" t="str">
        <f>Requirements!A437</f>
        <v>MS-SMB_R5426</v>
      </c>
      <c r="B435" s="87"/>
      <c r="C435" s="87"/>
      <c r="D435" s="87"/>
      <c r="E435" s="87"/>
      <c r="F435" s="87"/>
      <c r="G435" s="87"/>
      <c r="H435" s="87"/>
      <c r="I435" s="87"/>
      <c r="J435" s="87"/>
      <c r="K435" s="87"/>
      <c r="L435" s="87">
        <v>1</v>
      </c>
      <c r="M435" s="87"/>
      <c r="N435" s="87">
        <f t="shared" si="24"/>
        <v>1</v>
      </c>
      <c r="O435" s="60">
        <f t="shared" si="25"/>
        <v>1</v>
      </c>
      <c r="P435" s="60" t="b">
        <f t="shared" si="26"/>
        <v>1</v>
      </c>
      <c r="Q435" s="87" t="b">
        <f>(Requirements!K437="Normative")</f>
        <v>1</v>
      </c>
      <c r="R435" s="87" t="b">
        <f>AND(Requirements!L437&lt;&gt;"Non-testable",Requirements!L437&lt;&gt;"Deleted",Requirements!L437&lt;&gt;"")</f>
        <v>1</v>
      </c>
      <c r="S435" s="87" t="b">
        <f>(VLOOKUP(Requirements!I437,Scope[[Role]:[Description]],2,FALSE)="In")</f>
        <v>1</v>
      </c>
      <c r="T435" s="87">
        <f t="shared" si="27"/>
        <v>1</v>
      </c>
    </row>
    <row r="436" spans="1:20">
      <c r="A436" s="85" t="str">
        <f>Requirements!A438</f>
        <v>MS-SMB_R5427</v>
      </c>
      <c r="B436" s="87"/>
      <c r="C436" s="87"/>
      <c r="D436" s="87"/>
      <c r="E436" s="87"/>
      <c r="F436" s="87"/>
      <c r="G436" s="87"/>
      <c r="H436" s="87"/>
      <c r="I436" s="87"/>
      <c r="J436" s="87"/>
      <c r="K436" s="87"/>
      <c r="L436" s="87"/>
      <c r="M436" s="87"/>
      <c r="N436" s="87">
        <f t="shared" si="24"/>
        <v>0</v>
      </c>
      <c r="O436" s="61">
        <f t="shared" si="25"/>
        <v>0</v>
      </c>
      <c r="P436" s="61" t="b">
        <f t="shared" si="26"/>
        <v>1</v>
      </c>
      <c r="Q436" s="87" t="b">
        <f>(Requirements!K438="Normative")</f>
        <v>1</v>
      </c>
      <c r="R436" s="87" t="b">
        <f>AND(Requirements!L438&lt;&gt;"Non-testable",Requirements!L438&lt;&gt;"Deleted",Requirements!L438&lt;&gt;"")</f>
        <v>1</v>
      </c>
      <c r="S436" s="87" t="b">
        <f>(VLOOKUP(Requirements!I438,Scope[[Role]:[Description]],2,FALSE)="In")</f>
        <v>1</v>
      </c>
      <c r="T436" s="87">
        <f t="shared" si="27"/>
        <v>0</v>
      </c>
    </row>
    <row r="437" spans="1:20">
      <c r="A437" s="85" t="str">
        <f>Requirements!A439</f>
        <v>MS-SMB_R5428</v>
      </c>
      <c r="B437" s="87"/>
      <c r="C437" s="87"/>
      <c r="D437" s="87"/>
      <c r="E437" s="87"/>
      <c r="F437" s="87"/>
      <c r="G437" s="87"/>
      <c r="H437" s="87"/>
      <c r="I437" s="87"/>
      <c r="J437" s="87"/>
      <c r="K437" s="87"/>
      <c r="L437" s="87"/>
      <c r="M437" s="87"/>
      <c r="N437" s="87">
        <f t="shared" si="24"/>
        <v>0</v>
      </c>
      <c r="O437" s="61">
        <f t="shared" si="25"/>
        <v>0</v>
      </c>
      <c r="P437" s="61" t="b">
        <f t="shared" si="26"/>
        <v>1</v>
      </c>
      <c r="Q437" s="87" t="b">
        <f>(Requirements!K439="Normative")</f>
        <v>1</v>
      </c>
      <c r="R437" s="87" t="b">
        <f>AND(Requirements!L439&lt;&gt;"Non-testable",Requirements!L439&lt;&gt;"Deleted",Requirements!L439&lt;&gt;"")</f>
        <v>1</v>
      </c>
      <c r="S437" s="87" t="b">
        <f>(VLOOKUP(Requirements!I439,Scope[[Role]:[Description]],2,FALSE)="In")</f>
        <v>1</v>
      </c>
      <c r="T437" s="87">
        <f t="shared" si="27"/>
        <v>0</v>
      </c>
    </row>
    <row r="438" spans="1:20">
      <c r="A438" s="85" t="str">
        <f>Requirements!A440</f>
        <v>MS-SMB_R5429</v>
      </c>
      <c r="B438" s="87"/>
      <c r="C438" s="87"/>
      <c r="D438" s="87"/>
      <c r="E438" s="87"/>
      <c r="F438" s="87"/>
      <c r="G438" s="87"/>
      <c r="H438" s="87"/>
      <c r="I438" s="87"/>
      <c r="J438" s="87"/>
      <c r="K438" s="87"/>
      <c r="L438" s="87"/>
      <c r="M438" s="87"/>
      <c r="N438" s="87">
        <f t="shared" si="24"/>
        <v>0</v>
      </c>
      <c r="O438" s="61">
        <f t="shared" si="25"/>
        <v>0</v>
      </c>
      <c r="P438" s="61" t="b">
        <f t="shared" si="26"/>
        <v>1</v>
      </c>
      <c r="Q438" s="87" t="b">
        <f>(Requirements!K440="Normative")</f>
        <v>1</v>
      </c>
      <c r="R438" s="87" t="b">
        <f>AND(Requirements!L440&lt;&gt;"Non-testable",Requirements!L440&lt;&gt;"Deleted",Requirements!L440&lt;&gt;"")</f>
        <v>1</v>
      </c>
      <c r="S438" s="87" t="b">
        <f>(VLOOKUP(Requirements!I440,Scope[[Role]:[Description]],2,FALSE)="In")</f>
        <v>1</v>
      </c>
      <c r="T438" s="87">
        <f t="shared" si="27"/>
        <v>0</v>
      </c>
    </row>
    <row r="439" spans="1:20">
      <c r="A439" s="84" t="str">
        <f>Requirements!A441</f>
        <v>MS-SMB_R5430</v>
      </c>
      <c r="B439" s="87"/>
      <c r="C439" s="87"/>
      <c r="D439" s="87"/>
      <c r="E439" s="87"/>
      <c r="F439" s="87"/>
      <c r="G439" s="87"/>
      <c r="H439" s="87"/>
      <c r="I439" s="87"/>
      <c r="J439" s="87"/>
      <c r="K439" s="87"/>
      <c r="L439" s="87">
        <v>1</v>
      </c>
      <c r="M439" s="87"/>
      <c r="N439" s="87">
        <f t="shared" si="24"/>
        <v>1</v>
      </c>
      <c r="O439" s="60">
        <f t="shared" si="25"/>
        <v>1</v>
      </c>
      <c r="P439" s="60" t="b">
        <f t="shared" si="26"/>
        <v>1</v>
      </c>
      <c r="Q439" s="87" t="b">
        <f>(Requirements!K441="Normative")</f>
        <v>1</v>
      </c>
      <c r="R439" s="87" t="b">
        <f>AND(Requirements!L441&lt;&gt;"Non-testable",Requirements!L441&lt;&gt;"Deleted",Requirements!L441&lt;&gt;"")</f>
        <v>1</v>
      </c>
      <c r="S439" s="87" t="b">
        <f>(VLOOKUP(Requirements!I441,Scope[[Role]:[Description]],2,FALSE)="In")</f>
        <v>1</v>
      </c>
      <c r="T439" s="87">
        <f t="shared" si="27"/>
        <v>1</v>
      </c>
    </row>
    <row r="440" spans="1:20">
      <c r="A440" s="84" t="str">
        <f>Requirements!A442</f>
        <v>MS-SMB_R105430</v>
      </c>
      <c r="B440" s="87"/>
      <c r="C440" s="87"/>
      <c r="D440" s="87"/>
      <c r="E440" s="87"/>
      <c r="F440" s="87"/>
      <c r="G440" s="87"/>
      <c r="H440" s="87"/>
      <c r="I440" s="87"/>
      <c r="J440" s="87"/>
      <c r="K440" s="87"/>
      <c r="L440" s="87">
        <v>1</v>
      </c>
      <c r="M440" s="87"/>
      <c r="N440" s="87">
        <f t="shared" si="24"/>
        <v>1</v>
      </c>
      <c r="O440" s="60">
        <f t="shared" si="25"/>
        <v>1</v>
      </c>
      <c r="P440" s="60" t="b">
        <f t="shared" si="26"/>
        <v>1</v>
      </c>
      <c r="Q440" s="87" t="b">
        <f>(Requirements!K442="Normative")</f>
        <v>1</v>
      </c>
      <c r="R440" s="87" t="b">
        <f>AND(Requirements!L442&lt;&gt;"Non-testable",Requirements!L442&lt;&gt;"Deleted",Requirements!L442&lt;&gt;"")</f>
        <v>1</v>
      </c>
      <c r="S440" s="87" t="b">
        <f>(VLOOKUP(Requirements!I442,Scope[[Role]:[Description]],2,FALSE)="In")</f>
        <v>1</v>
      </c>
      <c r="T440" s="87">
        <f t="shared" si="27"/>
        <v>1</v>
      </c>
    </row>
    <row r="441" spans="1:20">
      <c r="A441" s="84" t="str">
        <f>Requirements!A443</f>
        <v>MS-SMB_R9200</v>
      </c>
      <c r="B441" s="87"/>
      <c r="C441" s="87"/>
      <c r="D441" s="87"/>
      <c r="E441" s="87"/>
      <c r="F441" s="87"/>
      <c r="G441" s="87"/>
      <c r="H441" s="87"/>
      <c r="I441" s="87"/>
      <c r="J441" s="87"/>
      <c r="K441" s="87"/>
      <c r="L441" s="87">
        <v>1</v>
      </c>
      <c r="M441" s="87"/>
      <c r="N441" s="87">
        <f t="shared" si="24"/>
        <v>1</v>
      </c>
      <c r="O441" s="60">
        <f t="shared" si="25"/>
        <v>1</v>
      </c>
      <c r="P441" s="60" t="b">
        <f t="shared" si="26"/>
        <v>1</v>
      </c>
      <c r="Q441" s="87" t="b">
        <f>(Requirements!K443="Normative")</f>
        <v>1</v>
      </c>
      <c r="R441" s="87" t="b">
        <f>AND(Requirements!L443&lt;&gt;"Non-testable",Requirements!L443&lt;&gt;"Deleted",Requirements!L443&lt;&gt;"")</f>
        <v>1</v>
      </c>
      <c r="S441" s="87" t="b">
        <f>(VLOOKUP(Requirements!I443,Scope[[Role]:[Description]],2,FALSE)="In")</f>
        <v>1</v>
      </c>
      <c r="T441" s="87">
        <f t="shared" si="27"/>
        <v>1</v>
      </c>
    </row>
    <row r="442" spans="1:20">
      <c r="A442" s="44" t="str">
        <f>Requirements!A444</f>
        <v>MS-SMB_R9201</v>
      </c>
      <c r="B442" s="87"/>
      <c r="C442" s="87"/>
      <c r="D442" s="87"/>
      <c r="E442" s="87"/>
      <c r="F442" s="87"/>
      <c r="G442" s="87"/>
      <c r="H442" s="87"/>
      <c r="I442" s="87"/>
      <c r="J442" s="87"/>
      <c r="K442" s="87"/>
      <c r="L442" s="87"/>
      <c r="M442" s="87"/>
      <c r="N442" s="87">
        <f t="shared" si="24"/>
        <v>0</v>
      </c>
      <c r="O442" s="87">
        <f t="shared" si="25"/>
        <v>0</v>
      </c>
      <c r="P442" s="87" t="b">
        <f t="shared" si="26"/>
        <v>0</v>
      </c>
      <c r="Q442" s="87" t="b">
        <f>(Requirements!K444="Normative")</f>
        <v>0</v>
      </c>
      <c r="R442" s="87" t="b">
        <f>AND(Requirements!L444&lt;&gt;"Non-testable",Requirements!L444&lt;&gt;"Deleted",Requirements!L444&lt;&gt;"")</f>
        <v>1</v>
      </c>
      <c r="S442" s="87" t="b">
        <f>(VLOOKUP(Requirements!I444,Scope[[Role]:[Description]],2,FALSE)="In")</f>
        <v>1</v>
      </c>
      <c r="T442" s="87">
        <f t="shared" si="27"/>
        <v>0</v>
      </c>
    </row>
    <row r="443" spans="1:20">
      <c r="A443" s="44" t="str">
        <f>Requirements!A445</f>
        <v>MS-SMB_R9202</v>
      </c>
      <c r="B443" s="87"/>
      <c r="C443" s="87"/>
      <c r="D443" s="87"/>
      <c r="E443" s="87"/>
      <c r="F443" s="87"/>
      <c r="G443" s="87"/>
      <c r="H443" s="87"/>
      <c r="I443" s="87"/>
      <c r="J443" s="87"/>
      <c r="K443" s="87"/>
      <c r="L443" s="87"/>
      <c r="M443" s="87"/>
      <c r="N443" s="87">
        <f t="shared" si="24"/>
        <v>0</v>
      </c>
      <c r="O443" s="87">
        <f t="shared" si="25"/>
        <v>0</v>
      </c>
      <c r="P443" s="87" t="b">
        <f t="shared" si="26"/>
        <v>0</v>
      </c>
      <c r="Q443" s="87" t="b">
        <f>(Requirements!K445="Normative")</f>
        <v>0</v>
      </c>
      <c r="R443" s="87" t="b">
        <f>AND(Requirements!L445&lt;&gt;"Non-testable",Requirements!L445&lt;&gt;"Deleted",Requirements!L445&lt;&gt;"")</f>
        <v>1</v>
      </c>
      <c r="S443" s="87" t="b">
        <f>(VLOOKUP(Requirements!I445,Scope[[Role]:[Description]],2,FALSE)="In")</f>
        <v>1</v>
      </c>
      <c r="T443" s="87">
        <f t="shared" si="27"/>
        <v>0</v>
      </c>
    </row>
    <row r="444" spans="1:20">
      <c r="A444" s="85" t="str">
        <f>Requirements!A446</f>
        <v>MS-SMB_R9203</v>
      </c>
      <c r="B444" s="87"/>
      <c r="C444" s="87"/>
      <c r="D444" s="87"/>
      <c r="E444" s="87"/>
      <c r="F444" s="87"/>
      <c r="G444" s="87"/>
      <c r="H444" s="87"/>
      <c r="I444" s="87"/>
      <c r="J444" s="87"/>
      <c r="K444" s="87"/>
      <c r="L444" s="87"/>
      <c r="M444" s="87"/>
      <c r="N444" s="87">
        <f t="shared" si="24"/>
        <v>0</v>
      </c>
      <c r="O444" s="61">
        <f t="shared" si="25"/>
        <v>0</v>
      </c>
      <c r="P444" s="61" t="b">
        <f t="shared" si="26"/>
        <v>1</v>
      </c>
      <c r="Q444" s="87" t="b">
        <f>(Requirements!K446="Normative")</f>
        <v>1</v>
      </c>
      <c r="R444" s="87" t="b">
        <f>AND(Requirements!L446&lt;&gt;"Non-testable",Requirements!L446&lt;&gt;"Deleted",Requirements!L446&lt;&gt;"")</f>
        <v>1</v>
      </c>
      <c r="S444" s="87" t="b">
        <f>(VLOOKUP(Requirements!I446,Scope[[Role]:[Description]],2,FALSE)="In")</f>
        <v>1</v>
      </c>
      <c r="T444" s="87">
        <f t="shared" si="27"/>
        <v>0</v>
      </c>
    </row>
    <row r="445" spans="1:20">
      <c r="A445" s="44" t="str">
        <f>Requirements!A447</f>
        <v>MS-SMB_R9204</v>
      </c>
      <c r="B445" s="87"/>
      <c r="C445" s="87"/>
      <c r="D445" s="87"/>
      <c r="E445" s="87"/>
      <c r="F445" s="87"/>
      <c r="G445" s="87"/>
      <c r="H445" s="87"/>
      <c r="I445" s="87"/>
      <c r="J445" s="87"/>
      <c r="K445" s="87"/>
      <c r="L445" s="87"/>
      <c r="M445" s="87"/>
      <c r="N445" s="87">
        <f t="shared" si="24"/>
        <v>0</v>
      </c>
      <c r="O445" s="87">
        <f t="shared" si="25"/>
        <v>0</v>
      </c>
      <c r="P445" s="87" t="b">
        <f t="shared" si="26"/>
        <v>0</v>
      </c>
      <c r="Q445" s="87" t="b">
        <f>(Requirements!K447="Normative")</f>
        <v>0</v>
      </c>
      <c r="R445" s="87" t="b">
        <f>AND(Requirements!L447&lt;&gt;"Non-testable",Requirements!L447&lt;&gt;"Deleted",Requirements!L447&lt;&gt;"")</f>
        <v>1</v>
      </c>
      <c r="S445" s="87" t="b">
        <f>(VLOOKUP(Requirements!I447,Scope[[Role]:[Description]],2,FALSE)="In")</f>
        <v>1</v>
      </c>
      <c r="T445" s="87">
        <f t="shared" si="27"/>
        <v>0</v>
      </c>
    </row>
    <row r="446" spans="1:20">
      <c r="A446" s="44" t="str">
        <f>Requirements!A448</f>
        <v>MS-SMB_R9205</v>
      </c>
      <c r="B446" s="87"/>
      <c r="C446" s="87"/>
      <c r="D446" s="87"/>
      <c r="E446" s="87"/>
      <c r="F446" s="87"/>
      <c r="G446" s="87"/>
      <c r="H446" s="87"/>
      <c r="I446" s="87"/>
      <c r="J446" s="87"/>
      <c r="K446" s="87"/>
      <c r="L446" s="87"/>
      <c r="M446" s="87"/>
      <c r="N446" s="87">
        <f t="shared" si="24"/>
        <v>0</v>
      </c>
      <c r="O446" s="87">
        <f t="shared" si="25"/>
        <v>0</v>
      </c>
      <c r="P446" s="87" t="b">
        <f t="shared" si="26"/>
        <v>0</v>
      </c>
      <c r="Q446" s="87" t="b">
        <f>(Requirements!K448="Normative")</f>
        <v>0</v>
      </c>
      <c r="R446" s="87" t="b">
        <f>AND(Requirements!L448&lt;&gt;"Non-testable",Requirements!L448&lt;&gt;"Deleted",Requirements!L448&lt;&gt;"")</f>
        <v>1</v>
      </c>
      <c r="S446" s="87" t="b">
        <f>(VLOOKUP(Requirements!I448,Scope[[Role]:[Description]],2,FALSE)="In")</f>
        <v>1</v>
      </c>
      <c r="T446" s="87">
        <f t="shared" si="27"/>
        <v>0</v>
      </c>
    </row>
    <row r="447" spans="1:20">
      <c r="A447" s="44" t="str">
        <f>Requirements!A449</f>
        <v>MS-SMB_R9206</v>
      </c>
      <c r="B447" s="87"/>
      <c r="C447" s="87"/>
      <c r="D447" s="87"/>
      <c r="E447" s="87"/>
      <c r="F447" s="87"/>
      <c r="G447" s="87"/>
      <c r="H447" s="87"/>
      <c r="I447" s="87"/>
      <c r="J447" s="87"/>
      <c r="K447" s="87"/>
      <c r="L447" s="87"/>
      <c r="M447" s="87"/>
      <c r="N447" s="87">
        <f t="shared" si="24"/>
        <v>0</v>
      </c>
      <c r="O447" s="87">
        <f t="shared" si="25"/>
        <v>0</v>
      </c>
      <c r="P447" s="87" t="b">
        <f t="shared" si="26"/>
        <v>0</v>
      </c>
      <c r="Q447" s="87" t="b">
        <f>(Requirements!K449="Normative")</f>
        <v>0</v>
      </c>
      <c r="R447" s="87" t="b">
        <f>AND(Requirements!L449&lt;&gt;"Non-testable",Requirements!L449&lt;&gt;"Deleted",Requirements!L449&lt;&gt;"")</f>
        <v>1</v>
      </c>
      <c r="S447" s="87" t="b">
        <f>(VLOOKUP(Requirements!I449,Scope[[Role]:[Description]],2,FALSE)="In")</f>
        <v>1</v>
      </c>
      <c r="T447" s="87">
        <f t="shared" si="27"/>
        <v>0</v>
      </c>
    </row>
    <row r="448" spans="1:20">
      <c r="A448" s="84" t="str">
        <f>Requirements!A450</f>
        <v>MS-SMB_R9207</v>
      </c>
      <c r="B448" s="87"/>
      <c r="C448" s="87"/>
      <c r="D448" s="87"/>
      <c r="E448" s="87"/>
      <c r="F448" s="87"/>
      <c r="G448" s="87"/>
      <c r="H448" s="87"/>
      <c r="I448" s="87"/>
      <c r="J448" s="87"/>
      <c r="K448" s="87"/>
      <c r="L448" s="87">
        <v>1</v>
      </c>
      <c r="M448" s="87"/>
      <c r="N448" s="87">
        <f t="shared" si="24"/>
        <v>1</v>
      </c>
      <c r="O448" s="60">
        <f t="shared" si="25"/>
        <v>1</v>
      </c>
      <c r="P448" s="60" t="b">
        <f t="shared" si="26"/>
        <v>1</v>
      </c>
      <c r="Q448" s="87" t="b">
        <f>(Requirements!K450="Normative")</f>
        <v>1</v>
      </c>
      <c r="R448" s="87" t="b">
        <f>AND(Requirements!L450&lt;&gt;"Non-testable",Requirements!L450&lt;&gt;"Deleted",Requirements!L450&lt;&gt;"")</f>
        <v>1</v>
      </c>
      <c r="S448" s="87" t="b">
        <f>(VLOOKUP(Requirements!I450,Scope[[Role]:[Description]],2,FALSE)="In")</f>
        <v>1</v>
      </c>
      <c r="T448" s="87">
        <f t="shared" si="27"/>
        <v>1</v>
      </c>
    </row>
    <row r="449" spans="1:60">
      <c r="A449" s="84" t="str">
        <f>Requirements!A451</f>
        <v>MS-SMB_R9208</v>
      </c>
      <c r="B449" s="87"/>
      <c r="C449" s="87"/>
      <c r="D449" s="87"/>
      <c r="E449" s="87"/>
      <c r="F449" s="87"/>
      <c r="G449" s="87"/>
      <c r="H449" s="87"/>
      <c r="I449" s="87"/>
      <c r="J449" s="87"/>
      <c r="K449" s="87"/>
      <c r="L449" s="87">
        <v>1</v>
      </c>
      <c r="M449" s="87"/>
      <c r="N449" s="87">
        <f t="shared" si="24"/>
        <v>1</v>
      </c>
      <c r="O449" s="60">
        <f t="shared" si="25"/>
        <v>1</v>
      </c>
      <c r="P449" s="60" t="b">
        <f t="shared" si="26"/>
        <v>1</v>
      </c>
      <c r="Q449" s="87" t="b">
        <f>(Requirements!K451="Normative")</f>
        <v>1</v>
      </c>
      <c r="R449" s="87" t="b">
        <f>AND(Requirements!L451&lt;&gt;"Non-testable",Requirements!L451&lt;&gt;"Deleted",Requirements!L451&lt;&gt;"")</f>
        <v>1</v>
      </c>
      <c r="S449" s="87" t="b">
        <f>(VLOOKUP(Requirements!I451,Scope[[Role]:[Description]],2,FALSE)="In")</f>
        <v>1</v>
      </c>
      <c r="T449" s="87">
        <f t="shared" si="27"/>
        <v>1</v>
      </c>
    </row>
    <row r="450" spans="1:60">
      <c r="A450" s="44" t="str">
        <f>Requirements!A452</f>
        <v>MS-SMB_R9209</v>
      </c>
      <c r="B450" s="87"/>
      <c r="C450" s="87"/>
      <c r="D450" s="87"/>
      <c r="E450" s="87"/>
      <c r="F450" s="87"/>
      <c r="G450" s="87"/>
      <c r="H450" s="87"/>
      <c r="I450" s="87"/>
      <c r="J450" s="87"/>
      <c r="K450" s="87"/>
      <c r="L450" s="87"/>
      <c r="M450" s="87"/>
      <c r="N450" s="87">
        <f t="shared" si="24"/>
        <v>0</v>
      </c>
      <c r="O450" s="87">
        <f t="shared" si="25"/>
        <v>0</v>
      </c>
      <c r="P450" s="87" t="b">
        <f t="shared" si="26"/>
        <v>0</v>
      </c>
      <c r="Q450" s="87" t="b">
        <f>(Requirements!K452="Normative")</f>
        <v>0</v>
      </c>
      <c r="R450" s="87" t="b">
        <f>AND(Requirements!L452&lt;&gt;"Non-testable",Requirements!L452&lt;&gt;"Deleted",Requirements!L452&lt;&gt;"")</f>
        <v>1</v>
      </c>
      <c r="S450" s="87" t="b">
        <f>(VLOOKUP(Requirements!I452,Scope[[Role]:[Description]],2,FALSE)="In")</f>
        <v>1</v>
      </c>
      <c r="T450" s="87">
        <f t="shared" si="27"/>
        <v>0</v>
      </c>
    </row>
    <row r="451" spans="1:60">
      <c r="A451" s="44" t="str">
        <f>Requirements!A453</f>
        <v>MS-SMB_R9210</v>
      </c>
      <c r="B451" s="87"/>
      <c r="C451" s="87"/>
      <c r="D451" s="87"/>
      <c r="E451" s="87"/>
      <c r="F451" s="87"/>
      <c r="G451" s="87"/>
      <c r="H451" s="87"/>
      <c r="I451" s="87"/>
      <c r="J451" s="87"/>
      <c r="K451" s="87"/>
      <c r="L451" s="87"/>
      <c r="M451" s="87"/>
      <c r="N451" s="87">
        <f t="shared" si="24"/>
        <v>0</v>
      </c>
      <c r="O451" s="87">
        <f t="shared" si="25"/>
        <v>0</v>
      </c>
      <c r="P451" s="87" t="b">
        <f t="shared" si="26"/>
        <v>0</v>
      </c>
      <c r="Q451" s="87" t="b">
        <f>(Requirements!K453="Normative")</f>
        <v>0</v>
      </c>
      <c r="R451" s="87" t="b">
        <f>AND(Requirements!L453&lt;&gt;"Non-testable",Requirements!L453&lt;&gt;"Deleted",Requirements!L453&lt;&gt;"")</f>
        <v>1</v>
      </c>
      <c r="S451" s="87" t="b">
        <f>(VLOOKUP(Requirements!I453,Scope[[Role]:[Description]],2,FALSE)="In")</f>
        <v>1</v>
      </c>
      <c r="T451" s="87">
        <f t="shared" si="27"/>
        <v>0</v>
      </c>
    </row>
    <row r="452" spans="1:60">
      <c r="A452" s="44" t="str">
        <f>Requirements!A454</f>
        <v>MS-SMB_R9211</v>
      </c>
      <c r="B452" s="87"/>
      <c r="C452" s="87"/>
      <c r="D452" s="87"/>
      <c r="E452" s="87"/>
      <c r="F452" s="87"/>
      <c r="G452" s="87"/>
      <c r="H452" s="87"/>
      <c r="I452" s="87"/>
      <c r="J452" s="87"/>
      <c r="K452" s="87"/>
      <c r="L452" s="87"/>
      <c r="M452" s="87"/>
      <c r="N452" s="87">
        <f t="shared" si="24"/>
        <v>0</v>
      </c>
      <c r="O452" s="87">
        <f t="shared" si="25"/>
        <v>0</v>
      </c>
      <c r="P452" s="87" t="b">
        <f t="shared" si="26"/>
        <v>0</v>
      </c>
      <c r="Q452" s="87" t="b">
        <f>(Requirements!K454="Normative")</f>
        <v>0</v>
      </c>
      <c r="R452" s="87" t="b">
        <f>AND(Requirements!L454&lt;&gt;"Non-testable",Requirements!L454&lt;&gt;"Deleted",Requirements!L454&lt;&gt;"")</f>
        <v>1</v>
      </c>
      <c r="S452" s="87" t="b">
        <f>(VLOOKUP(Requirements!I454,Scope[[Role]:[Description]],2,FALSE)="In")</f>
        <v>1</v>
      </c>
      <c r="T452" s="87">
        <f t="shared" si="27"/>
        <v>0</v>
      </c>
    </row>
    <row r="453" spans="1:60">
      <c r="A453" s="84" t="str">
        <f>Requirements!A455</f>
        <v>MS-SMB_R9212</v>
      </c>
      <c r="B453" s="87"/>
      <c r="C453" s="87"/>
      <c r="D453" s="87"/>
      <c r="E453" s="87"/>
      <c r="F453" s="87"/>
      <c r="G453" s="87"/>
      <c r="H453" s="87"/>
      <c r="I453" s="87"/>
      <c r="J453" s="87"/>
      <c r="K453" s="87"/>
      <c r="L453" s="87">
        <v>1</v>
      </c>
      <c r="M453" s="87"/>
      <c r="N453" s="87">
        <f t="shared" si="24"/>
        <v>1</v>
      </c>
      <c r="O453" s="60">
        <f t="shared" si="25"/>
        <v>1</v>
      </c>
      <c r="P453" s="60" t="b">
        <f t="shared" si="26"/>
        <v>1</v>
      </c>
      <c r="Q453" s="87" t="b">
        <f>(Requirements!K455="Normative")</f>
        <v>1</v>
      </c>
      <c r="R453" s="87" t="b">
        <f>AND(Requirements!L455&lt;&gt;"Non-testable",Requirements!L455&lt;&gt;"Deleted",Requirements!L455&lt;&gt;"")</f>
        <v>1</v>
      </c>
      <c r="S453" s="87" t="b">
        <f>(VLOOKUP(Requirements!I455,Scope[[Role]:[Description]],2,FALSE)="In")</f>
        <v>1</v>
      </c>
      <c r="T453" s="87">
        <f t="shared" si="27"/>
        <v>1</v>
      </c>
    </row>
    <row r="454" spans="1:60">
      <c r="A454" s="85" t="str">
        <f>Requirements!A456</f>
        <v>MS-SMB_R9213</v>
      </c>
      <c r="B454" s="87"/>
      <c r="C454" s="87"/>
      <c r="D454" s="87"/>
      <c r="E454" s="87"/>
      <c r="F454" s="87"/>
      <c r="G454" s="87"/>
      <c r="H454" s="87"/>
      <c r="I454" s="87"/>
      <c r="J454" s="87"/>
      <c r="K454" s="87"/>
      <c r="L454" s="87"/>
      <c r="M454" s="87"/>
      <c r="N454" s="87">
        <f t="shared" si="24"/>
        <v>0</v>
      </c>
      <c r="O454" s="61">
        <f t="shared" si="25"/>
        <v>0</v>
      </c>
      <c r="P454" s="61" t="b">
        <f t="shared" si="26"/>
        <v>1</v>
      </c>
      <c r="Q454" s="87" t="b">
        <f>(Requirements!K456="Normative")</f>
        <v>1</v>
      </c>
      <c r="R454" s="87" t="b">
        <f>AND(Requirements!L456&lt;&gt;"Non-testable",Requirements!L456&lt;&gt;"Deleted",Requirements!L456&lt;&gt;"")</f>
        <v>1</v>
      </c>
      <c r="S454" s="87" t="b">
        <f>(VLOOKUP(Requirements!I456,Scope[[Role]:[Description]],2,FALSE)="In")</f>
        <v>1</v>
      </c>
      <c r="T454" s="87">
        <f t="shared" si="27"/>
        <v>0</v>
      </c>
    </row>
    <row r="455" spans="1:60">
      <c r="A455" s="44" t="str">
        <f>Requirements!A457</f>
        <v>MS-SMB_R9214</v>
      </c>
      <c r="B455" s="87"/>
      <c r="C455" s="87"/>
      <c r="D455" s="87"/>
      <c r="E455" s="87"/>
      <c r="F455" s="87"/>
      <c r="G455" s="87"/>
      <c r="H455" s="87"/>
      <c r="I455" s="87"/>
      <c r="J455" s="87"/>
      <c r="K455" s="87"/>
      <c r="L455" s="87"/>
      <c r="M455" s="87"/>
      <c r="N455" s="87">
        <f t="shared" si="24"/>
        <v>0</v>
      </c>
      <c r="O455" s="87">
        <f t="shared" si="25"/>
        <v>0</v>
      </c>
      <c r="P455" s="87" t="b">
        <f t="shared" si="26"/>
        <v>0</v>
      </c>
      <c r="Q455" s="87" t="b">
        <f>(Requirements!K457="Normative")</f>
        <v>0</v>
      </c>
      <c r="R455" s="87" t="b">
        <f>AND(Requirements!L457&lt;&gt;"Non-testable",Requirements!L457&lt;&gt;"Deleted",Requirements!L457&lt;&gt;"")</f>
        <v>1</v>
      </c>
      <c r="S455" s="87" t="b">
        <f>(VLOOKUP(Requirements!I457,Scope[[Role]:[Description]],2,FALSE)="In")</f>
        <v>1</v>
      </c>
      <c r="T455" s="87">
        <f t="shared" si="27"/>
        <v>0</v>
      </c>
    </row>
    <row r="456" spans="1:60">
      <c r="A456" s="44" t="str">
        <f>Requirements!A458</f>
        <v>MS-SMB_R9215</v>
      </c>
      <c r="B456" s="87"/>
      <c r="C456" s="87"/>
      <c r="D456" s="87"/>
      <c r="E456" s="87"/>
      <c r="F456" s="87"/>
      <c r="G456" s="87"/>
      <c r="H456" s="87"/>
      <c r="I456" s="87"/>
      <c r="J456" s="87"/>
      <c r="K456" s="87"/>
      <c r="L456" s="87"/>
      <c r="M456" s="87"/>
      <c r="N456" s="87">
        <f t="shared" si="24"/>
        <v>0</v>
      </c>
      <c r="O456" s="87">
        <f t="shared" si="25"/>
        <v>0</v>
      </c>
      <c r="P456" s="87" t="b">
        <f t="shared" si="26"/>
        <v>0</v>
      </c>
      <c r="Q456" s="87" t="b">
        <f>(Requirements!K458="Normative")</f>
        <v>1</v>
      </c>
      <c r="R456" s="87" t="b">
        <f>AND(Requirements!L458&lt;&gt;"Non-testable",Requirements!L458&lt;&gt;"Deleted",Requirements!L458&lt;&gt;"")</f>
        <v>0</v>
      </c>
      <c r="S456" s="87" t="b">
        <f>(VLOOKUP(Requirements!I458,Scope[[Role]:[Description]],2,FALSE)="In")</f>
        <v>1</v>
      </c>
      <c r="T456" s="87">
        <f t="shared" si="27"/>
        <v>0</v>
      </c>
    </row>
    <row r="457" spans="1:60">
      <c r="A457" s="84" t="str">
        <f>Requirements!A459</f>
        <v>MS-SMB_R109215</v>
      </c>
      <c r="B457" s="87"/>
      <c r="C457" s="87"/>
      <c r="D457" s="87"/>
      <c r="E457" s="87"/>
      <c r="F457" s="87"/>
      <c r="G457" s="87"/>
      <c r="H457" s="87"/>
      <c r="I457" s="87"/>
      <c r="J457" s="87"/>
      <c r="K457" s="87"/>
      <c r="L457" s="87">
        <v>1</v>
      </c>
      <c r="M457" s="87"/>
      <c r="N457" s="87">
        <f t="shared" si="24"/>
        <v>1</v>
      </c>
      <c r="O457" s="60">
        <f t="shared" si="25"/>
        <v>1</v>
      </c>
      <c r="P457" s="60" t="b">
        <f t="shared" si="26"/>
        <v>1</v>
      </c>
      <c r="Q457" s="87" t="b">
        <f>(Requirements!K459="Normative")</f>
        <v>1</v>
      </c>
      <c r="R457" s="87" t="b">
        <f>AND(Requirements!L459&lt;&gt;"Non-testable",Requirements!L459&lt;&gt;"Deleted",Requirements!L459&lt;&gt;"")</f>
        <v>1</v>
      </c>
      <c r="S457" s="87" t="b">
        <f>(VLOOKUP(Requirements!I459,Scope[[Role]:[Description]],2,FALSE)="In")</f>
        <v>1</v>
      </c>
      <c r="T457" s="87">
        <f t="shared" si="27"/>
        <v>1</v>
      </c>
    </row>
    <row r="458" spans="1:60">
      <c r="A458" s="84" t="str">
        <f>Requirements!A460</f>
        <v>MS-SMB_R209215</v>
      </c>
      <c r="B458" s="87"/>
      <c r="C458" s="87"/>
      <c r="D458" s="87"/>
      <c r="E458" s="87"/>
      <c r="F458" s="87"/>
      <c r="G458" s="87"/>
      <c r="H458" s="87"/>
      <c r="I458" s="87"/>
      <c r="J458" s="87"/>
      <c r="K458" s="87"/>
      <c r="L458" s="87">
        <v>1</v>
      </c>
      <c r="M458" s="87"/>
      <c r="N458" s="87">
        <f t="shared" si="24"/>
        <v>1</v>
      </c>
      <c r="O458" s="60">
        <f t="shared" si="25"/>
        <v>1</v>
      </c>
      <c r="P458" s="60" t="b">
        <f t="shared" si="26"/>
        <v>1</v>
      </c>
      <c r="Q458" s="87" t="b">
        <f>(Requirements!K460="Normative")</f>
        <v>1</v>
      </c>
      <c r="R458" s="87" t="b">
        <f>AND(Requirements!L460&lt;&gt;"Non-testable",Requirements!L460&lt;&gt;"Deleted",Requirements!L460&lt;&gt;"")</f>
        <v>1</v>
      </c>
      <c r="S458" s="87" t="b">
        <f>(VLOOKUP(Requirements!I460,Scope[[Role]:[Description]],2,FALSE)="In")</f>
        <v>1</v>
      </c>
      <c r="T458" s="87">
        <f t="shared" si="27"/>
        <v>1</v>
      </c>
    </row>
    <row r="459" spans="1:60">
      <c r="A459" s="84" t="str">
        <f>Requirements!A461</f>
        <v>MS-SMB_R9216</v>
      </c>
      <c r="B459" s="87"/>
      <c r="C459" s="87"/>
      <c r="D459" s="87"/>
      <c r="E459" s="87"/>
      <c r="F459" s="87"/>
      <c r="G459" s="87"/>
      <c r="H459" s="87"/>
      <c r="I459" s="87"/>
      <c r="J459" s="87"/>
      <c r="K459" s="87"/>
      <c r="L459" s="87">
        <v>1</v>
      </c>
      <c r="M459" s="87"/>
      <c r="N459" s="87">
        <f t="shared" si="24"/>
        <v>1</v>
      </c>
      <c r="O459" s="60">
        <f t="shared" si="25"/>
        <v>1</v>
      </c>
      <c r="P459" s="60" t="b">
        <f t="shared" si="26"/>
        <v>1</v>
      </c>
      <c r="Q459" s="87" t="b">
        <f>(Requirements!K461="Normative")</f>
        <v>1</v>
      </c>
      <c r="R459" s="87" t="b">
        <f>AND(Requirements!L461&lt;&gt;"Non-testable",Requirements!L461&lt;&gt;"Deleted",Requirements!L461&lt;&gt;"")</f>
        <v>1</v>
      </c>
      <c r="S459" s="87" t="b">
        <f>(VLOOKUP(Requirements!I461,Scope[[Role]:[Description]],2,FALSE)="In")</f>
        <v>1</v>
      </c>
      <c r="T459" s="87">
        <f t="shared" si="27"/>
        <v>1</v>
      </c>
    </row>
    <row r="460" spans="1:60">
      <c r="A460" s="84" t="str">
        <f>Requirements!A462</f>
        <v>MS-SMB_R109216</v>
      </c>
      <c r="B460" s="87"/>
      <c r="C460" s="87"/>
      <c r="D460" s="87"/>
      <c r="E460" s="87"/>
      <c r="F460" s="87"/>
      <c r="G460" s="87"/>
      <c r="H460" s="87"/>
      <c r="I460" s="87"/>
      <c r="J460" s="87"/>
      <c r="K460" s="87"/>
      <c r="L460" s="87">
        <v>1</v>
      </c>
      <c r="M460" s="87"/>
      <c r="N460" s="87">
        <f t="shared" si="24"/>
        <v>1</v>
      </c>
      <c r="O460" s="60">
        <f t="shared" si="25"/>
        <v>1</v>
      </c>
      <c r="P460" s="60" t="b">
        <f t="shared" si="26"/>
        <v>1</v>
      </c>
      <c r="Q460" s="87" t="b">
        <f>(Requirements!K462="Normative")</f>
        <v>1</v>
      </c>
      <c r="R460" s="87" t="b">
        <f>AND(Requirements!L462&lt;&gt;"Non-testable",Requirements!L462&lt;&gt;"Deleted",Requirements!L462&lt;&gt;"")</f>
        <v>1</v>
      </c>
      <c r="S460" s="87" t="b">
        <f>(VLOOKUP(Requirements!I462,Scope[[Role]:[Description]],2,FALSE)="In")</f>
        <v>1</v>
      </c>
      <c r="T460" s="87">
        <f t="shared" si="27"/>
        <v>1</v>
      </c>
    </row>
    <row r="461" spans="1:60">
      <c r="A461" s="85" t="str">
        <f>Requirements!A463</f>
        <v>MS-SMB_R9217</v>
      </c>
      <c r="B461" s="87"/>
      <c r="C461" s="87"/>
      <c r="D461" s="87"/>
      <c r="E461" s="87"/>
      <c r="F461" s="87"/>
      <c r="G461" s="87"/>
      <c r="H461" s="87"/>
      <c r="I461" s="87"/>
      <c r="J461" s="87"/>
      <c r="K461" s="87"/>
      <c r="L461" s="87"/>
      <c r="M461" s="87"/>
      <c r="N461" s="87">
        <f t="shared" si="24"/>
        <v>0</v>
      </c>
      <c r="O461" s="61">
        <f t="shared" si="25"/>
        <v>0</v>
      </c>
      <c r="P461" s="61" t="b">
        <f t="shared" si="26"/>
        <v>1</v>
      </c>
      <c r="Q461" s="87" t="b">
        <f>(Requirements!K463="Normative")</f>
        <v>1</v>
      </c>
      <c r="R461" s="87" t="b">
        <f>AND(Requirements!L463&lt;&gt;"Non-testable",Requirements!L463&lt;&gt;"Deleted",Requirements!L463&lt;&gt;"")</f>
        <v>1</v>
      </c>
      <c r="S461" s="87" t="b">
        <f>(VLOOKUP(Requirements!I463,Scope[[Role]:[Description]],2,FALSE)="In")</f>
        <v>1</v>
      </c>
      <c r="T461" s="87">
        <f t="shared" si="27"/>
        <v>0</v>
      </c>
    </row>
    <row r="462" spans="1:60">
      <c r="A462" s="44" t="str">
        <f>Requirements!A464</f>
        <v>MS-SMB_R9218</v>
      </c>
      <c r="B462" s="87"/>
      <c r="C462" s="87"/>
      <c r="D462" s="87"/>
      <c r="E462" s="87"/>
      <c r="F462" s="87"/>
      <c r="G462" s="87"/>
      <c r="H462" s="87"/>
      <c r="I462" s="87"/>
      <c r="J462" s="87"/>
      <c r="K462" s="87"/>
      <c r="L462" s="87"/>
      <c r="M462" s="87"/>
      <c r="N462" s="87">
        <f t="shared" si="24"/>
        <v>0</v>
      </c>
      <c r="O462" s="87">
        <f t="shared" si="25"/>
        <v>0</v>
      </c>
      <c r="P462" s="87" t="b">
        <f t="shared" si="26"/>
        <v>0</v>
      </c>
      <c r="Q462" s="87" t="b">
        <f>(Requirements!K464="Normative")</f>
        <v>0</v>
      </c>
      <c r="R462" s="87" t="b">
        <f>AND(Requirements!L464&lt;&gt;"Non-testable",Requirements!L464&lt;&gt;"Deleted",Requirements!L464&lt;&gt;"")</f>
        <v>1</v>
      </c>
      <c r="S462" s="87" t="b">
        <f>(VLOOKUP(Requirements!I464,Scope[[Role]:[Description]],2,FALSE)="In")</f>
        <v>1</v>
      </c>
      <c r="T462" s="87">
        <f t="shared" si="27"/>
        <v>0</v>
      </c>
    </row>
    <row r="463" spans="1:60">
      <c r="A463" s="84" t="str">
        <f>Requirements!A465</f>
        <v>MS-SMB_R9219</v>
      </c>
      <c r="B463" s="87"/>
      <c r="C463" s="87"/>
      <c r="D463" s="87"/>
      <c r="E463" s="87"/>
      <c r="F463" s="87"/>
      <c r="G463" s="87"/>
      <c r="H463" s="87"/>
      <c r="I463" s="87"/>
      <c r="J463" s="87"/>
      <c r="K463" s="87"/>
      <c r="L463" s="87">
        <v>1</v>
      </c>
      <c r="M463" s="87"/>
      <c r="N463" s="87">
        <f t="shared" si="24"/>
        <v>1</v>
      </c>
      <c r="O463" s="60">
        <f t="shared" si="25"/>
        <v>1</v>
      </c>
      <c r="P463" s="60" t="b">
        <f t="shared" si="26"/>
        <v>1</v>
      </c>
      <c r="Q463" s="87" t="b">
        <f>(Requirements!K465="Normative")</f>
        <v>1</v>
      </c>
      <c r="R463" s="87" t="b">
        <f>AND(Requirements!L465&lt;&gt;"Non-testable",Requirements!L465&lt;&gt;"Deleted",Requirements!L465&lt;&gt;"")</f>
        <v>1</v>
      </c>
      <c r="S463" s="87" t="b">
        <f>(VLOOKUP(Requirements!I465,Scope[[Role]:[Description]],2,FALSE)="In")</f>
        <v>1</v>
      </c>
      <c r="T463" s="87">
        <f t="shared" si="27"/>
        <v>1</v>
      </c>
    </row>
    <row r="464" spans="1:60">
      <c r="A464" s="83" t="str">
        <f>Requirements!A466</f>
        <v>MS-SMB_R9220</v>
      </c>
      <c r="B464" s="46"/>
      <c r="C464" s="46"/>
      <c r="D464" s="46"/>
      <c r="E464" s="46"/>
      <c r="F464" s="46"/>
      <c r="G464" s="46"/>
      <c r="H464" s="46"/>
      <c r="I464" s="46"/>
      <c r="J464" s="46"/>
      <c r="K464" s="46"/>
      <c r="L464" s="46"/>
      <c r="M464" s="46"/>
      <c r="N464" s="46">
        <f t="shared" si="24"/>
        <v>0</v>
      </c>
      <c r="O464" s="46">
        <f t="shared" si="25"/>
        <v>0</v>
      </c>
      <c r="P464" s="46" t="b">
        <f t="shared" si="26"/>
        <v>0</v>
      </c>
      <c r="Q464" s="46" t="b">
        <f>(Requirements!K466="Normative")</f>
        <v>0</v>
      </c>
      <c r="R464" s="46" t="b">
        <f>AND(Requirements!L466&lt;&gt;"Non-testable",Requirements!L466&lt;&gt;"Deleted",Requirements!L466&lt;&gt;"")</f>
        <v>0</v>
      </c>
      <c r="S464" s="46" t="b">
        <f>(VLOOKUP(Requirements!I466,Scope[[Role]:[Description]],2,FALSE)="In")</f>
        <v>1</v>
      </c>
      <c r="T464" s="46">
        <f t="shared" si="27"/>
        <v>0</v>
      </c>
      <c r="U464" s="45"/>
      <c r="V464" s="45"/>
      <c r="W464" s="45"/>
      <c r="X464" s="45"/>
      <c r="Y464" s="45"/>
      <c r="Z464" s="45"/>
      <c r="AA464" s="45"/>
      <c r="AB464" s="45"/>
      <c r="AC464" s="45"/>
      <c r="AD464" s="45"/>
      <c r="AE464" s="45"/>
      <c r="AF464" s="45"/>
      <c r="AG464" s="45"/>
      <c r="AH464" s="45"/>
      <c r="AI464" s="45"/>
      <c r="AJ464" s="45"/>
      <c r="AK464" s="45"/>
      <c r="AL464" s="45"/>
      <c r="AM464" s="45"/>
      <c r="AN464" s="45"/>
      <c r="AO464" s="45"/>
      <c r="AP464" s="45"/>
      <c r="AQ464" s="45"/>
      <c r="AR464" s="45"/>
      <c r="AS464" s="45"/>
      <c r="AT464" s="45"/>
      <c r="AU464" s="45"/>
      <c r="AV464" s="45"/>
      <c r="AW464" s="45"/>
      <c r="AX464" s="45"/>
      <c r="AY464" s="45"/>
      <c r="AZ464" s="45"/>
      <c r="BA464" s="45"/>
      <c r="BB464" s="45"/>
      <c r="BC464" s="45"/>
      <c r="BD464" s="45"/>
      <c r="BE464" s="45"/>
      <c r="BF464" s="45"/>
      <c r="BG464" s="45"/>
      <c r="BH464" s="45"/>
    </row>
    <row r="465" spans="1:20">
      <c r="A465" s="44" t="str">
        <f>Requirements!A467</f>
        <v>MS-SMB_R9221</v>
      </c>
      <c r="B465" s="87"/>
      <c r="C465" s="87"/>
      <c r="D465" s="87"/>
      <c r="E465" s="87"/>
      <c r="F465" s="87"/>
      <c r="G465" s="87"/>
      <c r="H465" s="87"/>
      <c r="I465" s="87"/>
      <c r="J465" s="87"/>
      <c r="K465" s="87"/>
      <c r="L465" s="87"/>
      <c r="M465" s="87"/>
      <c r="N465" s="87">
        <f t="shared" si="24"/>
        <v>0</v>
      </c>
      <c r="O465" s="87">
        <f t="shared" si="25"/>
        <v>0</v>
      </c>
      <c r="P465" s="87" t="b">
        <f t="shared" si="26"/>
        <v>0</v>
      </c>
      <c r="Q465" s="87" t="b">
        <f>(Requirements!K467="Normative")</f>
        <v>0</v>
      </c>
      <c r="R465" s="87" t="b">
        <f>AND(Requirements!L467&lt;&gt;"Non-testable",Requirements!L467&lt;&gt;"Deleted",Requirements!L467&lt;&gt;"")</f>
        <v>1</v>
      </c>
      <c r="S465" s="87" t="b">
        <f>(VLOOKUP(Requirements!I467,Scope[[Role]:[Description]],2,FALSE)="In")</f>
        <v>1</v>
      </c>
      <c r="T465" s="87">
        <f t="shared" si="27"/>
        <v>0</v>
      </c>
    </row>
    <row r="466" spans="1:20">
      <c r="A466" s="84" t="str">
        <f>Requirements!A468</f>
        <v>MS-SMB_R9222</v>
      </c>
      <c r="B466" s="87"/>
      <c r="C466" s="87"/>
      <c r="D466" s="87"/>
      <c r="E466" s="87"/>
      <c r="F466" s="87"/>
      <c r="G466" s="87"/>
      <c r="H466" s="87"/>
      <c r="I466" s="87"/>
      <c r="J466" s="87"/>
      <c r="K466" s="87"/>
      <c r="L466" s="87">
        <v>1</v>
      </c>
      <c r="M466" s="87"/>
      <c r="N466" s="87">
        <f t="shared" si="24"/>
        <v>1</v>
      </c>
      <c r="O466" s="60">
        <f t="shared" si="25"/>
        <v>1</v>
      </c>
      <c r="P466" s="60" t="b">
        <f t="shared" si="26"/>
        <v>1</v>
      </c>
      <c r="Q466" s="87" t="b">
        <f>(Requirements!K468="Normative")</f>
        <v>1</v>
      </c>
      <c r="R466" s="87" t="b">
        <f>AND(Requirements!L468&lt;&gt;"Non-testable",Requirements!L468&lt;&gt;"Deleted",Requirements!L468&lt;&gt;"")</f>
        <v>1</v>
      </c>
      <c r="S466" s="87" t="b">
        <f>(VLOOKUP(Requirements!I468,Scope[[Role]:[Description]],2,FALSE)="In")</f>
        <v>1</v>
      </c>
      <c r="T466" s="87">
        <f t="shared" si="27"/>
        <v>1</v>
      </c>
    </row>
    <row r="467" spans="1:20">
      <c r="A467" s="84" t="str">
        <f>Requirements!A469</f>
        <v>MS-SMB_R9223</v>
      </c>
      <c r="B467" s="87"/>
      <c r="C467" s="87"/>
      <c r="D467" s="87"/>
      <c r="E467" s="87"/>
      <c r="F467" s="87"/>
      <c r="G467" s="87"/>
      <c r="H467" s="87"/>
      <c r="I467" s="87"/>
      <c r="J467" s="87"/>
      <c r="K467" s="87"/>
      <c r="L467" s="87">
        <v>1</v>
      </c>
      <c r="M467" s="87"/>
      <c r="N467" s="87">
        <f t="shared" si="24"/>
        <v>1</v>
      </c>
      <c r="O467" s="60">
        <f t="shared" si="25"/>
        <v>1</v>
      </c>
      <c r="P467" s="60" t="b">
        <f t="shared" si="26"/>
        <v>1</v>
      </c>
      <c r="Q467" s="87" t="b">
        <f>(Requirements!K469="Normative")</f>
        <v>1</v>
      </c>
      <c r="R467" s="87" t="b">
        <f>AND(Requirements!L469&lt;&gt;"Non-testable",Requirements!L469&lt;&gt;"Deleted",Requirements!L469&lt;&gt;"")</f>
        <v>1</v>
      </c>
      <c r="S467" s="87" t="b">
        <f>(VLOOKUP(Requirements!I469,Scope[[Role]:[Description]],2,FALSE)="In")</f>
        <v>1</v>
      </c>
      <c r="T467" s="87">
        <f t="shared" si="27"/>
        <v>1</v>
      </c>
    </row>
    <row r="468" spans="1:20">
      <c r="A468" s="84" t="str">
        <f>Requirements!A470</f>
        <v>MS-SMB_R9224</v>
      </c>
      <c r="B468" s="87"/>
      <c r="C468" s="87"/>
      <c r="D468" s="87"/>
      <c r="E468" s="87"/>
      <c r="F468" s="87"/>
      <c r="G468" s="87"/>
      <c r="H468" s="87"/>
      <c r="I468" s="87"/>
      <c r="J468" s="87"/>
      <c r="K468" s="87"/>
      <c r="L468" s="87">
        <v>1</v>
      </c>
      <c r="M468" s="87"/>
      <c r="N468" s="87">
        <f t="shared" ref="N468:N531" si="28">SUM(B468:M468)</f>
        <v>1</v>
      </c>
      <c r="O468" s="60">
        <f t="shared" ref="O468:O531" si="29">IF(N468=0,0,1)</f>
        <v>1</v>
      </c>
      <c r="P468" s="60" t="b">
        <f t="shared" ref="P468:P531" si="30">AND(Q468:S468)</f>
        <v>1</v>
      </c>
      <c r="Q468" s="87" t="b">
        <f>(Requirements!K470="Normative")</f>
        <v>1</v>
      </c>
      <c r="R468" s="87" t="b">
        <f>AND(Requirements!L470&lt;&gt;"Non-testable",Requirements!L470&lt;&gt;"Deleted",Requirements!L470&lt;&gt;"")</f>
        <v>1</v>
      </c>
      <c r="S468" s="87" t="b">
        <f>(VLOOKUP(Requirements!I470,Scope[[Role]:[Description]],2,FALSE)="In")</f>
        <v>1</v>
      </c>
      <c r="T468" s="87">
        <f t="shared" ref="T468:T531" si="31">IF(P468,O468, 0)</f>
        <v>1</v>
      </c>
    </row>
    <row r="469" spans="1:20">
      <c r="A469" s="84" t="str">
        <f>Requirements!A471</f>
        <v>MS-SMB_R9225</v>
      </c>
      <c r="B469" s="87"/>
      <c r="C469" s="87"/>
      <c r="D469" s="87"/>
      <c r="E469" s="87"/>
      <c r="F469" s="87"/>
      <c r="G469" s="87"/>
      <c r="H469" s="87"/>
      <c r="I469" s="87"/>
      <c r="J469" s="87"/>
      <c r="K469" s="87"/>
      <c r="L469" s="87">
        <v>1</v>
      </c>
      <c r="M469" s="87"/>
      <c r="N469" s="87">
        <f t="shared" si="28"/>
        <v>1</v>
      </c>
      <c r="O469" s="60">
        <f t="shared" si="29"/>
        <v>1</v>
      </c>
      <c r="P469" s="60" t="b">
        <f t="shared" si="30"/>
        <v>1</v>
      </c>
      <c r="Q469" s="87" t="b">
        <f>(Requirements!K471="Normative")</f>
        <v>1</v>
      </c>
      <c r="R469" s="87" t="b">
        <f>AND(Requirements!L471&lt;&gt;"Non-testable",Requirements!L471&lt;&gt;"Deleted",Requirements!L471&lt;&gt;"")</f>
        <v>1</v>
      </c>
      <c r="S469" s="87" t="b">
        <f>(VLOOKUP(Requirements!I471,Scope[[Role]:[Description]],2,FALSE)="In")</f>
        <v>1</v>
      </c>
      <c r="T469" s="87">
        <f t="shared" si="31"/>
        <v>1</v>
      </c>
    </row>
    <row r="470" spans="1:20">
      <c r="A470" s="44" t="str">
        <f>Requirements!A472</f>
        <v>MS-SMB_R5505</v>
      </c>
      <c r="B470" s="87"/>
      <c r="C470" s="87"/>
      <c r="D470" s="87"/>
      <c r="E470" s="87"/>
      <c r="F470" s="87"/>
      <c r="G470" s="87"/>
      <c r="H470" s="87"/>
      <c r="I470" s="87"/>
      <c r="J470" s="87"/>
      <c r="K470" s="87"/>
      <c r="L470" s="87"/>
      <c r="M470" s="87"/>
      <c r="N470" s="87">
        <f t="shared" si="28"/>
        <v>0</v>
      </c>
      <c r="O470" s="87">
        <f t="shared" si="29"/>
        <v>0</v>
      </c>
      <c r="P470" s="87" t="b">
        <f t="shared" si="30"/>
        <v>0</v>
      </c>
      <c r="Q470" s="87" t="b">
        <f>(Requirements!K472="Normative")</f>
        <v>0</v>
      </c>
      <c r="R470" s="87" t="b">
        <f>AND(Requirements!L472&lt;&gt;"Non-testable",Requirements!L472&lt;&gt;"Deleted",Requirements!L472&lt;&gt;"")</f>
        <v>1</v>
      </c>
      <c r="S470" s="87" t="b">
        <f>(VLOOKUP(Requirements!I472,Scope[[Role]:[Description]],2,FALSE)="In")</f>
        <v>1</v>
      </c>
      <c r="T470" s="87">
        <f t="shared" si="31"/>
        <v>0</v>
      </c>
    </row>
    <row r="471" spans="1:20">
      <c r="A471" s="44" t="str">
        <f>Requirements!A473</f>
        <v>MS-SMB_R5506</v>
      </c>
      <c r="B471" s="87"/>
      <c r="C471" s="87"/>
      <c r="D471" s="87"/>
      <c r="E471" s="87"/>
      <c r="F471" s="87"/>
      <c r="G471" s="87"/>
      <c r="H471" s="87"/>
      <c r="I471" s="87"/>
      <c r="J471" s="87"/>
      <c r="K471" s="87"/>
      <c r="L471" s="87"/>
      <c r="M471" s="87"/>
      <c r="N471" s="87">
        <f t="shared" si="28"/>
        <v>0</v>
      </c>
      <c r="O471" s="87">
        <f t="shared" si="29"/>
        <v>0</v>
      </c>
      <c r="P471" s="87" t="b">
        <f t="shared" si="30"/>
        <v>0</v>
      </c>
      <c r="Q471" s="87" t="b">
        <f>(Requirements!K473="Normative")</f>
        <v>0</v>
      </c>
      <c r="R471" s="87" t="b">
        <f>AND(Requirements!L473&lt;&gt;"Non-testable",Requirements!L473&lt;&gt;"Deleted",Requirements!L473&lt;&gt;"")</f>
        <v>1</v>
      </c>
      <c r="S471" s="87" t="b">
        <f>(VLOOKUP(Requirements!I473,Scope[[Role]:[Description]],2,FALSE)="In")</f>
        <v>1</v>
      </c>
      <c r="T471" s="87">
        <f t="shared" si="31"/>
        <v>0</v>
      </c>
    </row>
    <row r="472" spans="1:20">
      <c r="A472" s="85" t="str">
        <f>Requirements!A474</f>
        <v>MS-SMB_R5507</v>
      </c>
      <c r="B472" s="87"/>
      <c r="C472" s="87"/>
      <c r="D472" s="87"/>
      <c r="E472" s="87"/>
      <c r="F472" s="87"/>
      <c r="G472" s="87"/>
      <c r="H472" s="87"/>
      <c r="I472" s="87"/>
      <c r="J472" s="87"/>
      <c r="K472" s="87"/>
      <c r="L472" s="87"/>
      <c r="M472" s="87"/>
      <c r="N472" s="87">
        <f t="shared" si="28"/>
        <v>0</v>
      </c>
      <c r="O472" s="61">
        <f t="shared" si="29"/>
        <v>0</v>
      </c>
      <c r="P472" s="61" t="b">
        <f t="shared" si="30"/>
        <v>1</v>
      </c>
      <c r="Q472" s="87" t="b">
        <f>(Requirements!K474="Normative")</f>
        <v>1</v>
      </c>
      <c r="R472" s="87" t="b">
        <f>AND(Requirements!L474&lt;&gt;"Non-testable",Requirements!L474&lt;&gt;"Deleted",Requirements!L474&lt;&gt;"")</f>
        <v>1</v>
      </c>
      <c r="S472" s="87" t="b">
        <f>(VLOOKUP(Requirements!I474,Scope[[Role]:[Description]],2,FALSE)="In")</f>
        <v>1</v>
      </c>
      <c r="T472" s="87">
        <f t="shared" si="31"/>
        <v>0</v>
      </c>
    </row>
    <row r="473" spans="1:20">
      <c r="A473" s="85" t="str">
        <f>Requirements!A475</f>
        <v>MS-SMB_R5508</v>
      </c>
      <c r="B473" s="87"/>
      <c r="C473" s="87"/>
      <c r="D473" s="87"/>
      <c r="E473" s="87"/>
      <c r="F473" s="87"/>
      <c r="G473" s="87"/>
      <c r="H473" s="87"/>
      <c r="I473" s="87"/>
      <c r="J473" s="87"/>
      <c r="K473" s="87"/>
      <c r="L473" s="87"/>
      <c r="M473" s="87"/>
      <c r="N473" s="87">
        <f t="shared" si="28"/>
        <v>0</v>
      </c>
      <c r="O473" s="61">
        <f t="shared" si="29"/>
        <v>0</v>
      </c>
      <c r="P473" s="61" t="b">
        <f t="shared" si="30"/>
        <v>1</v>
      </c>
      <c r="Q473" s="87" t="b">
        <f>(Requirements!K475="Normative")</f>
        <v>1</v>
      </c>
      <c r="R473" s="87" t="b">
        <f>AND(Requirements!L475&lt;&gt;"Non-testable",Requirements!L475&lt;&gt;"Deleted",Requirements!L475&lt;&gt;"")</f>
        <v>1</v>
      </c>
      <c r="S473" s="87" t="b">
        <f>(VLOOKUP(Requirements!I475,Scope[[Role]:[Description]],2,FALSE)="In")</f>
        <v>1</v>
      </c>
      <c r="T473" s="87">
        <f t="shared" si="31"/>
        <v>0</v>
      </c>
    </row>
    <row r="474" spans="1:20">
      <c r="A474" s="85" t="str">
        <f>Requirements!A476</f>
        <v>MS-SMB_R5509</v>
      </c>
      <c r="B474" s="87"/>
      <c r="C474" s="87"/>
      <c r="D474" s="87"/>
      <c r="E474" s="87"/>
      <c r="F474" s="87"/>
      <c r="G474" s="87"/>
      <c r="H474" s="87"/>
      <c r="I474" s="87"/>
      <c r="J474" s="87"/>
      <c r="K474" s="87"/>
      <c r="L474" s="87"/>
      <c r="M474" s="87"/>
      <c r="N474" s="87">
        <f t="shared" si="28"/>
        <v>0</v>
      </c>
      <c r="O474" s="61">
        <f t="shared" si="29"/>
        <v>0</v>
      </c>
      <c r="P474" s="61" t="b">
        <f t="shared" si="30"/>
        <v>1</v>
      </c>
      <c r="Q474" s="87" t="b">
        <f>(Requirements!K476="Normative")</f>
        <v>1</v>
      </c>
      <c r="R474" s="87" t="b">
        <f>AND(Requirements!L476&lt;&gt;"Non-testable",Requirements!L476&lt;&gt;"Deleted",Requirements!L476&lt;&gt;"")</f>
        <v>1</v>
      </c>
      <c r="S474" s="87" t="b">
        <f>(VLOOKUP(Requirements!I476,Scope[[Role]:[Description]],2,FALSE)="In")</f>
        <v>1</v>
      </c>
      <c r="T474" s="87">
        <f t="shared" si="31"/>
        <v>0</v>
      </c>
    </row>
    <row r="475" spans="1:20">
      <c r="A475" s="85" t="str">
        <f>Requirements!A477</f>
        <v>MS-SMB_R5510</v>
      </c>
      <c r="B475" s="87"/>
      <c r="C475" s="87"/>
      <c r="D475" s="87"/>
      <c r="E475" s="87"/>
      <c r="F475" s="87"/>
      <c r="G475" s="87"/>
      <c r="H475" s="87"/>
      <c r="I475" s="87"/>
      <c r="J475" s="87"/>
      <c r="K475" s="87"/>
      <c r="L475" s="87"/>
      <c r="M475" s="87"/>
      <c r="N475" s="87">
        <f t="shared" si="28"/>
        <v>0</v>
      </c>
      <c r="O475" s="61">
        <f t="shared" si="29"/>
        <v>0</v>
      </c>
      <c r="P475" s="61" t="b">
        <f t="shared" si="30"/>
        <v>1</v>
      </c>
      <c r="Q475" s="87" t="b">
        <f>(Requirements!K477="Normative")</f>
        <v>1</v>
      </c>
      <c r="R475" s="87" t="b">
        <f>AND(Requirements!L477&lt;&gt;"Non-testable",Requirements!L477&lt;&gt;"Deleted",Requirements!L477&lt;&gt;"")</f>
        <v>1</v>
      </c>
      <c r="S475" s="87" t="b">
        <f>(VLOOKUP(Requirements!I477,Scope[[Role]:[Description]],2,FALSE)="In")</f>
        <v>1</v>
      </c>
      <c r="T475" s="87">
        <f t="shared" si="31"/>
        <v>0</v>
      </c>
    </row>
    <row r="476" spans="1:20">
      <c r="A476" s="85" t="str">
        <f>Requirements!A478</f>
        <v>MS-SMB_R5532</v>
      </c>
      <c r="B476" s="87"/>
      <c r="C476" s="87"/>
      <c r="D476" s="87"/>
      <c r="E476" s="87"/>
      <c r="F476" s="87"/>
      <c r="G476" s="87"/>
      <c r="H476" s="87"/>
      <c r="I476" s="87"/>
      <c r="J476" s="87"/>
      <c r="K476" s="87"/>
      <c r="L476" s="87"/>
      <c r="M476" s="87"/>
      <c r="N476" s="87">
        <f t="shared" si="28"/>
        <v>0</v>
      </c>
      <c r="O476" s="61">
        <f t="shared" si="29"/>
        <v>0</v>
      </c>
      <c r="P476" s="61" t="b">
        <f t="shared" si="30"/>
        <v>1</v>
      </c>
      <c r="Q476" s="87" t="b">
        <f>(Requirements!K478="Normative")</f>
        <v>1</v>
      </c>
      <c r="R476" s="87" t="b">
        <f>AND(Requirements!L478&lt;&gt;"Non-testable",Requirements!L478&lt;&gt;"Deleted",Requirements!L478&lt;&gt;"")</f>
        <v>1</v>
      </c>
      <c r="S476" s="87" t="b">
        <f>(VLOOKUP(Requirements!I478,Scope[[Role]:[Description]],2,FALSE)="In")</f>
        <v>1</v>
      </c>
      <c r="T476" s="87">
        <f t="shared" si="31"/>
        <v>0</v>
      </c>
    </row>
    <row r="477" spans="1:20">
      <c r="A477" s="44" t="str">
        <f>Requirements!A479</f>
        <v>MS-SMB_R5536</v>
      </c>
      <c r="B477" s="87"/>
      <c r="C477" s="87"/>
      <c r="D477" s="87"/>
      <c r="E477" s="87"/>
      <c r="F477" s="87"/>
      <c r="G477" s="87"/>
      <c r="H477" s="87"/>
      <c r="I477" s="87"/>
      <c r="J477" s="87"/>
      <c r="K477" s="87"/>
      <c r="L477" s="87"/>
      <c r="M477" s="87"/>
      <c r="N477" s="87">
        <f t="shared" si="28"/>
        <v>0</v>
      </c>
      <c r="O477" s="87">
        <f t="shared" si="29"/>
        <v>0</v>
      </c>
      <c r="P477" s="87" t="b">
        <f t="shared" si="30"/>
        <v>0</v>
      </c>
      <c r="Q477" s="87" t="b">
        <f>(Requirements!K479="Normative")</f>
        <v>0</v>
      </c>
      <c r="R477" s="87" t="b">
        <f>AND(Requirements!L479&lt;&gt;"Non-testable",Requirements!L479&lt;&gt;"Deleted",Requirements!L479&lt;&gt;"")</f>
        <v>1</v>
      </c>
      <c r="S477" s="87" t="b">
        <f>(VLOOKUP(Requirements!I479,Scope[[Role]:[Description]],2,FALSE)="In")</f>
        <v>1</v>
      </c>
      <c r="T477" s="87">
        <f t="shared" si="31"/>
        <v>0</v>
      </c>
    </row>
    <row r="478" spans="1:20">
      <c r="A478" s="85" t="str">
        <f>Requirements!A480</f>
        <v>MS-SMB_R5537</v>
      </c>
      <c r="B478" s="87"/>
      <c r="C478" s="87"/>
      <c r="D478" s="87"/>
      <c r="E478" s="87"/>
      <c r="F478" s="87"/>
      <c r="G478" s="87"/>
      <c r="H478" s="87"/>
      <c r="I478" s="87"/>
      <c r="J478" s="87"/>
      <c r="K478" s="87"/>
      <c r="L478" s="87"/>
      <c r="M478" s="87"/>
      <c r="N478" s="87">
        <f t="shared" si="28"/>
        <v>0</v>
      </c>
      <c r="O478" s="61">
        <f t="shared" si="29"/>
        <v>0</v>
      </c>
      <c r="P478" s="61" t="b">
        <f t="shared" si="30"/>
        <v>1</v>
      </c>
      <c r="Q478" s="87" t="b">
        <f>(Requirements!K480="Normative")</f>
        <v>1</v>
      </c>
      <c r="R478" s="87" t="b">
        <f>AND(Requirements!L480&lt;&gt;"Non-testable",Requirements!L480&lt;&gt;"Deleted",Requirements!L480&lt;&gt;"")</f>
        <v>1</v>
      </c>
      <c r="S478" s="87" t="b">
        <f>(VLOOKUP(Requirements!I480,Scope[[Role]:[Description]],2,FALSE)="In")</f>
        <v>1</v>
      </c>
      <c r="T478" s="87">
        <f t="shared" si="31"/>
        <v>0</v>
      </c>
    </row>
    <row r="479" spans="1:20">
      <c r="A479" s="44" t="str">
        <f>Requirements!A481</f>
        <v>MS-SMB_R5539</v>
      </c>
      <c r="B479" s="87"/>
      <c r="C479" s="87"/>
      <c r="D479" s="87"/>
      <c r="E479" s="87"/>
      <c r="F479" s="87"/>
      <c r="G479" s="87"/>
      <c r="H479" s="87"/>
      <c r="I479" s="87"/>
      <c r="J479" s="87"/>
      <c r="K479" s="87"/>
      <c r="L479" s="87"/>
      <c r="M479" s="87"/>
      <c r="N479" s="87">
        <f t="shared" si="28"/>
        <v>0</v>
      </c>
      <c r="O479" s="87">
        <f t="shared" si="29"/>
        <v>0</v>
      </c>
      <c r="P479" s="87" t="b">
        <f t="shared" si="30"/>
        <v>0</v>
      </c>
      <c r="Q479" s="87" t="b">
        <f>(Requirements!K481="Normative")</f>
        <v>1</v>
      </c>
      <c r="R479" s="87" t="b">
        <f>AND(Requirements!L481&lt;&gt;"Non-testable",Requirements!L481&lt;&gt;"Deleted",Requirements!L481&lt;&gt;"")</f>
        <v>0</v>
      </c>
      <c r="S479" s="87" t="b">
        <f>(VLOOKUP(Requirements!I481,Scope[[Role]:[Description]],2,FALSE)="In")</f>
        <v>1</v>
      </c>
      <c r="T479" s="87">
        <f t="shared" si="31"/>
        <v>0</v>
      </c>
    </row>
    <row r="480" spans="1:20">
      <c r="A480" s="85" t="str">
        <f>Requirements!A482</f>
        <v>MS-SMB_R5541</v>
      </c>
      <c r="B480" s="87"/>
      <c r="C480" s="87"/>
      <c r="D480" s="87"/>
      <c r="E480" s="87"/>
      <c r="F480" s="87"/>
      <c r="G480" s="87"/>
      <c r="H480" s="87"/>
      <c r="I480" s="87"/>
      <c r="J480" s="87"/>
      <c r="K480" s="87"/>
      <c r="L480" s="87"/>
      <c r="M480" s="87"/>
      <c r="N480" s="87">
        <f t="shared" si="28"/>
        <v>0</v>
      </c>
      <c r="O480" s="61">
        <f t="shared" si="29"/>
        <v>0</v>
      </c>
      <c r="P480" s="61" t="b">
        <f t="shared" si="30"/>
        <v>1</v>
      </c>
      <c r="Q480" s="87" t="b">
        <f>(Requirements!K482="Normative")</f>
        <v>1</v>
      </c>
      <c r="R480" s="87" t="b">
        <f>AND(Requirements!L482&lt;&gt;"Non-testable",Requirements!L482&lt;&gt;"Deleted",Requirements!L482&lt;&gt;"")</f>
        <v>1</v>
      </c>
      <c r="S480" s="87" t="b">
        <f>(VLOOKUP(Requirements!I482,Scope[[Role]:[Description]],2,FALSE)="In")</f>
        <v>1</v>
      </c>
      <c r="T480" s="87">
        <f t="shared" si="31"/>
        <v>0</v>
      </c>
    </row>
    <row r="481" spans="1:20">
      <c r="A481" s="85" t="str">
        <f>Requirements!A483</f>
        <v>MS-SMB_R5542</v>
      </c>
      <c r="B481" s="87"/>
      <c r="C481" s="87"/>
      <c r="D481" s="87"/>
      <c r="E481" s="87"/>
      <c r="F481" s="87"/>
      <c r="G481" s="87"/>
      <c r="H481" s="87"/>
      <c r="I481" s="87"/>
      <c r="J481" s="87"/>
      <c r="K481" s="87"/>
      <c r="L481" s="87"/>
      <c r="M481" s="87"/>
      <c r="N481" s="87">
        <f t="shared" si="28"/>
        <v>0</v>
      </c>
      <c r="O481" s="61">
        <f t="shared" si="29"/>
        <v>0</v>
      </c>
      <c r="P481" s="61" t="b">
        <f t="shared" si="30"/>
        <v>1</v>
      </c>
      <c r="Q481" s="87" t="b">
        <f>(Requirements!K483="Normative")</f>
        <v>1</v>
      </c>
      <c r="R481" s="87" t="b">
        <f>AND(Requirements!L483&lt;&gt;"Non-testable",Requirements!L483&lt;&gt;"Deleted",Requirements!L483&lt;&gt;"")</f>
        <v>1</v>
      </c>
      <c r="S481" s="87" t="b">
        <f>(VLOOKUP(Requirements!I483,Scope[[Role]:[Description]],2,FALSE)="In")</f>
        <v>1</v>
      </c>
      <c r="T481" s="87">
        <f t="shared" si="31"/>
        <v>0</v>
      </c>
    </row>
    <row r="482" spans="1:20">
      <c r="A482" s="85" t="str">
        <f>Requirements!A484</f>
        <v>MS-SMB_R5544</v>
      </c>
      <c r="B482" s="87"/>
      <c r="C482" s="87"/>
      <c r="D482" s="87"/>
      <c r="E482" s="87"/>
      <c r="F482" s="87"/>
      <c r="G482" s="87"/>
      <c r="H482" s="87"/>
      <c r="I482" s="87"/>
      <c r="J482" s="87"/>
      <c r="K482" s="87"/>
      <c r="L482" s="87"/>
      <c r="M482" s="87"/>
      <c r="N482" s="87">
        <f t="shared" si="28"/>
        <v>0</v>
      </c>
      <c r="O482" s="61">
        <f t="shared" si="29"/>
        <v>0</v>
      </c>
      <c r="P482" s="61" t="b">
        <f t="shared" si="30"/>
        <v>1</v>
      </c>
      <c r="Q482" s="87" t="b">
        <f>(Requirements!K484="Normative")</f>
        <v>1</v>
      </c>
      <c r="R482" s="87" t="b">
        <f>AND(Requirements!L484&lt;&gt;"Non-testable",Requirements!L484&lt;&gt;"Deleted",Requirements!L484&lt;&gt;"")</f>
        <v>1</v>
      </c>
      <c r="S482" s="87" t="b">
        <f>(VLOOKUP(Requirements!I484,Scope[[Role]:[Description]],2,FALSE)="In")</f>
        <v>1</v>
      </c>
      <c r="T482" s="87">
        <f t="shared" si="31"/>
        <v>0</v>
      </c>
    </row>
    <row r="483" spans="1:20">
      <c r="A483" s="44" t="str">
        <f>Requirements!A485</f>
        <v>MS-SMB_R5545</v>
      </c>
      <c r="B483" s="87"/>
      <c r="C483" s="87"/>
      <c r="D483" s="87"/>
      <c r="E483" s="87"/>
      <c r="F483" s="87"/>
      <c r="G483" s="87"/>
      <c r="H483" s="87"/>
      <c r="I483" s="87"/>
      <c r="J483" s="87"/>
      <c r="K483" s="87"/>
      <c r="L483" s="87"/>
      <c r="M483" s="87"/>
      <c r="N483" s="87">
        <f t="shared" si="28"/>
        <v>0</v>
      </c>
      <c r="O483" s="87">
        <f t="shared" si="29"/>
        <v>0</v>
      </c>
      <c r="P483" s="87" t="b">
        <f t="shared" si="30"/>
        <v>0</v>
      </c>
      <c r="Q483" s="87" t="b">
        <f>(Requirements!K485="Normative")</f>
        <v>0</v>
      </c>
      <c r="R483" s="87" t="b">
        <f>AND(Requirements!L485&lt;&gt;"Non-testable",Requirements!L485&lt;&gt;"Deleted",Requirements!L485&lt;&gt;"")</f>
        <v>1</v>
      </c>
      <c r="S483" s="87" t="b">
        <f>(VLOOKUP(Requirements!I485,Scope[[Role]:[Description]],2,FALSE)="In")</f>
        <v>1</v>
      </c>
      <c r="T483" s="87">
        <f t="shared" si="31"/>
        <v>0</v>
      </c>
    </row>
    <row r="484" spans="1:20">
      <c r="A484" s="85" t="str">
        <f>Requirements!A486</f>
        <v>MS-SMB_R5546</v>
      </c>
      <c r="B484" s="87"/>
      <c r="C484" s="87"/>
      <c r="D484" s="87"/>
      <c r="E484" s="87"/>
      <c r="F484" s="87"/>
      <c r="G484" s="87"/>
      <c r="H484" s="87"/>
      <c r="I484" s="87"/>
      <c r="J484" s="87"/>
      <c r="K484" s="87"/>
      <c r="L484" s="87"/>
      <c r="M484" s="87"/>
      <c r="N484" s="87">
        <f t="shared" si="28"/>
        <v>0</v>
      </c>
      <c r="O484" s="61">
        <f t="shared" si="29"/>
        <v>0</v>
      </c>
      <c r="P484" s="61" t="b">
        <f t="shared" si="30"/>
        <v>1</v>
      </c>
      <c r="Q484" s="87" t="b">
        <f>(Requirements!K486="Normative")</f>
        <v>1</v>
      </c>
      <c r="R484" s="87" t="b">
        <f>AND(Requirements!L486&lt;&gt;"Non-testable",Requirements!L486&lt;&gt;"Deleted",Requirements!L486&lt;&gt;"")</f>
        <v>1</v>
      </c>
      <c r="S484" s="87" t="b">
        <f>(VLOOKUP(Requirements!I486,Scope[[Role]:[Description]],2,FALSE)="In")</f>
        <v>1</v>
      </c>
      <c r="T484" s="87">
        <f t="shared" si="31"/>
        <v>0</v>
      </c>
    </row>
    <row r="485" spans="1:20">
      <c r="A485" s="85" t="str">
        <f>Requirements!A487</f>
        <v>MS-SMB_R5547</v>
      </c>
      <c r="B485" s="87"/>
      <c r="C485" s="87"/>
      <c r="D485" s="87"/>
      <c r="E485" s="87"/>
      <c r="F485" s="87"/>
      <c r="G485" s="87"/>
      <c r="H485" s="87"/>
      <c r="I485" s="87"/>
      <c r="J485" s="87"/>
      <c r="K485" s="87"/>
      <c r="L485" s="87"/>
      <c r="M485" s="87"/>
      <c r="N485" s="87">
        <f t="shared" si="28"/>
        <v>0</v>
      </c>
      <c r="O485" s="61">
        <f t="shared" si="29"/>
        <v>0</v>
      </c>
      <c r="P485" s="61" t="b">
        <f t="shared" si="30"/>
        <v>1</v>
      </c>
      <c r="Q485" s="87" t="b">
        <f>(Requirements!K487="Normative")</f>
        <v>1</v>
      </c>
      <c r="R485" s="87" t="b">
        <f>AND(Requirements!L487&lt;&gt;"Non-testable",Requirements!L487&lt;&gt;"Deleted",Requirements!L487&lt;&gt;"")</f>
        <v>1</v>
      </c>
      <c r="S485" s="87" t="b">
        <f>(VLOOKUP(Requirements!I487,Scope[[Role]:[Description]],2,FALSE)="In")</f>
        <v>1</v>
      </c>
      <c r="T485" s="87">
        <f t="shared" si="31"/>
        <v>0</v>
      </c>
    </row>
    <row r="486" spans="1:20">
      <c r="A486" s="85" t="str">
        <f>Requirements!A488</f>
        <v>MS-SMB_R5548</v>
      </c>
      <c r="B486" s="87"/>
      <c r="C486" s="87"/>
      <c r="D486" s="87"/>
      <c r="E486" s="87"/>
      <c r="F486" s="87"/>
      <c r="G486" s="87"/>
      <c r="H486" s="87"/>
      <c r="I486" s="87"/>
      <c r="J486" s="87"/>
      <c r="K486" s="87"/>
      <c r="L486" s="87"/>
      <c r="M486" s="87"/>
      <c r="N486" s="87">
        <f t="shared" si="28"/>
        <v>0</v>
      </c>
      <c r="O486" s="61">
        <f t="shared" si="29"/>
        <v>0</v>
      </c>
      <c r="P486" s="61" t="b">
        <f t="shared" si="30"/>
        <v>1</v>
      </c>
      <c r="Q486" s="87" t="b">
        <f>(Requirements!K488="Normative")</f>
        <v>1</v>
      </c>
      <c r="R486" s="87" t="b">
        <f>AND(Requirements!L488&lt;&gt;"Non-testable",Requirements!L488&lt;&gt;"Deleted",Requirements!L488&lt;&gt;"")</f>
        <v>1</v>
      </c>
      <c r="S486" s="87" t="b">
        <f>(VLOOKUP(Requirements!I488,Scope[[Role]:[Description]],2,FALSE)="In")</f>
        <v>1</v>
      </c>
      <c r="T486" s="87">
        <f t="shared" si="31"/>
        <v>0</v>
      </c>
    </row>
    <row r="487" spans="1:20">
      <c r="A487" s="44" t="str">
        <f>Requirements!A489</f>
        <v>MS-SMB_R5549</v>
      </c>
      <c r="B487" s="87"/>
      <c r="C487" s="87"/>
      <c r="D487" s="87"/>
      <c r="E487" s="87"/>
      <c r="F487" s="87"/>
      <c r="G487" s="87"/>
      <c r="H487" s="87"/>
      <c r="I487" s="87"/>
      <c r="J487" s="87"/>
      <c r="K487" s="87"/>
      <c r="L487" s="87"/>
      <c r="M487" s="87"/>
      <c r="N487" s="87">
        <f t="shared" si="28"/>
        <v>0</v>
      </c>
      <c r="O487" s="87">
        <f t="shared" si="29"/>
        <v>0</v>
      </c>
      <c r="P487" s="87" t="b">
        <f t="shared" si="30"/>
        <v>0</v>
      </c>
      <c r="Q487" s="87" t="b">
        <f>(Requirements!K489="Normative")</f>
        <v>0</v>
      </c>
      <c r="R487" s="87" t="b">
        <f>AND(Requirements!L489&lt;&gt;"Non-testable",Requirements!L489&lt;&gt;"Deleted",Requirements!L489&lt;&gt;"")</f>
        <v>1</v>
      </c>
      <c r="S487" s="87" t="b">
        <f>(VLOOKUP(Requirements!I489,Scope[[Role]:[Description]],2,FALSE)="In")</f>
        <v>1</v>
      </c>
      <c r="T487" s="87">
        <f t="shared" si="31"/>
        <v>0</v>
      </c>
    </row>
    <row r="488" spans="1:20">
      <c r="A488" s="85" t="str">
        <f>Requirements!A490</f>
        <v>MS-SMB_R5550</v>
      </c>
      <c r="B488" s="87"/>
      <c r="C488" s="87"/>
      <c r="D488" s="87"/>
      <c r="E488" s="87"/>
      <c r="F488" s="87"/>
      <c r="G488" s="87"/>
      <c r="H488" s="87"/>
      <c r="I488" s="87"/>
      <c r="J488" s="87"/>
      <c r="K488" s="87"/>
      <c r="L488" s="87"/>
      <c r="M488" s="87"/>
      <c r="N488" s="87">
        <f t="shared" si="28"/>
        <v>0</v>
      </c>
      <c r="O488" s="61">
        <f t="shared" si="29"/>
        <v>0</v>
      </c>
      <c r="P488" s="61" t="b">
        <f t="shared" si="30"/>
        <v>1</v>
      </c>
      <c r="Q488" s="87" t="b">
        <f>(Requirements!K490="Normative")</f>
        <v>1</v>
      </c>
      <c r="R488" s="87" t="b">
        <f>AND(Requirements!L490&lt;&gt;"Non-testable",Requirements!L490&lt;&gt;"Deleted",Requirements!L490&lt;&gt;"")</f>
        <v>1</v>
      </c>
      <c r="S488" s="87" t="b">
        <f>(VLOOKUP(Requirements!I490,Scope[[Role]:[Description]],2,FALSE)="In")</f>
        <v>1</v>
      </c>
      <c r="T488" s="87">
        <f t="shared" si="31"/>
        <v>0</v>
      </c>
    </row>
    <row r="489" spans="1:20">
      <c r="A489" s="85" t="str">
        <f>Requirements!A491</f>
        <v>MS-SMB_R5551</v>
      </c>
      <c r="B489" s="87"/>
      <c r="C489" s="87"/>
      <c r="D489" s="87"/>
      <c r="E489" s="87"/>
      <c r="F489" s="87"/>
      <c r="G489" s="87"/>
      <c r="H489" s="87"/>
      <c r="I489" s="87"/>
      <c r="J489" s="87"/>
      <c r="K489" s="87"/>
      <c r="L489" s="87"/>
      <c r="M489" s="87"/>
      <c r="N489" s="87">
        <f t="shared" si="28"/>
        <v>0</v>
      </c>
      <c r="O489" s="61">
        <f t="shared" si="29"/>
        <v>0</v>
      </c>
      <c r="P489" s="61" t="b">
        <f t="shared" si="30"/>
        <v>1</v>
      </c>
      <c r="Q489" s="87" t="b">
        <f>(Requirements!K491="Normative")</f>
        <v>1</v>
      </c>
      <c r="R489" s="87" t="b">
        <f>AND(Requirements!L491&lt;&gt;"Non-testable",Requirements!L491&lt;&gt;"Deleted",Requirements!L491&lt;&gt;"")</f>
        <v>1</v>
      </c>
      <c r="S489" s="87" t="b">
        <f>(VLOOKUP(Requirements!I491,Scope[[Role]:[Description]],2,FALSE)="In")</f>
        <v>1</v>
      </c>
      <c r="T489" s="87">
        <f t="shared" si="31"/>
        <v>0</v>
      </c>
    </row>
    <row r="490" spans="1:20">
      <c r="A490" s="85" t="str">
        <f>Requirements!A492</f>
        <v>MS-SMB_R5552</v>
      </c>
      <c r="B490" s="87"/>
      <c r="C490" s="87"/>
      <c r="D490" s="87"/>
      <c r="E490" s="87"/>
      <c r="F490" s="87"/>
      <c r="G490" s="87"/>
      <c r="H490" s="87"/>
      <c r="I490" s="87"/>
      <c r="J490" s="87"/>
      <c r="K490" s="87"/>
      <c r="L490" s="87"/>
      <c r="M490" s="87"/>
      <c r="N490" s="87">
        <f t="shared" si="28"/>
        <v>0</v>
      </c>
      <c r="O490" s="61">
        <f t="shared" si="29"/>
        <v>0</v>
      </c>
      <c r="P490" s="61" t="b">
        <f t="shared" si="30"/>
        <v>1</v>
      </c>
      <c r="Q490" s="87" t="b">
        <f>(Requirements!K492="Normative")</f>
        <v>1</v>
      </c>
      <c r="R490" s="87" t="b">
        <f>AND(Requirements!L492&lt;&gt;"Non-testable",Requirements!L492&lt;&gt;"Deleted",Requirements!L492&lt;&gt;"")</f>
        <v>1</v>
      </c>
      <c r="S490" s="87" t="b">
        <f>(VLOOKUP(Requirements!I492,Scope[[Role]:[Description]],2,FALSE)="In")</f>
        <v>1</v>
      </c>
      <c r="T490" s="87">
        <f t="shared" si="31"/>
        <v>0</v>
      </c>
    </row>
    <row r="491" spans="1:20">
      <c r="A491" s="84" t="str">
        <f>Requirements!A493</f>
        <v>MS-SMB_R5553</v>
      </c>
      <c r="B491" s="87"/>
      <c r="C491" s="87"/>
      <c r="D491" s="87"/>
      <c r="E491" s="87"/>
      <c r="F491" s="87"/>
      <c r="G491" s="87"/>
      <c r="H491" s="87"/>
      <c r="I491" s="87"/>
      <c r="J491" s="87"/>
      <c r="K491" s="87"/>
      <c r="L491" s="87">
        <v>1</v>
      </c>
      <c r="M491" s="87"/>
      <c r="N491" s="87">
        <f t="shared" si="28"/>
        <v>1</v>
      </c>
      <c r="O491" s="60">
        <f t="shared" si="29"/>
        <v>1</v>
      </c>
      <c r="P491" s="60" t="b">
        <f t="shared" si="30"/>
        <v>1</v>
      </c>
      <c r="Q491" s="87" t="b">
        <f>(Requirements!K493="Normative")</f>
        <v>1</v>
      </c>
      <c r="R491" s="87" t="b">
        <f>AND(Requirements!L493&lt;&gt;"Non-testable",Requirements!L493&lt;&gt;"Deleted",Requirements!L493&lt;&gt;"")</f>
        <v>1</v>
      </c>
      <c r="S491" s="87" t="b">
        <f>(VLOOKUP(Requirements!I493,Scope[[Role]:[Description]],2,FALSE)="In")</f>
        <v>1</v>
      </c>
      <c r="T491" s="87">
        <f t="shared" si="31"/>
        <v>1</v>
      </c>
    </row>
    <row r="492" spans="1:20">
      <c r="A492" s="44" t="str">
        <f>Requirements!A494</f>
        <v>MS-SMB_R5554</v>
      </c>
      <c r="B492" s="87"/>
      <c r="C492" s="87"/>
      <c r="D492" s="87"/>
      <c r="E492" s="87"/>
      <c r="F492" s="87"/>
      <c r="G492" s="87"/>
      <c r="H492" s="87"/>
      <c r="I492" s="87"/>
      <c r="J492" s="87"/>
      <c r="K492" s="87"/>
      <c r="L492" s="87"/>
      <c r="M492" s="87"/>
      <c r="N492" s="87">
        <f t="shared" si="28"/>
        <v>0</v>
      </c>
      <c r="O492" s="87">
        <f t="shared" si="29"/>
        <v>0</v>
      </c>
      <c r="P492" s="87" t="b">
        <f t="shared" si="30"/>
        <v>0</v>
      </c>
      <c r="Q492" s="87" t="b">
        <f>(Requirements!K494="Normative")</f>
        <v>0</v>
      </c>
      <c r="R492" s="87" t="b">
        <f>AND(Requirements!L494&lt;&gt;"Non-testable",Requirements!L494&lt;&gt;"Deleted",Requirements!L494&lt;&gt;"")</f>
        <v>1</v>
      </c>
      <c r="S492" s="87" t="b">
        <f>(VLOOKUP(Requirements!I494,Scope[[Role]:[Description]],2,FALSE)="In")</f>
        <v>1</v>
      </c>
      <c r="T492" s="87">
        <f t="shared" si="31"/>
        <v>0</v>
      </c>
    </row>
    <row r="493" spans="1:20">
      <c r="A493" s="84" t="str">
        <f>Requirements!A495</f>
        <v>MS-SMB_R323</v>
      </c>
      <c r="B493" s="87"/>
      <c r="C493" s="87"/>
      <c r="D493" s="87"/>
      <c r="E493" s="87"/>
      <c r="F493" s="87"/>
      <c r="G493" s="87"/>
      <c r="H493" s="87"/>
      <c r="I493" s="87"/>
      <c r="J493" s="87"/>
      <c r="K493" s="87"/>
      <c r="L493" s="87">
        <v>1</v>
      </c>
      <c r="M493" s="87"/>
      <c r="N493" s="87">
        <f t="shared" si="28"/>
        <v>1</v>
      </c>
      <c r="O493" s="60">
        <f t="shared" si="29"/>
        <v>1</v>
      </c>
      <c r="P493" s="60" t="b">
        <f t="shared" si="30"/>
        <v>1</v>
      </c>
      <c r="Q493" s="87" t="b">
        <f>(Requirements!K495="Normative")</f>
        <v>1</v>
      </c>
      <c r="R493" s="87" t="b">
        <f>AND(Requirements!L495&lt;&gt;"Non-testable",Requirements!L495&lt;&gt;"Deleted",Requirements!L495&lt;&gt;"")</f>
        <v>1</v>
      </c>
      <c r="S493" s="87" t="b">
        <f>(VLOOKUP(Requirements!I495,Scope[[Role]:[Description]],2,FALSE)="In")</f>
        <v>1</v>
      </c>
      <c r="T493" s="87">
        <f t="shared" si="31"/>
        <v>1</v>
      </c>
    </row>
    <row r="494" spans="1:20">
      <c r="A494" s="44" t="str">
        <f>Requirements!A496</f>
        <v>MS-SMB_R5555</v>
      </c>
      <c r="B494" s="87"/>
      <c r="C494" s="87"/>
      <c r="D494" s="87"/>
      <c r="E494" s="87"/>
      <c r="F494" s="87"/>
      <c r="G494" s="87"/>
      <c r="H494" s="87"/>
      <c r="I494" s="87"/>
      <c r="J494" s="87"/>
      <c r="K494" s="87"/>
      <c r="L494" s="87"/>
      <c r="M494" s="87"/>
      <c r="N494" s="87">
        <f t="shared" si="28"/>
        <v>0</v>
      </c>
      <c r="O494" s="87">
        <f t="shared" si="29"/>
        <v>0</v>
      </c>
      <c r="P494" s="87" t="b">
        <f t="shared" si="30"/>
        <v>0</v>
      </c>
      <c r="Q494" s="87" t="b">
        <f>(Requirements!K496="Normative")</f>
        <v>0</v>
      </c>
      <c r="R494" s="87" t="b">
        <f>AND(Requirements!L496&lt;&gt;"Non-testable",Requirements!L496&lt;&gt;"Deleted",Requirements!L496&lt;&gt;"")</f>
        <v>1</v>
      </c>
      <c r="S494" s="87" t="b">
        <f>(VLOOKUP(Requirements!I496,Scope[[Role]:[Description]],2,FALSE)="In")</f>
        <v>1</v>
      </c>
      <c r="T494" s="87">
        <f t="shared" si="31"/>
        <v>0</v>
      </c>
    </row>
    <row r="495" spans="1:20">
      <c r="A495" s="84" t="str">
        <f>Requirements!A497</f>
        <v>MS-SMB_R105555</v>
      </c>
      <c r="B495" s="87"/>
      <c r="C495" s="87"/>
      <c r="D495" s="87"/>
      <c r="E495" s="87"/>
      <c r="F495" s="87"/>
      <c r="G495" s="87"/>
      <c r="H495" s="87"/>
      <c r="I495" s="87"/>
      <c r="J495" s="87"/>
      <c r="K495" s="87"/>
      <c r="L495" s="87">
        <v>1</v>
      </c>
      <c r="M495" s="87"/>
      <c r="N495" s="87">
        <f t="shared" si="28"/>
        <v>1</v>
      </c>
      <c r="O495" s="60">
        <f t="shared" si="29"/>
        <v>1</v>
      </c>
      <c r="P495" s="60" t="b">
        <f t="shared" si="30"/>
        <v>1</v>
      </c>
      <c r="Q495" s="87" t="b">
        <f>(Requirements!K497="Normative")</f>
        <v>1</v>
      </c>
      <c r="R495" s="87" t="b">
        <f>AND(Requirements!L497&lt;&gt;"Non-testable",Requirements!L497&lt;&gt;"Deleted",Requirements!L497&lt;&gt;"")</f>
        <v>1</v>
      </c>
      <c r="S495" s="87" t="b">
        <f>(VLOOKUP(Requirements!I497,Scope[[Role]:[Description]],2,FALSE)="In")</f>
        <v>1</v>
      </c>
      <c r="T495" s="87">
        <f t="shared" si="31"/>
        <v>1</v>
      </c>
    </row>
    <row r="496" spans="1:20">
      <c r="A496" s="44" t="str">
        <f>Requirements!A498</f>
        <v>MS-SMB_R205555</v>
      </c>
      <c r="B496" s="87"/>
      <c r="C496" s="87"/>
      <c r="D496" s="87"/>
      <c r="E496" s="87"/>
      <c r="F496" s="87"/>
      <c r="G496" s="87"/>
      <c r="H496" s="87"/>
      <c r="I496" s="87"/>
      <c r="J496" s="87"/>
      <c r="K496" s="87"/>
      <c r="L496" s="87"/>
      <c r="M496" s="87"/>
      <c r="N496" s="87">
        <f t="shared" si="28"/>
        <v>0</v>
      </c>
      <c r="O496" s="87">
        <f t="shared" si="29"/>
        <v>0</v>
      </c>
      <c r="P496" s="87" t="b">
        <f t="shared" si="30"/>
        <v>0</v>
      </c>
      <c r="Q496" s="87" t="b">
        <f>(Requirements!K498="Normative")</f>
        <v>0</v>
      </c>
      <c r="R496" s="87" t="b">
        <f>AND(Requirements!L498&lt;&gt;"Non-testable",Requirements!L498&lt;&gt;"Deleted",Requirements!L498&lt;&gt;"")</f>
        <v>1</v>
      </c>
      <c r="S496" s="87" t="b">
        <f>(VLOOKUP(Requirements!I498,Scope[[Role]:[Description]],2,FALSE)="In")</f>
        <v>1</v>
      </c>
      <c r="T496" s="87">
        <f t="shared" si="31"/>
        <v>0</v>
      </c>
    </row>
    <row r="497" spans="1:60">
      <c r="A497" s="84" t="str">
        <f>Requirements!A499</f>
        <v>MS-SMB_R305555</v>
      </c>
      <c r="B497" s="87"/>
      <c r="C497" s="87"/>
      <c r="D497" s="87"/>
      <c r="E497" s="87"/>
      <c r="F497" s="87"/>
      <c r="G497" s="87"/>
      <c r="H497" s="87"/>
      <c r="I497" s="87"/>
      <c r="J497" s="87"/>
      <c r="K497" s="87"/>
      <c r="L497" s="87">
        <v>1</v>
      </c>
      <c r="M497" s="87"/>
      <c r="N497" s="87">
        <f t="shared" si="28"/>
        <v>1</v>
      </c>
      <c r="O497" s="60">
        <f t="shared" si="29"/>
        <v>1</v>
      </c>
      <c r="P497" s="60" t="b">
        <f t="shared" si="30"/>
        <v>1</v>
      </c>
      <c r="Q497" s="87" t="b">
        <f>(Requirements!K499="Normative")</f>
        <v>1</v>
      </c>
      <c r="R497" s="87" t="b">
        <f>AND(Requirements!L499&lt;&gt;"Non-testable",Requirements!L499&lt;&gt;"Deleted",Requirements!L499&lt;&gt;"")</f>
        <v>1</v>
      </c>
      <c r="S497" s="87" t="b">
        <f>(VLOOKUP(Requirements!I499,Scope[[Role]:[Description]],2,FALSE)="In")</f>
        <v>1</v>
      </c>
      <c r="T497" s="87">
        <f t="shared" si="31"/>
        <v>1</v>
      </c>
    </row>
    <row r="498" spans="1:60">
      <c r="A498" s="44" t="str">
        <f>Requirements!A500</f>
        <v>MS-SMB_R5565</v>
      </c>
      <c r="B498" s="87"/>
      <c r="C498" s="87"/>
      <c r="D498" s="87"/>
      <c r="E498" s="87"/>
      <c r="F498" s="87"/>
      <c r="G498" s="87"/>
      <c r="H498" s="87"/>
      <c r="I498" s="87"/>
      <c r="J498" s="87"/>
      <c r="K498" s="87"/>
      <c r="L498" s="87"/>
      <c r="M498" s="87"/>
      <c r="N498" s="87">
        <f t="shared" si="28"/>
        <v>0</v>
      </c>
      <c r="O498" s="87">
        <f t="shared" si="29"/>
        <v>0</v>
      </c>
      <c r="P498" s="87" t="b">
        <f t="shared" si="30"/>
        <v>0</v>
      </c>
      <c r="Q498" s="87" t="b">
        <f>(Requirements!K500="Normative")</f>
        <v>0</v>
      </c>
      <c r="R498" s="87" t="b">
        <f>AND(Requirements!L500&lt;&gt;"Non-testable",Requirements!L500&lt;&gt;"Deleted",Requirements!L500&lt;&gt;"")</f>
        <v>1</v>
      </c>
      <c r="S498" s="87" t="b">
        <f>(VLOOKUP(Requirements!I500,Scope[[Role]:[Description]],2,FALSE)="In")</f>
        <v>1</v>
      </c>
      <c r="T498" s="87">
        <f t="shared" si="31"/>
        <v>0</v>
      </c>
    </row>
    <row r="499" spans="1:60">
      <c r="A499" s="84" t="str">
        <f>Requirements!A501</f>
        <v>MS-SMB_R329</v>
      </c>
      <c r="B499" s="87"/>
      <c r="C499" s="87"/>
      <c r="D499" s="87"/>
      <c r="E499" s="87"/>
      <c r="F499" s="87"/>
      <c r="G499" s="87"/>
      <c r="H499" s="87"/>
      <c r="I499" s="87"/>
      <c r="J499" s="87"/>
      <c r="K499" s="87"/>
      <c r="L499" s="87">
        <v>1</v>
      </c>
      <c r="M499" s="87"/>
      <c r="N499" s="87">
        <f t="shared" si="28"/>
        <v>1</v>
      </c>
      <c r="O499" s="60">
        <f t="shared" si="29"/>
        <v>1</v>
      </c>
      <c r="P499" s="60" t="b">
        <f t="shared" si="30"/>
        <v>1</v>
      </c>
      <c r="Q499" s="87" t="b">
        <f>(Requirements!K501="Normative")</f>
        <v>1</v>
      </c>
      <c r="R499" s="87" t="b">
        <f>AND(Requirements!L501&lt;&gt;"Non-testable",Requirements!L501&lt;&gt;"Deleted",Requirements!L501&lt;&gt;"")</f>
        <v>1</v>
      </c>
      <c r="S499" s="87" t="b">
        <f>(VLOOKUP(Requirements!I501,Scope[[Role]:[Description]],2,FALSE)="In")</f>
        <v>1</v>
      </c>
      <c r="T499" s="87">
        <f t="shared" si="31"/>
        <v>1</v>
      </c>
    </row>
    <row r="500" spans="1:60">
      <c r="A500" s="84" t="str">
        <f>Requirements!A502</f>
        <v>MS-SMB_R5567</v>
      </c>
      <c r="B500" s="87"/>
      <c r="C500" s="87"/>
      <c r="D500" s="87"/>
      <c r="E500" s="87"/>
      <c r="F500" s="87"/>
      <c r="G500" s="87"/>
      <c r="H500" s="87"/>
      <c r="I500" s="87"/>
      <c r="J500" s="87"/>
      <c r="K500" s="87"/>
      <c r="L500" s="87">
        <v>1</v>
      </c>
      <c r="M500" s="87"/>
      <c r="N500" s="87">
        <f t="shared" si="28"/>
        <v>1</v>
      </c>
      <c r="O500" s="60">
        <f t="shared" si="29"/>
        <v>1</v>
      </c>
      <c r="P500" s="60" t="b">
        <f t="shared" si="30"/>
        <v>1</v>
      </c>
      <c r="Q500" s="87" t="b">
        <f>(Requirements!K502="Normative")</f>
        <v>1</v>
      </c>
      <c r="R500" s="87" t="b">
        <f>AND(Requirements!L502&lt;&gt;"Non-testable",Requirements!L502&lt;&gt;"Deleted",Requirements!L502&lt;&gt;"")</f>
        <v>1</v>
      </c>
      <c r="S500" s="87" t="b">
        <f>(VLOOKUP(Requirements!I502,Scope[[Role]:[Description]],2,FALSE)="In")</f>
        <v>1</v>
      </c>
      <c r="T500" s="87">
        <f t="shared" si="31"/>
        <v>1</v>
      </c>
    </row>
    <row r="501" spans="1:60">
      <c r="A501" s="84" t="str">
        <f>Requirements!A503</f>
        <v>MS-SMB_R5568</v>
      </c>
      <c r="B501" s="87"/>
      <c r="C501" s="87"/>
      <c r="D501" s="87"/>
      <c r="E501" s="87"/>
      <c r="F501" s="87"/>
      <c r="G501" s="87"/>
      <c r="H501" s="87"/>
      <c r="I501" s="87"/>
      <c r="J501" s="87"/>
      <c r="K501" s="87"/>
      <c r="L501" s="87">
        <v>1</v>
      </c>
      <c r="M501" s="87"/>
      <c r="N501" s="87">
        <f t="shared" si="28"/>
        <v>1</v>
      </c>
      <c r="O501" s="60">
        <f t="shared" si="29"/>
        <v>1</v>
      </c>
      <c r="P501" s="60" t="b">
        <f t="shared" si="30"/>
        <v>1</v>
      </c>
      <c r="Q501" s="87" t="b">
        <f>(Requirements!K503="Normative")</f>
        <v>1</v>
      </c>
      <c r="R501" s="87" t="b">
        <f>AND(Requirements!L503&lt;&gt;"Non-testable",Requirements!L503&lt;&gt;"Deleted",Requirements!L503&lt;&gt;"")</f>
        <v>1</v>
      </c>
      <c r="S501" s="87" t="b">
        <f>(VLOOKUP(Requirements!I503,Scope[[Role]:[Description]],2,FALSE)="In")</f>
        <v>1</v>
      </c>
      <c r="T501" s="87">
        <f t="shared" si="31"/>
        <v>1</v>
      </c>
    </row>
    <row r="502" spans="1:60">
      <c r="A502" s="84" t="str">
        <f>Requirements!A504</f>
        <v>MS-SMB_R5569</v>
      </c>
      <c r="B502" s="87"/>
      <c r="C502" s="87"/>
      <c r="D502" s="87"/>
      <c r="E502" s="87"/>
      <c r="F502" s="87"/>
      <c r="G502" s="87"/>
      <c r="H502" s="87"/>
      <c r="I502" s="87"/>
      <c r="J502" s="87"/>
      <c r="K502" s="87"/>
      <c r="L502" s="87">
        <v>1</v>
      </c>
      <c r="M502" s="87"/>
      <c r="N502" s="87">
        <f t="shared" si="28"/>
        <v>1</v>
      </c>
      <c r="O502" s="60">
        <f t="shared" si="29"/>
        <v>1</v>
      </c>
      <c r="P502" s="60" t="b">
        <f t="shared" si="30"/>
        <v>1</v>
      </c>
      <c r="Q502" s="87" t="b">
        <f>(Requirements!K504="Normative")</f>
        <v>1</v>
      </c>
      <c r="R502" s="87" t="b">
        <f>AND(Requirements!L504&lt;&gt;"Non-testable",Requirements!L504&lt;&gt;"Deleted",Requirements!L504&lt;&gt;"")</f>
        <v>1</v>
      </c>
      <c r="S502" s="87" t="b">
        <f>(VLOOKUP(Requirements!I504,Scope[[Role]:[Description]],2,FALSE)="In")</f>
        <v>1</v>
      </c>
      <c r="T502" s="87">
        <f t="shared" si="31"/>
        <v>1</v>
      </c>
    </row>
    <row r="503" spans="1:60">
      <c r="A503" s="44" t="str">
        <f>Requirements!A505</f>
        <v>MS-SMB_R5570</v>
      </c>
      <c r="B503" s="87"/>
      <c r="C503" s="87"/>
      <c r="D503" s="87"/>
      <c r="E503" s="87"/>
      <c r="F503" s="87"/>
      <c r="G503" s="87"/>
      <c r="H503" s="87"/>
      <c r="I503" s="87"/>
      <c r="J503" s="87"/>
      <c r="K503" s="87"/>
      <c r="L503" s="87"/>
      <c r="M503" s="87"/>
      <c r="N503" s="87">
        <f t="shared" si="28"/>
        <v>0</v>
      </c>
      <c r="O503" s="87">
        <f t="shared" si="29"/>
        <v>0</v>
      </c>
      <c r="P503" s="87" t="b">
        <f t="shared" si="30"/>
        <v>0</v>
      </c>
      <c r="Q503" s="87" t="b">
        <f>(Requirements!K505="Normative")</f>
        <v>0</v>
      </c>
      <c r="R503" s="87" t="b">
        <f>AND(Requirements!L505&lt;&gt;"Non-testable",Requirements!L505&lt;&gt;"Deleted",Requirements!L505&lt;&gt;"")</f>
        <v>1</v>
      </c>
      <c r="S503" s="87" t="b">
        <f>(VLOOKUP(Requirements!I505,Scope[[Role]:[Description]],2,FALSE)="In")</f>
        <v>1</v>
      </c>
      <c r="T503" s="87">
        <f t="shared" si="31"/>
        <v>0</v>
      </c>
    </row>
    <row r="504" spans="1:60">
      <c r="A504" s="84" t="str">
        <f>Requirements!A506</f>
        <v>MS-SMB_R332</v>
      </c>
      <c r="B504" s="87"/>
      <c r="C504" s="87"/>
      <c r="D504" s="87"/>
      <c r="E504" s="87"/>
      <c r="F504" s="87"/>
      <c r="G504" s="87"/>
      <c r="H504" s="87"/>
      <c r="I504" s="87"/>
      <c r="J504" s="87"/>
      <c r="K504" s="87"/>
      <c r="L504" s="87">
        <v>1</v>
      </c>
      <c r="M504" s="87"/>
      <c r="N504" s="87">
        <f t="shared" si="28"/>
        <v>1</v>
      </c>
      <c r="O504" s="60">
        <f t="shared" si="29"/>
        <v>1</v>
      </c>
      <c r="P504" s="60" t="b">
        <f t="shared" si="30"/>
        <v>1</v>
      </c>
      <c r="Q504" s="87" t="b">
        <f>(Requirements!K506="Normative")</f>
        <v>1</v>
      </c>
      <c r="R504" s="87" t="b">
        <f>AND(Requirements!L506&lt;&gt;"Non-testable",Requirements!L506&lt;&gt;"Deleted",Requirements!L506&lt;&gt;"")</f>
        <v>1</v>
      </c>
      <c r="S504" s="87" t="b">
        <f>(VLOOKUP(Requirements!I506,Scope[[Role]:[Description]],2,FALSE)="In")</f>
        <v>1</v>
      </c>
      <c r="T504" s="87">
        <f t="shared" si="31"/>
        <v>1</v>
      </c>
    </row>
    <row r="505" spans="1:60">
      <c r="A505" s="84" t="str">
        <f>Requirements!A507</f>
        <v>MS-SMB_R333</v>
      </c>
      <c r="B505" s="87"/>
      <c r="C505" s="87"/>
      <c r="D505" s="87"/>
      <c r="E505" s="87"/>
      <c r="F505" s="87"/>
      <c r="G505" s="87"/>
      <c r="H505" s="87"/>
      <c r="I505" s="87"/>
      <c r="J505" s="87"/>
      <c r="K505" s="87"/>
      <c r="L505" s="87">
        <v>1</v>
      </c>
      <c r="M505" s="87"/>
      <c r="N505" s="87">
        <f t="shared" si="28"/>
        <v>1</v>
      </c>
      <c r="O505" s="60">
        <f t="shared" si="29"/>
        <v>1</v>
      </c>
      <c r="P505" s="60" t="b">
        <f t="shared" si="30"/>
        <v>1</v>
      </c>
      <c r="Q505" s="87" t="b">
        <f>(Requirements!K507="Normative")</f>
        <v>1</v>
      </c>
      <c r="R505" s="87" t="b">
        <f>AND(Requirements!L507&lt;&gt;"Non-testable",Requirements!L507&lt;&gt;"Deleted",Requirements!L507&lt;&gt;"")</f>
        <v>1</v>
      </c>
      <c r="S505" s="87" t="b">
        <f>(VLOOKUP(Requirements!I507,Scope[[Role]:[Description]],2,FALSE)="In")</f>
        <v>1</v>
      </c>
      <c r="T505" s="87">
        <f t="shared" si="31"/>
        <v>1</v>
      </c>
    </row>
    <row r="506" spans="1:60">
      <c r="A506" s="84" t="str">
        <f>Requirements!A508</f>
        <v>MS-SMB_R334</v>
      </c>
      <c r="B506" s="87"/>
      <c r="C506" s="87"/>
      <c r="D506" s="87"/>
      <c r="E506" s="87"/>
      <c r="F506" s="87"/>
      <c r="G506" s="87"/>
      <c r="H506" s="87"/>
      <c r="I506" s="87"/>
      <c r="J506" s="87"/>
      <c r="K506" s="87"/>
      <c r="L506" s="87">
        <v>1</v>
      </c>
      <c r="M506" s="87"/>
      <c r="N506" s="87">
        <f t="shared" si="28"/>
        <v>1</v>
      </c>
      <c r="O506" s="60">
        <f t="shared" si="29"/>
        <v>1</v>
      </c>
      <c r="P506" s="60" t="b">
        <f t="shared" si="30"/>
        <v>1</v>
      </c>
      <c r="Q506" s="87" t="b">
        <f>(Requirements!K508="Normative")</f>
        <v>1</v>
      </c>
      <c r="R506" s="87" t="b">
        <f>AND(Requirements!L508&lt;&gt;"Non-testable",Requirements!L508&lt;&gt;"Deleted",Requirements!L508&lt;&gt;"")</f>
        <v>1</v>
      </c>
      <c r="S506" s="87" t="b">
        <f>(VLOOKUP(Requirements!I508,Scope[[Role]:[Description]],2,FALSE)="In")</f>
        <v>1</v>
      </c>
      <c r="T506" s="87">
        <f t="shared" si="31"/>
        <v>1</v>
      </c>
    </row>
    <row r="507" spans="1:60">
      <c r="A507" s="44" t="str">
        <f>Requirements!A509</f>
        <v>MS-SMB_R5571</v>
      </c>
      <c r="B507" s="87"/>
      <c r="C507" s="87"/>
      <c r="D507" s="87"/>
      <c r="E507" s="87"/>
      <c r="F507" s="87"/>
      <c r="G507" s="87"/>
      <c r="H507" s="87"/>
      <c r="I507" s="87"/>
      <c r="J507" s="87"/>
      <c r="K507" s="87"/>
      <c r="L507" s="87"/>
      <c r="M507" s="87"/>
      <c r="N507" s="87">
        <f t="shared" si="28"/>
        <v>0</v>
      </c>
      <c r="O507" s="87">
        <f t="shared" si="29"/>
        <v>0</v>
      </c>
      <c r="P507" s="87" t="b">
        <f t="shared" si="30"/>
        <v>0</v>
      </c>
      <c r="Q507" s="87" t="b">
        <f>(Requirements!K509="Normative")</f>
        <v>0</v>
      </c>
      <c r="R507" s="87" t="b">
        <f>AND(Requirements!L509&lt;&gt;"Non-testable",Requirements!L509&lt;&gt;"Deleted",Requirements!L509&lt;&gt;"")</f>
        <v>1</v>
      </c>
      <c r="S507" s="87" t="b">
        <f>(VLOOKUP(Requirements!I509,Scope[[Role]:[Description]],2,FALSE)="In")</f>
        <v>1</v>
      </c>
      <c r="T507" s="87">
        <f t="shared" si="31"/>
        <v>0</v>
      </c>
    </row>
    <row r="508" spans="1:60">
      <c r="A508" s="84" t="str">
        <f>Requirements!A510</f>
        <v>MS-SMB_R5572</v>
      </c>
      <c r="B508" s="87"/>
      <c r="C508" s="87"/>
      <c r="D508" s="87"/>
      <c r="E508" s="87"/>
      <c r="F508" s="87"/>
      <c r="G508" s="87"/>
      <c r="H508" s="87"/>
      <c r="I508" s="87"/>
      <c r="J508" s="87"/>
      <c r="K508" s="87"/>
      <c r="L508" s="87">
        <v>1</v>
      </c>
      <c r="M508" s="87"/>
      <c r="N508" s="87">
        <f t="shared" si="28"/>
        <v>1</v>
      </c>
      <c r="O508" s="60">
        <f t="shared" si="29"/>
        <v>1</v>
      </c>
      <c r="P508" s="60" t="b">
        <f t="shared" si="30"/>
        <v>1</v>
      </c>
      <c r="Q508" s="87" t="b">
        <f>(Requirements!K510="Normative")</f>
        <v>1</v>
      </c>
      <c r="R508" s="87" t="b">
        <f>AND(Requirements!L510&lt;&gt;"Non-testable",Requirements!L510&lt;&gt;"Deleted",Requirements!L510&lt;&gt;"")</f>
        <v>1</v>
      </c>
      <c r="S508" s="87" t="b">
        <f>(VLOOKUP(Requirements!I510,Scope[[Role]:[Description]],2,FALSE)="In")</f>
        <v>1</v>
      </c>
      <c r="T508" s="87">
        <f t="shared" si="31"/>
        <v>1</v>
      </c>
    </row>
    <row r="509" spans="1:60">
      <c r="A509" s="84" t="str">
        <f>Requirements!A511</f>
        <v>MS-SMB_R337</v>
      </c>
      <c r="B509" s="87"/>
      <c r="C509" s="87"/>
      <c r="D509" s="87"/>
      <c r="E509" s="87"/>
      <c r="F509" s="87"/>
      <c r="G509" s="87"/>
      <c r="H509" s="87"/>
      <c r="I509" s="87"/>
      <c r="J509" s="87"/>
      <c r="K509" s="87"/>
      <c r="L509" s="87">
        <v>1</v>
      </c>
      <c r="M509" s="87"/>
      <c r="N509" s="87">
        <f t="shared" si="28"/>
        <v>1</v>
      </c>
      <c r="O509" s="60">
        <f t="shared" si="29"/>
        <v>1</v>
      </c>
      <c r="P509" s="60" t="b">
        <f t="shared" si="30"/>
        <v>1</v>
      </c>
      <c r="Q509" s="87" t="b">
        <f>(Requirements!K511="Normative")</f>
        <v>1</v>
      </c>
      <c r="R509" s="87" t="b">
        <f>AND(Requirements!L511&lt;&gt;"Non-testable",Requirements!L511&lt;&gt;"Deleted",Requirements!L511&lt;&gt;"")</f>
        <v>1</v>
      </c>
      <c r="S509" s="87" t="b">
        <f>(VLOOKUP(Requirements!I511,Scope[[Role]:[Description]],2,FALSE)="In")</f>
        <v>1</v>
      </c>
      <c r="T509" s="87">
        <f t="shared" si="31"/>
        <v>1</v>
      </c>
    </row>
    <row r="510" spans="1:60">
      <c r="A510" s="84" t="str">
        <f>Requirements!A512</f>
        <v>MS-SMB_R338</v>
      </c>
      <c r="B510" s="87"/>
      <c r="C510" s="87"/>
      <c r="D510" s="87"/>
      <c r="E510" s="87"/>
      <c r="F510" s="87"/>
      <c r="G510" s="87"/>
      <c r="H510" s="87"/>
      <c r="I510" s="87"/>
      <c r="J510" s="87"/>
      <c r="K510" s="87"/>
      <c r="L510" s="87">
        <v>1</v>
      </c>
      <c r="M510" s="87"/>
      <c r="N510" s="87">
        <f t="shared" si="28"/>
        <v>1</v>
      </c>
      <c r="O510" s="60">
        <f t="shared" si="29"/>
        <v>1</v>
      </c>
      <c r="P510" s="60" t="b">
        <f t="shared" si="30"/>
        <v>1</v>
      </c>
      <c r="Q510" s="87" t="b">
        <f>(Requirements!K512="Normative")</f>
        <v>1</v>
      </c>
      <c r="R510" s="87" t="b">
        <f>AND(Requirements!L512&lt;&gt;"Non-testable",Requirements!L512&lt;&gt;"Deleted",Requirements!L512&lt;&gt;"")</f>
        <v>1</v>
      </c>
      <c r="S510" s="87" t="b">
        <f>(VLOOKUP(Requirements!I512,Scope[[Role]:[Description]],2,FALSE)="In")</f>
        <v>1</v>
      </c>
      <c r="T510" s="87">
        <f t="shared" si="31"/>
        <v>1</v>
      </c>
    </row>
    <row r="511" spans="1:60">
      <c r="A511" s="83" t="str">
        <f>Requirements!A513</f>
        <v>MS-SMB_R5573</v>
      </c>
      <c r="B511" s="46"/>
      <c r="C511" s="46"/>
      <c r="D511" s="46"/>
      <c r="E511" s="46"/>
      <c r="F511" s="46"/>
      <c r="G511" s="46"/>
      <c r="H511" s="46"/>
      <c r="I511" s="46"/>
      <c r="J511" s="46"/>
      <c r="K511" s="46"/>
      <c r="L511" s="46"/>
      <c r="M511" s="46"/>
      <c r="N511" s="46">
        <f t="shared" si="28"/>
        <v>0</v>
      </c>
      <c r="O511" s="46">
        <f t="shared" si="29"/>
        <v>0</v>
      </c>
      <c r="P511" s="46" t="b">
        <f t="shared" si="30"/>
        <v>0</v>
      </c>
      <c r="Q511" s="46" t="b">
        <f>(Requirements!K513="Normative")</f>
        <v>0</v>
      </c>
      <c r="R511" s="46" t="b">
        <f>AND(Requirements!L513&lt;&gt;"Non-testable",Requirements!L513&lt;&gt;"Deleted",Requirements!L513&lt;&gt;"")</f>
        <v>0</v>
      </c>
      <c r="S511" s="46" t="b">
        <f>(VLOOKUP(Requirements!I513,Scope[[Role]:[Description]],2,FALSE)="In")</f>
        <v>1</v>
      </c>
      <c r="T511" s="46">
        <f t="shared" si="31"/>
        <v>0</v>
      </c>
      <c r="U511" s="45"/>
      <c r="V511" s="45"/>
      <c r="W511" s="45"/>
      <c r="X511" s="45"/>
      <c r="Y511" s="45"/>
      <c r="Z511" s="45"/>
      <c r="AA511" s="45"/>
      <c r="AB511" s="45"/>
      <c r="AC511" s="45"/>
      <c r="AD511" s="45"/>
      <c r="AE511" s="45"/>
      <c r="AF511" s="45"/>
      <c r="AG511" s="45"/>
      <c r="AH511" s="45"/>
      <c r="AI511" s="45"/>
      <c r="AJ511" s="45"/>
      <c r="AK511" s="45"/>
      <c r="AL511" s="45"/>
      <c r="AM511" s="45"/>
      <c r="AN511" s="45"/>
      <c r="AO511" s="45"/>
      <c r="AP511" s="45"/>
      <c r="AQ511" s="45"/>
      <c r="AR511" s="45"/>
      <c r="AS511" s="45"/>
      <c r="AT511" s="45"/>
      <c r="AU511" s="45"/>
      <c r="AV511" s="45"/>
      <c r="AW511" s="45"/>
      <c r="AX511" s="45"/>
      <c r="AY511" s="45"/>
      <c r="AZ511" s="45"/>
      <c r="BA511" s="45"/>
      <c r="BB511" s="45"/>
      <c r="BC511" s="45"/>
      <c r="BD511" s="45"/>
      <c r="BE511" s="45"/>
      <c r="BF511" s="45"/>
      <c r="BG511" s="45"/>
      <c r="BH511" s="45"/>
    </row>
    <row r="512" spans="1:60">
      <c r="A512" s="83" t="str">
        <f>Requirements!A514</f>
        <v>MS-SMB_R5574</v>
      </c>
      <c r="B512" s="46"/>
      <c r="C512" s="46"/>
      <c r="D512" s="46"/>
      <c r="E512" s="46"/>
      <c r="F512" s="46"/>
      <c r="G512" s="46"/>
      <c r="H512" s="46"/>
      <c r="I512" s="46"/>
      <c r="J512" s="46"/>
      <c r="K512" s="46"/>
      <c r="L512" s="46"/>
      <c r="M512" s="46"/>
      <c r="N512" s="46">
        <f t="shared" si="28"/>
        <v>0</v>
      </c>
      <c r="O512" s="46">
        <f t="shared" si="29"/>
        <v>0</v>
      </c>
      <c r="P512" s="46" t="b">
        <f t="shared" si="30"/>
        <v>0</v>
      </c>
      <c r="Q512" s="46" t="b">
        <f>(Requirements!K514="Normative")</f>
        <v>0</v>
      </c>
      <c r="R512" s="46" t="b">
        <f>AND(Requirements!L514&lt;&gt;"Non-testable",Requirements!L514&lt;&gt;"Deleted",Requirements!L514&lt;&gt;"")</f>
        <v>0</v>
      </c>
      <c r="S512" s="46" t="b">
        <f>(VLOOKUP(Requirements!I514,Scope[[Role]:[Description]],2,FALSE)="In")</f>
        <v>1</v>
      </c>
      <c r="T512" s="46">
        <f t="shared" si="31"/>
        <v>0</v>
      </c>
      <c r="U512" s="45"/>
      <c r="V512" s="45"/>
      <c r="W512" s="45"/>
      <c r="X512" s="45"/>
      <c r="Y512" s="45"/>
      <c r="Z512" s="45"/>
      <c r="AA512" s="45"/>
      <c r="AB512" s="45"/>
      <c r="AC512" s="45"/>
      <c r="AD512" s="45"/>
      <c r="AE512" s="45"/>
      <c r="AF512" s="45"/>
      <c r="AG512" s="45"/>
      <c r="AH512" s="45"/>
      <c r="AI512" s="45"/>
      <c r="AJ512" s="45"/>
      <c r="AK512" s="45"/>
      <c r="AL512" s="45"/>
      <c r="AM512" s="45"/>
      <c r="AN512" s="45"/>
      <c r="AO512" s="45"/>
      <c r="AP512" s="45"/>
      <c r="AQ512" s="45"/>
      <c r="AR512" s="45"/>
      <c r="AS512" s="45"/>
      <c r="AT512" s="45"/>
      <c r="AU512" s="45"/>
      <c r="AV512" s="45"/>
      <c r="AW512" s="45"/>
      <c r="AX512" s="45"/>
      <c r="AY512" s="45"/>
      <c r="AZ512" s="45"/>
      <c r="BA512" s="45"/>
      <c r="BB512" s="45"/>
      <c r="BC512" s="45"/>
      <c r="BD512" s="45"/>
      <c r="BE512" s="45"/>
      <c r="BF512" s="45"/>
      <c r="BG512" s="45"/>
      <c r="BH512" s="45"/>
    </row>
    <row r="513" spans="1:60">
      <c r="A513" s="83" t="str">
        <f>Requirements!A515</f>
        <v>MS-SMB_R5575</v>
      </c>
      <c r="B513" s="46"/>
      <c r="C513" s="46"/>
      <c r="D513" s="46"/>
      <c r="E513" s="46"/>
      <c r="F513" s="46"/>
      <c r="G513" s="46"/>
      <c r="H513" s="46"/>
      <c r="I513" s="46"/>
      <c r="J513" s="46"/>
      <c r="K513" s="46"/>
      <c r="L513" s="46"/>
      <c r="M513" s="46"/>
      <c r="N513" s="46">
        <f t="shared" si="28"/>
        <v>0</v>
      </c>
      <c r="O513" s="46">
        <f t="shared" si="29"/>
        <v>0</v>
      </c>
      <c r="P513" s="46" t="b">
        <f t="shared" si="30"/>
        <v>0</v>
      </c>
      <c r="Q513" s="46" t="b">
        <f>(Requirements!K515="Normative")</f>
        <v>0</v>
      </c>
      <c r="R513" s="46" t="b">
        <f>AND(Requirements!L515&lt;&gt;"Non-testable",Requirements!L515&lt;&gt;"Deleted",Requirements!L515&lt;&gt;"")</f>
        <v>0</v>
      </c>
      <c r="S513" s="46" t="b">
        <f>(VLOOKUP(Requirements!I515,Scope[[Role]:[Description]],2,FALSE)="In")</f>
        <v>1</v>
      </c>
      <c r="T513" s="46">
        <f t="shared" si="31"/>
        <v>0</v>
      </c>
      <c r="U513" s="45"/>
      <c r="V513" s="45"/>
      <c r="W513" s="45"/>
      <c r="X513" s="45"/>
      <c r="Y513" s="45"/>
      <c r="Z513" s="45"/>
      <c r="AA513" s="45"/>
      <c r="AB513" s="45"/>
      <c r="AC513" s="45"/>
      <c r="AD513" s="45"/>
      <c r="AE513" s="45"/>
      <c r="AF513" s="45"/>
      <c r="AG513" s="45"/>
      <c r="AH513" s="45"/>
      <c r="AI513" s="45"/>
      <c r="AJ513" s="45"/>
      <c r="AK513" s="45"/>
      <c r="AL513" s="45"/>
      <c r="AM513" s="45"/>
      <c r="AN513" s="45"/>
      <c r="AO513" s="45"/>
      <c r="AP513" s="45"/>
      <c r="AQ513" s="45"/>
      <c r="AR513" s="45"/>
      <c r="AS513" s="45"/>
      <c r="AT513" s="45"/>
      <c r="AU513" s="45"/>
      <c r="AV513" s="45"/>
      <c r="AW513" s="45"/>
      <c r="AX513" s="45"/>
      <c r="AY513" s="45"/>
      <c r="AZ513" s="45"/>
      <c r="BA513" s="45"/>
      <c r="BB513" s="45"/>
      <c r="BC513" s="45"/>
      <c r="BD513" s="45"/>
      <c r="BE513" s="45"/>
      <c r="BF513" s="45"/>
      <c r="BG513" s="45"/>
      <c r="BH513" s="45"/>
    </row>
    <row r="514" spans="1:60">
      <c r="A514" s="83" t="str">
        <f>Requirements!A516</f>
        <v>MS-SMB_R347</v>
      </c>
      <c r="B514" s="46"/>
      <c r="C514" s="46"/>
      <c r="D514" s="46"/>
      <c r="E514" s="46"/>
      <c r="F514" s="46"/>
      <c r="G514" s="46"/>
      <c r="H514" s="46"/>
      <c r="I514" s="46"/>
      <c r="J514" s="46"/>
      <c r="K514" s="46"/>
      <c r="L514" s="46"/>
      <c r="M514" s="46"/>
      <c r="N514" s="46">
        <f t="shared" si="28"/>
        <v>0</v>
      </c>
      <c r="O514" s="46">
        <f t="shared" si="29"/>
        <v>0</v>
      </c>
      <c r="P514" s="46" t="b">
        <f t="shared" si="30"/>
        <v>0</v>
      </c>
      <c r="Q514" s="46" t="b">
        <f>(Requirements!K516="Normative")</f>
        <v>0</v>
      </c>
      <c r="R514" s="46" t="b">
        <f>AND(Requirements!L516&lt;&gt;"Non-testable",Requirements!L516&lt;&gt;"Deleted",Requirements!L516&lt;&gt;"")</f>
        <v>0</v>
      </c>
      <c r="S514" s="46" t="b">
        <f>(VLOOKUP(Requirements!I516,Scope[[Role]:[Description]],2,FALSE)="In")</f>
        <v>1</v>
      </c>
      <c r="T514" s="46">
        <f t="shared" si="31"/>
        <v>0</v>
      </c>
      <c r="U514" s="45"/>
      <c r="V514" s="45"/>
      <c r="W514" s="45"/>
      <c r="X514" s="45"/>
      <c r="Y514" s="45"/>
      <c r="Z514" s="45"/>
      <c r="AA514" s="45"/>
      <c r="AB514" s="45"/>
      <c r="AC514" s="45"/>
      <c r="AD514" s="45"/>
      <c r="AE514" s="45"/>
      <c r="AF514" s="45"/>
      <c r="AG514" s="45"/>
      <c r="AH514" s="45"/>
      <c r="AI514" s="45"/>
      <c r="AJ514" s="45"/>
      <c r="AK514" s="45"/>
      <c r="AL514" s="45"/>
      <c r="AM514" s="45"/>
      <c r="AN514" s="45"/>
      <c r="AO514" s="45"/>
      <c r="AP514" s="45"/>
      <c r="AQ514" s="45"/>
      <c r="AR514" s="45"/>
      <c r="AS514" s="45"/>
      <c r="AT514" s="45"/>
      <c r="AU514" s="45"/>
      <c r="AV514" s="45"/>
      <c r="AW514" s="45"/>
      <c r="AX514" s="45"/>
      <c r="AY514" s="45"/>
      <c r="AZ514" s="45"/>
      <c r="BA514" s="45"/>
      <c r="BB514" s="45"/>
      <c r="BC514" s="45"/>
      <c r="BD514" s="45"/>
      <c r="BE514" s="45"/>
      <c r="BF514" s="45"/>
      <c r="BG514" s="45"/>
      <c r="BH514" s="45"/>
    </row>
    <row r="515" spans="1:60">
      <c r="A515" s="85" t="str">
        <f>Requirements!A517</f>
        <v>MS-SMB_R5576</v>
      </c>
      <c r="B515" s="87"/>
      <c r="C515" s="87"/>
      <c r="D515" s="87"/>
      <c r="E515" s="87"/>
      <c r="F515" s="87"/>
      <c r="G515" s="87"/>
      <c r="H515" s="87"/>
      <c r="I515" s="87"/>
      <c r="J515" s="87"/>
      <c r="K515" s="87"/>
      <c r="L515" s="87"/>
      <c r="M515" s="87"/>
      <c r="N515" s="87">
        <f t="shared" si="28"/>
        <v>0</v>
      </c>
      <c r="O515" s="61">
        <f t="shared" si="29"/>
        <v>0</v>
      </c>
      <c r="P515" s="61" t="b">
        <f t="shared" si="30"/>
        <v>1</v>
      </c>
      <c r="Q515" s="87" t="b">
        <f>(Requirements!K517="Normative")</f>
        <v>1</v>
      </c>
      <c r="R515" s="87" t="b">
        <f>AND(Requirements!L517&lt;&gt;"Non-testable",Requirements!L517&lt;&gt;"Deleted",Requirements!L517&lt;&gt;"")</f>
        <v>1</v>
      </c>
      <c r="S515" s="87" t="b">
        <f>(VLOOKUP(Requirements!I517,Scope[[Role]:[Description]],2,FALSE)="In")</f>
        <v>1</v>
      </c>
      <c r="T515" s="87">
        <f t="shared" si="31"/>
        <v>0</v>
      </c>
    </row>
    <row r="516" spans="1:60">
      <c r="A516" s="85" t="str">
        <f>Requirements!A518</f>
        <v>MS-SMB_R5577</v>
      </c>
      <c r="B516" s="87"/>
      <c r="C516" s="87"/>
      <c r="D516" s="87"/>
      <c r="E516" s="87"/>
      <c r="F516" s="87"/>
      <c r="G516" s="87"/>
      <c r="H516" s="87"/>
      <c r="I516" s="87"/>
      <c r="J516" s="87"/>
      <c r="K516" s="87"/>
      <c r="L516" s="87"/>
      <c r="M516" s="87"/>
      <c r="N516" s="87">
        <f t="shared" si="28"/>
        <v>0</v>
      </c>
      <c r="O516" s="61">
        <f t="shared" si="29"/>
        <v>0</v>
      </c>
      <c r="P516" s="61" t="b">
        <f t="shared" si="30"/>
        <v>1</v>
      </c>
      <c r="Q516" s="87" t="b">
        <f>(Requirements!K518="Normative")</f>
        <v>1</v>
      </c>
      <c r="R516" s="87" t="b">
        <f>AND(Requirements!L518&lt;&gt;"Non-testable",Requirements!L518&lt;&gt;"Deleted",Requirements!L518&lt;&gt;"")</f>
        <v>1</v>
      </c>
      <c r="S516" s="87" t="b">
        <f>(VLOOKUP(Requirements!I518,Scope[[Role]:[Description]],2,FALSE)="In")</f>
        <v>1</v>
      </c>
      <c r="T516" s="87">
        <f t="shared" si="31"/>
        <v>0</v>
      </c>
    </row>
    <row r="517" spans="1:60">
      <c r="A517" s="85" t="str">
        <f>Requirements!A519</f>
        <v>MS-SMB_R105579</v>
      </c>
      <c r="B517" s="87"/>
      <c r="C517" s="87"/>
      <c r="D517" s="87"/>
      <c r="E517" s="87"/>
      <c r="F517" s="87"/>
      <c r="G517" s="87"/>
      <c r="H517" s="87"/>
      <c r="I517" s="87"/>
      <c r="J517" s="87"/>
      <c r="K517" s="87"/>
      <c r="L517" s="87"/>
      <c r="M517" s="87"/>
      <c r="N517" s="87">
        <f t="shared" si="28"/>
        <v>0</v>
      </c>
      <c r="O517" s="61">
        <f t="shared" si="29"/>
        <v>0</v>
      </c>
      <c r="P517" s="61" t="b">
        <f t="shared" si="30"/>
        <v>1</v>
      </c>
      <c r="Q517" s="87" t="b">
        <f>(Requirements!K519="Normative")</f>
        <v>1</v>
      </c>
      <c r="R517" s="87" t="b">
        <f>AND(Requirements!L519&lt;&gt;"Non-testable",Requirements!L519&lt;&gt;"Deleted",Requirements!L519&lt;&gt;"")</f>
        <v>1</v>
      </c>
      <c r="S517" s="87" t="b">
        <f>(VLOOKUP(Requirements!I519,Scope[[Role]:[Description]],2,FALSE)="In")</f>
        <v>1</v>
      </c>
      <c r="T517" s="87">
        <f t="shared" si="31"/>
        <v>0</v>
      </c>
    </row>
    <row r="518" spans="1:60">
      <c r="A518" s="44" t="str">
        <f>Requirements!A520</f>
        <v>MS-SMB_R5590</v>
      </c>
      <c r="B518" s="87"/>
      <c r="C518" s="87"/>
      <c r="D518" s="87"/>
      <c r="E518" s="87"/>
      <c r="F518" s="87"/>
      <c r="G518" s="87"/>
      <c r="H518" s="87"/>
      <c r="I518" s="87"/>
      <c r="J518" s="87"/>
      <c r="K518" s="87"/>
      <c r="L518" s="87"/>
      <c r="M518" s="87"/>
      <c r="N518" s="87">
        <f t="shared" si="28"/>
        <v>0</v>
      </c>
      <c r="O518" s="87">
        <f t="shared" si="29"/>
        <v>0</v>
      </c>
      <c r="P518" s="87" t="b">
        <f t="shared" si="30"/>
        <v>0</v>
      </c>
      <c r="Q518" s="87" t="b">
        <f>(Requirements!K520="Normative")</f>
        <v>0</v>
      </c>
      <c r="R518" s="87" t="b">
        <f>AND(Requirements!L520&lt;&gt;"Non-testable",Requirements!L520&lt;&gt;"Deleted",Requirements!L520&lt;&gt;"")</f>
        <v>1</v>
      </c>
      <c r="S518" s="87" t="b">
        <f>(VLOOKUP(Requirements!I520,Scope[[Role]:[Description]],2,FALSE)="In")</f>
        <v>1</v>
      </c>
      <c r="T518" s="87">
        <f t="shared" si="31"/>
        <v>0</v>
      </c>
    </row>
    <row r="519" spans="1:60">
      <c r="A519" s="44" t="str">
        <f>Requirements!A521</f>
        <v>MS-SMB_R5591</v>
      </c>
      <c r="B519" s="87"/>
      <c r="C519" s="87"/>
      <c r="D519" s="87"/>
      <c r="E519" s="87"/>
      <c r="F519" s="87"/>
      <c r="G519" s="87"/>
      <c r="H519" s="87"/>
      <c r="I519" s="87"/>
      <c r="J519" s="87"/>
      <c r="K519" s="87"/>
      <c r="L519" s="87"/>
      <c r="M519" s="87"/>
      <c r="N519" s="87">
        <f t="shared" si="28"/>
        <v>0</v>
      </c>
      <c r="O519" s="87">
        <f t="shared" si="29"/>
        <v>0</v>
      </c>
      <c r="P519" s="87" t="b">
        <f t="shared" si="30"/>
        <v>0</v>
      </c>
      <c r="Q519" s="87" t="b">
        <f>(Requirements!K521="Normative")</f>
        <v>0</v>
      </c>
      <c r="R519" s="87" t="b">
        <f>AND(Requirements!L521&lt;&gt;"Non-testable",Requirements!L521&lt;&gt;"Deleted",Requirements!L521&lt;&gt;"")</f>
        <v>1</v>
      </c>
      <c r="S519" s="87" t="b">
        <f>(VLOOKUP(Requirements!I521,Scope[[Role]:[Description]],2,FALSE)="In")</f>
        <v>1</v>
      </c>
      <c r="T519" s="87">
        <f t="shared" si="31"/>
        <v>0</v>
      </c>
    </row>
    <row r="520" spans="1:60">
      <c r="A520" s="85" t="str">
        <f>Requirements!A522</f>
        <v>MS-SMB_R5592</v>
      </c>
      <c r="B520" s="87"/>
      <c r="C520" s="87"/>
      <c r="D520" s="87"/>
      <c r="E520" s="87"/>
      <c r="F520" s="87"/>
      <c r="G520" s="87"/>
      <c r="H520" s="87"/>
      <c r="I520" s="87"/>
      <c r="J520" s="87"/>
      <c r="K520" s="87"/>
      <c r="L520" s="87"/>
      <c r="M520" s="87"/>
      <c r="N520" s="87">
        <f t="shared" si="28"/>
        <v>0</v>
      </c>
      <c r="O520" s="61">
        <f t="shared" si="29"/>
        <v>0</v>
      </c>
      <c r="P520" s="61" t="b">
        <f t="shared" si="30"/>
        <v>1</v>
      </c>
      <c r="Q520" s="87" t="b">
        <f>(Requirements!K522="Normative")</f>
        <v>1</v>
      </c>
      <c r="R520" s="87" t="b">
        <f>AND(Requirements!L522&lt;&gt;"Non-testable",Requirements!L522&lt;&gt;"Deleted",Requirements!L522&lt;&gt;"")</f>
        <v>1</v>
      </c>
      <c r="S520" s="87" t="b">
        <f>(VLOOKUP(Requirements!I522,Scope[[Role]:[Description]],2,FALSE)="In")</f>
        <v>1</v>
      </c>
      <c r="T520" s="87">
        <f t="shared" si="31"/>
        <v>0</v>
      </c>
    </row>
    <row r="521" spans="1:60">
      <c r="A521" s="44" t="str">
        <f>Requirements!A523</f>
        <v>MS-SMB_R5593</v>
      </c>
      <c r="B521" s="87"/>
      <c r="C521" s="87"/>
      <c r="D521" s="87"/>
      <c r="E521" s="87"/>
      <c r="F521" s="87"/>
      <c r="G521" s="87"/>
      <c r="H521" s="87"/>
      <c r="I521" s="87"/>
      <c r="J521" s="87"/>
      <c r="K521" s="87"/>
      <c r="L521" s="87"/>
      <c r="M521" s="87"/>
      <c r="N521" s="87">
        <f t="shared" si="28"/>
        <v>0</v>
      </c>
      <c r="O521" s="87">
        <f t="shared" si="29"/>
        <v>0</v>
      </c>
      <c r="P521" s="87" t="b">
        <f t="shared" si="30"/>
        <v>0</v>
      </c>
      <c r="Q521" s="87" t="b">
        <f>(Requirements!K523="Normative")</f>
        <v>0</v>
      </c>
      <c r="R521" s="87" t="b">
        <f>AND(Requirements!L523&lt;&gt;"Non-testable",Requirements!L523&lt;&gt;"Deleted",Requirements!L523&lt;&gt;"")</f>
        <v>1</v>
      </c>
      <c r="S521" s="87" t="b">
        <f>(VLOOKUP(Requirements!I523,Scope[[Role]:[Description]],2,FALSE)="In")</f>
        <v>1</v>
      </c>
      <c r="T521" s="87">
        <f t="shared" si="31"/>
        <v>0</v>
      </c>
    </row>
    <row r="522" spans="1:60">
      <c r="A522" s="85" t="str">
        <f>Requirements!A524</f>
        <v>MS-SMB_R5594</v>
      </c>
      <c r="B522" s="87"/>
      <c r="C522" s="87"/>
      <c r="D522" s="87"/>
      <c r="E522" s="87"/>
      <c r="F522" s="87"/>
      <c r="G522" s="87"/>
      <c r="H522" s="87"/>
      <c r="I522" s="87"/>
      <c r="J522" s="87"/>
      <c r="K522" s="87"/>
      <c r="L522" s="87"/>
      <c r="M522" s="87"/>
      <c r="N522" s="87">
        <f t="shared" si="28"/>
        <v>0</v>
      </c>
      <c r="O522" s="61">
        <f t="shared" si="29"/>
        <v>0</v>
      </c>
      <c r="P522" s="61" t="b">
        <f t="shared" si="30"/>
        <v>1</v>
      </c>
      <c r="Q522" s="87" t="b">
        <f>(Requirements!K524="Normative")</f>
        <v>1</v>
      </c>
      <c r="R522" s="87" t="b">
        <f>AND(Requirements!L524&lt;&gt;"Non-testable",Requirements!L524&lt;&gt;"Deleted",Requirements!L524&lt;&gt;"")</f>
        <v>1</v>
      </c>
      <c r="S522" s="87" t="b">
        <f>(VLOOKUP(Requirements!I524,Scope[[Role]:[Description]],2,FALSE)="In")</f>
        <v>1</v>
      </c>
      <c r="T522" s="87">
        <f t="shared" si="31"/>
        <v>0</v>
      </c>
    </row>
    <row r="523" spans="1:60">
      <c r="A523" s="44" t="str">
        <f>Requirements!A525</f>
        <v>MS-SMB_R5595</v>
      </c>
      <c r="B523" s="87"/>
      <c r="C523" s="87"/>
      <c r="D523" s="87"/>
      <c r="E523" s="87"/>
      <c r="F523" s="87"/>
      <c r="G523" s="87"/>
      <c r="H523" s="87"/>
      <c r="I523" s="87"/>
      <c r="J523" s="87"/>
      <c r="K523" s="87"/>
      <c r="L523" s="87"/>
      <c r="M523" s="87"/>
      <c r="N523" s="87">
        <f t="shared" si="28"/>
        <v>0</v>
      </c>
      <c r="O523" s="87">
        <f t="shared" si="29"/>
        <v>0</v>
      </c>
      <c r="P523" s="87" t="b">
        <f t="shared" si="30"/>
        <v>0</v>
      </c>
      <c r="Q523" s="87" t="b">
        <f>(Requirements!K525="Normative")</f>
        <v>1</v>
      </c>
      <c r="R523" s="87" t="b">
        <f>AND(Requirements!L525&lt;&gt;"Non-testable",Requirements!L525&lt;&gt;"Deleted",Requirements!L525&lt;&gt;"")</f>
        <v>0</v>
      </c>
      <c r="S523" s="87" t="b">
        <f>(VLOOKUP(Requirements!I525,Scope[[Role]:[Description]],2,FALSE)="In")</f>
        <v>1</v>
      </c>
      <c r="T523" s="87">
        <f t="shared" si="31"/>
        <v>0</v>
      </c>
    </row>
    <row r="524" spans="1:60">
      <c r="A524" s="84" t="str">
        <f>Requirements!A526</f>
        <v>MS-SMB_R5596</v>
      </c>
      <c r="B524" s="87"/>
      <c r="C524" s="87"/>
      <c r="D524" s="87"/>
      <c r="E524" s="87"/>
      <c r="F524" s="87"/>
      <c r="G524" s="87"/>
      <c r="H524" s="87"/>
      <c r="I524" s="87">
        <v>1</v>
      </c>
      <c r="J524" s="87"/>
      <c r="K524" s="87"/>
      <c r="L524" s="87"/>
      <c r="M524" s="87"/>
      <c r="N524" s="87">
        <f t="shared" si="28"/>
        <v>1</v>
      </c>
      <c r="O524" s="60">
        <f t="shared" si="29"/>
        <v>1</v>
      </c>
      <c r="P524" s="60" t="b">
        <f t="shared" si="30"/>
        <v>1</v>
      </c>
      <c r="Q524" s="87" t="b">
        <f>(Requirements!K526="Normative")</f>
        <v>1</v>
      </c>
      <c r="R524" s="87" t="b">
        <f>AND(Requirements!L526&lt;&gt;"Non-testable",Requirements!L526&lt;&gt;"Deleted",Requirements!L526&lt;&gt;"")</f>
        <v>1</v>
      </c>
      <c r="S524" s="87" t="b">
        <f>(VLOOKUP(Requirements!I526,Scope[[Role]:[Description]],2,FALSE)="In")</f>
        <v>1</v>
      </c>
      <c r="T524" s="87">
        <f t="shared" si="31"/>
        <v>1</v>
      </c>
    </row>
    <row r="525" spans="1:60">
      <c r="A525" s="84" t="str">
        <f>Requirements!A527</f>
        <v>MS-SMB_R357</v>
      </c>
      <c r="B525" s="87"/>
      <c r="C525" s="87"/>
      <c r="D525" s="87"/>
      <c r="E525" s="87"/>
      <c r="F525" s="87"/>
      <c r="G525" s="87"/>
      <c r="H525" s="87"/>
      <c r="I525" s="87"/>
      <c r="J525" s="87"/>
      <c r="K525" s="87"/>
      <c r="L525" s="87">
        <v>1</v>
      </c>
      <c r="M525" s="87"/>
      <c r="N525" s="87">
        <f t="shared" si="28"/>
        <v>1</v>
      </c>
      <c r="O525" s="60">
        <f t="shared" si="29"/>
        <v>1</v>
      </c>
      <c r="P525" s="60" t="b">
        <f t="shared" si="30"/>
        <v>1</v>
      </c>
      <c r="Q525" s="87" t="b">
        <f>(Requirements!K527="Normative")</f>
        <v>1</v>
      </c>
      <c r="R525" s="87" t="b">
        <f>AND(Requirements!L527&lt;&gt;"Non-testable",Requirements!L527&lt;&gt;"Deleted",Requirements!L527&lt;&gt;"")</f>
        <v>1</v>
      </c>
      <c r="S525" s="87" t="b">
        <f>(VLOOKUP(Requirements!I527,Scope[[Role]:[Description]],2,FALSE)="In")</f>
        <v>1</v>
      </c>
      <c r="T525" s="87">
        <f t="shared" si="31"/>
        <v>1</v>
      </c>
    </row>
    <row r="526" spans="1:60">
      <c r="A526" s="84" t="str">
        <f>Requirements!A528</f>
        <v>MS-SMB_R10357</v>
      </c>
      <c r="B526" s="87"/>
      <c r="C526" s="87"/>
      <c r="D526" s="87"/>
      <c r="E526" s="87"/>
      <c r="F526" s="87"/>
      <c r="G526" s="87"/>
      <c r="H526" s="87"/>
      <c r="I526" s="87"/>
      <c r="J526" s="87"/>
      <c r="K526" s="87"/>
      <c r="L526" s="87">
        <v>1</v>
      </c>
      <c r="M526" s="87"/>
      <c r="N526" s="87">
        <f t="shared" si="28"/>
        <v>1</v>
      </c>
      <c r="O526" s="60">
        <f t="shared" si="29"/>
        <v>1</v>
      </c>
      <c r="P526" s="60" t="b">
        <f t="shared" si="30"/>
        <v>1</v>
      </c>
      <c r="Q526" s="87" t="b">
        <f>(Requirements!K528="Normative")</f>
        <v>1</v>
      </c>
      <c r="R526" s="87" t="b">
        <f>AND(Requirements!L528&lt;&gt;"Non-testable",Requirements!L528&lt;&gt;"Deleted",Requirements!L528&lt;&gt;"")</f>
        <v>1</v>
      </c>
      <c r="S526" s="87" t="b">
        <f>(VLOOKUP(Requirements!I528,Scope[[Role]:[Description]],2,FALSE)="In")</f>
        <v>1</v>
      </c>
      <c r="T526" s="87">
        <f t="shared" si="31"/>
        <v>1</v>
      </c>
    </row>
    <row r="527" spans="1:60">
      <c r="A527" s="85" t="str">
        <f>Requirements!A529</f>
        <v>MS-SMB_R5597</v>
      </c>
      <c r="B527" s="87"/>
      <c r="C527" s="87"/>
      <c r="D527" s="87"/>
      <c r="E527" s="87"/>
      <c r="F527" s="87"/>
      <c r="G527" s="87"/>
      <c r="H527" s="87"/>
      <c r="I527" s="87"/>
      <c r="J527" s="87"/>
      <c r="K527" s="87"/>
      <c r="L527" s="87"/>
      <c r="M527" s="87"/>
      <c r="N527" s="87">
        <f t="shared" si="28"/>
        <v>0</v>
      </c>
      <c r="O527" s="61">
        <f t="shared" si="29"/>
        <v>0</v>
      </c>
      <c r="P527" s="61" t="b">
        <f t="shared" si="30"/>
        <v>1</v>
      </c>
      <c r="Q527" s="87" t="b">
        <f>(Requirements!K529="Normative")</f>
        <v>1</v>
      </c>
      <c r="R527" s="87" t="b">
        <f>AND(Requirements!L529&lt;&gt;"Non-testable",Requirements!L529&lt;&gt;"Deleted",Requirements!L529&lt;&gt;"")</f>
        <v>1</v>
      </c>
      <c r="S527" s="87" t="b">
        <f>(VLOOKUP(Requirements!I529,Scope[[Role]:[Description]],2,FALSE)="In")</f>
        <v>1</v>
      </c>
      <c r="T527" s="87">
        <f t="shared" si="31"/>
        <v>0</v>
      </c>
    </row>
    <row r="528" spans="1:60">
      <c r="A528" s="85" t="str">
        <f>Requirements!A530</f>
        <v>MS-SMB_R5600</v>
      </c>
      <c r="B528" s="87"/>
      <c r="C528" s="87"/>
      <c r="D528" s="87"/>
      <c r="E528" s="87"/>
      <c r="F528" s="87"/>
      <c r="G528" s="87"/>
      <c r="H528" s="87"/>
      <c r="I528" s="87"/>
      <c r="J528" s="87"/>
      <c r="K528" s="87"/>
      <c r="L528" s="87"/>
      <c r="M528" s="87"/>
      <c r="N528" s="87">
        <f t="shared" si="28"/>
        <v>0</v>
      </c>
      <c r="O528" s="61">
        <f t="shared" si="29"/>
        <v>0</v>
      </c>
      <c r="P528" s="61" t="b">
        <f t="shared" si="30"/>
        <v>1</v>
      </c>
      <c r="Q528" s="87" t="b">
        <f>(Requirements!K530="Normative")</f>
        <v>1</v>
      </c>
      <c r="R528" s="87" t="b">
        <f>AND(Requirements!L530&lt;&gt;"Non-testable",Requirements!L530&lt;&gt;"Deleted",Requirements!L530&lt;&gt;"")</f>
        <v>1</v>
      </c>
      <c r="S528" s="87" t="b">
        <f>(VLOOKUP(Requirements!I530,Scope[[Role]:[Description]],2,FALSE)="In")</f>
        <v>1</v>
      </c>
      <c r="T528" s="87">
        <f t="shared" si="31"/>
        <v>0</v>
      </c>
    </row>
    <row r="529" spans="1:20">
      <c r="A529" s="85" t="str">
        <f>Requirements!A531</f>
        <v>MS-SMB_R5601</v>
      </c>
      <c r="B529" s="87"/>
      <c r="C529" s="87"/>
      <c r="D529" s="87"/>
      <c r="E529" s="87"/>
      <c r="F529" s="87"/>
      <c r="G529" s="87"/>
      <c r="H529" s="87"/>
      <c r="I529" s="87"/>
      <c r="J529" s="87"/>
      <c r="K529" s="87"/>
      <c r="L529" s="87"/>
      <c r="M529" s="87"/>
      <c r="N529" s="87">
        <f t="shared" si="28"/>
        <v>0</v>
      </c>
      <c r="O529" s="61">
        <f t="shared" si="29"/>
        <v>0</v>
      </c>
      <c r="P529" s="61" t="b">
        <f t="shared" si="30"/>
        <v>1</v>
      </c>
      <c r="Q529" s="87" t="b">
        <f>(Requirements!K531="Normative")</f>
        <v>1</v>
      </c>
      <c r="R529" s="87" t="b">
        <f>AND(Requirements!L531&lt;&gt;"Non-testable",Requirements!L531&lt;&gt;"Deleted",Requirements!L531&lt;&gt;"")</f>
        <v>1</v>
      </c>
      <c r="S529" s="87" t="b">
        <f>(VLOOKUP(Requirements!I531,Scope[[Role]:[Description]],2,FALSE)="In")</f>
        <v>1</v>
      </c>
      <c r="T529" s="87">
        <f t="shared" si="31"/>
        <v>0</v>
      </c>
    </row>
    <row r="530" spans="1:20">
      <c r="A530" s="84" t="str">
        <f>Requirements!A532</f>
        <v>MS-SMB_R5617</v>
      </c>
      <c r="B530" s="87"/>
      <c r="C530" s="87"/>
      <c r="D530" s="87"/>
      <c r="E530" s="87"/>
      <c r="F530" s="87"/>
      <c r="G530" s="87"/>
      <c r="H530" s="87"/>
      <c r="I530" s="87"/>
      <c r="J530" s="87"/>
      <c r="K530" s="87"/>
      <c r="L530" s="87">
        <v>1</v>
      </c>
      <c r="M530" s="87"/>
      <c r="N530" s="87">
        <f t="shared" si="28"/>
        <v>1</v>
      </c>
      <c r="O530" s="60">
        <f t="shared" si="29"/>
        <v>1</v>
      </c>
      <c r="P530" s="60" t="b">
        <f t="shared" si="30"/>
        <v>1</v>
      </c>
      <c r="Q530" s="87" t="b">
        <f>(Requirements!K532="Normative")</f>
        <v>1</v>
      </c>
      <c r="R530" s="87" t="b">
        <f>AND(Requirements!L532&lt;&gt;"Non-testable",Requirements!L532&lt;&gt;"Deleted",Requirements!L532&lt;&gt;"")</f>
        <v>1</v>
      </c>
      <c r="S530" s="87" t="b">
        <f>(VLOOKUP(Requirements!I532,Scope[[Role]:[Description]],2,FALSE)="In")</f>
        <v>1</v>
      </c>
      <c r="T530" s="87">
        <f t="shared" si="31"/>
        <v>1</v>
      </c>
    </row>
    <row r="531" spans="1:20">
      <c r="A531" s="44" t="str">
        <f>Requirements!A533</f>
        <v>MS-SMB_R5618</v>
      </c>
      <c r="B531" s="87"/>
      <c r="C531" s="87"/>
      <c r="D531" s="87"/>
      <c r="E531" s="87"/>
      <c r="F531" s="87"/>
      <c r="G531" s="87"/>
      <c r="H531" s="87"/>
      <c r="I531" s="87"/>
      <c r="J531" s="87"/>
      <c r="K531" s="87"/>
      <c r="L531" s="87"/>
      <c r="M531" s="87"/>
      <c r="N531" s="87">
        <f t="shared" si="28"/>
        <v>0</v>
      </c>
      <c r="O531" s="87">
        <f t="shared" si="29"/>
        <v>0</v>
      </c>
      <c r="P531" s="87" t="b">
        <f t="shared" si="30"/>
        <v>0</v>
      </c>
      <c r="Q531" s="87" t="b">
        <f>(Requirements!K533="Normative")</f>
        <v>0</v>
      </c>
      <c r="R531" s="87" t="b">
        <f>AND(Requirements!L533&lt;&gt;"Non-testable",Requirements!L533&lt;&gt;"Deleted",Requirements!L533&lt;&gt;"")</f>
        <v>1</v>
      </c>
      <c r="S531" s="87" t="b">
        <f>(VLOOKUP(Requirements!I533,Scope[[Role]:[Description]],2,FALSE)="In")</f>
        <v>1</v>
      </c>
      <c r="T531" s="87">
        <f t="shared" si="31"/>
        <v>0</v>
      </c>
    </row>
    <row r="532" spans="1:20">
      <c r="A532" s="84" t="str">
        <f>Requirements!A534</f>
        <v>MS-SMB_R376</v>
      </c>
      <c r="B532" s="87"/>
      <c r="C532" s="87"/>
      <c r="D532" s="87"/>
      <c r="E532" s="87"/>
      <c r="F532" s="87"/>
      <c r="G532" s="87"/>
      <c r="H532" s="87"/>
      <c r="I532" s="87"/>
      <c r="J532" s="87"/>
      <c r="K532" s="87"/>
      <c r="L532" s="87">
        <v>1</v>
      </c>
      <c r="M532" s="87"/>
      <c r="N532" s="87">
        <f t="shared" ref="N532:N595" si="32">SUM(B532:M532)</f>
        <v>1</v>
      </c>
      <c r="O532" s="60">
        <f t="shared" ref="O532:O595" si="33">IF(N532=0,0,1)</f>
        <v>1</v>
      </c>
      <c r="P532" s="60" t="b">
        <f t="shared" ref="P532:P595" si="34">AND(Q532:S532)</f>
        <v>1</v>
      </c>
      <c r="Q532" s="87" t="b">
        <f>(Requirements!K534="Normative")</f>
        <v>1</v>
      </c>
      <c r="R532" s="87" t="b">
        <f>AND(Requirements!L534&lt;&gt;"Non-testable",Requirements!L534&lt;&gt;"Deleted",Requirements!L534&lt;&gt;"")</f>
        <v>1</v>
      </c>
      <c r="S532" s="87" t="b">
        <f>(VLOOKUP(Requirements!I534,Scope[[Role]:[Description]],2,FALSE)="In")</f>
        <v>1</v>
      </c>
      <c r="T532" s="87">
        <f t="shared" ref="T532:T595" si="35">IF(P532,O532, 0)</f>
        <v>1</v>
      </c>
    </row>
    <row r="533" spans="1:20">
      <c r="A533" s="44" t="str">
        <f>Requirements!A535</f>
        <v>MS-SMB_R105644</v>
      </c>
      <c r="B533" s="87"/>
      <c r="C533" s="87"/>
      <c r="D533" s="87"/>
      <c r="E533" s="87"/>
      <c r="F533" s="87"/>
      <c r="G533" s="87"/>
      <c r="H533" s="87"/>
      <c r="I533" s="87"/>
      <c r="J533" s="87"/>
      <c r="K533" s="87"/>
      <c r="L533" s="87"/>
      <c r="M533" s="87"/>
      <c r="N533" s="87">
        <f t="shared" si="32"/>
        <v>0</v>
      </c>
      <c r="O533" s="87">
        <f t="shared" si="33"/>
        <v>0</v>
      </c>
      <c r="P533" s="87" t="b">
        <f t="shared" si="34"/>
        <v>0</v>
      </c>
      <c r="Q533" s="87" t="b">
        <f>(Requirements!K535="Normative")</f>
        <v>0</v>
      </c>
      <c r="R533" s="87" t="b">
        <f>AND(Requirements!L535&lt;&gt;"Non-testable",Requirements!L535&lt;&gt;"Deleted",Requirements!L535&lt;&gt;"")</f>
        <v>1</v>
      </c>
      <c r="S533" s="87" t="b">
        <f>(VLOOKUP(Requirements!I535,Scope[[Role]:[Description]],2,FALSE)="In")</f>
        <v>1</v>
      </c>
      <c r="T533" s="87">
        <f t="shared" si="35"/>
        <v>0</v>
      </c>
    </row>
    <row r="534" spans="1:20">
      <c r="A534" s="44" t="str">
        <f>Requirements!A536</f>
        <v>MS-SMB_R115644</v>
      </c>
      <c r="B534" s="87"/>
      <c r="C534" s="87"/>
      <c r="D534" s="87"/>
      <c r="E534" s="87"/>
      <c r="F534" s="87"/>
      <c r="G534" s="87"/>
      <c r="H534" s="87"/>
      <c r="I534" s="87"/>
      <c r="J534" s="87"/>
      <c r="K534" s="87"/>
      <c r="L534" s="87"/>
      <c r="M534" s="87"/>
      <c r="N534" s="87">
        <f t="shared" si="32"/>
        <v>0</v>
      </c>
      <c r="O534" s="87">
        <f t="shared" si="33"/>
        <v>0</v>
      </c>
      <c r="P534" s="87" t="b">
        <f t="shared" si="34"/>
        <v>0</v>
      </c>
      <c r="Q534" s="87" t="b">
        <f>(Requirements!K536="Normative")</f>
        <v>0</v>
      </c>
      <c r="R534" s="87" t="b">
        <f>AND(Requirements!L536&lt;&gt;"Non-testable",Requirements!L536&lt;&gt;"Deleted",Requirements!L536&lt;&gt;"")</f>
        <v>1</v>
      </c>
      <c r="S534" s="87" t="b">
        <f>(VLOOKUP(Requirements!I536,Scope[[Role]:[Description]],2,FALSE)="In")</f>
        <v>1</v>
      </c>
      <c r="T534" s="87">
        <f t="shared" si="35"/>
        <v>0</v>
      </c>
    </row>
    <row r="535" spans="1:20">
      <c r="A535" s="44" t="str">
        <f>Requirements!A537</f>
        <v>MS-SMB_R205644</v>
      </c>
      <c r="B535" s="87"/>
      <c r="C535" s="87"/>
      <c r="D535" s="87"/>
      <c r="E535" s="87"/>
      <c r="F535" s="87"/>
      <c r="G535" s="87"/>
      <c r="H535" s="87"/>
      <c r="I535" s="87"/>
      <c r="J535" s="87"/>
      <c r="K535" s="87"/>
      <c r="L535" s="87"/>
      <c r="M535" s="87"/>
      <c r="N535" s="87">
        <f t="shared" si="32"/>
        <v>0</v>
      </c>
      <c r="O535" s="87">
        <f t="shared" si="33"/>
        <v>0</v>
      </c>
      <c r="P535" s="87" t="b">
        <f t="shared" si="34"/>
        <v>0</v>
      </c>
      <c r="Q535" s="87" t="b">
        <f>(Requirements!K537="Normative")</f>
        <v>0</v>
      </c>
      <c r="R535" s="87" t="b">
        <f>AND(Requirements!L537&lt;&gt;"Non-testable",Requirements!L537&lt;&gt;"Deleted",Requirements!L537&lt;&gt;"")</f>
        <v>1</v>
      </c>
      <c r="S535" s="87" t="b">
        <f>(VLOOKUP(Requirements!I537,Scope[[Role]:[Description]],2,FALSE)="In")</f>
        <v>1</v>
      </c>
      <c r="T535" s="87">
        <f t="shared" si="35"/>
        <v>0</v>
      </c>
    </row>
    <row r="536" spans="1:20">
      <c r="A536" s="44" t="str">
        <f>Requirements!A538</f>
        <v>MS-SMB_R305644</v>
      </c>
      <c r="B536" s="87"/>
      <c r="C536" s="87"/>
      <c r="D536" s="87"/>
      <c r="E536" s="87"/>
      <c r="F536" s="87"/>
      <c r="G536" s="87"/>
      <c r="H536" s="87"/>
      <c r="I536" s="87"/>
      <c r="J536" s="87"/>
      <c r="K536" s="87"/>
      <c r="L536" s="87"/>
      <c r="M536" s="87"/>
      <c r="N536" s="87">
        <f t="shared" si="32"/>
        <v>0</v>
      </c>
      <c r="O536" s="87">
        <f t="shared" si="33"/>
        <v>0</v>
      </c>
      <c r="P536" s="87" t="b">
        <f t="shared" si="34"/>
        <v>0</v>
      </c>
      <c r="Q536" s="87" t="b">
        <f>(Requirements!K538="Normative")</f>
        <v>1</v>
      </c>
      <c r="R536" s="87" t="b">
        <f>AND(Requirements!L538&lt;&gt;"Non-testable",Requirements!L538&lt;&gt;"Deleted",Requirements!L538&lt;&gt;"")</f>
        <v>0</v>
      </c>
      <c r="S536" s="87" t="b">
        <f>(VLOOKUP(Requirements!I538,Scope[[Role]:[Description]],2,FALSE)="In")</f>
        <v>1</v>
      </c>
      <c r="T536" s="87">
        <f t="shared" si="35"/>
        <v>0</v>
      </c>
    </row>
    <row r="537" spans="1:20">
      <c r="A537" s="84" t="str">
        <f>Requirements!A539</f>
        <v>MS-SMB_R35644</v>
      </c>
      <c r="B537" s="87"/>
      <c r="C537" s="87"/>
      <c r="D537" s="87"/>
      <c r="E537" s="87"/>
      <c r="F537" s="87"/>
      <c r="G537" s="87"/>
      <c r="H537" s="87"/>
      <c r="I537" s="87"/>
      <c r="J537" s="87"/>
      <c r="K537" s="87"/>
      <c r="L537" s="87">
        <v>1</v>
      </c>
      <c r="M537" s="87"/>
      <c r="N537" s="87">
        <f t="shared" si="32"/>
        <v>1</v>
      </c>
      <c r="O537" s="60">
        <f t="shared" si="33"/>
        <v>1</v>
      </c>
      <c r="P537" s="60" t="b">
        <f t="shared" si="34"/>
        <v>1</v>
      </c>
      <c r="Q537" s="87" t="b">
        <f>(Requirements!K539="Normative")</f>
        <v>1</v>
      </c>
      <c r="R537" s="87" t="b">
        <f>AND(Requirements!L539&lt;&gt;"Non-testable",Requirements!L539&lt;&gt;"Deleted",Requirements!L539&lt;&gt;"")</f>
        <v>1</v>
      </c>
      <c r="S537" s="87" t="b">
        <f>(VLOOKUP(Requirements!I539,Scope[[Role]:[Description]],2,FALSE)="In")</f>
        <v>1</v>
      </c>
      <c r="T537" s="87">
        <f t="shared" si="35"/>
        <v>1</v>
      </c>
    </row>
    <row r="538" spans="1:20">
      <c r="A538" s="44" t="str">
        <f>Requirements!A540</f>
        <v>MS-SMB_R405644</v>
      </c>
      <c r="B538" s="87"/>
      <c r="C538" s="87"/>
      <c r="D538" s="87"/>
      <c r="E538" s="87"/>
      <c r="F538" s="87"/>
      <c r="G538" s="87"/>
      <c r="H538" s="87"/>
      <c r="I538" s="87"/>
      <c r="J538" s="87"/>
      <c r="K538" s="87"/>
      <c r="L538" s="87"/>
      <c r="M538" s="87"/>
      <c r="N538" s="87">
        <f t="shared" si="32"/>
        <v>0</v>
      </c>
      <c r="O538" s="87">
        <f t="shared" si="33"/>
        <v>0</v>
      </c>
      <c r="P538" s="87" t="b">
        <f t="shared" si="34"/>
        <v>0</v>
      </c>
      <c r="Q538" s="87" t="b">
        <f>(Requirements!K540="Normative")</f>
        <v>0</v>
      </c>
      <c r="R538" s="87" t="b">
        <f>AND(Requirements!L540&lt;&gt;"Non-testable",Requirements!L540&lt;&gt;"Deleted",Requirements!L540&lt;&gt;"")</f>
        <v>1</v>
      </c>
      <c r="S538" s="87" t="b">
        <f>(VLOOKUP(Requirements!I540,Scope[[Role]:[Description]],2,FALSE)="In")</f>
        <v>1</v>
      </c>
      <c r="T538" s="87">
        <f t="shared" si="35"/>
        <v>0</v>
      </c>
    </row>
    <row r="539" spans="1:20">
      <c r="A539" s="84" t="str">
        <f>Requirements!A541</f>
        <v>MS-SMB_R505644</v>
      </c>
      <c r="B539" s="87"/>
      <c r="C539" s="87"/>
      <c r="D539" s="87"/>
      <c r="E539" s="87"/>
      <c r="F539" s="87"/>
      <c r="G539" s="87"/>
      <c r="H539" s="87"/>
      <c r="I539" s="87"/>
      <c r="J539" s="87"/>
      <c r="K539" s="87"/>
      <c r="L539" s="87">
        <v>1</v>
      </c>
      <c r="M539" s="87"/>
      <c r="N539" s="87">
        <f t="shared" si="32"/>
        <v>1</v>
      </c>
      <c r="O539" s="60">
        <f t="shared" si="33"/>
        <v>1</v>
      </c>
      <c r="P539" s="60" t="b">
        <f t="shared" si="34"/>
        <v>1</v>
      </c>
      <c r="Q539" s="87" t="b">
        <f>(Requirements!K541="Normative")</f>
        <v>1</v>
      </c>
      <c r="R539" s="87" t="b">
        <f>AND(Requirements!L541&lt;&gt;"Non-testable",Requirements!L541&lt;&gt;"Deleted",Requirements!L541&lt;&gt;"")</f>
        <v>1</v>
      </c>
      <c r="S539" s="87" t="b">
        <f>(VLOOKUP(Requirements!I541,Scope[[Role]:[Description]],2,FALSE)="In")</f>
        <v>1</v>
      </c>
      <c r="T539" s="87">
        <f t="shared" si="35"/>
        <v>1</v>
      </c>
    </row>
    <row r="540" spans="1:20">
      <c r="A540" s="84" t="str">
        <f>Requirements!A542</f>
        <v>MS-SMB_R515644</v>
      </c>
      <c r="B540" s="87"/>
      <c r="C540" s="87"/>
      <c r="D540" s="87"/>
      <c r="E540" s="87"/>
      <c r="F540" s="87"/>
      <c r="G540" s="87"/>
      <c r="H540" s="87"/>
      <c r="I540" s="87"/>
      <c r="J540" s="87"/>
      <c r="K540" s="87"/>
      <c r="L540" s="87">
        <v>1</v>
      </c>
      <c r="M540" s="87"/>
      <c r="N540" s="87">
        <f t="shared" si="32"/>
        <v>1</v>
      </c>
      <c r="O540" s="60">
        <f t="shared" si="33"/>
        <v>1</v>
      </c>
      <c r="P540" s="60" t="b">
        <f t="shared" si="34"/>
        <v>1</v>
      </c>
      <c r="Q540" s="87" t="b">
        <f>(Requirements!K542="Normative")</f>
        <v>1</v>
      </c>
      <c r="R540" s="87" t="b">
        <f>AND(Requirements!L542&lt;&gt;"Non-testable",Requirements!L542&lt;&gt;"Deleted",Requirements!L542&lt;&gt;"")</f>
        <v>1</v>
      </c>
      <c r="S540" s="87" t="b">
        <f>(VLOOKUP(Requirements!I542,Scope[[Role]:[Description]],2,FALSE)="In")</f>
        <v>1</v>
      </c>
      <c r="T540" s="87">
        <f t="shared" si="35"/>
        <v>1</v>
      </c>
    </row>
    <row r="541" spans="1:20">
      <c r="A541" s="85" t="str">
        <f>Requirements!A543</f>
        <v>MS-SMB_R605644</v>
      </c>
      <c r="B541" s="87"/>
      <c r="C541" s="87"/>
      <c r="D541" s="87"/>
      <c r="E541" s="87"/>
      <c r="F541" s="87"/>
      <c r="G541" s="87"/>
      <c r="H541" s="87"/>
      <c r="I541" s="87"/>
      <c r="J541" s="87"/>
      <c r="K541" s="87"/>
      <c r="L541" s="87"/>
      <c r="M541" s="87"/>
      <c r="N541" s="87">
        <f t="shared" si="32"/>
        <v>0</v>
      </c>
      <c r="O541" s="61">
        <f t="shared" si="33"/>
        <v>0</v>
      </c>
      <c r="P541" s="61" t="b">
        <f t="shared" si="34"/>
        <v>1</v>
      </c>
      <c r="Q541" s="87" t="b">
        <f>(Requirements!K543="Normative")</f>
        <v>1</v>
      </c>
      <c r="R541" s="87" t="b">
        <f>AND(Requirements!L543&lt;&gt;"Non-testable",Requirements!L543&lt;&gt;"Deleted",Requirements!L543&lt;&gt;"")</f>
        <v>1</v>
      </c>
      <c r="S541" s="87" t="b">
        <f>(VLOOKUP(Requirements!I543,Scope[[Role]:[Description]],2,FALSE)="In")</f>
        <v>1</v>
      </c>
      <c r="T541" s="87">
        <f t="shared" si="35"/>
        <v>0</v>
      </c>
    </row>
    <row r="542" spans="1:20">
      <c r="A542" s="44" t="str">
        <f>Requirements!A544</f>
        <v>MS-SMB_R705644</v>
      </c>
      <c r="B542" s="87"/>
      <c r="C542" s="87"/>
      <c r="D542" s="87"/>
      <c r="E542" s="87"/>
      <c r="F542" s="87"/>
      <c r="G542" s="87"/>
      <c r="H542" s="87"/>
      <c r="I542" s="87"/>
      <c r="J542" s="87"/>
      <c r="K542" s="87"/>
      <c r="L542" s="87"/>
      <c r="M542" s="87"/>
      <c r="N542" s="87">
        <f t="shared" si="32"/>
        <v>0</v>
      </c>
      <c r="O542" s="87">
        <f t="shared" si="33"/>
        <v>0</v>
      </c>
      <c r="P542" s="87" t="b">
        <f t="shared" si="34"/>
        <v>0</v>
      </c>
      <c r="Q542" s="87" t="b">
        <f>(Requirements!K544="Normative")</f>
        <v>0</v>
      </c>
      <c r="R542" s="87" t="b">
        <f>AND(Requirements!L544&lt;&gt;"Non-testable",Requirements!L544&lt;&gt;"Deleted",Requirements!L544&lt;&gt;"")</f>
        <v>1</v>
      </c>
      <c r="S542" s="87" t="b">
        <f>(VLOOKUP(Requirements!I544,Scope[[Role]:[Description]],2,FALSE)="In")</f>
        <v>1</v>
      </c>
      <c r="T542" s="87">
        <f t="shared" si="35"/>
        <v>0</v>
      </c>
    </row>
    <row r="543" spans="1:20">
      <c r="A543" s="44" t="str">
        <f>Requirements!A545</f>
        <v>MS-SMB_R805644</v>
      </c>
      <c r="B543" s="87"/>
      <c r="C543" s="87"/>
      <c r="D543" s="87"/>
      <c r="E543" s="87"/>
      <c r="F543" s="87"/>
      <c r="G543" s="87"/>
      <c r="H543" s="87"/>
      <c r="I543" s="87"/>
      <c r="J543" s="87"/>
      <c r="K543" s="87"/>
      <c r="L543" s="87"/>
      <c r="M543" s="87"/>
      <c r="N543" s="87">
        <f t="shared" si="32"/>
        <v>0</v>
      </c>
      <c r="O543" s="87">
        <f t="shared" si="33"/>
        <v>0</v>
      </c>
      <c r="P543" s="87" t="b">
        <f t="shared" si="34"/>
        <v>0</v>
      </c>
      <c r="Q543" s="87" t="b">
        <f>(Requirements!K545="Normative")</f>
        <v>0</v>
      </c>
      <c r="R543" s="87" t="b">
        <f>AND(Requirements!L545&lt;&gt;"Non-testable",Requirements!L545&lt;&gt;"Deleted",Requirements!L545&lt;&gt;"")</f>
        <v>1</v>
      </c>
      <c r="S543" s="87" t="b">
        <f>(VLOOKUP(Requirements!I545,Scope[[Role]:[Description]],2,FALSE)="In")</f>
        <v>1</v>
      </c>
      <c r="T543" s="87">
        <f t="shared" si="35"/>
        <v>0</v>
      </c>
    </row>
    <row r="544" spans="1:20">
      <c r="A544" s="44" t="str">
        <f>Requirements!A546</f>
        <v>MS-SMB_R5645</v>
      </c>
      <c r="B544" s="87"/>
      <c r="C544" s="87"/>
      <c r="D544" s="87"/>
      <c r="E544" s="87"/>
      <c r="F544" s="87"/>
      <c r="G544" s="87"/>
      <c r="H544" s="87"/>
      <c r="I544" s="87"/>
      <c r="J544" s="87"/>
      <c r="K544" s="87"/>
      <c r="L544" s="87"/>
      <c r="M544" s="87"/>
      <c r="N544" s="87">
        <f t="shared" si="32"/>
        <v>0</v>
      </c>
      <c r="O544" s="87">
        <f t="shared" si="33"/>
        <v>0</v>
      </c>
      <c r="P544" s="87" t="b">
        <f t="shared" si="34"/>
        <v>0</v>
      </c>
      <c r="Q544" s="87" t="b">
        <f>(Requirements!K546="Normative")</f>
        <v>0</v>
      </c>
      <c r="R544" s="87" t="b">
        <f>AND(Requirements!L546&lt;&gt;"Non-testable",Requirements!L546&lt;&gt;"Deleted",Requirements!L546&lt;&gt;"")</f>
        <v>1</v>
      </c>
      <c r="S544" s="87" t="b">
        <f>(VLOOKUP(Requirements!I546,Scope[[Role]:[Description]],2,FALSE)="In")</f>
        <v>1</v>
      </c>
      <c r="T544" s="87">
        <f t="shared" si="35"/>
        <v>0</v>
      </c>
    </row>
    <row r="545" spans="1:20">
      <c r="A545" s="44" t="str">
        <f>Requirements!A547</f>
        <v>MS-SMB_R5646</v>
      </c>
      <c r="B545" s="87"/>
      <c r="C545" s="87"/>
      <c r="D545" s="87"/>
      <c r="E545" s="87"/>
      <c r="F545" s="87"/>
      <c r="G545" s="87"/>
      <c r="H545" s="87"/>
      <c r="I545" s="87"/>
      <c r="J545" s="87"/>
      <c r="K545" s="87"/>
      <c r="L545" s="87"/>
      <c r="M545" s="87"/>
      <c r="N545" s="87">
        <f t="shared" si="32"/>
        <v>0</v>
      </c>
      <c r="O545" s="87">
        <f t="shared" si="33"/>
        <v>0</v>
      </c>
      <c r="P545" s="87" t="b">
        <f t="shared" si="34"/>
        <v>0</v>
      </c>
      <c r="Q545" s="87" t="b">
        <f>(Requirements!K547="Normative")</f>
        <v>0</v>
      </c>
      <c r="R545" s="87" t="b">
        <f>AND(Requirements!L547&lt;&gt;"Non-testable",Requirements!L547&lt;&gt;"Deleted",Requirements!L547&lt;&gt;"")</f>
        <v>1</v>
      </c>
      <c r="S545" s="87" t="b">
        <f>(VLOOKUP(Requirements!I547,Scope[[Role]:[Description]],2,FALSE)="In")</f>
        <v>1</v>
      </c>
      <c r="T545" s="87">
        <f t="shared" si="35"/>
        <v>0</v>
      </c>
    </row>
    <row r="546" spans="1:20">
      <c r="A546" s="44" t="str">
        <f>Requirements!A548</f>
        <v>MS-SMB_R5647</v>
      </c>
      <c r="B546" s="87"/>
      <c r="C546" s="87"/>
      <c r="D546" s="87"/>
      <c r="E546" s="87"/>
      <c r="F546" s="87"/>
      <c r="G546" s="87"/>
      <c r="H546" s="87"/>
      <c r="I546" s="87"/>
      <c r="J546" s="87"/>
      <c r="K546" s="87"/>
      <c r="L546" s="87"/>
      <c r="M546" s="87"/>
      <c r="N546" s="87">
        <f t="shared" si="32"/>
        <v>0</v>
      </c>
      <c r="O546" s="87">
        <f t="shared" si="33"/>
        <v>0</v>
      </c>
      <c r="P546" s="87" t="b">
        <f t="shared" si="34"/>
        <v>0</v>
      </c>
      <c r="Q546" s="87" t="b">
        <f>(Requirements!K548="Normative")</f>
        <v>1</v>
      </c>
      <c r="R546" s="87" t="b">
        <f>AND(Requirements!L548&lt;&gt;"Non-testable",Requirements!L548&lt;&gt;"Deleted",Requirements!L548&lt;&gt;"")</f>
        <v>0</v>
      </c>
      <c r="S546" s="87" t="b">
        <f>(VLOOKUP(Requirements!I548,Scope[[Role]:[Description]],2,FALSE)="In")</f>
        <v>1</v>
      </c>
      <c r="T546" s="87">
        <f t="shared" si="35"/>
        <v>0</v>
      </c>
    </row>
    <row r="547" spans="1:20">
      <c r="A547" s="44" t="str">
        <f>Requirements!A549</f>
        <v>MS-SMB_R5648</v>
      </c>
      <c r="B547" s="87"/>
      <c r="C547" s="87"/>
      <c r="D547" s="87"/>
      <c r="E547" s="87"/>
      <c r="F547" s="87"/>
      <c r="G547" s="87"/>
      <c r="H547" s="87"/>
      <c r="I547" s="87"/>
      <c r="J547" s="87"/>
      <c r="K547" s="87"/>
      <c r="L547" s="87"/>
      <c r="M547" s="87"/>
      <c r="N547" s="87">
        <f t="shared" si="32"/>
        <v>0</v>
      </c>
      <c r="O547" s="87">
        <f t="shared" si="33"/>
        <v>0</v>
      </c>
      <c r="P547" s="87" t="b">
        <f t="shared" si="34"/>
        <v>0</v>
      </c>
      <c r="Q547" s="87" t="b">
        <f>(Requirements!K549="Normative")</f>
        <v>0</v>
      </c>
      <c r="R547" s="87" t="b">
        <f>AND(Requirements!L549&lt;&gt;"Non-testable",Requirements!L549&lt;&gt;"Deleted",Requirements!L549&lt;&gt;"")</f>
        <v>1</v>
      </c>
      <c r="S547" s="87" t="b">
        <f>(VLOOKUP(Requirements!I549,Scope[[Role]:[Description]],2,FALSE)="In")</f>
        <v>1</v>
      </c>
      <c r="T547" s="87">
        <f t="shared" si="35"/>
        <v>0</v>
      </c>
    </row>
    <row r="548" spans="1:20">
      <c r="A548" s="44" t="str">
        <f>Requirements!A550</f>
        <v>MS-SMB_R5649</v>
      </c>
      <c r="B548" s="87"/>
      <c r="C548" s="87"/>
      <c r="D548" s="87"/>
      <c r="E548" s="87"/>
      <c r="F548" s="87"/>
      <c r="G548" s="87"/>
      <c r="H548" s="87"/>
      <c r="I548" s="87"/>
      <c r="J548" s="87"/>
      <c r="K548" s="87"/>
      <c r="L548" s="87"/>
      <c r="M548" s="87"/>
      <c r="N548" s="87">
        <f t="shared" si="32"/>
        <v>0</v>
      </c>
      <c r="O548" s="87">
        <f t="shared" si="33"/>
        <v>0</v>
      </c>
      <c r="P548" s="87" t="b">
        <f t="shared" si="34"/>
        <v>0</v>
      </c>
      <c r="Q548" s="87" t="b">
        <f>(Requirements!K550="Normative")</f>
        <v>0</v>
      </c>
      <c r="R548" s="87" t="b">
        <f>AND(Requirements!L550&lt;&gt;"Non-testable",Requirements!L550&lt;&gt;"Deleted",Requirements!L550&lt;&gt;"")</f>
        <v>1</v>
      </c>
      <c r="S548" s="87" t="b">
        <f>(VLOOKUP(Requirements!I550,Scope[[Role]:[Description]],2,FALSE)="In")</f>
        <v>1</v>
      </c>
      <c r="T548" s="87">
        <f t="shared" si="35"/>
        <v>0</v>
      </c>
    </row>
    <row r="549" spans="1:20">
      <c r="A549" s="44" t="str">
        <f>Requirements!A551</f>
        <v>MS-SMB_R5650</v>
      </c>
      <c r="B549" s="87"/>
      <c r="C549" s="87"/>
      <c r="D549" s="87"/>
      <c r="E549" s="87"/>
      <c r="F549" s="87"/>
      <c r="G549" s="87"/>
      <c r="H549" s="87"/>
      <c r="I549" s="87"/>
      <c r="J549" s="87"/>
      <c r="K549" s="87"/>
      <c r="L549" s="87"/>
      <c r="M549" s="87"/>
      <c r="N549" s="87">
        <f t="shared" si="32"/>
        <v>0</v>
      </c>
      <c r="O549" s="87">
        <f t="shared" si="33"/>
        <v>0</v>
      </c>
      <c r="P549" s="87" t="b">
        <f t="shared" si="34"/>
        <v>0</v>
      </c>
      <c r="Q549" s="87" t="b">
        <f>(Requirements!K551="Normative")</f>
        <v>0</v>
      </c>
      <c r="R549" s="87" t="b">
        <f>AND(Requirements!L551&lt;&gt;"Non-testable",Requirements!L551&lt;&gt;"Deleted",Requirements!L551&lt;&gt;"")</f>
        <v>1</v>
      </c>
      <c r="S549" s="87" t="b">
        <f>(VLOOKUP(Requirements!I551,Scope[[Role]:[Description]],2,FALSE)="In")</f>
        <v>1</v>
      </c>
      <c r="T549" s="87">
        <f t="shared" si="35"/>
        <v>0</v>
      </c>
    </row>
    <row r="550" spans="1:20">
      <c r="A550" s="44" t="str">
        <f>Requirements!A552</f>
        <v>MS-SMB_R105650</v>
      </c>
      <c r="B550" s="87"/>
      <c r="C550" s="87"/>
      <c r="D550" s="87"/>
      <c r="E550" s="87"/>
      <c r="F550" s="87"/>
      <c r="G550" s="87"/>
      <c r="H550" s="87"/>
      <c r="I550" s="87"/>
      <c r="J550" s="87"/>
      <c r="K550" s="87"/>
      <c r="L550" s="87"/>
      <c r="M550" s="87"/>
      <c r="N550" s="87">
        <f t="shared" si="32"/>
        <v>0</v>
      </c>
      <c r="O550" s="87">
        <f t="shared" si="33"/>
        <v>0</v>
      </c>
      <c r="P550" s="87" t="b">
        <f t="shared" si="34"/>
        <v>0</v>
      </c>
      <c r="Q550" s="87" t="b">
        <f>(Requirements!K552="Normative")</f>
        <v>0</v>
      </c>
      <c r="R550" s="87" t="b">
        <f>AND(Requirements!L552&lt;&gt;"Non-testable",Requirements!L552&lt;&gt;"Deleted",Requirements!L552&lt;&gt;"")</f>
        <v>1</v>
      </c>
      <c r="S550" s="87" t="b">
        <f>(VLOOKUP(Requirements!I552,Scope[[Role]:[Description]],2,FALSE)="In")</f>
        <v>1</v>
      </c>
      <c r="T550" s="87">
        <f t="shared" si="35"/>
        <v>0</v>
      </c>
    </row>
    <row r="551" spans="1:20">
      <c r="A551" s="44" t="str">
        <f>Requirements!A553</f>
        <v>MS-SMB_R205650</v>
      </c>
      <c r="B551" s="87"/>
      <c r="C551" s="87"/>
      <c r="D551" s="87"/>
      <c r="E551" s="87"/>
      <c r="F551" s="87"/>
      <c r="G551" s="87"/>
      <c r="H551" s="87"/>
      <c r="I551" s="87"/>
      <c r="J551" s="87"/>
      <c r="K551" s="87"/>
      <c r="L551" s="87"/>
      <c r="M551" s="87"/>
      <c r="N551" s="87">
        <f t="shared" si="32"/>
        <v>0</v>
      </c>
      <c r="O551" s="87">
        <f t="shared" si="33"/>
        <v>0</v>
      </c>
      <c r="P551" s="87" t="b">
        <f t="shared" si="34"/>
        <v>0</v>
      </c>
      <c r="Q551" s="87" t="b">
        <f>(Requirements!K553="Normative")</f>
        <v>0</v>
      </c>
      <c r="R551" s="87" t="b">
        <f>AND(Requirements!L553&lt;&gt;"Non-testable",Requirements!L553&lt;&gt;"Deleted",Requirements!L553&lt;&gt;"")</f>
        <v>1</v>
      </c>
      <c r="S551" s="87" t="b">
        <f>(VLOOKUP(Requirements!I553,Scope[[Role]:[Description]],2,FALSE)="In")</f>
        <v>1</v>
      </c>
      <c r="T551" s="87">
        <f t="shared" si="35"/>
        <v>0</v>
      </c>
    </row>
    <row r="552" spans="1:20">
      <c r="A552" s="44" t="str">
        <f>Requirements!A554</f>
        <v>MS-SMB_R305650</v>
      </c>
      <c r="B552" s="87"/>
      <c r="C552" s="87"/>
      <c r="D552" s="87"/>
      <c r="E552" s="87"/>
      <c r="F552" s="87"/>
      <c r="G552" s="87"/>
      <c r="H552" s="87"/>
      <c r="I552" s="87"/>
      <c r="J552" s="87"/>
      <c r="K552" s="87"/>
      <c r="L552" s="87"/>
      <c r="M552" s="87"/>
      <c r="N552" s="87">
        <f t="shared" si="32"/>
        <v>0</v>
      </c>
      <c r="O552" s="87">
        <f t="shared" si="33"/>
        <v>0</v>
      </c>
      <c r="P552" s="87" t="b">
        <f t="shared" si="34"/>
        <v>0</v>
      </c>
      <c r="Q552" s="87" t="b">
        <f>(Requirements!K554="Normative")</f>
        <v>0</v>
      </c>
      <c r="R552" s="87" t="b">
        <f>AND(Requirements!L554&lt;&gt;"Non-testable",Requirements!L554&lt;&gt;"Deleted",Requirements!L554&lt;&gt;"")</f>
        <v>1</v>
      </c>
      <c r="S552" s="87" t="b">
        <f>(VLOOKUP(Requirements!I554,Scope[[Role]:[Description]],2,FALSE)="In")</f>
        <v>1</v>
      </c>
      <c r="T552" s="87">
        <f t="shared" si="35"/>
        <v>0</v>
      </c>
    </row>
    <row r="553" spans="1:20">
      <c r="A553" s="85" t="str">
        <f>Requirements!A555</f>
        <v>MS-SMB_R405650</v>
      </c>
      <c r="B553" s="87"/>
      <c r="C553" s="87"/>
      <c r="D553" s="87"/>
      <c r="E553" s="87"/>
      <c r="F553" s="87"/>
      <c r="G553" s="87"/>
      <c r="H553" s="87"/>
      <c r="I553" s="87"/>
      <c r="J553" s="87"/>
      <c r="K553" s="87"/>
      <c r="L553" s="87"/>
      <c r="M553" s="87"/>
      <c r="N553" s="87">
        <f t="shared" si="32"/>
        <v>0</v>
      </c>
      <c r="O553" s="61">
        <f t="shared" si="33"/>
        <v>0</v>
      </c>
      <c r="P553" s="61" t="b">
        <f t="shared" si="34"/>
        <v>1</v>
      </c>
      <c r="Q553" s="87" t="b">
        <f>(Requirements!K555="Normative")</f>
        <v>1</v>
      </c>
      <c r="R553" s="87" t="b">
        <f>AND(Requirements!L555&lt;&gt;"Non-testable",Requirements!L555&lt;&gt;"Deleted",Requirements!L555&lt;&gt;"")</f>
        <v>1</v>
      </c>
      <c r="S553" s="87" t="b">
        <f>(VLOOKUP(Requirements!I555,Scope[[Role]:[Description]],2,FALSE)="In")</f>
        <v>1</v>
      </c>
      <c r="T553" s="87">
        <f t="shared" si="35"/>
        <v>0</v>
      </c>
    </row>
    <row r="554" spans="1:20">
      <c r="A554" s="85" t="str">
        <f>Requirements!A556</f>
        <v>MS-SMB_R505650</v>
      </c>
      <c r="B554" s="87"/>
      <c r="C554" s="87"/>
      <c r="D554" s="87"/>
      <c r="E554" s="87"/>
      <c r="F554" s="87"/>
      <c r="G554" s="87"/>
      <c r="H554" s="87"/>
      <c r="I554" s="87"/>
      <c r="J554" s="87"/>
      <c r="K554" s="87"/>
      <c r="L554" s="87"/>
      <c r="M554" s="87"/>
      <c r="N554" s="87">
        <f t="shared" si="32"/>
        <v>0</v>
      </c>
      <c r="O554" s="61">
        <f t="shared" si="33"/>
        <v>0</v>
      </c>
      <c r="P554" s="61" t="b">
        <f t="shared" si="34"/>
        <v>1</v>
      </c>
      <c r="Q554" s="87" t="b">
        <f>(Requirements!K556="Normative")</f>
        <v>1</v>
      </c>
      <c r="R554" s="87" t="b">
        <f>AND(Requirements!L556&lt;&gt;"Non-testable",Requirements!L556&lt;&gt;"Deleted",Requirements!L556&lt;&gt;"")</f>
        <v>1</v>
      </c>
      <c r="S554" s="87" t="b">
        <f>(VLOOKUP(Requirements!I556,Scope[[Role]:[Description]],2,FALSE)="In")</f>
        <v>1</v>
      </c>
      <c r="T554" s="87">
        <f t="shared" si="35"/>
        <v>0</v>
      </c>
    </row>
    <row r="555" spans="1:20">
      <c r="A555" s="44" t="str">
        <f>Requirements!A557</f>
        <v>MS-SMB_R605650</v>
      </c>
      <c r="B555" s="87"/>
      <c r="C555" s="87"/>
      <c r="D555" s="87"/>
      <c r="E555" s="87"/>
      <c r="F555" s="87"/>
      <c r="G555" s="87"/>
      <c r="H555" s="87"/>
      <c r="I555" s="87"/>
      <c r="J555" s="87"/>
      <c r="K555" s="87"/>
      <c r="L555" s="87"/>
      <c r="M555" s="87"/>
      <c r="N555" s="87">
        <f t="shared" si="32"/>
        <v>0</v>
      </c>
      <c r="O555" s="87">
        <f t="shared" si="33"/>
        <v>0</v>
      </c>
      <c r="P555" s="87" t="b">
        <f t="shared" si="34"/>
        <v>0</v>
      </c>
      <c r="Q555" s="87" t="b">
        <f>(Requirements!K557="Normative")</f>
        <v>0</v>
      </c>
      <c r="R555" s="87" t="b">
        <f>AND(Requirements!L557&lt;&gt;"Non-testable",Requirements!L557&lt;&gt;"Deleted",Requirements!L557&lt;&gt;"")</f>
        <v>1</v>
      </c>
      <c r="S555" s="87" t="b">
        <f>(VLOOKUP(Requirements!I557,Scope[[Role]:[Description]],2,FALSE)="In")</f>
        <v>1</v>
      </c>
      <c r="T555" s="87">
        <f t="shared" si="35"/>
        <v>0</v>
      </c>
    </row>
    <row r="556" spans="1:20">
      <c r="A556" s="84" t="str">
        <f>Requirements!A558</f>
        <v>MS-SMB_R5651</v>
      </c>
      <c r="B556" s="87"/>
      <c r="C556" s="87"/>
      <c r="D556" s="87"/>
      <c r="E556" s="87"/>
      <c r="F556" s="87"/>
      <c r="G556" s="87"/>
      <c r="H556" s="87"/>
      <c r="I556" s="87"/>
      <c r="J556" s="87"/>
      <c r="K556" s="87"/>
      <c r="L556" s="87">
        <v>1</v>
      </c>
      <c r="M556" s="87"/>
      <c r="N556" s="87">
        <f t="shared" si="32"/>
        <v>1</v>
      </c>
      <c r="O556" s="60">
        <f t="shared" si="33"/>
        <v>1</v>
      </c>
      <c r="P556" s="60" t="b">
        <f t="shared" si="34"/>
        <v>1</v>
      </c>
      <c r="Q556" s="87" t="b">
        <f>(Requirements!K558="Normative")</f>
        <v>1</v>
      </c>
      <c r="R556" s="87" t="b">
        <f>AND(Requirements!L558&lt;&gt;"Non-testable",Requirements!L558&lt;&gt;"Deleted",Requirements!L558&lt;&gt;"")</f>
        <v>1</v>
      </c>
      <c r="S556" s="87" t="b">
        <f>(VLOOKUP(Requirements!I558,Scope[[Role]:[Description]],2,FALSE)="In")</f>
        <v>1</v>
      </c>
      <c r="T556" s="87">
        <f t="shared" si="35"/>
        <v>1</v>
      </c>
    </row>
    <row r="557" spans="1:20">
      <c r="A557" s="84" t="str">
        <f>Requirements!A559</f>
        <v>MS-SMB_R5652</v>
      </c>
      <c r="B557" s="87"/>
      <c r="C557" s="87"/>
      <c r="D557" s="87"/>
      <c r="E557" s="87"/>
      <c r="F557" s="87"/>
      <c r="G557" s="87"/>
      <c r="H557" s="87"/>
      <c r="I557" s="87"/>
      <c r="J557" s="87"/>
      <c r="K557" s="87"/>
      <c r="L557" s="87">
        <v>1</v>
      </c>
      <c r="M557" s="87"/>
      <c r="N557" s="87">
        <f t="shared" si="32"/>
        <v>1</v>
      </c>
      <c r="O557" s="60">
        <f t="shared" si="33"/>
        <v>1</v>
      </c>
      <c r="P557" s="60" t="b">
        <f t="shared" si="34"/>
        <v>1</v>
      </c>
      <c r="Q557" s="87" t="b">
        <f>(Requirements!K559="Normative")</f>
        <v>1</v>
      </c>
      <c r="R557" s="87" t="b">
        <f>AND(Requirements!L559&lt;&gt;"Non-testable",Requirements!L559&lt;&gt;"Deleted",Requirements!L559&lt;&gt;"")</f>
        <v>1</v>
      </c>
      <c r="S557" s="87" t="b">
        <f>(VLOOKUP(Requirements!I559,Scope[[Role]:[Description]],2,FALSE)="In")</f>
        <v>1</v>
      </c>
      <c r="T557" s="87">
        <f t="shared" si="35"/>
        <v>1</v>
      </c>
    </row>
    <row r="558" spans="1:20">
      <c r="A558" s="84" t="str">
        <f>Requirements!A560</f>
        <v>MS-SMB_R5653</v>
      </c>
      <c r="B558" s="87"/>
      <c r="C558" s="87"/>
      <c r="D558" s="87"/>
      <c r="E558" s="87"/>
      <c r="F558" s="87"/>
      <c r="G558" s="87"/>
      <c r="H558" s="87"/>
      <c r="I558" s="87"/>
      <c r="J558" s="87"/>
      <c r="K558" s="87"/>
      <c r="L558" s="87">
        <v>1</v>
      </c>
      <c r="M558" s="87"/>
      <c r="N558" s="87">
        <f t="shared" si="32"/>
        <v>1</v>
      </c>
      <c r="O558" s="60">
        <f t="shared" si="33"/>
        <v>1</v>
      </c>
      <c r="P558" s="60" t="b">
        <f t="shared" si="34"/>
        <v>1</v>
      </c>
      <c r="Q558" s="87" t="b">
        <f>(Requirements!K560="Normative")</f>
        <v>1</v>
      </c>
      <c r="R558" s="87" t="b">
        <f>AND(Requirements!L560&lt;&gt;"Non-testable",Requirements!L560&lt;&gt;"Deleted",Requirements!L560&lt;&gt;"")</f>
        <v>1</v>
      </c>
      <c r="S558" s="87" t="b">
        <f>(VLOOKUP(Requirements!I560,Scope[[Role]:[Description]],2,FALSE)="In")</f>
        <v>1</v>
      </c>
      <c r="T558" s="87">
        <f t="shared" si="35"/>
        <v>1</v>
      </c>
    </row>
    <row r="559" spans="1:20">
      <c r="A559" s="44" t="str">
        <f>Requirements!A561</f>
        <v>MS-SMB_R5655</v>
      </c>
      <c r="B559" s="87"/>
      <c r="C559" s="87"/>
      <c r="D559" s="87"/>
      <c r="E559" s="87"/>
      <c r="F559" s="87"/>
      <c r="G559" s="87"/>
      <c r="H559" s="87"/>
      <c r="I559" s="87"/>
      <c r="J559" s="87"/>
      <c r="K559" s="87"/>
      <c r="L559" s="87"/>
      <c r="M559" s="87"/>
      <c r="N559" s="87">
        <f t="shared" si="32"/>
        <v>0</v>
      </c>
      <c r="O559" s="87">
        <f t="shared" si="33"/>
        <v>0</v>
      </c>
      <c r="P559" s="87" t="b">
        <f t="shared" si="34"/>
        <v>0</v>
      </c>
      <c r="Q559" s="87" t="b">
        <f>(Requirements!K561="Normative")</f>
        <v>0</v>
      </c>
      <c r="R559" s="87" t="b">
        <f>AND(Requirements!L561&lt;&gt;"Non-testable",Requirements!L561&lt;&gt;"Deleted",Requirements!L561&lt;&gt;"")</f>
        <v>1</v>
      </c>
      <c r="S559" s="87" t="b">
        <f>(VLOOKUP(Requirements!I561,Scope[[Role]:[Description]],2,FALSE)="In")</f>
        <v>1</v>
      </c>
      <c r="T559" s="87">
        <f t="shared" si="35"/>
        <v>0</v>
      </c>
    </row>
    <row r="560" spans="1:20">
      <c r="A560" s="84" t="str">
        <f>Requirements!A562</f>
        <v>MS-SMB_R5656</v>
      </c>
      <c r="B560" s="87"/>
      <c r="C560" s="87"/>
      <c r="D560" s="87"/>
      <c r="E560" s="87"/>
      <c r="F560" s="87"/>
      <c r="G560" s="87"/>
      <c r="H560" s="87"/>
      <c r="I560" s="87"/>
      <c r="J560" s="87"/>
      <c r="K560" s="87"/>
      <c r="L560" s="87">
        <v>1</v>
      </c>
      <c r="M560" s="87"/>
      <c r="N560" s="87">
        <f t="shared" si="32"/>
        <v>1</v>
      </c>
      <c r="O560" s="60">
        <f t="shared" si="33"/>
        <v>1</v>
      </c>
      <c r="P560" s="60" t="b">
        <f t="shared" si="34"/>
        <v>1</v>
      </c>
      <c r="Q560" s="87" t="b">
        <f>(Requirements!K562="Normative")</f>
        <v>1</v>
      </c>
      <c r="R560" s="87" t="b">
        <f>AND(Requirements!L562&lt;&gt;"Non-testable",Requirements!L562&lt;&gt;"Deleted",Requirements!L562&lt;&gt;"")</f>
        <v>1</v>
      </c>
      <c r="S560" s="87" t="b">
        <f>(VLOOKUP(Requirements!I562,Scope[[Role]:[Description]],2,FALSE)="In")</f>
        <v>1</v>
      </c>
      <c r="T560" s="87">
        <f t="shared" si="35"/>
        <v>1</v>
      </c>
    </row>
    <row r="561" spans="1:20">
      <c r="A561" s="84" t="str">
        <f>Requirements!A563</f>
        <v>MS-SMB_R105656</v>
      </c>
      <c r="B561" s="87"/>
      <c r="C561" s="87"/>
      <c r="D561" s="87"/>
      <c r="E561" s="87"/>
      <c r="F561" s="87"/>
      <c r="G561" s="87"/>
      <c r="H561" s="87"/>
      <c r="I561" s="87"/>
      <c r="J561" s="87"/>
      <c r="K561" s="87"/>
      <c r="L561" s="87">
        <v>1</v>
      </c>
      <c r="M561" s="87"/>
      <c r="N561" s="87">
        <f t="shared" si="32"/>
        <v>1</v>
      </c>
      <c r="O561" s="60">
        <f t="shared" si="33"/>
        <v>1</v>
      </c>
      <c r="P561" s="60" t="b">
        <f t="shared" si="34"/>
        <v>1</v>
      </c>
      <c r="Q561" s="87" t="b">
        <f>(Requirements!K563="Normative")</f>
        <v>1</v>
      </c>
      <c r="R561" s="87" t="b">
        <f>AND(Requirements!L563&lt;&gt;"Non-testable",Requirements!L563&lt;&gt;"Deleted",Requirements!L563&lt;&gt;"")</f>
        <v>1</v>
      </c>
      <c r="S561" s="87" t="b">
        <f>(VLOOKUP(Requirements!I563,Scope[[Role]:[Description]],2,FALSE)="In")</f>
        <v>1</v>
      </c>
      <c r="T561" s="87">
        <f t="shared" si="35"/>
        <v>1</v>
      </c>
    </row>
    <row r="562" spans="1:20">
      <c r="A562" s="44" t="str">
        <f>Requirements!A564</f>
        <v>MS-SMB_R9230</v>
      </c>
      <c r="B562" s="87"/>
      <c r="C562" s="87"/>
      <c r="D562" s="87"/>
      <c r="E562" s="87"/>
      <c r="F562" s="87"/>
      <c r="G562" s="87"/>
      <c r="H562" s="87"/>
      <c r="I562" s="87"/>
      <c r="J562" s="87"/>
      <c r="K562" s="87"/>
      <c r="L562" s="87"/>
      <c r="M562" s="87"/>
      <c r="N562" s="87">
        <f t="shared" si="32"/>
        <v>0</v>
      </c>
      <c r="O562" s="87">
        <f t="shared" si="33"/>
        <v>0</v>
      </c>
      <c r="P562" s="87" t="b">
        <f t="shared" si="34"/>
        <v>0</v>
      </c>
      <c r="Q562" s="87" t="b">
        <f>(Requirements!K564="Normative")</f>
        <v>0</v>
      </c>
      <c r="R562" s="87" t="b">
        <f>AND(Requirements!L564&lt;&gt;"Non-testable",Requirements!L564&lt;&gt;"Deleted",Requirements!L564&lt;&gt;"")</f>
        <v>1</v>
      </c>
      <c r="S562" s="87" t="b">
        <f>(VLOOKUP(Requirements!I564,Scope[[Role]:[Description]],2,FALSE)="In")</f>
        <v>1</v>
      </c>
      <c r="T562" s="87">
        <f t="shared" si="35"/>
        <v>0</v>
      </c>
    </row>
    <row r="563" spans="1:20">
      <c r="A563" s="44" t="str">
        <f>Requirements!A565</f>
        <v>MS-SMB_R9231</v>
      </c>
      <c r="B563" s="87"/>
      <c r="C563" s="87"/>
      <c r="D563" s="87"/>
      <c r="E563" s="87"/>
      <c r="F563" s="87"/>
      <c r="G563" s="87"/>
      <c r="H563" s="87"/>
      <c r="I563" s="87"/>
      <c r="J563" s="87"/>
      <c r="K563" s="87"/>
      <c r="L563" s="87"/>
      <c r="M563" s="87"/>
      <c r="N563" s="87">
        <f t="shared" si="32"/>
        <v>0</v>
      </c>
      <c r="O563" s="87">
        <f t="shared" si="33"/>
        <v>0</v>
      </c>
      <c r="P563" s="87" t="b">
        <f t="shared" si="34"/>
        <v>0</v>
      </c>
      <c r="Q563" s="87" t="b">
        <f>(Requirements!K565="Normative")</f>
        <v>0</v>
      </c>
      <c r="R563" s="87" t="b">
        <f>AND(Requirements!L565&lt;&gt;"Non-testable",Requirements!L565&lt;&gt;"Deleted",Requirements!L565&lt;&gt;"")</f>
        <v>1</v>
      </c>
      <c r="S563" s="87" t="b">
        <f>(VLOOKUP(Requirements!I565,Scope[[Role]:[Description]],2,FALSE)="In")</f>
        <v>1</v>
      </c>
      <c r="T563" s="87">
        <f t="shared" si="35"/>
        <v>0</v>
      </c>
    </row>
    <row r="564" spans="1:20">
      <c r="A564" s="44" t="str">
        <f>Requirements!A566</f>
        <v>MS-SMB_R9232</v>
      </c>
      <c r="B564" s="87"/>
      <c r="C564" s="87"/>
      <c r="D564" s="87"/>
      <c r="E564" s="87"/>
      <c r="F564" s="87"/>
      <c r="G564" s="87"/>
      <c r="H564" s="87"/>
      <c r="I564" s="87"/>
      <c r="J564" s="87"/>
      <c r="K564" s="87"/>
      <c r="L564" s="87"/>
      <c r="M564" s="87"/>
      <c r="N564" s="87">
        <f t="shared" si="32"/>
        <v>0</v>
      </c>
      <c r="O564" s="87">
        <f t="shared" si="33"/>
        <v>0</v>
      </c>
      <c r="P564" s="87" t="b">
        <f t="shared" si="34"/>
        <v>0</v>
      </c>
      <c r="Q564" s="87" t="b">
        <f>(Requirements!K566="Normative")</f>
        <v>0</v>
      </c>
      <c r="R564" s="87" t="b">
        <f>AND(Requirements!L566&lt;&gt;"Non-testable",Requirements!L566&lt;&gt;"Deleted",Requirements!L566&lt;&gt;"")</f>
        <v>1</v>
      </c>
      <c r="S564" s="87" t="b">
        <f>(VLOOKUP(Requirements!I566,Scope[[Role]:[Description]],2,FALSE)="In")</f>
        <v>1</v>
      </c>
      <c r="T564" s="87">
        <f t="shared" si="35"/>
        <v>0</v>
      </c>
    </row>
    <row r="565" spans="1:20">
      <c r="A565" s="44" t="str">
        <f>Requirements!A567</f>
        <v>MS-SMB_R9233</v>
      </c>
      <c r="B565" s="87"/>
      <c r="C565" s="87"/>
      <c r="D565" s="87"/>
      <c r="E565" s="87"/>
      <c r="F565" s="87"/>
      <c r="G565" s="87"/>
      <c r="H565" s="87"/>
      <c r="I565" s="87"/>
      <c r="J565" s="87"/>
      <c r="K565" s="87"/>
      <c r="L565" s="87"/>
      <c r="M565" s="87"/>
      <c r="N565" s="87">
        <f t="shared" si="32"/>
        <v>0</v>
      </c>
      <c r="O565" s="87">
        <f t="shared" si="33"/>
        <v>0</v>
      </c>
      <c r="P565" s="87" t="b">
        <f t="shared" si="34"/>
        <v>0</v>
      </c>
      <c r="Q565" s="87" t="b">
        <f>(Requirements!K567="Normative")</f>
        <v>0</v>
      </c>
      <c r="R565" s="87" t="b">
        <f>AND(Requirements!L567&lt;&gt;"Non-testable",Requirements!L567&lt;&gt;"Deleted",Requirements!L567&lt;&gt;"")</f>
        <v>1</v>
      </c>
      <c r="S565" s="87" t="b">
        <f>(VLOOKUP(Requirements!I567,Scope[[Role]:[Description]],2,FALSE)="In")</f>
        <v>1</v>
      </c>
      <c r="T565" s="87">
        <f t="shared" si="35"/>
        <v>0</v>
      </c>
    </row>
    <row r="566" spans="1:20">
      <c r="A566" s="44" t="str">
        <f>Requirements!A568</f>
        <v>MS-SMB_R9234</v>
      </c>
      <c r="B566" s="87"/>
      <c r="C566" s="87"/>
      <c r="D566" s="87"/>
      <c r="E566" s="87"/>
      <c r="F566" s="87"/>
      <c r="G566" s="87"/>
      <c r="H566" s="87"/>
      <c r="I566" s="87"/>
      <c r="J566" s="87"/>
      <c r="K566" s="87"/>
      <c r="L566" s="87"/>
      <c r="M566" s="87"/>
      <c r="N566" s="87">
        <f t="shared" si="32"/>
        <v>0</v>
      </c>
      <c r="O566" s="87">
        <f t="shared" si="33"/>
        <v>0</v>
      </c>
      <c r="P566" s="87" t="b">
        <f t="shared" si="34"/>
        <v>0</v>
      </c>
      <c r="Q566" s="87" t="b">
        <f>(Requirements!K568="Normative")</f>
        <v>0</v>
      </c>
      <c r="R566" s="87" t="b">
        <f>AND(Requirements!L568&lt;&gt;"Non-testable",Requirements!L568&lt;&gt;"Deleted",Requirements!L568&lt;&gt;"")</f>
        <v>1</v>
      </c>
      <c r="S566" s="87" t="b">
        <f>(VLOOKUP(Requirements!I568,Scope[[Role]:[Description]],2,FALSE)="In")</f>
        <v>1</v>
      </c>
      <c r="T566" s="87">
        <f t="shared" si="35"/>
        <v>0</v>
      </c>
    </row>
    <row r="567" spans="1:20">
      <c r="A567" s="44" t="str">
        <f>Requirements!A569</f>
        <v>MS-SMB_R9235</v>
      </c>
      <c r="B567" s="87"/>
      <c r="C567" s="87"/>
      <c r="D567" s="87"/>
      <c r="E567" s="87"/>
      <c r="F567" s="87"/>
      <c r="G567" s="87"/>
      <c r="H567" s="87"/>
      <c r="I567" s="87"/>
      <c r="J567" s="87"/>
      <c r="K567" s="87"/>
      <c r="L567" s="87"/>
      <c r="M567" s="87"/>
      <c r="N567" s="87">
        <f t="shared" si="32"/>
        <v>0</v>
      </c>
      <c r="O567" s="87">
        <f t="shared" si="33"/>
        <v>0</v>
      </c>
      <c r="P567" s="87" t="b">
        <f t="shared" si="34"/>
        <v>0</v>
      </c>
      <c r="Q567" s="87" t="b">
        <f>(Requirements!K569="Normative")</f>
        <v>0</v>
      </c>
      <c r="R567" s="87" t="b">
        <f>AND(Requirements!L569&lt;&gt;"Non-testable",Requirements!L569&lt;&gt;"Deleted",Requirements!L569&lt;&gt;"")</f>
        <v>1</v>
      </c>
      <c r="S567" s="87" t="b">
        <f>(VLOOKUP(Requirements!I569,Scope[[Role]:[Description]],2,FALSE)="In")</f>
        <v>1</v>
      </c>
      <c r="T567" s="87">
        <f t="shared" si="35"/>
        <v>0</v>
      </c>
    </row>
    <row r="568" spans="1:20">
      <c r="A568" s="44" t="str">
        <f>Requirements!A570</f>
        <v>MS-SMB_R9236</v>
      </c>
      <c r="B568" s="87"/>
      <c r="C568" s="87"/>
      <c r="D568" s="87"/>
      <c r="E568" s="87"/>
      <c r="F568" s="87"/>
      <c r="G568" s="87"/>
      <c r="H568" s="87"/>
      <c r="I568" s="87"/>
      <c r="J568" s="87"/>
      <c r="K568" s="87"/>
      <c r="L568" s="87"/>
      <c r="M568" s="87"/>
      <c r="N568" s="87">
        <f t="shared" si="32"/>
        <v>0</v>
      </c>
      <c r="O568" s="87">
        <f t="shared" si="33"/>
        <v>0</v>
      </c>
      <c r="P568" s="87" t="b">
        <f t="shared" si="34"/>
        <v>0</v>
      </c>
      <c r="Q568" s="87" t="b">
        <f>(Requirements!K570="Normative")</f>
        <v>0</v>
      </c>
      <c r="R568" s="87" t="b">
        <f>AND(Requirements!L570&lt;&gt;"Non-testable",Requirements!L570&lt;&gt;"Deleted",Requirements!L570&lt;&gt;"")</f>
        <v>1</v>
      </c>
      <c r="S568" s="87" t="b">
        <f>(VLOOKUP(Requirements!I570,Scope[[Role]:[Description]],2,FALSE)="In")</f>
        <v>1</v>
      </c>
      <c r="T568" s="87">
        <f t="shared" si="35"/>
        <v>0</v>
      </c>
    </row>
    <row r="569" spans="1:20">
      <c r="A569" s="44" t="str">
        <f>Requirements!A571</f>
        <v>MS-SMB_R9237</v>
      </c>
      <c r="B569" s="87"/>
      <c r="C569" s="87"/>
      <c r="D569" s="87"/>
      <c r="E569" s="87"/>
      <c r="F569" s="87"/>
      <c r="G569" s="87"/>
      <c r="H569" s="87"/>
      <c r="I569" s="87"/>
      <c r="J569" s="87"/>
      <c r="K569" s="87"/>
      <c r="L569" s="87"/>
      <c r="M569" s="87"/>
      <c r="N569" s="87">
        <f t="shared" si="32"/>
        <v>0</v>
      </c>
      <c r="O569" s="87">
        <f t="shared" si="33"/>
        <v>0</v>
      </c>
      <c r="P569" s="87" t="b">
        <f t="shared" si="34"/>
        <v>0</v>
      </c>
      <c r="Q569" s="87" t="b">
        <f>(Requirements!K571="Normative")</f>
        <v>0</v>
      </c>
      <c r="R569" s="87" t="b">
        <f>AND(Requirements!L571&lt;&gt;"Non-testable",Requirements!L571&lt;&gt;"Deleted",Requirements!L571&lt;&gt;"")</f>
        <v>1</v>
      </c>
      <c r="S569" s="87" t="b">
        <f>(VLOOKUP(Requirements!I571,Scope[[Role]:[Description]],2,FALSE)="In")</f>
        <v>1</v>
      </c>
      <c r="T569" s="87">
        <f t="shared" si="35"/>
        <v>0</v>
      </c>
    </row>
    <row r="570" spans="1:20">
      <c r="A570" s="44" t="str">
        <f>Requirements!A572</f>
        <v>MS-SMB_R9238</v>
      </c>
      <c r="B570" s="87"/>
      <c r="C570" s="87"/>
      <c r="D570" s="87"/>
      <c r="E570" s="87"/>
      <c r="F570" s="87"/>
      <c r="G570" s="87"/>
      <c r="H570" s="87"/>
      <c r="I570" s="87"/>
      <c r="J570" s="87"/>
      <c r="K570" s="87"/>
      <c r="L570" s="87"/>
      <c r="M570" s="87"/>
      <c r="N570" s="87">
        <f t="shared" si="32"/>
        <v>0</v>
      </c>
      <c r="O570" s="87">
        <f t="shared" si="33"/>
        <v>0</v>
      </c>
      <c r="P570" s="87" t="b">
        <f t="shared" si="34"/>
        <v>0</v>
      </c>
      <c r="Q570" s="87" t="b">
        <f>(Requirements!K572="Normative")</f>
        <v>0</v>
      </c>
      <c r="R570" s="87" t="b">
        <f>AND(Requirements!L572&lt;&gt;"Non-testable",Requirements!L572&lt;&gt;"Deleted",Requirements!L572&lt;&gt;"")</f>
        <v>1</v>
      </c>
      <c r="S570" s="87" t="b">
        <f>(VLOOKUP(Requirements!I572,Scope[[Role]:[Description]],2,FALSE)="In")</f>
        <v>1</v>
      </c>
      <c r="T570" s="87">
        <f t="shared" si="35"/>
        <v>0</v>
      </c>
    </row>
    <row r="571" spans="1:20">
      <c r="A571" s="44" t="str">
        <f>Requirements!A573</f>
        <v>MS-SMB_R9239</v>
      </c>
      <c r="B571" s="87"/>
      <c r="C571" s="87"/>
      <c r="D571" s="87"/>
      <c r="E571" s="87"/>
      <c r="F571" s="87"/>
      <c r="G571" s="87"/>
      <c r="H571" s="87"/>
      <c r="I571" s="87"/>
      <c r="J571" s="87"/>
      <c r="K571" s="87"/>
      <c r="L571" s="87"/>
      <c r="M571" s="87"/>
      <c r="N571" s="87">
        <f t="shared" si="32"/>
        <v>0</v>
      </c>
      <c r="O571" s="87">
        <f t="shared" si="33"/>
        <v>0</v>
      </c>
      <c r="P571" s="87" t="b">
        <f t="shared" si="34"/>
        <v>0</v>
      </c>
      <c r="Q571" s="87" t="b">
        <f>(Requirements!K573="Normative")</f>
        <v>0</v>
      </c>
      <c r="R571" s="87" t="b">
        <f>AND(Requirements!L573&lt;&gt;"Non-testable",Requirements!L573&lt;&gt;"Deleted",Requirements!L573&lt;&gt;"")</f>
        <v>1</v>
      </c>
      <c r="S571" s="87" t="b">
        <f>(VLOOKUP(Requirements!I573,Scope[[Role]:[Description]],2,FALSE)="In")</f>
        <v>1</v>
      </c>
      <c r="T571" s="87">
        <f t="shared" si="35"/>
        <v>0</v>
      </c>
    </row>
    <row r="572" spans="1:20">
      <c r="A572" s="44" t="str">
        <f>Requirements!A574</f>
        <v>MS-SMB_R9240</v>
      </c>
      <c r="B572" s="87"/>
      <c r="C572" s="87"/>
      <c r="D572" s="87"/>
      <c r="E572" s="87"/>
      <c r="F572" s="87"/>
      <c r="G572" s="87"/>
      <c r="H572" s="87"/>
      <c r="I572" s="87"/>
      <c r="J572" s="87"/>
      <c r="K572" s="87"/>
      <c r="L572" s="87"/>
      <c r="M572" s="87"/>
      <c r="N572" s="87">
        <f t="shared" si="32"/>
        <v>0</v>
      </c>
      <c r="O572" s="87">
        <f t="shared" si="33"/>
        <v>0</v>
      </c>
      <c r="P572" s="87" t="b">
        <f t="shared" si="34"/>
        <v>0</v>
      </c>
      <c r="Q572" s="87" t="b">
        <f>(Requirements!K574="Normative")</f>
        <v>0</v>
      </c>
      <c r="R572" s="87" t="b">
        <f>AND(Requirements!L574&lt;&gt;"Non-testable",Requirements!L574&lt;&gt;"Deleted",Requirements!L574&lt;&gt;"")</f>
        <v>1</v>
      </c>
      <c r="S572" s="87" t="b">
        <f>(VLOOKUP(Requirements!I574,Scope[[Role]:[Description]],2,FALSE)="In")</f>
        <v>1</v>
      </c>
      <c r="T572" s="87">
        <f t="shared" si="35"/>
        <v>0</v>
      </c>
    </row>
    <row r="573" spans="1:20">
      <c r="A573" s="44" t="str">
        <f>Requirements!A575</f>
        <v>MS-SMB_R9241</v>
      </c>
      <c r="B573" s="87"/>
      <c r="C573" s="87"/>
      <c r="D573" s="87"/>
      <c r="E573" s="87"/>
      <c r="F573" s="87"/>
      <c r="G573" s="87"/>
      <c r="H573" s="87"/>
      <c r="I573" s="87"/>
      <c r="J573" s="87"/>
      <c r="K573" s="87"/>
      <c r="L573" s="87"/>
      <c r="M573" s="87"/>
      <c r="N573" s="87">
        <f t="shared" si="32"/>
        <v>0</v>
      </c>
      <c r="O573" s="87">
        <f t="shared" si="33"/>
        <v>0</v>
      </c>
      <c r="P573" s="87" t="b">
        <f t="shared" si="34"/>
        <v>0</v>
      </c>
      <c r="Q573" s="87" t="b">
        <f>(Requirements!K575="Normative")</f>
        <v>0</v>
      </c>
      <c r="R573" s="87" t="b">
        <f>AND(Requirements!L575&lt;&gt;"Non-testable",Requirements!L575&lt;&gt;"Deleted",Requirements!L575&lt;&gt;"")</f>
        <v>1</v>
      </c>
      <c r="S573" s="87" t="b">
        <f>(VLOOKUP(Requirements!I575,Scope[[Role]:[Description]],2,FALSE)="In")</f>
        <v>1</v>
      </c>
      <c r="T573" s="87">
        <f t="shared" si="35"/>
        <v>0</v>
      </c>
    </row>
    <row r="574" spans="1:20">
      <c r="A574" s="85" t="str">
        <f>Requirements!A576</f>
        <v>MS-SMB_R9242</v>
      </c>
      <c r="B574" s="87"/>
      <c r="C574" s="87"/>
      <c r="D574" s="87"/>
      <c r="E574" s="87"/>
      <c r="F574" s="87"/>
      <c r="G574" s="87"/>
      <c r="H574" s="87"/>
      <c r="I574" s="87"/>
      <c r="J574" s="87"/>
      <c r="K574" s="87"/>
      <c r="L574" s="87"/>
      <c r="M574" s="87"/>
      <c r="N574" s="87">
        <f t="shared" si="32"/>
        <v>0</v>
      </c>
      <c r="O574" s="61">
        <f t="shared" si="33"/>
        <v>0</v>
      </c>
      <c r="P574" s="61" t="b">
        <f t="shared" si="34"/>
        <v>1</v>
      </c>
      <c r="Q574" s="87" t="b">
        <f>(Requirements!K576="Normative")</f>
        <v>1</v>
      </c>
      <c r="R574" s="87" t="b">
        <f>AND(Requirements!L576&lt;&gt;"Non-testable",Requirements!L576&lt;&gt;"Deleted",Requirements!L576&lt;&gt;"")</f>
        <v>1</v>
      </c>
      <c r="S574" s="87" t="b">
        <f>(VLOOKUP(Requirements!I576,Scope[[Role]:[Description]],2,FALSE)="In")</f>
        <v>1</v>
      </c>
      <c r="T574" s="87">
        <f t="shared" si="35"/>
        <v>0</v>
      </c>
    </row>
    <row r="575" spans="1:20">
      <c r="A575" s="44" t="str">
        <f>Requirements!A577</f>
        <v>MS-SMB_R9243</v>
      </c>
      <c r="B575" s="87"/>
      <c r="C575" s="87"/>
      <c r="D575" s="87"/>
      <c r="E575" s="87"/>
      <c r="F575" s="87"/>
      <c r="G575" s="87"/>
      <c r="H575" s="87"/>
      <c r="I575" s="87"/>
      <c r="J575" s="87"/>
      <c r="K575" s="87"/>
      <c r="L575" s="87"/>
      <c r="M575" s="87"/>
      <c r="N575" s="87">
        <f t="shared" si="32"/>
        <v>0</v>
      </c>
      <c r="O575" s="87">
        <f t="shared" si="33"/>
        <v>0</v>
      </c>
      <c r="P575" s="87" t="b">
        <f t="shared" si="34"/>
        <v>0</v>
      </c>
      <c r="Q575" s="87" t="b">
        <f>(Requirements!K577="Normative")</f>
        <v>1</v>
      </c>
      <c r="R575" s="87" t="b">
        <f>AND(Requirements!L577&lt;&gt;"Non-testable",Requirements!L577&lt;&gt;"Deleted",Requirements!L577&lt;&gt;"")</f>
        <v>0</v>
      </c>
      <c r="S575" s="87" t="b">
        <f>(VLOOKUP(Requirements!I577,Scope[[Role]:[Description]],2,FALSE)="In")</f>
        <v>1</v>
      </c>
      <c r="T575" s="87">
        <f t="shared" si="35"/>
        <v>0</v>
      </c>
    </row>
    <row r="576" spans="1:20">
      <c r="A576" s="84" t="str">
        <f>Requirements!A578</f>
        <v>MS-SMB_R109243</v>
      </c>
      <c r="B576" s="87"/>
      <c r="C576" s="87"/>
      <c r="D576" s="87"/>
      <c r="E576" s="87"/>
      <c r="F576" s="87"/>
      <c r="G576" s="87"/>
      <c r="H576" s="87"/>
      <c r="I576" s="87">
        <v>1</v>
      </c>
      <c r="J576" s="87"/>
      <c r="K576" s="87"/>
      <c r="L576" s="87"/>
      <c r="M576" s="87"/>
      <c r="N576" s="87">
        <f t="shared" si="32"/>
        <v>1</v>
      </c>
      <c r="O576" s="60">
        <f t="shared" si="33"/>
        <v>1</v>
      </c>
      <c r="P576" s="60" t="b">
        <f t="shared" si="34"/>
        <v>1</v>
      </c>
      <c r="Q576" s="87" t="b">
        <f>(Requirements!K578="Normative")</f>
        <v>1</v>
      </c>
      <c r="R576" s="87" t="b">
        <f>AND(Requirements!L578&lt;&gt;"Non-testable",Requirements!L578&lt;&gt;"Deleted",Requirements!L578&lt;&gt;"")</f>
        <v>1</v>
      </c>
      <c r="S576" s="87" t="b">
        <f>(VLOOKUP(Requirements!I578,Scope[[Role]:[Description]],2,FALSE)="In")</f>
        <v>1</v>
      </c>
      <c r="T576" s="87">
        <f t="shared" si="35"/>
        <v>1</v>
      </c>
    </row>
    <row r="577" spans="1:60">
      <c r="A577" s="44" t="str">
        <f>Requirements!A579</f>
        <v>MS-SMB_R9244</v>
      </c>
      <c r="B577" s="87"/>
      <c r="C577" s="87"/>
      <c r="D577" s="87"/>
      <c r="E577" s="87"/>
      <c r="F577" s="87"/>
      <c r="G577" s="87"/>
      <c r="H577" s="87"/>
      <c r="I577" s="87"/>
      <c r="J577" s="87"/>
      <c r="K577" s="87"/>
      <c r="L577" s="87"/>
      <c r="M577" s="87"/>
      <c r="N577" s="87">
        <f t="shared" si="32"/>
        <v>0</v>
      </c>
      <c r="O577" s="87">
        <f t="shared" si="33"/>
        <v>0</v>
      </c>
      <c r="P577" s="87" t="b">
        <f t="shared" si="34"/>
        <v>0</v>
      </c>
      <c r="Q577" s="87" t="b">
        <f>(Requirements!K579="Normative")</f>
        <v>0</v>
      </c>
      <c r="R577" s="87" t="b">
        <f>AND(Requirements!L579&lt;&gt;"Non-testable",Requirements!L579&lt;&gt;"Deleted",Requirements!L579&lt;&gt;"")</f>
        <v>1</v>
      </c>
      <c r="S577" s="87" t="b">
        <f>(VLOOKUP(Requirements!I579,Scope[[Role]:[Description]],2,FALSE)="In")</f>
        <v>1</v>
      </c>
      <c r="T577" s="87">
        <f t="shared" si="35"/>
        <v>0</v>
      </c>
    </row>
    <row r="578" spans="1:60">
      <c r="A578" s="44" t="str">
        <f>Requirements!A580</f>
        <v>MS-SMB_R9245</v>
      </c>
      <c r="B578" s="87"/>
      <c r="C578" s="87"/>
      <c r="D578" s="87"/>
      <c r="E578" s="87"/>
      <c r="F578" s="87"/>
      <c r="G578" s="87"/>
      <c r="H578" s="87"/>
      <c r="I578" s="87"/>
      <c r="J578" s="87"/>
      <c r="K578" s="87"/>
      <c r="L578" s="87"/>
      <c r="M578" s="87"/>
      <c r="N578" s="87">
        <f t="shared" si="32"/>
        <v>0</v>
      </c>
      <c r="O578" s="87">
        <f t="shared" si="33"/>
        <v>0</v>
      </c>
      <c r="P578" s="87" t="b">
        <f t="shared" si="34"/>
        <v>0</v>
      </c>
      <c r="Q578" s="87" t="b">
        <f>(Requirements!K580="Normative")</f>
        <v>0</v>
      </c>
      <c r="R578" s="87" t="b">
        <f>AND(Requirements!L580&lt;&gt;"Non-testable",Requirements!L580&lt;&gt;"Deleted",Requirements!L580&lt;&gt;"")</f>
        <v>1</v>
      </c>
      <c r="S578" s="87" t="b">
        <f>(VLOOKUP(Requirements!I580,Scope[[Role]:[Description]],2,FALSE)="In")</f>
        <v>1</v>
      </c>
      <c r="T578" s="87">
        <f t="shared" si="35"/>
        <v>0</v>
      </c>
    </row>
    <row r="579" spans="1:60">
      <c r="A579" s="44" t="str">
        <f>Requirements!A581</f>
        <v>MS-SMB_R9246</v>
      </c>
      <c r="B579" s="87"/>
      <c r="C579" s="87"/>
      <c r="D579" s="87"/>
      <c r="E579" s="87"/>
      <c r="F579" s="87"/>
      <c r="G579" s="87"/>
      <c r="H579" s="87"/>
      <c r="I579" s="87"/>
      <c r="J579" s="87"/>
      <c r="K579" s="87"/>
      <c r="L579" s="87"/>
      <c r="M579" s="87"/>
      <c r="N579" s="87">
        <f t="shared" si="32"/>
        <v>0</v>
      </c>
      <c r="O579" s="87">
        <f t="shared" si="33"/>
        <v>0</v>
      </c>
      <c r="P579" s="87" t="b">
        <f t="shared" si="34"/>
        <v>0</v>
      </c>
      <c r="Q579" s="87" t="b">
        <f>(Requirements!K581="Normative")</f>
        <v>0</v>
      </c>
      <c r="R579" s="87" t="b">
        <f>AND(Requirements!L581&lt;&gt;"Non-testable",Requirements!L581&lt;&gt;"Deleted",Requirements!L581&lt;&gt;"")</f>
        <v>1</v>
      </c>
      <c r="S579" s="87" t="b">
        <f>(VLOOKUP(Requirements!I581,Scope[[Role]:[Description]],2,FALSE)="In")</f>
        <v>1</v>
      </c>
      <c r="T579" s="87">
        <f t="shared" si="35"/>
        <v>0</v>
      </c>
    </row>
    <row r="580" spans="1:60">
      <c r="A580" s="44" t="str">
        <f>Requirements!A582</f>
        <v>MS-SMB_R9247</v>
      </c>
      <c r="B580" s="87"/>
      <c r="C580" s="87"/>
      <c r="D580" s="87"/>
      <c r="E580" s="87"/>
      <c r="F580" s="87"/>
      <c r="G580" s="87"/>
      <c r="H580" s="87"/>
      <c r="I580" s="87"/>
      <c r="J580" s="87"/>
      <c r="K580" s="87"/>
      <c r="L580" s="87"/>
      <c r="M580" s="87"/>
      <c r="N580" s="87">
        <f t="shared" si="32"/>
        <v>0</v>
      </c>
      <c r="O580" s="87">
        <f t="shared" si="33"/>
        <v>0</v>
      </c>
      <c r="P580" s="87" t="b">
        <f t="shared" si="34"/>
        <v>0</v>
      </c>
      <c r="Q580" s="87" t="b">
        <f>(Requirements!K582="Normative")</f>
        <v>0</v>
      </c>
      <c r="R580" s="87" t="b">
        <f>AND(Requirements!L582&lt;&gt;"Non-testable",Requirements!L582&lt;&gt;"Deleted",Requirements!L582&lt;&gt;"")</f>
        <v>1</v>
      </c>
      <c r="S580" s="87" t="b">
        <f>(VLOOKUP(Requirements!I582,Scope[[Role]:[Description]],2,FALSE)="In")</f>
        <v>1</v>
      </c>
      <c r="T580" s="87">
        <f t="shared" si="35"/>
        <v>0</v>
      </c>
    </row>
    <row r="581" spans="1:60">
      <c r="A581" s="44" t="str">
        <f>Requirements!A583</f>
        <v>MS-SMB_R9248</v>
      </c>
      <c r="B581" s="87"/>
      <c r="C581" s="87"/>
      <c r="D581" s="87"/>
      <c r="E581" s="87"/>
      <c r="F581" s="87"/>
      <c r="G581" s="87"/>
      <c r="H581" s="87"/>
      <c r="I581" s="87"/>
      <c r="J581" s="87"/>
      <c r="K581" s="87"/>
      <c r="L581" s="87"/>
      <c r="M581" s="87"/>
      <c r="N581" s="87">
        <f t="shared" si="32"/>
        <v>0</v>
      </c>
      <c r="O581" s="87">
        <f t="shared" si="33"/>
        <v>0</v>
      </c>
      <c r="P581" s="87" t="b">
        <f t="shared" si="34"/>
        <v>0</v>
      </c>
      <c r="Q581" s="87" t="b">
        <f>(Requirements!K583="Normative")</f>
        <v>0</v>
      </c>
      <c r="R581" s="87" t="b">
        <f>AND(Requirements!L583&lt;&gt;"Non-testable",Requirements!L583&lt;&gt;"Deleted",Requirements!L583&lt;&gt;"")</f>
        <v>1</v>
      </c>
      <c r="S581" s="87" t="b">
        <f>(VLOOKUP(Requirements!I583,Scope[[Role]:[Description]],2,FALSE)="In")</f>
        <v>1</v>
      </c>
      <c r="T581" s="87">
        <f t="shared" si="35"/>
        <v>0</v>
      </c>
    </row>
    <row r="582" spans="1:60">
      <c r="A582" s="85" t="str">
        <f>Requirements!A584</f>
        <v>MS-SMB_R5809</v>
      </c>
      <c r="B582" s="87"/>
      <c r="C582" s="87"/>
      <c r="D582" s="87"/>
      <c r="E582" s="87"/>
      <c r="F582" s="87"/>
      <c r="G582" s="87"/>
      <c r="H582" s="87"/>
      <c r="I582" s="87"/>
      <c r="J582" s="87"/>
      <c r="K582" s="87"/>
      <c r="L582" s="87"/>
      <c r="M582" s="87"/>
      <c r="N582" s="87">
        <f t="shared" si="32"/>
        <v>0</v>
      </c>
      <c r="O582" s="61">
        <f t="shared" si="33"/>
        <v>0</v>
      </c>
      <c r="P582" s="61" t="b">
        <f t="shared" si="34"/>
        <v>1</v>
      </c>
      <c r="Q582" s="87" t="b">
        <f>(Requirements!K584="Normative")</f>
        <v>1</v>
      </c>
      <c r="R582" s="87" t="b">
        <f>AND(Requirements!L584&lt;&gt;"Non-testable",Requirements!L584&lt;&gt;"Deleted",Requirements!L584&lt;&gt;"")</f>
        <v>1</v>
      </c>
      <c r="S582" s="87" t="b">
        <f>(VLOOKUP(Requirements!I584,Scope[[Role]:[Description]],2,FALSE)="In")</f>
        <v>1</v>
      </c>
      <c r="T582" s="87">
        <f t="shared" si="35"/>
        <v>0</v>
      </c>
    </row>
    <row r="583" spans="1:60">
      <c r="A583" s="83" t="str">
        <f>Requirements!A585</f>
        <v>MS-SMB_R1004000</v>
      </c>
      <c r="B583" s="46"/>
      <c r="C583" s="46"/>
      <c r="D583" s="46"/>
      <c r="E583" s="46"/>
      <c r="F583" s="46"/>
      <c r="G583" s="46"/>
      <c r="H583" s="46"/>
      <c r="I583" s="46"/>
      <c r="J583" s="46"/>
      <c r="K583" s="46"/>
      <c r="L583" s="46"/>
      <c r="M583" s="46"/>
      <c r="N583" s="46">
        <f t="shared" si="32"/>
        <v>0</v>
      </c>
      <c r="O583" s="46">
        <f t="shared" si="33"/>
        <v>0</v>
      </c>
      <c r="P583" s="46" t="b">
        <f t="shared" si="34"/>
        <v>0</v>
      </c>
      <c r="Q583" s="46" t="b">
        <f>(Requirements!K585="Normative")</f>
        <v>0</v>
      </c>
      <c r="R583" s="46" t="b">
        <f>AND(Requirements!L585&lt;&gt;"Non-testable",Requirements!L585&lt;&gt;"Deleted",Requirements!L585&lt;&gt;"")</f>
        <v>0</v>
      </c>
      <c r="S583" s="46" t="b">
        <f>(VLOOKUP(Requirements!I585,Scope[[Role]:[Description]],2,FALSE)="In")</f>
        <v>1</v>
      </c>
      <c r="T583" s="46">
        <f t="shared" si="35"/>
        <v>0</v>
      </c>
      <c r="U583" s="45"/>
      <c r="V583" s="45"/>
      <c r="W583" s="45"/>
      <c r="X583" s="45"/>
      <c r="Y583" s="45"/>
      <c r="Z583" s="45"/>
      <c r="AA583" s="45"/>
      <c r="AB583" s="45"/>
      <c r="AC583" s="45"/>
      <c r="AD583" s="45"/>
      <c r="AE583" s="45"/>
      <c r="AF583" s="45"/>
      <c r="AG583" s="45"/>
      <c r="AH583" s="45"/>
      <c r="AI583" s="45"/>
      <c r="AJ583" s="45"/>
      <c r="AK583" s="45"/>
      <c r="AL583" s="45"/>
      <c r="AM583" s="45"/>
      <c r="AN583" s="45"/>
      <c r="AO583" s="45"/>
      <c r="AP583" s="45"/>
      <c r="AQ583" s="45"/>
      <c r="AR583" s="45"/>
      <c r="AS583" s="45"/>
      <c r="AT583" s="45"/>
      <c r="AU583" s="45"/>
      <c r="AV583" s="45"/>
      <c r="AW583" s="45"/>
      <c r="AX583" s="45"/>
      <c r="AY583" s="45"/>
      <c r="AZ583" s="45"/>
      <c r="BA583" s="45"/>
      <c r="BB583" s="45"/>
      <c r="BC583" s="45"/>
      <c r="BD583" s="45"/>
      <c r="BE583" s="45"/>
      <c r="BF583" s="45"/>
      <c r="BG583" s="45"/>
      <c r="BH583" s="45"/>
    </row>
    <row r="584" spans="1:60">
      <c r="A584" s="44" t="str">
        <f>Requirements!A586</f>
        <v>MS-SMB_R5810</v>
      </c>
      <c r="B584" s="87"/>
      <c r="C584" s="87"/>
      <c r="D584" s="87"/>
      <c r="E584" s="87"/>
      <c r="F584" s="87"/>
      <c r="G584" s="87"/>
      <c r="H584" s="87"/>
      <c r="I584" s="87"/>
      <c r="J584" s="87"/>
      <c r="K584" s="87"/>
      <c r="L584" s="87"/>
      <c r="M584" s="87"/>
      <c r="N584" s="87">
        <f t="shared" si="32"/>
        <v>0</v>
      </c>
      <c r="O584" s="87">
        <f t="shared" si="33"/>
        <v>0</v>
      </c>
      <c r="P584" s="87" t="b">
        <f t="shared" si="34"/>
        <v>0</v>
      </c>
      <c r="Q584" s="87" t="b">
        <f>(Requirements!K586="Normative")</f>
        <v>0</v>
      </c>
      <c r="R584" s="87" t="b">
        <f>AND(Requirements!L586&lt;&gt;"Non-testable",Requirements!L586&lt;&gt;"Deleted",Requirements!L586&lt;&gt;"")</f>
        <v>1</v>
      </c>
      <c r="S584" s="87" t="b">
        <f>(VLOOKUP(Requirements!I586,Scope[[Role]:[Description]],2,FALSE)="In")</f>
        <v>1</v>
      </c>
      <c r="T584" s="87">
        <f t="shared" si="35"/>
        <v>0</v>
      </c>
    </row>
    <row r="585" spans="1:60">
      <c r="A585" s="85" t="str">
        <f>Requirements!A587</f>
        <v>MS-SMB_R5811</v>
      </c>
      <c r="B585" s="87"/>
      <c r="C585" s="87"/>
      <c r="D585" s="87"/>
      <c r="E585" s="87"/>
      <c r="F585" s="87"/>
      <c r="G585" s="87"/>
      <c r="H585" s="87"/>
      <c r="I585" s="87"/>
      <c r="J585" s="87"/>
      <c r="K585" s="87"/>
      <c r="L585" s="87"/>
      <c r="M585" s="87"/>
      <c r="N585" s="87">
        <f t="shared" si="32"/>
        <v>0</v>
      </c>
      <c r="O585" s="61">
        <f t="shared" si="33"/>
        <v>0</v>
      </c>
      <c r="P585" s="61" t="b">
        <f t="shared" si="34"/>
        <v>1</v>
      </c>
      <c r="Q585" s="87" t="b">
        <f>(Requirements!K587="Normative")</f>
        <v>1</v>
      </c>
      <c r="R585" s="87" t="b">
        <f>AND(Requirements!L587&lt;&gt;"Non-testable",Requirements!L587&lt;&gt;"Deleted",Requirements!L587&lt;&gt;"")</f>
        <v>1</v>
      </c>
      <c r="S585" s="87" t="b">
        <f>(VLOOKUP(Requirements!I587,Scope[[Role]:[Description]],2,FALSE)="In")</f>
        <v>1</v>
      </c>
      <c r="T585" s="87">
        <f t="shared" si="35"/>
        <v>0</v>
      </c>
    </row>
    <row r="586" spans="1:60">
      <c r="A586" s="44" t="str">
        <f>Requirements!A588</f>
        <v>MS-SMB_R5812</v>
      </c>
      <c r="B586" s="87"/>
      <c r="C586" s="87"/>
      <c r="D586" s="87"/>
      <c r="E586" s="87"/>
      <c r="F586" s="87"/>
      <c r="G586" s="87"/>
      <c r="H586" s="87"/>
      <c r="I586" s="87"/>
      <c r="J586" s="87"/>
      <c r="K586" s="87"/>
      <c r="L586" s="87"/>
      <c r="M586" s="87"/>
      <c r="N586" s="87">
        <f t="shared" si="32"/>
        <v>0</v>
      </c>
      <c r="O586" s="87">
        <f t="shared" si="33"/>
        <v>0</v>
      </c>
      <c r="P586" s="87" t="b">
        <f t="shared" si="34"/>
        <v>0</v>
      </c>
      <c r="Q586" s="87" t="b">
        <f>(Requirements!K588="Normative")</f>
        <v>0</v>
      </c>
      <c r="R586" s="87" t="b">
        <f>AND(Requirements!L588&lt;&gt;"Non-testable",Requirements!L588&lt;&gt;"Deleted",Requirements!L588&lt;&gt;"")</f>
        <v>1</v>
      </c>
      <c r="S586" s="87" t="b">
        <f>(VLOOKUP(Requirements!I588,Scope[[Role]:[Description]],2,FALSE)="In")</f>
        <v>1</v>
      </c>
      <c r="T586" s="87">
        <f t="shared" si="35"/>
        <v>0</v>
      </c>
    </row>
    <row r="587" spans="1:60">
      <c r="A587" s="44" t="str">
        <f>Requirements!A589</f>
        <v>MS-SMB_R5813</v>
      </c>
      <c r="B587" s="87"/>
      <c r="C587" s="87"/>
      <c r="D587" s="87"/>
      <c r="E587" s="87"/>
      <c r="F587" s="87"/>
      <c r="G587" s="87"/>
      <c r="H587" s="87"/>
      <c r="I587" s="87"/>
      <c r="J587" s="87"/>
      <c r="K587" s="87"/>
      <c r="L587" s="87"/>
      <c r="M587" s="87"/>
      <c r="N587" s="87">
        <f t="shared" si="32"/>
        <v>0</v>
      </c>
      <c r="O587" s="87">
        <f t="shared" si="33"/>
        <v>0</v>
      </c>
      <c r="P587" s="87" t="b">
        <f t="shared" si="34"/>
        <v>0</v>
      </c>
      <c r="Q587" s="87" t="b">
        <f>(Requirements!K589="Normative")</f>
        <v>0</v>
      </c>
      <c r="R587" s="87" t="b">
        <f>AND(Requirements!L589&lt;&gt;"Non-testable",Requirements!L589&lt;&gt;"Deleted",Requirements!L589&lt;&gt;"")</f>
        <v>1</v>
      </c>
      <c r="S587" s="87" t="b">
        <f>(VLOOKUP(Requirements!I589,Scope[[Role]:[Description]],2,FALSE)="In")</f>
        <v>1</v>
      </c>
      <c r="T587" s="87">
        <f t="shared" si="35"/>
        <v>0</v>
      </c>
    </row>
    <row r="588" spans="1:60">
      <c r="A588" s="44" t="str">
        <f>Requirements!A590</f>
        <v>MS-SMB_R5814</v>
      </c>
      <c r="B588" s="87"/>
      <c r="C588" s="87"/>
      <c r="D588" s="87"/>
      <c r="E588" s="87"/>
      <c r="F588" s="87"/>
      <c r="G588" s="87"/>
      <c r="H588" s="87"/>
      <c r="I588" s="87"/>
      <c r="J588" s="87"/>
      <c r="K588" s="87"/>
      <c r="L588" s="87"/>
      <c r="M588" s="87"/>
      <c r="N588" s="87">
        <f t="shared" si="32"/>
        <v>0</v>
      </c>
      <c r="O588" s="87">
        <f t="shared" si="33"/>
        <v>0</v>
      </c>
      <c r="P588" s="87" t="b">
        <f t="shared" si="34"/>
        <v>0</v>
      </c>
      <c r="Q588" s="87" t="b">
        <f>(Requirements!K590="Normative")</f>
        <v>0</v>
      </c>
      <c r="R588" s="87" t="b">
        <f>AND(Requirements!L590&lt;&gt;"Non-testable",Requirements!L590&lt;&gt;"Deleted",Requirements!L590&lt;&gt;"")</f>
        <v>1</v>
      </c>
      <c r="S588" s="87" t="b">
        <f>(VLOOKUP(Requirements!I590,Scope[[Role]:[Description]],2,FALSE)="In")</f>
        <v>1</v>
      </c>
      <c r="T588" s="87">
        <f t="shared" si="35"/>
        <v>0</v>
      </c>
    </row>
    <row r="589" spans="1:60">
      <c r="A589" s="44" t="str">
        <f>Requirements!A591</f>
        <v>MS-SMB_R5815</v>
      </c>
      <c r="B589" s="87"/>
      <c r="C589" s="87"/>
      <c r="D589" s="87"/>
      <c r="E589" s="87"/>
      <c r="F589" s="87"/>
      <c r="G589" s="87"/>
      <c r="H589" s="87"/>
      <c r="I589" s="87"/>
      <c r="J589" s="87"/>
      <c r="K589" s="87"/>
      <c r="L589" s="87"/>
      <c r="M589" s="87"/>
      <c r="N589" s="87">
        <f t="shared" si="32"/>
        <v>0</v>
      </c>
      <c r="O589" s="87">
        <f t="shared" si="33"/>
        <v>0</v>
      </c>
      <c r="P589" s="87" t="b">
        <f t="shared" si="34"/>
        <v>0</v>
      </c>
      <c r="Q589" s="87" t="b">
        <f>(Requirements!K591="Normative")</f>
        <v>0</v>
      </c>
      <c r="R589" s="87" t="b">
        <f>AND(Requirements!L591&lt;&gt;"Non-testable",Requirements!L591&lt;&gt;"Deleted",Requirements!L591&lt;&gt;"")</f>
        <v>1</v>
      </c>
      <c r="S589" s="87" t="b">
        <f>(VLOOKUP(Requirements!I591,Scope[[Role]:[Description]],2,FALSE)="In")</f>
        <v>1</v>
      </c>
      <c r="T589" s="87">
        <f t="shared" si="35"/>
        <v>0</v>
      </c>
    </row>
    <row r="590" spans="1:60">
      <c r="A590" s="44" t="str">
        <f>Requirements!A592</f>
        <v>MS-SMB_R5816</v>
      </c>
      <c r="B590" s="87"/>
      <c r="C590" s="87"/>
      <c r="D590" s="87"/>
      <c r="E590" s="87"/>
      <c r="F590" s="87"/>
      <c r="G590" s="87"/>
      <c r="H590" s="87"/>
      <c r="I590" s="87"/>
      <c r="J590" s="87"/>
      <c r="K590" s="87"/>
      <c r="L590" s="87"/>
      <c r="M590" s="87"/>
      <c r="N590" s="87">
        <f t="shared" si="32"/>
        <v>0</v>
      </c>
      <c r="O590" s="87">
        <f t="shared" si="33"/>
        <v>0</v>
      </c>
      <c r="P590" s="87" t="b">
        <f t="shared" si="34"/>
        <v>0</v>
      </c>
      <c r="Q590" s="87" t="b">
        <f>(Requirements!K592="Normative")</f>
        <v>0</v>
      </c>
      <c r="R590" s="87" t="b">
        <f>AND(Requirements!L592&lt;&gt;"Non-testable",Requirements!L592&lt;&gt;"Deleted",Requirements!L592&lt;&gt;"")</f>
        <v>1</v>
      </c>
      <c r="S590" s="87" t="b">
        <f>(VLOOKUP(Requirements!I592,Scope[[Role]:[Description]],2,FALSE)="In")</f>
        <v>1</v>
      </c>
      <c r="T590" s="87">
        <f t="shared" si="35"/>
        <v>0</v>
      </c>
    </row>
    <row r="591" spans="1:60">
      <c r="A591" s="44" t="str">
        <f>Requirements!A593</f>
        <v>MS-SMB_R5817</v>
      </c>
      <c r="B591" s="87"/>
      <c r="C591" s="87"/>
      <c r="D591" s="87"/>
      <c r="E591" s="87"/>
      <c r="F591" s="87"/>
      <c r="G591" s="87"/>
      <c r="H591" s="87"/>
      <c r="I591" s="87"/>
      <c r="J591" s="87"/>
      <c r="K591" s="87"/>
      <c r="L591" s="87"/>
      <c r="M591" s="87"/>
      <c r="N591" s="87">
        <f t="shared" si="32"/>
        <v>0</v>
      </c>
      <c r="O591" s="87">
        <f t="shared" si="33"/>
        <v>0</v>
      </c>
      <c r="P591" s="87" t="b">
        <f t="shared" si="34"/>
        <v>0</v>
      </c>
      <c r="Q591" s="87" t="b">
        <f>(Requirements!K593="Normative")</f>
        <v>0</v>
      </c>
      <c r="R591" s="87" t="b">
        <f>AND(Requirements!L593&lt;&gt;"Non-testable",Requirements!L593&lt;&gt;"Deleted",Requirements!L593&lt;&gt;"")</f>
        <v>1</v>
      </c>
      <c r="S591" s="87" t="b">
        <f>(VLOOKUP(Requirements!I593,Scope[[Role]:[Description]],2,FALSE)="In")</f>
        <v>1</v>
      </c>
      <c r="T591" s="87">
        <f t="shared" si="35"/>
        <v>0</v>
      </c>
    </row>
    <row r="592" spans="1:60">
      <c r="A592" s="44" t="str">
        <f>Requirements!A594</f>
        <v>MS-SMB_R5818</v>
      </c>
      <c r="B592" s="87"/>
      <c r="C592" s="87"/>
      <c r="D592" s="87"/>
      <c r="E592" s="87"/>
      <c r="F592" s="87"/>
      <c r="G592" s="87"/>
      <c r="H592" s="87"/>
      <c r="I592" s="87"/>
      <c r="J592" s="87"/>
      <c r="K592" s="87"/>
      <c r="L592" s="87"/>
      <c r="M592" s="87"/>
      <c r="N592" s="87">
        <f t="shared" si="32"/>
        <v>0</v>
      </c>
      <c r="O592" s="87">
        <f t="shared" si="33"/>
        <v>0</v>
      </c>
      <c r="P592" s="87" t="b">
        <f t="shared" si="34"/>
        <v>0</v>
      </c>
      <c r="Q592" s="87" t="b">
        <f>(Requirements!K594="Normative")</f>
        <v>0</v>
      </c>
      <c r="R592" s="87" t="b">
        <f>AND(Requirements!L594&lt;&gt;"Non-testable",Requirements!L594&lt;&gt;"Deleted",Requirements!L594&lt;&gt;"")</f>
        <v>1</v>
      </c>
      <c r="S592" s="87" t="b">
        <f>(VLOOKUP(Requirements!I594,Scope[[Role]:[Description]],2,FALSE)="In")</f>
        <v>1</v>
      </c>
      <c r="T592" s="87">
        <f t="shared" si="35"/>
        <v>0</v>
      </c>
    </row>
    <row r="593" spans="1:20">
      <c r="A593" s="44" t="str">
        <f>Requirements!A595</f>
        <v>MS-SMB_R5819</v>
      </c>
      <c r="B593" s="87"/>
      <c r="C593" s="87"/>
      <c r="D593" s="87"/>
      <c r="E593" s="87"/>
      <c r="F593" s="87"/>
      <c r="G593" s="87"/>
      <c r="H593" s="87"/>
      <c r="I593" s="87"/>
      <c r="J593" s="87"/>
      <c r="K593" s="87"/>
      <c r="L593" s="87"/>
      <c r="M593" s="87"/>
      <c r="N593" s="87">
        <f t="shared" si="32"/>
        <v>0</v>
      </c>
      <c r="O593" s="87">
        <f t="shared" si="33"/>
        <v>0</v>
      </c>
      <c r="P593" s="87" t="b">
        <f t="shared" si="34"/>
        <v>0</v>
      </c>
      <c r="Q593" s="87" t="b">
        <f>(Requirements!K595="Normative")</f>
        <v>0</v>
      </c>
      <c r="R593" s="87" t="b">
        <f>AND(Requirements!L595&lt;&gt;"Non-testable",Requirements!L595&lt;&gt;"Deleted",Requirements!L595&lt;&gt;"")</f>
        <v>1</v>
      </c>
      <c r="S593" s="87" t="b">
        <f>(VLOOKUP(Requirements!I595,Scope[[Role]:[Description]],2,FALSE)="In")</f>
        <v>1</v>
      </c>
      <c r="T593" s="87">
        <f t="shared" si="35"/>
        <v>0</v>
      </c>
    </row>
    <row r="594" spans="1:20">
      <c r="A594" s="44" t="str">
        <f>Requirements!A596</f>
        <v>MS-SMB_R5820</v>
      </c>
      <c r="B594" s="87"/>
      <c r="C594" s="87"/>
      <c r="D594" s="87"/>
      <c r="E594" s="87"/>
      <c r="F594" s="87"/>
      <c r="G594" s="87"/>
      <c r="H594" s="87"/>
      <c r="I594" s="87"/>
      <c r="J594" s="87"/>
      <c r="K594" s="87"/>
      <c r="L594" s="87"/>
      <c r="M594" s="87"/>
      <c r="N594" s="87">
        <f t="shared" si="32"/>
        <v>0</v>
      </c>
      <c r="O594" s="87">
        <f t="shared" si="33"/>
        <v>0</v>
      </c>
      <c r="P594" s="87" t="b">
        <f t="shared" si="34"/>
        <v>0</v>
      </c>
      <c r="Q594" s="87" t="b">
        <f>(Requirements!K596="Normative")</f>
        <v>0</v>
      </c>
      <c r="R594" s="87" t="b">
        <f>AND(Requirements!L596&lt;&gt;"Non-testable",Requirements!L596&lt;&gt;"Deleted",Requirements!L596&lt;&gt;"")</f>
        <v>1</v>
      </c>
      <c r="S594" s="87" t="b">
        <f>(VLOOKUP(Requirements!I596,Scope[[Role]:[Description]],2,FALSE)="In")</f>
        <v>1</v>
      </c>
      <c r="T594" s="87">
        <f t="shared" si="35"/>
        <v>0</v>
      </c>
    </row>
    <row r="595" spans="1:20">
      <c r="A595" s="44" t="str">
        <f>Requirements!A597</f>
        <v>MS-SMB_R105842</v>
      </c>
      <c r="B595" s="87"/>
      <c r="C595" s="87"/>
      <c r="D595" s="87"/>
      <c r="E595" s="87"/>
      <c r="F595" s="87"/>
      <c r="G595" s="87"/>
      <c r="H595" s="87"/>
      <c r="I595" s="87"/>
      <c r="J595" s="87"/>
      <c r="K595" s="87"/>
      <c r="L595" s="87"/>
      <c r="M595" s="87"/>
      <c r="N595" s="87">
        <f t="shared" si="32"/>
        <v>0</v>
      </c>
      <c r="O595" s="87">
        <f t="shared" si="33"/>
        <v>0</v>
      </c>
      <c r="P595" s="87" t="b">
        <f t="shared" si="34"/>
        <v>0</v>
      </c>
      <c r="Q595" s="87" t="b">
        <f>(Requirements!K597="Normative")</f>
        <v>0</v>
      </c>
      <c r="R595" s="87" t="b">
        <f>AND(Requirements!L597&lt;&gt;"Non-testable",Requirements!L597&lt;&gt;"Deleted",Requirements!L597&lt;&gt;"")</f>
        <v>1</v>
      </c>
      <c r="S595" s="87" t="b">
        <f>(VLOOKUP(Requirements!I597,Scope[[Role]:[Description]],2,FALSE)="In")</f>
        <v>1</v>
      </c>
      <c r="T595" s="87">
        <f t="shared" si="35"/>
        <v>0</v>
      </c>
    </row>
    <row r="596" spans="1:20">
      <c r="A596" s="44" t="str">
        <f>Requirements!A598</f>
        <v>MS-SMB_R5842</v>
      </c>
      <c r="B596" s="87"/>
      <c r="C596" s="87"/>
      <c r="D596" s="87"/>
      <c r="E596" s="87"/>
      <c r="F596" s="87"/>
      <c r="G596" s="87"/>
      <c r="H596" s="87"/>
      <c r="I596" s="87"/>
      <c r="J596" s="87"/>
      <c r="K596" s="87"/>
      <c r="L596" s="87"/>
      <c r="M596" s="87"/>
      <c r="N596" s="87">
        <f t="shared" ref="N596:N659" si="36">SUM(B596:M596)</f>
        <v>0</v>
      </c>
      <c r="O596" s="87">
        <f t="shared" ref="O596:O659" si="37">IF(N596=0,0,1)</f>
        <v>0</v>
      </c>
      <c r="P596" s="87" t="b">
        <f t="shared" ref="P596:P659" si="38">AND(Q596:S596)</f>
        <v>0</v>
      </c>
      <c r="Q596" s="87" t="b">
        <f>(Requirements!K598="Normative")</f>
        <v>0</v>
      </c>
      <c r="R596" s="87" t="b">
        <f>AND(Requirements!L598&lt;&gt;"Non-testable",Requirements!L598&lt;&gt;"Deleted",Requirements!L598&lt;&gt;"")</f>
        <v>1</v>
      </c>
      <c r="S596" s="87" t="b">
        <f>(VLOOKUP(Requirements!I598,Scope[[Role]:[Description]],2,FALSE)="In")</f>
        <v>1</v>
      </c>
      <c r="T596" s="87">
        <f t="shared" ref="T596:T659" si="39">IF(P596,O596, 0)</f>
        <v>0</v>
      </c>
    </row>
    <row r="597" spans="1:20">
      <c r="A597" s="44" t="str">
        <f>Requirements!A599</f>
        <v>MS-SMB_R5843</v>
      </c>
      <c r="B597" s="87"/>
      <c r="C597" s="87"/>
      <c r="D597" s="87"/>
      <c r="E597" s="87"/>
      <c r="F597" s="87"/>
      <c r="G597" s="87"/>
      <c r="H597" s="87"/>
      <c r="I597" s="87"/>
      <c r="J597" s="87"/>
      <c r="K597" s="87"/>
      <c r="L597" s="87"/>
      <c r="M597" s="87"/>
      <c r="N597" s="87">
        <f t="shared" si="36"/>
        <v>0</v>
      </c>
      <c r="O597" s="87">
        <f t="shared" si="37"/>
        <v>0</v>
      </c>
      <c r="P597" s="87" t="b">
        <f t="shared" si="38"/>
        <v>0</v>
      </c>
      <c r="Q597" s="87" t="b">
        <f>(Requirements!K599="Normative")</f>
        <v>0</v>
      </c>
      <c r="R597" s="87" t="b">
        <f>AND(Requirements!L599&lt;&gt;"Non-testable",Requirements!L599&lt;&gt;"Deleted",Requirements!L599&lt;&gt;"")</f>
        <v>1</v>
      </c>
      <c r="S597" s="87" t="b">
        <f>(VLOOKUP(Requirements!I599,Scope[[Role]:[Description]],2,FALSE)="In")</f>
        <v>1</v>
      </c>
      <c r="T597" s="87">
        <f t="shared" si="39"/>
        <v>0</v>
      </c>
    </row>
    <row r="598" spans="1:20">
      <c r="A598" s="44" t="str">
        <f>Requirements!A600</f>
        <v>MS-SMB_R5844</v>
      </c>
      <c r="B598" s="87"/>
      <c r="C598" s="87"/>
      <c r="D598" s="87"/>
      <c r="E598" s="87"/>
      <c r="F598" s="87"/>
      <c r="G598" s="87"/>
      <c r="H598" s="87"/>
      <c r="I598" s="87"/>
      <c r="J598" s="87"/>
      <c r="K598" s="87"/>
      <c r="L598" s="87"/>
      <c r="M598" s="87"/>
      <c r="N598" s="87">
        <f t="shared" si="36"/>
        <v>0</v>
      </c>
      <c r="O598" s="87">
        <f t="shared" si="37"/>
        <v>0</v>
      </c>
      <c r="P598" s="87" t="b">
        <f t="shared" si="38"/>
        <v>0</v>
      </c>
      <c r="Q598" s="87" t="b">
        <f>(Requirements!K600="Normative")</f>
        <v>0</v>
      </c>
      <c r="R598" s="87" t="b">
        <f>AND(Requirements!L600&lt;&gt;"Non-testable",Requirements!L600&lt;&gt;"Deleted",Requirements!L600&lt;&gt;"")</f>
        <v>1</v>
      </c>
      <c r="S598" s="87" t="b">
        <f>(VLOOKUP(Requirements!I600,Scope[[Role]:[Description]],2,FALSE)="In")</f>
        <v>1</v>
      </c>
      <c r="T598" s="87">
        <f t="shared" si="39"/>
        <v>0</v>
      </c>
    </row>
    <row r="599" spans="1:20">
      <c r="A599" s="84" t="str">
        <f>Requirements!A601</f>
        <v>MS-SMB_R502</v>
      </c>
      <c r="B599" s="87"/>
      <c r="C599" s="87"/>
      <c r="D599" s="87"/>
      <c r="E599" s="87"/>
      <c r="F599" s="87"/>
      <c r="G599" s="87"/>
      <c r="H599" s="87"/>
      <c r="I599" s="87"/>
      <c r="J599" s="87"/>
      <c r="K599" s="87"/>
      <c r="L599" s="87">
        <v>1</v>
      </c>
      <c r="M599" s="87"/>
      <c r="N599" s="87">
        <f t="shared" si="36"/>
        <v>1</v>
      </c>
      <c r="O599" s="60">
        <f t="shared" si="37"/>
        <v>1</v>
      </c>
      <c r="P599" s="60" t="b">
        <f t="shared" si="38"/>
        <v>1</v>
      </c>
      <c r="Q599" s="87" t="b">
        <f>(Requirements!K601="Normative")</f>
        <v>1</v>
      </c>
      <c r="R599" s="87" t="b">
        <f>AND(Requirements!L601&lt;&gt;"Non-testable",Requirements!L601&lt;&gt;"Deleted",Requirements!L601&lt;&gt;"")</f>
        <v>1</v>
      </c>
      <c r="S599" s="87" t="b">
        <f>(VLOOKUP(Requirements!I601,Scope[[Role]:[Description]],2,FALSE)="In")</f>
        <v>1</v>
      </c>
      <c r="T599" s="87">
        <f t="shared" si="39"/>
        <v>1</v>
      </c>
    </row>
    <row r="600" spans="1:20">
      <c r="A600" s="84" t="str">
        <f>Requirements!A602</f>
        <v>MS-SMB_R19248</v>
      </c>
      <c r="B600" s="87"/>
      <c r="C600" s="87"/>
      <c r="D600" s="87"/>
      <c r="E600" s="87"/>
      <c r="F600" s="87"/>
      <c r="G600" s="87"/>
      <c r="H600" s="87"/>
      <c r="I600" s="87"/>
      <c r="J600" s="87"/>
      <c r="K600" s="87"/>
      <c r="L600" s="87">
        <v>1</v>
      </c>
      <c r="M600" s="87"/>
      <c r="N600" s="87">
        <f t="shared" si="36"/>
        <v>1</v>
      </c>
      <c r="O600" s="60">
        <f t="shared" si="37"/>
        <v>1</v>
      </c>
      <c r="P600" s="60" t="b">
        <f t="shared" si="38"/>
        <v>1</v>
      </c>
      <c r="Q600" s="87" t="b">
        <f>(Requirements!K602="Normative")</f>
        <v>1</v>
      </c>
      <c r="R600" s="87" t="b">
        <f>AND(Requirements!L602&lt;&gt;"Non-testable",Requirements!L602&lt;&gt;"Deleted",Requirements!L602&lt;&gt;"")</f>
        <v>1</v>
      </c>
      <c r="S600" s="87" t="b">
        <f>(VLOOKUP(Requirements!I602,Scope[[Role]:[Description]],2,FALSE)="In")</f>
        <v>1</v>
      </c>
      <c r="T600" s="87">
        <f t="shared" si="39"/>
        <v>1</v>
      </c>
    </row>
    <row r="601" spans="1:20">
      <c r="A601" s="84" t="str">
        <f>Requirements!A603</f>
        <v>MS-SMB_R109248</v>
      </c>
      <c r="B601" s="87"/>
      <c r="C601" s="87"/>
      <c r="D601" s="87"/>
      <c r="E601" s="87"/>
      <c r="F601" s="87"/>
      <c r="G601" s="87"/>
      <c r="H601" s="87"/>
      <c r="I601" s="87"/>
      <c r="J601" s="87"/>
      <c r="K601" s="87"/>
      <c r="L601" s="87">
        <v>1</v>
      </c>
      <c r="M601" s="87"/>
      <c r="N601" s="87">
        <f t="shared" si="36"/>
        <v>1</v>
      </c>
      <c r="O601" s="60">
        <f t="shared" si="37"/>
        <v>1</v>
      </c>
      <c r="P601" s="60" t="b">
        <f t="shared" si="38"/>
        <v>1</v>
      </c>
      <c r="Q601" s="87" t="b">
        <f>(Requirements!K603="Normative")</f>
        <v>1</v>
      </c>
      <c r="R601" s="87" t="b">
        <f>AND(Requirements!L603&lt;&gt;"Non-testable",Requirements!L603&lt;&gt;"Deleted",Requirements!L603&lt;&gt;"")</f>
        <v>1</v>
      </c>
      <c r="S601" s="87" t="b">
        <f>(VLOOKUP(Requirements!I603,Scope[[Role]:[Description]],2,FALSE)="In")</f>
        <v>1</v>
      </c>
      <c r="T601" s="87">
        <f t="shared" si="39"/>
        <v>1</v>
      </c>
    </row>
    <row r="602" spans="1:20">
      <c r="A602" s="44" t="str">
        <f>Requirements!A604</f>
        <v>MS-SMB_R9249</v>
      </c>
      <c r="B602" s="87"/>
      <c r="C602" s="87"/>
      <c r="D602" s="87"/>
      <c r="E602" s="87"/>
      <c r="F602" s="87"/>
      <c r="G602" s="87"/>
      <c r="H602" s="87"/>
      <c r="I602" s="87"/>
      <c r="J602" s="87"/>
      <c r="K602" s="87"/>
      <c r="L602" s="87"/>
      <c r="M602" s="87"/>
      <c r="N602" s="87">
        <f t="shared" si="36"/>
        <v>0</v>
      </c>
      <c r="O602" s="87">
        <f t="shared" si="37"/>
        <v>0</v>
      </c>
      <c r="P602" s="87" t="b">
        <f t="shared" si="38"/>
        <v>0</v>
      </c>
      <c r="Q602" s="87" t="b">
        <f>(Requirements!K604="Normative")</f>
        <v>0</v>
      </c>
      <c r="R602" s="87" t="b">
        <f>AND(Requirements!L604&lt;&gt;"Non-testable",Requirements!L604&lt;&gt;"Deleted",Requirements!L604&lt;&gt;"")</f>
        <v>1</v>
      </c>
      <c r="S602" s="87" t="b">
        <f>(VLOOKUP(Requirements!I604,Scope[[Role]:[Description]],2,FALSE)="In")</f>
        <v>1</v>
      </c>
      <c r="T602" s="87">
        <f t="shared" si="39"/>
        <v>0</v>
      </c>
    </row>
    <row r="603" spans="1:20">
      <c r="A603" s="85" t="str">
        <f>Requirements!A605</f>
        <v>MS-SMB_R9250</v>
      </c>
      <c r="B603" s="87"/>
      <c r="C603" s="87"/>
      <c r="D603" s="87"/>
      <c r="E603" s="87"/>
      <c r="F603" s="87"/>
      <c r="G603" s="87"/>
      <c r="H603" s="87"/>
      <c r="I603" s="87"/>
      <c r="J603" s="87"/>
      <c r="K603" s="87"/>
      <c r="L603" s="87"/>
      <c r="M603" s="87"/>
      <c r="N603" s="87">
        <f t="shared" si="36"/>
        <v>0</v>
      </c>
      <c r="O603" s="61">
        <f t="shared" si="37"/>
        <v>0</v>
      </c>
      <c r="P603" s="61" t="b">
        <f t="shared" si="38"/>
        <v>1</v>
      </c>
      <c r="Q603" s="87" t="b">
        <f>(Requirements!K605="Normative")</f>
        <v>1</v>
      </c>
      <c r="R603" s="87" t="b">
        <f>AND(Requirements!L605&lt;&gt;"Non-testable",Requirements!L605&lt;&gt;"Deleted",Requirements!L605&lt;&gt;"")</f>
        <v>1</v>
      </c>
      <c r="S603" s="87" t="b">
        <f>(VLOOKUP(Requirements!I605,Scope[[Role]:[Description]],2,FALSE)="In")</f>
        <v>1</v>
      </c>
      <c r="T603" s="87">
        <f t="shared" si="39"/>
        <v>0</v>
      </c>
    </row>
    <row r="604" spans="1:20">
      <c r="A604" s="44" t="str">
        <f>Requirements!A606</f>
        <v>MS-SMB_R9251</v>
      </c>
      <c r="B604" s="87"/>
      <c r="C604" s="87"/>
      <c r="D604" s="87"/>
      <c r="E604" s="87"/>
      <c r="F604" s="87"/>
      <c r="G604" s="87"/>
      <c r="H604" s="87"/>
      <c r="I604" s="87"/>
      <c r="J604" s="87"/>
      <c r="K604" s="87"/>
      <c r="L604" s="87"/>
      <c r="M604" s="87"/>
      <c r="N604" s="87">
        <f t="shared" si="36"/>
        <v>0</v>
      </c>
      <c r="O604" s="87">
        <f t="shared" si="37"/>
        <v>0</v>
      </c>
      <c r="P604" s="87" t="b">
        <f t="shared" si="38"/>
        <v>0</v>
      </c>
      <c r="Q604" s="87" t="b">
        <f>(Requirements!K606="Normative")</f>
        <v>0</v>
      </c>
      <c r="R604" s="87" t="b">
        <f>AND(Requirements!L606&lt;&gt;"Non-testable",Requirements!L606&lt;&gt;"Deleted",Requirements!L606&lt;&gt;"")</f>
        <v>1</v>
      </c>
      <c r="S604" s="87" t="b">
        <f>(VLOOKUP(Requirements!I606,Scope[[Role]:[Description]],2,FALSE)="In")</f>
        <v>1</v>
      </c>
      <c r="T604" s="87">
        <f t="shared" si="39"/>
        <v>0</v>
      </c>
    </row>
    <row r="605" spans="1:20">
      <c r="A605" s="84" t="str">
        <f>Requirements!A607</f>
        <v>MS-SMB_R9252</v>
      </c>
      <c r="B605" s="87"/>
      <c r="C605" s="87"/>
      <c r="D605" s="87"/>
      <c r="E605" s="87"/>
      <c r="F605" s="87"/>
      <c r="G605" s="87"/>
      <c r="H605" s="87"/>
      <c r="I605" s="87"/>
      <c r="J605" s="87"/>
      <c r="K605" s="87"/>
      <c r="L605" s="87">
        <v>1</v>
      </c>
      <c r="M605" s="87"/>
      <c r="N605" s="87">
        <f t="shared" si="36"/>
        <v>1</v>
      </c>
      <c r="O605" s="60">
        <f t="shared" si="37"/>
        <v>1</v>
      </c>
      <c r="P605" s="60" t="b">
        <f t="shared" si="38"/>
        <v>1</v>
      </c>
      <c r="Q605" s="87" t="b">
        <f>(Requirements!K607="Normative")</f>
        <v>1</v>
      </c>
      <c r="R605" s="87" t="b">
        <f>AND(Requirements!L607&lt;&gt;"Non-testable",Requirements!L607&lt;&gt;"Deleted",Requirements!L607&lt;&gt;"")</f>
        <v>1</v>
      </c>
      <c r="S605" s="87" t="b">
        <f>(VLOOKUP(Requirements!I607,Scope[[Role]:[Description]],2,FALSE)="In")</f>
        <v>1</v>
      </c>
      <c r="T605" s="87">
        <f t="shared" si="39"/>
        <v>1</v>
      </c>
    </row>
    <row r="606" spans="1:20">
      <c r="A606" s="44" t="str">
        <f>Requirements!A608</f>
        <v>MS-SMB_R9253</v>
      </c>
      <c r="B606" s="87"/>
      <c r="C606" s="87"/>
      <c r="D606" s="87"/>
      <c r="E606" s="87"/>
      <c r="F606" s="87"/>
      <c r="G606" s="87"/>
      <c r="H606" s="87"/>
      <c r="I606" s="87"/>
      <c r="J606" s="87"/>
      <c r="K606" s="87"/>
      <c r="L606" s="87"/>
      <c r="M606" s="87"/>
      <c r="N606" s="87">
        <f t="shared" si="36"/>
        <v>0</v>
      </c>
      <c r="O606" s="87">
        <f t="shared" si="37"/>
        <v>0</v>
      </c>
      <c r="P606" s="87" t="b">
        <f t="shared" si="38"/>
        <v>0</v>
      </c>
      <c r="Q606" s="87" t="b">
        <f>(Requirements!K608="Normative")</f>
        <v>0</v>
      </c>
      <c r="R606" s="87" t="b">
        <f>AND(Requirements!L608&lt;&gt;"Non-testable",Requirements!L608&lt;&gt;"Deleted",Requirements!L608&lt;&gt;"")</f>
        <v>1</v>
      </c>
      <c r="S606" s="87" t="b">
        <f>(VLOOKUP(Requirements!I608,Scope[[Role]:[Description]],2,FALSE)="In")</f>
        <v>1</v>
      </c>
      <c r="T606" s="87">
        <f t="shared" si="39"/>
        <v>0</v>
      </c>
    </row>
    <row r="607" spans="1:20">
      <c r="A607" s="44" t="str">
        <f>Requirements!A609</f>
        <v>MS-SMB_R9254</v>
      </c>
      <c r="B607" s="87"/>
      <c r="C607" s="87"/>
      <c r="D607" s="87"/>
      <c r="E607" s="87"/>
      <c r="F607" s="87"/>
      <c r="G607" s="87"/>
      <c r="H607" s="87"/>
      <c r="I607" s="87"/>
      <c r="J607" s="87"/>
      <c r="K607" s="87"/>
      <c r="L607" s="87"/>
      <c r="M607" s="87"/>
      <c r="N607" s="87">
        <f t="shared" si="36"/>
        <v>0</v>
      </c>
      <c r="O607" s="87">
        <f t="shared" si="37"/>
        <v>0</v>
      </c>
      <c r="P607" s="87" t="b">
        <f t="shared" si="38"/>
        <v>0</v>
      </c>
      <c r="Q607" s="87" t="b">
        <f>(Requirements!K609="Normative")</f>
        <v>0</v>
      </c>
      <c r="R607" s="87" t="b">
        <f>AND(Requirements!L609&lt;&gt;"Non-testable",Requirements!L609&lt;&gt;"Deleted",Requirements!L609&lt;&gt;"")</f>
        <v>1</v>
      </c>
      <c r="S607" s="87" t="b">
        <f>(VLOOKUP(Requirements!I609,Scope[[Role]:[Description]],2,FALSE)="In")</f>
        <v>1</v>
      </c>
      <c r="T607" s="87">
        <f t="shared" si="39"/>
        <v>0</v>
      </c>
    </row>
    <row r="608" spans="1:20">
      <c r="A608" s="84" t="str">
        <f>Requirements!A610</f>
        <v>MS-SMB_R9255</v>
      </c>
      <c r="B608" s="87"/>
      <c r="C608" s="87"/>
      <c r="D608" s="87"/>
      <c r="E608" s="87"/>
      <c r="F608" s="87"/>
      <c r="G608" s="87"/>
      <c r="H608" s="87"/>
      <c r="I608" s="87"/>
      <c r="J608" s="87"/>
      <c r="K608" s="87"/>
      <c r="L608" s="87">
        <v>1</v>
      </c>
      <c r="M608" s="87"/>
      <c r="N608" s="87">
        <f t="shared" si="36"/>
        <v>1</v>
      </c>
      <c r="O608" s="60">
        <f t="shared" si="37"/>
        <v>1</v>
      </c>
      <c r="P608" s="60" t="b">
        <f t="shared" si="38"/>
        <v>1</v>
      </c>
      <c r="Q608" s="87" t="b">
        <f>(Requirements!K610="Normative")</f>
        <v>1</v>
      </c>
      <c r="R608" s="87" t="b">
        <f>AND(Requirements!L610&lt;&gt;"Non-testable",Requirements!L610&lt;&gt;"Deleted",Requirements!L610&lt;&gt;"")</f>
        <v>1</v>
      </c>
      <c r="S608" s="87" t="b">
        <f>(VLOOKUP(Requirements!I610,Scope[[Role]:[Description]],2,FALSE)="In")</f>
        <v>1</v>
      </c>
      <c r="T608" s="87">
        <f t="shared" si="39"/>
        <v>1</v>
      </c>
    </row>
    <row r="609" spans="1:20">
      <c r="A609" s="84" t="str">
        <f>Requirements!A611</f>
        <v>MS-SMB_R109255</v>
      </c>
      <c r="B609" s="87"/>
      <c r="C609" s="87"/>
      <c r="D609" s="87"/>
      <c r="E609" s="87"/>
      <c r="F609" s="87"/>
      <c r="G609" s="87"/>
      <c r="H609" s="87"/>
      <c r="I609" s="87"/>
      <c r="J609" s="87"/>
      <c r="K609" s="87"/>
      <c r="L609" s="87">
        <v>1</v>
      </c>
      <c r="M609" s="87"/>
      <c r="N609" s="87">
        <f t="shared" si="36"/>
        <v>1</v>
      </c>
      <c r="O609" s="60">
        <f t="shared" si="37"/>
        <v>1</v>
      </c>
      <c r="P609" s="60" t="b">
        <f t="shared" si="38"/>
        <v>1</v>
      </c>
      <c r="Q609" s="87" t="b">
        <f>(Requirements!K611="Normative")</f>
        <v>1</v>
      </c>
      <c r="R609" s="87" t="b">
        <f>AND(Requirements!L611&lt;&gt;"Non-testable",Requirements!L611&lt;&gt;"Deleted",Requirements!L611&lt;&gt;"")</f>
        <v>1</v>
      </c>
      <c r="S609" s="87" t="b">
        <f>(VLOOKUP(Requirements!I611,Scope[[Role]:[Description]],2,FALSE)="In")</f>
        <v>1</v>
      </c>
      <c r="T609" s="87">
        <f t="shared" si="39"/>
        <v>1</v>
      </c>
    </row>
    <row r="610" spans="1:20">
      <c r="A610" s="85" t="str">
        <f>Requirements!A612</f>
        <v>MS-SMB_R9256</v>
      </c>
      <c r="B610" s="87"/>
      <c r="C610" s="87"/>
      <c r="D610" s="87"/>
      <c r="E610" s="87"/>
      <c r="F610" s="87"/>
      <c r="G610" s="87"/>
      <c r="H610" s="87"/>
      <c r="I610" s="87"/>
      <c r="J610" s="87"/>
      <c r="K610" s="87"/>
      <c r="L610" s="87"/>
      <c r="M610" s="87"/>
      <c r="N610" s="87">
        <f t="shared" si="36"/>
        <v>0</v>
      </c>
      <c r="O610" s="61">
        <f t="shared" si="37"/>
        <v>0</v>
      </c>
      <c r="P610" s="61" t="b">
        <f t="shared" si="38"/>
        <v>1</v>
      </c>
      <c r="Q610" s="87" t="b">
        <f>(Requirements!K612="Normative")</f>
        <v>1</v>
      </c>
      <c r="R610" s="87" t="b">
        <f>AND(Requirements!L612&lt;&gt;"Non-testable",Requirements!L612&lt;&gt;"Deleted",Requirements!L612&lt;&gt;"")</f>
        <v>1</v>
      </c>
      <c r="S610" s="87" t="b">
        <f>(VLOOKUP(Requirements!I612,Scope[[Role]:[Description]],2,FALSE)="In")</f>
        <v>1</v>
      </c>
      <c r="T610" s="87">
        <f t="shared" si="39"/>
        <v>0</v>
      </c>
    </row>
    <row r="611" spans="1:20">
      <c r="A611" s="44" t="str">
        <f>Requirements!A613</f>
        <v>MS-SMB_R9257</v>
      </c>
      <c r="B611" s="87"/>
      <c r="C611" s="87"/>
      <c r="D611" s="87"/>
      <c r="E611" s="87"/>
      <c r="F611" s="87"/>
      <c r="G611" s="87"/>
      <c r="H611" s="87"/>
      <c r="I611" s="87"/>
      <c r="J611" s="87"/>
      <c r="K611" s="87"/>
      <c r="L611" s="87"/>
      <c r="M611" s="87"/>
      <c r="N611" s="87">
        <f t="shared" si="36"/>
        <v>0</v>
      </c>
      <c r="O611" s="87">
        <f t="shared" si="37"/>
        <v>0</v>
      </c>
      <c r="P611" s="87" t="b">
        <f t="shared" si="38"/>
        <v>0</v>
      </c>
      <c r="Q611" s="87" t="b">
        <f>(Requirements!K613="Normative")</f>
        <v>0</v>
      </c>
      <c r="R611" s="87" t="b">
        <f>AND(Requirements!L613&lt;&gt;"Non-testable",Requirements!L613&lt;&gt;"Deleted",Requirements!L613&lt;&gt;"")</f>
        <v>1</v>
      </c>
      <c r="S611" s="87" t="b">
        <f>(VLOOKUP(Requirements!I613,Scope[[Role]:[Description]],2,FALSE)="In")</f>
        <v>1</v>
      </c>
      <c r="T611" s="87">
        <f t="shared" si="39"/>
        <v>0</v>
      </c>
    </row>
    <row r="612" spans="1:20">
      <c r="A612" s="44" t="str">
        <f>Requirements!A614</f>
        <v>MS-SMB_R5890</v>
      </c>
      <c r="B612" s="87"/>
      <c r="C612" s="87"/>
      <c r="D612" s="87"/>
      <c r="E612" s="87"/>
      <c r="F612" s="87"/>
      <c r="G612" s="87"/>
      <c r="H612" s="87"/>
      <c r="I612" s="87"/>
      <c r="J612" s="87"/>
      <c r="K612" s="87"/>
      <c r="L612" s="87"/>
      <c r="M612" s="87"/>
      <c r="N612" s="87">
        <f t="shared" si="36"/>
        <v>0</v>
      </c>
      <c r="O612" s="87">
        <f t="shared" si="37"/>
        <v>0</v>
      </c>
      <c r="P612" s="87" t="b">
        <f t="shared" si="38"/>
        <v>0</v>
      </c>
      <c r="Q612" s="87" t="b">
        <f>(Requirements!K614="Normative")</f>
        <v>0</v>
      </c>
      <c r="R612" s="87" t="b">
        <f>AND(Requirements!L614&lt;&gt;"Non-testable",Requirements!L614&lt;&gt;"Deleted",Requirements!L614&lt;&gt;"")</f>
        <v>1</v>
      </c>
      <c r="S612" s="87" t="b">
        <f>(VLOOKUP(Requirements!I614,Scope[[Role]:[Description]],2,FALSE)="In")</f>
        <v>1</v>
      </c>
      <c r="T612" s="87">
        <f t="shared" si="39"/>
        <v>0</v>
      </c>
    </row>
    <row r="613" spans="1:20">
      <c r="A613" s="44" t="str">
        <f>Requirements!A615</f>
        <v>MS-SMB_R9258</v>
      </c>
      <c r="B613" s="87"/>
      <c r="C613" s="87"/>
      <c r="D613" s="87"/>
      <c r="E613" s="87"/>
      <c r="F613" s="87"/>
      <c r="G613" s="87"/>
      <c r="H613" s="87"/>
      <c r="I613" s="87"/>
      <c r="J613" s="87"/>
      <c r="K613" s="87"/>
      <c r="L613" s="87"/>
      <c r="M613" s="87"/>
      <c r="N613" s="87">
        <f t="shared" si="36"/>
        <v>0</v>
      </c>
      <c r="O613" s="87">
        <f t="shared" si="37"/>
        <v>0</v>
      </c>
      <c r="P613" s="87" t="b">
        <f t="shared" si="38"/>
        <v>0</v>
      </c>
      <c r="Q613" s="87" t="b">
        <f>(Requirements!K615="Normative")</f>
        <v>0</v>
      </c>
      <c r="R613" s="87" t="b">
        <f>AND(Requirements!L615&lt;&gt;"Non-testable",Requirements!L615&lt;&gt;"Deleted",Requirements!L615&lt;&gt;"")</f>
        <v>1</v>
      </c>
      <c r="S613" s="87" t="b">
        <f>(VLOOKUP(Requirements!I615,Scope[[Role]:[Description]],2,FALSE)="In")</f>
        <v>1</v>
      </c>
      <c r="T613" s="87">
        <f t="shared" si="39"/>
        <v>0</v>
      </c>
    </row>
    <row r="614" spans="1:20">
      <c r="A614" s="85" t="str">
        <f>Requirements!A616</f>
        <v>MS-SMB_R9259</v>
      </c>
      <c r="B614" s="87"/>
      <c r="C614" s="87"/>
      <c r="D614" s="87"/>
      <c r="E614" s="87"/>
      <c r="F614" s="87"/>
      <c r="G614" s="87"/>
      <c r="H614" s="87"/>
      <c r="I614" s="87"/>
      <c r="J614" s="87"/>
      <c r="K614" s="87"/>
      <c r="L614" s="87"/>
      <c r="M614" s="87"/>
      <c r="N614" s="87">
        <f t="shared" si="36"/>
        <v>0</v>
      </c>
      <c r="O614" s="61">
        <f t="shared" si="37"/>
        <v>0</v>
      </c>
      <c r="P614" s="61" t="b">
        <f t="shared" si="38"/>
        <v>1</v>
      </c>
      <c r="Q614" s="87" t="b">
        <f>(Requirements!K616="Normative")</f>
        <v>1</v>
      </c>
      <c r="R614" s="87" t="b">
        <f>AND(Requirements!L616&lt;&gt;"Non-testable",Requirements!L616&lt;&gt;"Deleted",Requirements!L616&lt;&gt;"")</f>
        <v>1</v>
      </c>
      <c r="S614" s="87" t="b">
        <f>(VLOOKUP(Requirements!I616,Scope[[Role]:[Description]],2,FALSE)="In")</f>
        <v>1</v>
      </c>
      <c r="T614" s="87">
        <f t="shared" si="39"/>
        <v>0</v>
      </c>
    </row>
    <row r="615" spans="1:20">
      <c r="A615" s="85" t="str">
        <f>Requirements!A617</f>
        <v>MS-SMB_R119259</v>
      </c>
      <c r="B615" s="87"/>
      <c r="C615" s="87"/>
      <c r="D615" s="87"/>
      <c r="E615" s="87"/>
      <c r="F615" s="87"/>
      <c r="G615" s="87"/>
      <c r="H615" s="87"/>
      <c r="I615" s="87"/>
      <c r="J615" s="87"/>
      <c r="K615" s="87"/>
      <c r="L615" s="87"/>
      <c r="M615" s="87"/>
      <c r="N615" s="87">
        <f t="shared" si="36"/>
        <v>0</v>
      </c>
      <c r="O615" s="61">
        <f t="shared" si="37"/>
        <v>0</v>
      </c>
      <c r="P615" s="61" t="b">
        <f t="shared" si="38"/>
        <v>1</v>
      </c>
      <c r="Q615" s="87" t="b">
        <f>(Requirements!K617="Normative")</f>
        <v>1</v>
      </c>
      <c r="R615" s="87" t="b">
        <f>AND(Requirements!L617&lt;&gt;"Non-testable",Requirements!L617&lt;&gt;"Deleted",Requirements!L617&lt;&gt;"")</f>
        <v>1</v>
      </c>
      <c r="S615" s="87" t="b">
        <f>(VLOOKUP(Requirements!I617,Scope[[Role]:[Description]],2,FALSE)="In")</f>
        <v>1</v>
      </c>
      <c r="T615" s="87">
        <f t="shared" si="39"/>
        <v>0</v>
      </c>
    </row>
    <row r="616" spans="1:20">
      <c r="A616" s="85" t="str">
        <f>Requirements!A618</f>
        <v>MS-SMB_R109259</v>
      </c>
      <c r="B616" s="87"/>
      <c r="C616" s="87"/>
      <c r="D616" s="87"/>
      <c r="E616" s="87"/>
      <c r="F616" s="87"/>
      <c r="G616" s="87"/>
      <c r="H616" s="87"/>
      <c r="I616" s="87"/>
      <c r="J616" s="87"/>
      <c r="K616" s="87"/>
      <c r="L616" s="87"/>
      <c r="M616" s="87"/>
      <c r="N616" s="87">
        <f t="shared" si="36"/>
        <v>0</v>
      </c>
      <c r="O616" s="61">
        <f t="shared" si="37"/>
        <v>0</v>
      </c>
      <c r="P616" s="61" t="b">
        <f t="shared" si="38"/>
        <v>1</v>
      </c>
      <c r="Q616" s="87" t="b">
        <f>(Requirements!K618="Normative")</f>
        <v>1</v>
      </c>
      <c r="R616" s="87" t="b">
        <f>AND(Requirements!L618&lt;&gt;"Non-testable",Requirements!L618&lt;&gt;"Deleted",Requirements!L618&lt;&gt;"")</f>
        <v>1</v>
      </c>
      <c r="S616" s="87" t="b">
        <f>(VLOOKUP(Requirements!I618,Scope[[Role]:[Description]],2,FALSE)="In")</f>
        <v>1</v>
      </c>
      <c r="T616" s="87">
        <f t="shared" si="39"/>
        <v>0</v>
      </c>
    </row>
    <row r="617" spans="1:20">
      <c r="A617" s="85" t="str">
        <f>Requirements!A619</f>
        <v>MS-SMB_R9260</v>
      </c>
      <c r="B617" s="87"/>
      <c r="C617" s="87"/>
      <c r="D617" s="87"/>
      <c r="E617" s="87"/>
      <c r="F617" s="87"/>
      <c r="G617" s="87"/>
      <c r="H617" s="87"/>
      <c r="I617" s="87"/>
      <c r="J617" s="87"/>
      <c r="K617" s="87"/>
      <c r="L617" s="87"/>
      <c r="M617" s="87"/>
      <c r="N617" s="87">
        <f t="shared" si="36"/>
        <v>0</v>
      </c>
      <c r="O617" s="61">
        <f t="shared" si="37"/>
        <v>0</v>
      </c>
      <c r="P617" s="61" t="b">
        <f t="shared" si="38"/>
        <v>1</v>
      </c>
      <c r="Q617" s="87" t="b">
        <f>(Requirements!K619="Normative")</f>
        <v>1</v>
      </c>
      <c r="R617" s="87" t="b">
        <f>AND(Requirements!L619&lt;&gt;"Non-testable",Requirements!L619&lt;&gt;"Deleted",Requirements!L619&lt;&gt;"")</f>
        <v>1</v>
      </c>
      <c r="S617" s="87" t="b">
        <f>(VLOOKUP(Requirements!I619,Scope[[Role]:[Description]],2,FALSE)="In")</f>
        <v>1</v>
      </c>
      <c r="T617" s="87">
        <f t="shared" si="39"/>
        <v>0</v>
      </c>
    </row>
    <row r="618" spans="1:20">
      <c r="A618" s="84" t="str">
        <f>Requirements!A620</f>
        <v>MS-SMB_R5909</v>
      </c>
      <c r="B618" s="87"/>
      <c r="C618" s="87"/>
      <c r="D618" s="87"/>
      <c r="E618" s="87"/>
      <c r="F618" s="87"/>
      <c r="G618" s="87"/>
      <c r="H618" s="87"/>
      <c r="I618" s="87"/>
      <c r="J618" s="87"/>
      <c r="K618" s="87"/>
      <c r="L618" s="87">
        <v>1</v>
      </c>
      <c r="M618" s="87"/>
      <c r="N618" s="87">
        <f t="shared" si="36"/>
        <v>1</v>
      </c>
      <c r="O618" s="60">
        <f t="shared" si="37"/>
        <v>1</v>
      </c>
      <c r="P618" s="60" t="b">
        <f t="shared" si="38"/>
        <v>1</v>
      </c>
      <c r="Q618" s="87" t="b">
        <f>(Requirements!K620="Normative")</f>
        <v>1</v>
      </c>
      <c r="R618" s="87" t="b">
        <f>AND(Requirements!L620&lt;&gt;"Non-testable",Requirements!L620&lt;&gt;"Deleted",Requirements!L620&lt;&gt;"")</f>
        <v>1</v>
      </c>
      <c r="S618" s="87" t="b">
        <f>(VLOOKUP(Requirements!I620,Scope[[Role]:[Description]],2,FALSE)="In")</f>
        <v>1</v>
      </c>
      <c r="T618" s="87">
        <f t="shared" si="39"/>
        <v>1</v>
      </c>
    </row>
    <row r="619" spans="1:20">
      <c r="A619" s="44" t="str">
        <f>Requirements!A621</f>
        <v>MS-SMB_R530</v>
      </c>
      <c r="B619" s="87"/>
      <c r="C619" s="87"/>
      <c r="D619" s="87"/>
      <c r="E619" s="87"/>
      <c r="F619" s="87"/>
      <c r="G619" s="87"/>
      <c r="H619" s="87"/>
      <c r="I619" s="87"/>
      <c r="J619" s="87"/>
      <c r="K619" s="87"/>
      <c r="L619" s="87"/>
      <c r="M619" s="87"/>
      <c r="N619" s="87">
        <f t="shared" si="36"/>
        <v>0</v>
      </c>
      <c r="O619" s="87">
        <f t="shared" si="37"/>
        <v>0</v>
      </c>
      <c r="P619" s="87" t="b">
        <f t="shared" si="38"/>
        <v>0</v>
      </c>
      <c r="Q619" s="87" t="b">
        <f>(Requirements!K621="Normative")</f>
        <v>1</v>
      </c>
      <c r="R619" s="87" t="b">
        <f>AND(Requirements!L621&lt;&gt;"Non-testable",Requirements!L621&lt;&gt;"Deleted",Requirements!L621&lt;&gt;"")</f>
        <v>0</v>
      </c>
      <c r="S619" s="87" t="b">
        <f>(VLOOKUP(Requirements!I621,Scope[[Role]:[Description]],2,FALSE)="In")</f>
        <v>1</v>
      </c>
      <c r="T619" s="87">
        <f t="shared" si="39"/>
        <v>0</v>
      </c>
    </row>
    <row r="620" spans="1:20">
      <c r="A620" s="84" t="str">
        <f>Requirements!A622</f>
        <v>MS-SMB_R5910</v>
      </c>
      <c r="B620" s="87"/>
      <c r="C620" s="87"/>
      <c r="D620" s="87"/>
      <c r="E620" s="87"/>
      <c r="F620" s="87"/>
      <c r="G620" s="87"/>
      <c r="H620" s="87"/>
      <c r="I620" s="87"/>
      <c r="J620" s="87"/>
      <c r="K620" s="87"/>
      <c r="L620" s="87">
        <v>1</v>
      </c>
      <c r="M620" s="87"/>
      <c r="N620" s="87">
        <f t="shared" si="36"/>
        <v>1</v>
      </c>
      <c r="O620" s="60">
        <f t="shared" si="37"/>
        <v>1</v>
      </c>
      <c r="P620" s="60" t="b">
        <f t="shared" si="38"/>
        <v>1</v>
      </c>
      <c r="Q620" s="87" t="b">
        <f>(Requirements!K622="Normative")</f>
        <v>1</v>
      </c>
      <c r="R620" s="87" t="b">
        <f>AND(Requirements!L622&lt;&gt;"Non-testable",Requirements!L622&lt;&gt;"Deleted",Requirements!L622&lt;&gt;"")</f>
        <v>1</v>
      </c>
      <c r="S620" s="87" t="b">
        <f>(VLOOKUP(Requirements!I622,Scope[[Role]:[Description]],2,FALSE)="In")</f>
        <v>1</v>
      </c>
      <c r="T620" s="87">
        <f t="shared" si="39"/>
        <v>1</v>
      </c>
    </row>
    <row r="621" spans="1:20">
      <c r="A621" s="85" t="str">
        <f>Requirements!A623</f>
        <v>MS-SMB_R5911</v>
      </c>
      <c r="B621" s="87"/>
      <c r="C621" s="87"/>
      <c r="D621" s="87"/>
      <c r="E621" s="87"/>
      <c r="F621" s="87"/>
      <c r="G621" s="87"/>
      <c r="H621" s="87"/>
      <c r="I621" s="87"/>
      <c r="J621" s="87"/>
      <c r="K621" s="87"/>
      <c r="L621" s="87"/>
      <c r="M621" s="87"/>
      <c r="N621" s="87">
        <f t="shared" si="36"/>
        <v>0</v>
      </c>
      <c r="O621" s="61">
        <f t="shared" si="37"/>
        <v>0</v>
      </c>
      <c r="P621" s="61" t="b">
        <f t="shared" si="38"/>
        <v>1</v>
      </c>
      <c r="Q621" s="87" t="b">
        <f>(Requirements!K623="Normative")</f>
        <v>1</v>
      </c>
      <c r="R621" s="87" t="b">
        <f>AND(Requirements!L623&lt;&gt;"Non-testable",Requirements!L623&lt;&gt;"Deleted",Requirements!L623&lt;&gt;"")</f>
        <v>1</v>
      </c>
      <c r="S621" s="87" t="b">
        <f>(VLOOKUP(Requirements!I623,Scope[[Role]:[Description]],2,FALSE)="In")</f>
        <v>1</v>
      </c>
      <c r="T621" s="87">
        <f t="shared" si="39"/>
        <v>0</v>
      </c>
    </row>
    <row r="622" spans="1:20">
      <c r="A622" s="44" t="str">
        <f>Requirements!A624</f>
        <v>MS-SMB_R2499</v>
      </c>
      <c r="B622" s="87"/>
      <c r="C622" s="87"/>
      <c r="D622" s="87"/>
      <c r="E622" s="87"/>
      <c r="F622" s="87"/>
      <c r="G622" s="87"/>
      <c r="H622" s="87"/>
      <c r="I622" s="87"/>
      <c r="J622" s="87"/>
      <c r="K622" s="87"/>
      <c r="L622" s="87"/>
      <c r="M622" s="87"/>
      <c r="N622" s="87">
        <f t="shared" si="36"/>
        <v>0</v>
      </c>
      <c r="O622" s="87">
        <f t="shared" si="37"/>
        <v>0</v>
      </c>
      <c r="P622" s="87" t="b">
        <f t="shared" si="38"/>
        <v>0</v>
      </c>
      <c r="Q622" s="87" t="b">
        <f>(Requirements!K624="Normative")</f>
        <v>1</v>
      </c>
      <c r="R622" s="87" t="b">
        <f>AND(Requirements!L624&lt;&gt;"Non-testable",Requirements!L624&lt;&gt;"Deleted",Requirements!L624&lt;&gt;"")</f>
        <v>0</v>
      </c>
      <c r="S622" s="87" t="b">
        <f>(VLOOKUP(Requirements!I624,Scope[[Role]:[Description]],2,FALSE)="In")</f>
        <v>1</v>
      </c>
      <c r="T622" s="87">
        <f t="shared" si="39"/>
        <v>0</v>
      </c>
    </row>
    <row r="623" spans="1:20">
      <c r="A623" s="44" t="str">
        <f>Requirements!A625</f>
        <v>MS-SMB_R5912</v>
      </c>
      <c r="B623" s="87"/>
      <c r="C623" s="87"/>
      <c r="D623" s="87"/>
      <c r="E623" s="87"/>
      <c r="F623" s="87"/>
      <c r="G623" s="87"/>
      <c r="H623" s="87"/>
      <c r="I623" s="87"/>
      <c r="J623" s="87"/>
      <c r="K623" s="87"/>
      <c r="L623" s="87"/>
      <c r="M623" s="87"/>
      <c r="N623" s="87">
        <f t="shared" si="36"/>
        <v>0</v>
      </c>
      <c r="O623" s="87">
        <f t="shared" si="37"/>
        <v>0</v>
      </c>
      <c r="P623" s="87" t="b">
        <f t="shared" si="38"/>
        <v>0</v>
      </c>
      <c r="Q623" s="87" t="b">
        <f>(Requirements!K625="Normative")</f>
        <v>0</v>
      </c>
      <c r="R623" s="87" t="b">
        <f>AND(Requirements!L625&lt;&gt;"Non-testable",Requirements!L625&lt;&gt;"Deleted",Requirements!L625&lt;&gt;"")</f>
        <v>1</v>
      </c>
      <c r="S623" s="87" t="b">
        <f>(VLOOKUP(Requirements!I625,Scope[[Role]:[Description]],2,FALSE)="In")</f>
        <v>1</v>
      </c>
      <c r="T623" s="87">
        <f t="shared" si="39"/>
        <v>0</v>
      </c>
    </row>
    <row r="624" spans="1:20">
      <c r="A624" s="84" t="str">
        <f>Requirements!A626</f>
        <v>MS-SMB_R5913</v>
      </c>
      <c r="B624" s="87"/>
      <c r="C624" s="87"/>
      <c r="D624" s="87"/>
      <c r="E624" s="87"/>
      <c r="F624" s="87"/>
      <c r="G624" s="87"/>
      <c r="H624" s="87"/>
      <c r="I624" s="87"/>
      <c r="J624" s="87"/>
      <c r="K624" s="87"/>
      <c r="L624" s="87">
        <v>1</v>
      </c>
      <c r="M624" s="87"/>
      <c r="N624" s="87">
        <f t="shared" si="36"/>
        <v>1</v>
      </c>
      <c r="O624" s="60">
        <f t="shared" si="37"/>
        <v>1</v>
      </c>
      <c r="P624" s="60" t="b">
        <f t="shared" si="38"/>
        <v>1</v>
      </c>
      <c r="Q624" s="87" t="b">
        <f>(Requirements!K626="Normative")</f>
        <v>1</v>
      </c>
      <c r="R624" s="87" t="b">
        <f>AND(Requirements!L626&lt;&gt;"Non-testable",Requirements!L626&lt;&gt;"Deleted",Requirements!L626&lt;&gt;"")</f>
        <v>1</v>
      </c>
      <c r="S624" s="87" t="b">
        <f>(VLOOKUP(Requirements!I626,Scope[[Role]:[Description]],2,FALSE)="In")</f>
        <v>1</v>
      </c>
      <c r="T624" s="87">
        <f t="shared" si="39"/>
        <v>1</v>
      </c>
    </row>
    <row r="625" spans="1:20">
      <c r="A625" s="44" t="str">
        <f>Requirements!A627</f>
        <v>MS-SMB_R5914</v>
      </c>
      <c r="B625" s="87"/>
      <c r="C625" s="87"/>
      <c r="D625" s="87"/>
      <c r="E625" s="87"/>
      <c r="F625" s="87"/>
      <c r="G625" s="87"/>
      <c r="H625" s="87"/>
      <c r="I625" s="87"/>
      <c r="J625" s="87"/>
      <c r="K625" s="87"/>
      <c r="L625" s="87"/>
      <c r="M625" s="87"/>
      <c r="N625" s="87">
        <f t="shared" si="36"/>
        <v>0</v>
      </c>
      <c r="O625" s="87">
        <f t="shared" si="37"/>
        <v>0</v>
      </c>
      <c r="P625" s="87" t="b">
        <f t="shared" si="38"/>
        <v>0</v>
      </c>
      <c r="Q625" s="87" t="b">
        <f>(Requirements!K627="Normative")</f>
        <v>0</v>
      </c>
      <c r="R625" s="87" t="b">
        <f>AND(Requirements!L627&lt;&gt;"Non-testable",Requirements!L627&lt;&gt;"Deleted",Requirements!L627&lt;&gt;"")</f>
        <v>1</v>
      </c>
      <c r="S625" s="87" t="b">
        <f>(VLOOKUP(Requirements!I627,Scope[[Role]:[Description]],2,FALSE)="In")</f>
        <v>1</v>
      </c>
      <c r="T625" s="87">
        <f t="shared" si="39"/>
        <v>0</v>
      </c>
    </row>
    <row r="626" spans="1:20">
      <c r="A626" s="84" t="str">
        <f>Requirements!A628</f>
        <v>MS-SMB_R5915</v>
      </c>
      <c r="B626" s="87"/>
      <c r="C626" s="87"/>
      <c r="D626" s="87"/>
      <c r="E626" s="87"/>
      <c r="F626" s="87"/>
      <c r="G626" s="87"/>
      <c r="H626" s="87"/>
      <c r="I626" s="87"/>
      <c r="J626" s="87"/>
      <c r="K626" s="87"/>
      <c r="L626" s="87">
        <v>1</v>
      </c>
      <c r="M626" s="87"/>
      <c r="N626" s="87">
        <f t="shared" si="36"/>
        <v>1</v>
      </c>
      <c r="O626" s="60">
        <f t="shared" si="37"/>
        <v>1</v>
      </c>
      <c r="P626" s="60" t="b">
        <f t="shared" si="38"/>
        <v>1</v>
      </c>
      <c r="Q626" s="87" t="b">
        <f>(Requirements!K628="Normative")</f>
        <v>1</v>
      </c>
      <c r="R626" s="87" t="b">
        <f>AND(Requirements!L628&lt;&gt;"Non-testable",Requirements!L628&lt;&gt;"Deleted",Requirements!L628&lt;&gt;"")</f>
        <v>1</v>
      </c>
      <c r="S626" s="87" t="b">
        <f>(VLOOKUP(Requirements!I628,Scope[[Role]:[Description]],2,FALSE)="In")</f>
        <v>1</v>
      </c>
      <c r="T626" s="87">
        <f t="shared" si="39"/>
        <v>1</v>
      </c>
    </row>
    <row r="627" spans="1:20">
      <c r="A627" s="44" t="str">
        <f>Requirements!A629</f>
        <v>MS-SMB_R5916</v>
      </c>
      <c r="B627" s="87"/>
      <c r="C627" s="87"/>
      <c r="D627" s="87"/>
      <c r="E627" s="87"/>
      <c r="F627" s="87"/>
      <c r="G627" s="87"/>
      <c r="H627" s="87"/>
      <c r="I627" s="87"/>
      <c r="J627" s="87"/>
      <c r="K627" s="87"/>
      <c r="L627" s="87"/>
      <c r="M627" s="87"/>
      <c r="N627" s="87">
        <f t="shared" si="36"/>
        <v>0</v>
      </c>
      <c r="O627" s="87">
        <f t="shared" si="37"/>
        <v>0</v>
      </c>
      <c r="P627" s="87" t="b">
        <f t="shared" si="38"/>
        <v>0</v>
      </c>
      <c r="Q627" s="87" t="b">
        <f>(Requirements!K629="Normative")</f>
        <v>0</v>
      </c>
      <c r="R627" s="87" t="b">
        <f>AND(Requirements!L629&lt;&gt;"Non-testable",Requirements!L629&lt;&gt;"Deleted",Requirements!L629&lt;&gt;"")</f>
        <v>1</v>
      </c>
      <c r="S627" s="87" t="b">
        <f>(VLOOKUP(Requirements!I629,Scope[[Role]:[Description]],2,FALSE)="In")</f>
        <v>1</v>
      </c>
      <c r="T627" s="87">
        <f t="shared" si="39"/>
        <v>0</v>
      </c>
    </row>
    <row r="628" spans="1:20">
      <c r="A628" s="85" t="str">
        <f>Requirements!A630</f>
        <v>MS-SMB_R5917</v>
      </c>
      <c r="B628" s="87"/>
      <c r="C628" s="87"/>
      <c r="D628" s="87"/>
      <c r="E628" s="87"/>
      <c r="F628" s="87"/>
      <c r="G628" s="87"/>
      <c r="H628" s="87"/>
      <c r="I628" s="87"/>
      <c r="J628" s="87"/>
      <c r="K628" s="87"/>
      <c r="L628" s="87"/>
      <c r="M628" s="87"/>
      <c r="N628" s="87">
        <f t="shared" si="36"/>
        <v>0</v>
      </c>
      <c r="O628" s="61">
        <f t="shared" si="37"/>
        <v>0</v>
      </c>
      <c r="P628" s="61" t="b">
        <f t="shared" si="38"/>
        <v>1</v>
      </c>
      <c r="Q628" s="87" t="b">
        <f>(Requirements!K630="Normative")</f>
        <v>1</v>
      </c>
      <c r="R628" s="87" t="b">
        <f>AND(Requirements!L630&lt;&gt;"Non-testable",Requirements!L630&lt;&gt;"Deleted",Requirements!L630&lt;&gt;"")</f>
        <v>1</v>
      </c>
      <c r="S628" s="87" t="b">
        <f>(VLOOKUP(Requirements!I630,Scope[[Role]:[Description]],2,FALSE)="In")</f>
        <v>1</v>
      </c>
      <c r="T628" s="87">
        <f t="shared" si="39"/>
        <v>0</v>
      </c>
    </row>
    <row r="629" spans="1:20">
      <c r="A629" s="84" t="str">
        <f>Requirements!A631</f>
        <v>MS-SMB_R539</v>
      </c>
      <c r="B629" s="87"/>
      <c r="C629" s="87"/>
      <c r="D629" s="87"/>
      <c r="E629" s="87"/>
      <c r="F629" s="87"/>
      <c r="G629" s="87"/>
      <c r="H629" s="87"/>
      <c r="I629" s="87"/>
      <c r="J629" s="87"/>
      <c r="K629" s="87"/>
      <c r="L629" s="87">
        <v>1</v>
      </c>
      <c r="M629" s="87"/>
      <c r="N629" s="87">
        <f t="shared" si="36"/>
        <v>1</v>
      </c>
      <c r="O629" s="60">
        <f t="shared" si="37"/>
        <v>1</v>
      </c>
      <c r="P629" s="60" t="b">
        <f t="shared" si="38"/>
        <v>1</v>
      </c>
      <c r="Q629" s="87" t="b">
        <f>(Requirements!K631="Normative")</f>
        <v>1</v>
      </c>
      <c r="R629" s="87" t="b">
        <f>AND(Requirements!L631&lt;&gt;"Non-testable",Requirements!L631&lt;&gt;"Deleted",Requirements!L631&lt;&gt;"")</f>
        <v>1</v>
      </c>
      <c r="S629" s="87" t="b">
        <f>(VLOOKUP(Requirements!I631,Scope[[Role]:[Description]],2,FALSE)="In")</f>
        <v>1</v>
      </c>
      <c r="T629" s="87">
        <f t="shared" si="39"/>
        <v>1</v>
      </c>
    </row>
    <row r="630" spans="1:20">
      <c r="A630" s="85" t="str">
        <f>Requirements!A632</f>
        <v>MS-SMB_R6106</v>
      </c>
      <c r="B630" s="87"/>
      <c r="C630" s="87"/>
      <c r="D630" s="87"/>
      <c r="E630" s="87"/>
      <c r="F630" s="87"/>
      <c r="G630" s="87"/>
      <c r="H630" s="87"/>
      <c r="I630" s="87"/>
      <c r="J630" s="87"/>
      <c r="K630" s="87"/>
      <c r="L630" s="87"/>
      <c r="M630" s="87"/>
      <c r="N630" s="87">
        <f t="shared" si="36"/>
        <v>0</v>
      </c>
      <c r="O630" s="61">
        <f t="shared" si="37"/>
        <v>0</v>
      </c>
      <c r="P630" s="61" t="b">
        <f t="shared" si="38"/>
        <v>1</v>
      </c>
      <c r="Q630" s="87" t="b">
        <f>(Requirements!K632="Normative")</f>
        <v>1</v>
      </c>
      <c r="R630" s="87" t="b">
        <f>AND(Requirements!L632&lt;&gt;"Non-testable",Requirements!L632&lt;&gt;"Deleted",Requirements!L632&lt;&gt;"")</f>
        <v>1</v>
      </c>
      <c r="S630" s="87" t="b">
        <f>(VLOOKUP(Requirements!I632,Scope[[Role]:[Description]],2,FALSE)="In")</f>
        <v>1</v>
      </c>
      <c r="T630" s="87">
        <f t="shared" si="39"/>
        <v>0</v>
      </c>
    </row>
    <row r="631" spans="1:20">
      <c r="A631" s="44" t="str">
        <f>Requirements!A633</f>
        <v>MS-SMB_R6107</v>
      </c>
      <c r="B631" s="87"/>
      <c r="C631" s="87"/>
      <c r="D631" s="87"/>
      <c r="E631" s="87"/>
      <c r="F631" s="87"/>
      <c r="G631" s="87"/>
      <c r="H631" s="87"/>
      <c r="I631" s="87"/>
      <c r="J631" s="87"/>
      <c r="K631" s="87"/>
      <c r="L631" s="87"/>
      <c r="M631" s="87"/>
      <c r="N631" s="87">
        <f t="shared" si="36"/>
        <v>0</v>
      </c>
      <c r="O631" s="87">
        <f t="shared" si="37"/>
        <v>0</v>
      </c>
      <c r="P631" s="87" t="b">
        <f t="shared" si="38"/>
        <v>0</v>
      </c>
      <c r="Q631" s="87" t="b">
        <f>(Requirements!K633="Normative")</f>
        <v>1</v>
      </c>
      <c r="R631" s="87" t="b">
        <f>AND(Requirements!L633&lt;&gt;"Non-testable",Requirements!L633&lt;&gt;"Deleted",Requirements!L633&lt;&gt;"")</f>
        <v>0</v>
      </c>
      <c r="S631" s="87" t="b">
        <f>(VLOOKUP(Requirements!I633,Scope[[Role]:[Description]],2,FALSE)="In")</f>
        <v>1</v>
      </c>
      <c r="T631" s="87">
        <f t="shared" si="39"/>
        <v>0</v>
      </c>
    </row>
    <row r="632" spans="1:20">
      <c r="A632" s="44" t="str">
        <f>Requirements!A634</f>
        <v>MS-SMB_R9265</v>
      </c>
      <c r="B632" s="87"/>
      <c r="C632" s="87"/>
      <c r="D632" s="87"/>
      <c r="E632" s="87"/>
      <c r="F632" s="87"/>
      <c r="G632" s="87"/>
      <c r="H632" s="87"/>
      <c r="I632" s="87"/>
      <c r="J632" s="87"/>
      <c r="K632" s="87"/>
      <c r="L632" s="87"/>
      <c r="M632" s="87"/>
      <c r="N632" s="87">
        <f t="shared" si="36"/>
        <v>0</v>
      </c>
      <c r="O632" s="87">
        <f t="shared" si="37"/>
        <v>0</v>
      </c>
      <c r="P632" s="87" t="b">
        <f t="shared" si="38"/>
        <v>0</v>
      </c>
      <c r="Q632" s="87" t="b">
        <f>(Requirements!K634="Normative")</f>
        <v>0</v>
      </c>
      <c r="R632" s="87" t="b">
        <f>AND(Requirements!L634&lt;&gt;"Non-testable",Requirements!L634&lt;&gt;"Deleted",Requirements!L634&lt;&gt;"")</f>
        <v>1</v>
      </c>
      <c r="S632" s="87" t="b">
        <f>(VLOOKUP(Requirements!I634,Scope[[Role]:[Description]],2,FALSE)="In")</f>
        <v>1</v>
      </c>
      <c r="T632" s="87">
        <f t="shared" si="39"/>
        <v>0</v>
      </c>
    </row>
    <row r="633" spans="1:20">
      <c r="A633" s="44" t="str">
        <f>Requirements!A635</f>
        <v>MS-SMB_R9266</v>
      </c>
      <c r="B633" s="87"/>
      <c r="C633" s="87"/>
      <c r="D633" s="87"/>
      <c r="E633" s="87"/>
      <c r="F633" s="87"/>
      <c r="G633" s="87"/>
      <c r="H633" s="87"/>
      <c r="I633" s="87"/>
      <c r="J633" s="87"/>
      <c r="K633" s="87"/>
      <c r="L633" s="87"/>
      <c r="M633" s="87"/>
      <c r="N633" s="87">
        <f t="shared" si="36"/>
        <v>0</v>
      </c>
      <c r="O633" s="87">
        <f t="shared" si="37"/>
        <v>0</v>
      </c>
      <c r="P633" s="87" t="b">
        <f t="shared" si="38"/>
        <v>0</v>
      </c>
      <c r="Q633" s="87" t="b">
        <f>(Requirements!K635="Normative")</f>
        <v>0</v>
      </c>
      <c r="R633" s="87" t="b">
        <f>AND(Requirements!L635&lt;&gt;"Non-testable",Requirements!L635&lt;&gt;"Deleted",Requirements!L635&lt;&gt;"")</f>
        <v>1</v>
      </c>
      <c r="S633" s="87" t="b">
        <f>(VLOOKUP(Requirements!I635,Scope[[Role]:[Description]],2,FALSE)="In")</f>
        <v>1</v>
      </c>
      <c r="T633" s="87">
        <f t="shared" si="39"/>
        <v>0</v>
      </c>
    </row>
    <row r="634" spans="1:20">
      <c r="A634" s="44" t="str">
        <f>Requirements!A636</f>
        <v>MS-SMB_R9267</v>
      </c>
      <c r="B634" s="87"/>
      <c r="C634" s="87"/>
      <c r="D634" s="87"/>
      <c r="E634" s="87"/>
      <c r="F634" s="87"/>
      <c r="G634" s="87"/>
      <c r="H634" s="87"/>
      <c r="I634" s="87"/>
      <c r="J634" s="87"/>
      <c r="K634" s="87"/>
      <c r="L634" s="87"/>
      <c r="M634" s="87"/>
      <c r="N634" s="87">
        <f t="shared" si="36"/>
        <v>0</v>
      </c>
      <c r="O634" s="87">
        <f t="shared" si="37"/>
        <v>0</v>
      </c>
      <c r="P634" s="87" t="b">
        <f t="shared" si="38"/>
        <v>0</v>
      </c>
      <c r="Q634" s="87" t="b">
        <f>(Requirements!K636="Normative")</f>
        <v>0</v>
      </c>
      <c r="R634" s="87" t="b">
        <f>AND(Requirements!L636&lt;&gt;"Non-testable",Requirements!L636&lt;&gt;"Deleted",Requirements!L636&lt;&gt;"")</f>
        <v>1</v>
      </c>
      <c r="S634" s="87" t="b">
        <f>(VLOOKUP(Requirements!I636,Scope[[Role]:[Description]],2,FALSE)="In")</f>
        <v>1</v>
      </c>
      <c r="T634" s="87">
        <f t="shared" si="39"/>
        <v>0</v>
      </c>
    </row>
    <row r="635" spans="1:20">
      <c r="A635" s="44" t="str">
        <f>Requirements!A637</f>
        <v>MS-SMB_R9268</v>
      </c>
      <c r="B635" s="87"/>
      <c r="C635" s="87"/>
      <c r="D635" s="87"/>
      <c r="E635" s="87"/>
      <c r="F635" s="87"/>
      <c r="G635" s="87"/>
      <c r="H635" s="87"/>
      <c r="I635" s="87"/>
      <c r="J635" s="87"/>
      <c r="K635" s="87"/>
      <c r="L635" s="87"/>
      <c r="M635" s="87"/>
      <c r="N635" s="87">
        <f t="shared" si="36"/>
        <v>0</v>
      </c>
      <c r="O635" s="87">
        <f t="shared" si="37"/>
        <v>0</v>
      </c>
      <c r="P635" s="87" t="b">
        <f t="shared" si="38"/>
        <v>0</v>
      </c>
      <c r="Q635" s="87" t="b">
        <f>(Requirements!K637="Normative")</f>
        <v>0</v>
      </c>
      <c r="R635" s="87" t="b">
        <f>AND(Requirements!L637&lt;&gt;"Non-testable",Requirements!L637&lt;&gt;"Deleted",Requirements!L637&lt;&gt;"")</f>
        <v>1</v>
      </c>
      <c r="S635" s="87" t="b">
        <f>(VLOOKUP(Requirements!I637,Scope[[Role]:[Description]],2,FALSE)="In")</f>
        <v>1</v>
      </c>
      <c r="T635" s="87">
        <f t="shared" si="39"/>
        <v>0</v>
      </c>
    </row>
    <row r="636" spans="1:20">
      <c r="A636" s="44" t="str">
        <f>Requirements!A638</f>
        <v>MS-SMB_R9269</v>
      </c>
      <c r="B636" s="87"/>
      <c r="C636" s="87"/>
      <c r="D636" s="87"/>
      <c r="E636" s="87"/>
      <c r="F636" s="87"/>
      <c r="G636" s="87"/>
      <c r="H636" s="87"/>
      <c r="I636" s="87"/>
      <c r="J636" s="87"/>
      <c r="K636" s="87"/>
      <c r="L636" s="87"/>
      <c r="M636" s="87"/>
      <c r="N636" s="87">
        <f t="shared" si="36"/>
        <v>0</v>
      </c>
      <c r="O636" s="87">
        <f t="shared" si="37"/>
        <v>0</v>
      </c>
      <c r="P636" s="87" t="b">
        <f t="shared" si="38"/>
        <v>0</v>
      </c>
      <c r="Q636" s="87" t="b">
        <f>(Requirements!K638="Normative")</f>
        <v>0</v>
      </c>
      <c r="R636" s="87" t="b">
        <f>AND(Requirements!L638&lt;&gt;"Non-testable",Requirements!L638&lt;&gt;"Deleted",Requirements!L638&lt;&gt;"")</f>
        <v>1</v>
      </c>
      <c r="S636" s="87" t="b">
        <f>(VLOOKUP(Requirements!I638,Scope[[Role]:[Description]],2,FALSE)="In")</f>
        <v>1</v>
      </c>
      <c r="T636" s="87">
        <f t="shared" si="39"/>
        <v>0</v>
      </c>
    </row>
    <row r="637" spans="1:20">
      <c r="A637" s="44" t="str">
        <f>Requirements!A639</f>
        <v>MS-SMB_R9270</v>
      </c>
      <c r="B637" s="87"/>
      <c r="C637" s="87"/>
      <c r="D637" s="87"/>
      <c r="E637" s="87"/>
      <c r="F637" s="87"/>
      <c r="G637" s="87"/>
      <c r="H637" s="87"/>
      <c r="I637" s="87"/>
      <c r="J637" s="87"/>
      <c r="K637" s="87"/>
      <c r="L637" s="87"/>
      <c r="M637" s="87"/>
      <c r="N637" s="87">
        <f t="shared" si="36"/>
        <v>0</v>
      </c>
      <c r="O637" s="87">
        <f t="shared" si="37"/>
        <v>0</v>
      </c>
      <c r="P637" s="87" t="b">
        <f t="shared" si="38"/>
        <v>0</v>
      </c>
      <c r="Q637" s="87" t="b">
        <f>(Requirements!K639="Normative")</f>
        <v>0</v>
      </c>
      <c r="R637" s="87" t="b">
        <f>AND(Requirements!L639&lt;&gt;"Non-testable",Requirements!L639&lt;&gt;"Deleted",Requirements!L639&lt;&gt;"")</f>
        <v>1</v>
      </c>
      <c r="S637" s="87" t="b">
        <f>(VLOOKUP(Requirements!I639,Scope[[Role]:[Description]],2,FALSE)="In")</f>
        <v>1</v>
      </c>
      <c r="T637" s="87">
        <f t="shared" si="39"/>
        <v>0</v>
      </c>
    </row>
    <row r="638" spans="1:20">
      <c r="A638" s="44" t="str">
        <f>Requirements!A640</f>
        <v>MS-SMB_R9271</v>
      </c>
      <c r="B638" s="87"/>
      <c r="C638" s="87"/>
      <c r="D638" s="87"/>
      <c r="E638" s="87"/>
      <c r="F638" s="87"/>
      <c r="G638" s="87"/>
      <c r="H638" s="87"/>
      <c r="I638" s="87"/>
      <c r="J638" s="87"/>
      <c r="K638" s="87"/>
      <c r="L638" s="87"/>
      <c r="M638" s="87"/>
      <c r="N638" s="87">
        <f t="shared" si="36"/>
        <v>0</v>
      </c>
      <c r="O638" s="87">
        <f t="shared" si="37"/>
        <v>0</v>
      </c>
      <c r="P638" s="87" t="b">
        <f t="shared" si="38"/>
        <v>0</v>
      </c>
      <c r="Q638" s="87" t="b">
        <f>(Requirements!K640="Normative")</f>
        <v>0</v>
      </c>
      <c r="R638" s="87" t="b">
        <f>AND(Requirements!L640&lt;&gt;"Non-testable",Requirements!L640&lt;&gt;"Deleted",Requirements!L640&lt;&gt;"")</f>
        <v>1</v>
      </c>
      <c r="S638" s="87" t="b">
        <f>(VLOOKUP(Requirements!I640,Scope[[Role]:[Description]],2,FALSE)="In")</f>
        <v>1</v>
      </c>
      <c r="T638" s="87">
        <f t="shared" si="39"/>
        <v>0</v>
      </c>
    </row>
    <row r="639" spans="1:20">
      <c r="A639" s="44" t="str">
        <f>Requirements!A641</f>
        <v>MS-SMB_R9272</v>
      </c>
      <c r="B639" s="87"/>
      <c r="C639" s="87"/>
      <c r="D639" s="87"/>
      <c r="E639" s="87"/>
      <c r="F639" s="87"/>
      <c r="G639" s="87"/>
      <c r="H639" s="87"/>
      <c r="I639" s="87"/>
      <c r="J639" s="87"/>
      <c r="K639" s="87"/>
      <c r="L639" s="87"/>
      <c r="M639" s="87"/>
      <c r="N639" s="87">
        <f t="shared" si="36"/>
        <v>0</v>
      </c>
      <c r="O639" s="87">
        <f t="shared" si="37"/>
        <v>0</v>
      </c>
      <c r="P639" s="87" t="b">
        <f t="shared" si="38"/>
        <v>0</v>
      </c>
      <c r="Q639" s="87" t="b">
        <f>(Requirements!K641="Normative")</f>
        <v>0</v>
      </c>
      <c r="R639" s="87" t="b">
        <f>AND(Requirements!L641&lt;&gt;"Non-testable",Requirements!L641&lt;&gt;"Deleted",Requirements!L641&lt;&gt;"")</f>
        <v>1</v>
      </c>
      <c r="S639" s="87" t="b">
        <f>(VLOOKUP(Requirements!I641,Scope[[Role]:[Description]],2,FALSE)="In")</f>
        <v>1</v>
      </c>
      <c r="T639" s="87">
        <f t="shared" si="39"/>
        <v>0</v>
      </c>
    </row>
    <row r="640" spans="1:20">
      <c r="A640" s="44" t="str">
        <f>Requirements!A642</f>
        <v>MS-SMB_R9273</v>
      </c>
      <c r="B640" s="87"/>
      <c r="C640" s="87"/>
      <c r="D640" s="87"/>
      <c r="E640" s="87"/>
      <c r="F640" s="87"/>
      <c r="G640" s="87"/>
      <c r="H640" s="87"/>
      <c r="I640" s="87"/>
      <c r="J640" s="87"/>
      <c r="K640" s="87"/>
      <c r="L640" s="87"/>
      <c r="M640" s="87"/>
      <c r="N640" s="87">
        <f t="shared" si="36"/>
        <v>0</v>
      </c>
      <c r="O640" s="87">
        <f t="shared" si="37"/>
        <v>0</v>
      </c>
      <c r="P640" s="87" t="b">
        <f t="shared" si="38"/>
        <v>0</v>
      </c>
      <c r="Q640" s="87" t="b">
        <f>(Requirements!K642="Normative")</f>
        <v>0</v>
      </c>
      <c r="R640" s="87" t="b">
        <f>AND(Requirements!L642&lt;&gt;"Non-testable",Requirements!L642&lt;&gt;"Deleted",Requirements!L642&lt;&gt;"")</f>
        <v>1</v>
      </c>
      <c r="S640" s="87" t="b">
        <f>(VLOOKUP(Requirements!I642,Scope[[Role]:[Description]],2,FALSE)="In")</f>
        <v>1</v>
      </c>
      <c r="T640" s="87">
        <f t="shared" si="39"/>
        <v>0</v>
      </c>
    </row>
    <row r="641" spans="1:20">
      <c r="A641" s="44" t="str">
        <f>Requirements!A643</f>
        <v>MS-SMB_R9274</v>
      </c>
      <c r="B641" s="87"/>
      <c r="C641" s="87"/>
      <c r="D641" s="87"/>
      <c r="E641" s="87"/>
      <c r="F641" s="87"/>
      <c r="G641" s="87"/>
      <c r="H641" s="87"/>
      <c r="I641" s="87"/>
      <c r="J641" s="87"/>
      <c r="K641" s="87"/>
      <c r="L641" s="87"/>
      <c r="M641" s="87"/>
      <c r="N641" s="87">
        <f t="shared" si="36"/>
        <v>0</v>
      </c>
      <c r="O641" s="87">
        <f t="shared" si="37"/>
        <v>0</v>
      </c>
      <c r="P641" s="87" t="b">
        <f t="shared" si="38"/>
        <v>0</v>
      </c>
      <c r="Q641" s="87" t="b">
        <f>(Requirements!K643="Normative")</f>
        <v>0</v>
      </c>
      <c r="R641" s="87" t="b">
        <f>AND(Requirements!L643&lt;&gt;"Non-testable",Requirements!L643&lt;&gt;"Deleted",Requirements!L643&lt;&gt;"")</f>
        <v>1</v>
      </c>
      <c r="S641" s="87" t="b">
        <f>(VLOOKUP(Requirements!I643,Scope[[Role]:[Description]],2,FALSE)="In")</f>
        <v>1</v>
      </c>
      <c r="T641" s="87">
        <f t="shared" si="39"/>
        <v>0</v>
      </c>
    </row>
    <row r="642" spans="1:20">
      <c r="A642" s="44" t="str">
        <f>Requirements!A644</f>
        <v>MS-SMB_R9275</v>
      </c>
      <c r="B642" s="87"/>
      <c r="C642" s="87"/>
      <c r="D642" s="87"/>
      <c r="E642" s="87"/>
      <c r="F642" s="87"/>
      <c r="G642" s="87"/>
      <c r="H642" s="87"/>
      <c r="I642" s="87"/>
      <c r="J642" s="87"/>
      <c r="K642" s="87"/>
      <c r="L642" s="87"/>
      <c r="M642" s="87"/>
      <c r="N642" s="87">
        <f t="shared" si="36"/>
        <v>0</v>
      </c>
      <c r="O642" s="87">
        <f t="shared" si="37"/>
        <v>0</v>
      </c>
      <c r="P642" s="87" t="b">
        <f t="shared" si="38"/>
        <v>0</v>
      </c>
      <c r="Q642" s="87" t="b">
        <f>(Requirements!K644="Normative")</f>
        <v>0</v>
      </c>
      <c r="R642" s="87" t="b">
        <f>AND(Requirements!L644&lt;&gt;"Non-testable",Requirements!L644&lt;&gt;"Deleted",Requirements!L644&lt;&gt;"")</f>
        <v>1</v>
      </c>
      <c r="S642" s="87" t="b">
        <f>(VLOOKUP(Requirements!I644,Scope[[Role]:[Description]],2,FALSE)="In")</f>
        <v>1</v>
      </c>
      <c r="T642" s="87">
        <f t="shared" si="39"/>
        <v>0</v>
      </c>
    </row>
    <row r="643" spans="1:20">
      <c r="A643" s="85" t="str">
        <f>Requirements!A645</f>
        <v>MS-SMB_R9276</v>
      </c>
      <c r="B643" s="87"/>
      <c r="C643" s="87"/>
      <c r="D643" s="87"/>
      <c r="E643" s="87"/>
      <c r="F643" s="87"/>
      <c r="G643" s="87"/>
      <c r="H643" s="87"/>
      <c r="I643" s="87"/>
      <c r="J643" s="87"/>
      <c r="K643" s="87"/>
      <c r="L643" s="87"/>
      <c r="M643" s="87"/>
      <c r="N643" s="87">
        <f t="shared" si="36"/>
        <v>0</v>
      </c>
      <c r="O643" s="61">
        <f t="shared" si="37"/>
        <v>0</v>
      </c>
      <c r="P643" s="61" t="b">
        <f t="shared" si="38"/>
        <v>1</v>
      </c>
      <c r="Q643" s="87" t="b">
        <f>(Requirements!K645="Normative")</f>
        <v>1</v>
      </c>
      <c r="R643" s="87" t="b">
        <f>AND(Requirements!L645&lt;&gt;"Non-testable",Requirements!L645&lt;&gt;"Deleted",Requirements!L645&lt;&gt;"")</f>
        <v>1</v>
      </c>
      <c r="S643" s="87" t="b">
        <f>(VLOOKUP(Requirements!I645,Scope[[Role]:[Description]],2,FALSE)="In")</f>
        <v>1</v>
      </c>
      <c r="T643" s="87">
        <f t="shared" si="39"/>
        <v>0</v>
      </c>
    </row>
    <row r="644" spans="1:20">
      <c r="A644" s="44" t="str">
        <f>Requirements!A646</f>
        <v>MS-SMB_R9277</v>
      </c>
      <c r="B644" s="87"/>
      <c r="C644" s="87"/>
      <c r="D644" s="87"/>
      <c r="E644" s="87"/>
      <c r="F644" s="87"/>
      <c r="G644" s="87"/>
      <c r="H644" s="87"/>
      <c r="I644" s="87"/>
      <c r="J644" s="87"/>
      <c r="K644" s="87"/>
      <c r="L644" s="87"/>
      <c r="M644" s="87"/>
      <c r="N644" s="87">
        <f t="shared" si="36"/>
        <v>0</v>
      </c>
      <c r="O644" s="87">
        <f t="shared" si="37"/>
        <v>0</v>
      </c>
      <c r="P644" s="87" t="b">
        <f t="shared" si="38"/>
        <v>0</v>
      </c>
      <c r="Q644" s="87" t="b">
        <f>(Requirements!K646="Normative")</f>
        <v>0</v>
      </c>
      <c r="R644" s="87" t="b">
        <f>AND(Requirements!L646&lt;&gt;"Non-testable",Requirements!L646&lt;&gt;"Deleted",Requirements!L646&lt;&gt;"")</f>
        <v>1</v>
      </c>
      <c r="S644" s="87" t="b">
        <f>(VLOOKUP(Requirements!I646,Scope[[Role]:[Description]],2,FALSE)="In")</f>
        <v>1</v>
      </c>
      <c r="T644" s="87">
        <f t="shared" si="39"/>
        <v>0</v>
      </c>
    </row>
    <row r="645" spans="1:20">
      <c r="A645" s="44" t="str">
        <f>Requirements!A647</f>
        <v>MS-SMB_R9278</v>
      </c>
      <c r="B645" s="87"/>
      <c r="C645" s="87"/>
      <c r="D645" s="87"/>
      <c r="E645" s="87"/>
      <c r="F645" s="87"/>
      <c r="G645" s="87"/>
      <c r="H645" s="87"/>
      <c r="I645" s="87"/>
      <c r="J645" s="87"/>
      <c r="K645" s="87"/>
      <c r="L645" s="87"/>
      <c r="M645" s="87"/>
      <c r="N645" s="87">
        <f t="shared" si="36"/>
        <v>0</v>
      </c>
      <c r="O645" s="87">
        <f t="shared" si="37"/>
        <v>0</v>
      </c>
      <c r="P645" s="87" t="b">
        <f t="shared" si="38"/>
        <v>0</v>
      </c>
      <c r="Q645" s="87" t="b">
        <f>(Requirements!K647="Normative")</f>
        <v>0</v>
      </c>
      <c r="R645" s="87" t="b">
        <f>AND(Requirements!L647&lt;&gt;"Non-testable",Requirements!L647&lt;&gt;"Deleted",Requirements!L647&lt;&gt;"")</f>
        <v>1</v>
      </c>
      <c r="S645" s="87" t="b">
        <f>(VLOOKUP(Requirements!I647,Scope[[Role]:[Description]],2,FALSE)="In")</f>
        <v>1</v>
      </c>
      <c r="T645" s="87">
        <f t="shared" si="39"/>
        <v>0</v>
      </c>
    </row>
    <row r="646" spans="1:20">
      <c r="A646" s="85" t="str">
        <f>Requirements!A648</f>
        <v>MS-SMB_R9279</v>
      </c>
      <c r="B646" s="87"/>
      <c r="C646" s="87"/>
      <c r="D646" s="87"/>
      <c r="E646" s="87"/>
      <c r="F646" s="87"/>
      <c r="G646" s="87"/>
      <c r="H646" s="87"/>
      <c r="I646" s="87"/>
      <c r="J646" s="87"/>
      <c r="K646" s="87"/>
      <c r="L646" s="87"/>
      <c r="M646" s="87"/>
      <c r="N646" s="87">
        <f t="shared" si="36"/>
        <v>0</v>
      </c>
      <c r="O646" s="61">
        <f t="shared" si="37"/>
        <v>0</v>
      </c>
      <c r="P646" s="61" t="b">
        <f t="shared" si="38"/>
        <v>1</v>
      </c>
      <c r="Q646" s="87" t="b">
        <f>(Requirements!K648="Normative")</f>
        <v>1</v>
      </c>
      <c r="R646" s="87" t="b">
        <f>AND(Requirements!L648&lt;&gt;"Non-testable",Requirements!L648&lt;&gt;"Deleted",Requirements!L648&lt;&gt;"")</f>
        <v>1</v>
      </c>
      <c r="S646" s="87" t="b">
        <f>(VLOOKUP(Requirements!I648,Scope[[Role]:[Description]],2,FALSE)="In")</f>
        <v>1</v>
      </c>
      <c r="T646" s="87">
        <f t="shared" si="39"/>
        <v>0</v>
      </c>
    </row>
    <row r="647" spans="1:20">
      <c r="A647" s="84" t="str">
        <f>Requirements!A649</f>
        <v>MS-SMB_R9280</v>
      </c>
      <c r="B647" s="87">
        <v>1</v>
      </c>
      <c r="C647" s="87"/>
      <c r="D647" s="87">
        <v>1</v>
      </c>
      <c r="E647" s="87"/>
      <c r="F647" s="87"/>
      <c r="G647" s="87"/>
      <c r="H647" s="87"/>
      <c r="I647" s="87"/>
      <c r="J647" s="87"/>
      <c r="K647" s="87"/>
      <c r="L647" s="87">
        <v>1</v>
      </c>
      <c r="M647" s="87">
        <v>1</v>
      </c>
      <c r="N647" s="87">
        <f t="shared" si="36"/>
        <v>4</v>
      </c>
      <c r="O647" s="60">
        <f t="shared" si="37"/>
        <v>1</v>
      </c>
      <c r="P647" s="60" t="b">
        <f t="shared" si="38"/>
        <v>1</v>
      </c>
      <c r="Q647" s="87" t="b">
        <f>(Requirements!K649="Normative")</f>
        <v>1</v>
      </c>
      <c r="R647" s="87" t="b">
        <f>AND(Requirements!L649&lt;&gt;"Non-testable",Requirements!L649&lt;&gt;"Deleted",Requirements!L649&lt;&gt;"")</f>
        <v>1</v>
      </c>
      <c r="S647" s="87" t="b">
        <f>(VLOOKUP(Requirements!I649,Scope[[Role]:[Description]],2,FALSE)="In")</f>
        <v>1</v>
      </c>
      <c r="T647" s="87">
        <f t="shared" si="39"/>
        <v>1</v>
      </c>
    </row>
    <row r="648" spans="1:20">
      <c r="A648" s="84" t="str">
        <f>Requirements!A650</f>
        <v>MS-SMB_R9281</v>
      </c>
      <c r="B648" s="87">
        <v>1</v>
      </c>
      <c r="C648" s="87"/>
      <c r="D648" s="87">
        <v>1</v>
      </c>
      <c r="E648" s="87"/>
      <c r="F648" s="87"/>
      <c r="G648" s="87"/>
      <c r="H648" s="87"/>
      <c r="I648" s="87"/>
      <c r="J648" s="87"/>
      <c r="K648" s="87"/>
      <c r="L648" s="87">
        <v>1</v>
      </c>
      <c r="M648" s="87">
        <v>1</v>
      </c>
      <c r="N648" s="87">
        <f t="shared" si="36"/>
        <v>4</v>
      </c>
      <c r="O648" s="60">
        <f t="shared" si="37"/>
        <v>1</v>
      </c>
      <c r="P648" s="60" t="b">
        <f t="shared" si="38"/>
        <v>1</v>
      </c>
      <c r="Q648" s="87" t="b">
        <f>(Requirements!K650="Normative")</f>
        <v>1</v>
      </c>
      <c r="R648" s="87" t="b">
        <f>AND(Requirements!L650&lt;&gt;"Non-testable",Requirements!L650&lt;&gt;"Deleted",Requirements!L650&lt;&gt;"")</f>
        <v>1</v>
      </c>
      <c r="S648" s="87" t="b">
        <f>(VLOOKUP(Requirements!I650,Scope[[Role]:[Description]],2,FALSE)="In")</f>
        <v>1</v>
      </c>
      <c r="T648" s="87">
        <f t="shared" si="39"/>
        <v>1</v>
      </c>
    </row>
    <row r="649" spans="1:20">
      <c r="A649" s="44" t="str">
        <f>Requirements!A651</f>
        <v>MS-SMB_R9282</v>
      </c>
      <c r="B649" s="87"/>
      <c r="C649" s="87"/>
      <c r="D649" s="87"/>
      <c r="E649" s="87"/>
      <c r="F649" s="87"/>
      <c r="G649" s="87"/>
      <c r="H649" s="87"/>
      <c r="I649" s="87"/>
      <c r="J649" s="87"/>
      <c r="K649" s="87"/>
      <c r="L649" s="87"/>
      <c r="M649" s="87"/>
      <c r="N649" s="87">
        <f t="shared" si="36"/>
        <v>0</v>
      </c>
      <c r="O649" s="87">
        <f t="shared" si="37"/>
        <v>0</v>
      </c>
      <c r="P649" s="87" t="b">
        <f t="shared" si="38"/>
        <v>0</v>
      </c>
      <c r="Q649" s="87" t="b">
        <f>(Requirements!K651="Normative")</f>
        <v>0</v>
      </c>
      <c r="R649" s="87" t="b">
        <f>AND(Requirements!L651&lt;&gt;"Non-testable",Requirements!L651&lt;&gt;"Deleted",Requirements!L651&lt;&gt;"")</f>
        <v>1</v>
      </c>
      <c r="S649" s="87" t="b">
        <f>(VLOOKUP(Requirements!I651,Scope[[Role]:[Description]],2,FALSE)="In")</f>
        <v>1</v>
      </c>
      <c r="T649" s="87">
        <f t="shared" si="39"/>
        <v>0</v>
      </c>
    </row>
    <row r="650" spans="1:20">
      <c r="A650" s="44" t="str">
        <f>Requirements!A652</f>
        <v>MS-SMB_R9283</v>
      </c>
      <c r="B650" s="87"/>
      <c r="C650" s="87"/>
      <c r="D650" s="87"/>
      <c r="E650" s="87"/>
      <c r="F650" s="87"/>
      <c r="G650" s="87"/>
      <c r="H650" s="87"/>
      <c r="I650" s="87"/>
      <c r="J650" s="87"/>
      <c r="K650" s="87"/>
      <c r="L650" s="87"/>
      <c r="M650" s="87"/>
      <c r="N650" s="87">
        <f t="shared" si="36"/>
        <v>0</v>
      </c>
      <c r="O650" s="87">
        <f t="shared" si="37"/>
        <v>0</v>
      </c>
      <c r="P650" s="87" t="b">
        <f t="shared" si="38"/>
        <v>0</v>
      </c>
      <c r="Q650" s="87" t="b">
        <f>(Requirements!K652="Normative")</f>
        <v>0</v>
      </c>
      <c r="R650" s="87" t="b">
        <f>AND(Requirements!L652&lt;&gt;"Non-testable",Requirements!L652&lt;&gt;"Deleted",Requirements!L652&lt;&gt;"")</f>
        <v>1</v>
      </c>
      <c r="S650" s="87" t="b">
        <f>(VLOOKUP(Requirements!I652,Scope[[Role]:[Description]],2,FALSE)="In")</f>
        <v>1</v>
      </c>
      <c r="T650" s="87">
        <f t="shared" si="39"/>
        <v>0</v>
      </c>
    </row>
    <row r="651" spans="1:20">
      <c r="A651" s="85" t="str">
        <f>Requirements!A653</f>
        <v>MS-SMB_R9284</v>
      </c>
      <c r="B651" s="87"/>
      <c r="C651" s="87"/>
      <c r="D651" s="87"/>
      <c r="E651" s="87"/>
      <c r="F651" s="87"/>
      <c r="G651" s="87"/>
      <c r="H651" s="87"/>
      <c r="I651" s="87"/>
      <c r="J651" s="87"/>
      <c r="K651" s="87"/>
      <c r="L651" s="87"/>
      <c r="M651" s="87"/>
      <c r="N651" s="87">
        <f t="shared" si="36"/>
        <v>0</v>
      </c>
      <c r="O651" s="61">
        <f t="shared" si="37"/>
        <v>0</v>
      </c>
      <c r="P651" s="61" t="b">
        <f t="shared" si="38"/>
        <v>1</v>
      </c>
      <c r="Q651" s="87" t="b">
        <f>(Requirements!K653="Normative")</f>
        <v>1</v>
      </c>
      <c r="R651" s="87" t="b">
        <f>AND(Requirements!L653&lt;&gt;"Non-testable",Requirements!L653&lt;&gt;"Deleted",Requirements!L653&lt;&gt;"")</f>
        <v>1</v>
      </c>
      <c r="S651" s="87" t="b">
        <f>(VLOOKUP(Requirements!I653,Scope[[Role]:[Description]],2,FALSE)="In")</f>
        <v>1</v>
      </c>
      <c r="T651" s="87">
        <f t="shared" si="39"/>
        <v>0</v>
      </c>
    </row>
    <row r="652" spans="1:20">
      <c r="A652" s="44" t="str">
        <f>Requirements!A654</f>
        <v>MS-SMB_R9285</v>
      </c>
      <c r="B652" s="87"/>
      <c r="C652" s="87"/>
      <c r="D652" s="87"/>
      <c r="E652" s="87"/>
      <c r="F652" s="87"/>
      <c r="G652" s="87"/>
      <c r="H652" s="87"/>
      <c r="I652" s="87"/>
      <c r="J652" s="87"/>
      <c r="K652" s="87"/>
      <c r="L652" s="87"/>
      <c r="M652" s="87"/>
      <c r="N652" s="87">
        <f t="shared" si="36"/>
        <v>0</v>
      </c>
      <c r="O652" s="87">
        <f t="shared" si="37"/>
        <v>0</v>
      </c>
      <c r="P652" s="87" t="b">
        <f t="shared" si="38"/>
        <v>0</v>
      </c>
      <c r="Q652" s="87" t="b">
        <f>(Requirements!K654="Normative")</f>
        <v>0</v>
      </c>
      <c r="R652" s="87" t="b">
        <f>AND(Requirements!L654&lt;&gt;"Non-testable",Requirements!L654&lt;&gt;"Deleted",Requirements!L654&lt;&gt;"")</f>
        <v>1</v>
      </c>
      <c r="S652" s="87" t="b">
        <f>(VLOOKUP(Requirements!I654,Scope[[Role]:[Description]],2,FALSE)="In")</f>
        <v>1</v>
      </c>
      <c r="T652" s="87">
        <f t="shared" si="39"/>
        <v>0</v>
      </c>
    </row>
    <row r="653" spans="1:20">
      <c r="A653" s="44" t="str">
        <f>Requirements!A655</f>
        <v>MS-SMB_R9286</v>
      </c>
      <c r="B653" s="87"/>
      <c r="C653" s="87"/>
      <c r="D653" s="87"/>
      <c r="E653" s="87"/>
      <c r="F653" s="87"/>
      <c r="G653" s="87"/>
      <c r="H653" s="87"/>
      <c r="I653" s="87"/>
      <c r="J653" s="87"/>
      <c r="K653" s="87"/>
      <c r="L653" s="87"/>
      <c r="M653" s="87"/>
      <c r="N653" s="87">
        <f t="shared" si="36"/>
        <v>0</v>
      </c>
      <c r="O653" s="87">
        <f t="shared" si="37"/>
        <v>0</v>
      </c>
      <c r="P653" s="87" t="b">
        <f t="shared" si="38"/>
        <v>0</v>
      </c>
      <c r="Q653" s="87" t="b">
        <f>(Requirements!K655="Normative")</f>
        <v>0</v>
      </c>
      <c r="R653" s="87" t="b">
        <f>AND(Requirements!L655&lt;&gt;"Non-testable",Requirements!L655&lt;&gt;"Deleted",Requirements!L655&lt;&gt;"")</f>
        <v>1</v>
      </c>
      <c r="S653" s="87" t="b">
        <f>(VLOOKUP(Requirements!I655,Scope[[Role]:[Description]],2,FALSE)="In")</f>
        <v>1</v>
      </c>
      <c r="T653" s="87">
        <f t="shared" si="39"/>
        <v>0</v>
      </c>
    </row>
    <row r="654" spans="1:20">
      <c r="A654" s="84" t="str">
        <f>Requirements!A656</f>
        <v>MS-SMB_R9287</v>
      </c>
      <c r="B654" s="87">
        <v>1</v>
      </c>
      <c r="C654" s="87"/>
      <c r="D654" s="87">
        <v>1</v>
      </c>
      <c r="E654" s="87"/>
      <c r="F654" s="87"/>
      <c r="G654" s="87"/>
      <c r="H654" s="87"/>
      <c r="I654" s="87"/>
      <c r="J654" s="87"/>
      <c r="K654" s="87"/>
      <c r="L654" s="87">
        <v>1</v>
      </c>
      <c r="M654" s="87">
        <v>1</v>
      </c>
      <c r="N654" s="87">
        <f t="shared" si="36"/>
        <v>4</v>
      </c>
      <c r="O654" s="60">
        <f t="shared" si="37"/>
        <v>1</v>
      </c>
      <c r="P654" s="60" t="b">
        <f t="shared" si="38"/>
        <v>1</v>
      </c>
      <c r="Q654" s="87" t="b">
        <f>(Requirements!K656="Normative")</f>
        <v>1</v>
      </c>
      <c r="R654" s="87" t="b">
        <f>AND(Requirements!L656&lt;&gt;"Non-testable",Requirements!L656&lt;&gt;"Deleted",Requirements!L656&lt;&gt;"")</f>
        <v>1</v>
      </c>
      <c r="S654" s="87" t="b">
        <f>(VLOOKUP(Requirements!I656,Scope[[Role]:[Description]],2,FALSE)="In")</f>
        <v>1</v>
      </c>
      <c r="T654" s="87">
        <f t="shared" si="39"/>
        <v>1</v>
      </c>
    </row>
    <row r="655" spans="1:20">
      <c r="A655" s="44" t="str">
        <f>Requirements!A657</f>
        <v>MS-SMB_R9288</v>
      </c>
      <c r="B655" s="87"/>
      <c r="C655" s="87"/>
      <c r="D655" s="87"/>
      <c r="E655" s="87"/>
      <c r="F655" s="87"/>
      <c r="G655" s="87"/>
      <c r="H655" s="87"/>
      <c r="I655" s="87"/>
      <c r="J655" s="87"/>
      <c r="K655" s="87"/>
      <c r="L655" s="87"/>
      <c r="M655" s="87"/>
      <c r="N655" s="87">
        <f t="shared" si="36"/>
        <v>0</v>
      </c>
      <c r="O655" s="87">
        <f t="shared" si="37"/>
        <v>0</v>
      </c>
      <c r="P655" s="87" t="b">
        <f t="shared" si="38"/>
        <v>0</v>
      </c>
      <c r="Q655" s="87" t="b">
        <f>(Requirements!K657="Normative")</f>
        <v>0</v>
      </c>
      <c r="R655" s="87" t="b">
        <f>AND(Requirements!L657&lt;&gt;"Non-testable",Requirements!L657&lt;&gt;"Deleted",Requirements!L657&lt;&gt;"")</f>
        <v>1</v>
      </c>
      <c r="S655" s="87" t="b">
        <f>(VLOOKUP(Requirements!I657,Scope[[Role]:[Description]],2,FALSE)="In")</f>
        <v>1</v>
      </c>
      <c r="T655" s="87">
        <f t="shared" si="39"/>
        <v>0</v>
      </c>
    </row>
    <row r="656" spans="1:20">
      <c r="A656" s="44" t="str">
        <f>Requirements!A658</f>
        <v>MS-SMB_R9289</v>
      </c>
      <c r="B656" s="87"/>
      <c r="C656" s="87"/>
      <c r="D656" s="87"/>
      <c r="E656" s="87"/>
      <c r="F656" s="87"/>
      <c r="G656" s="87"/>
      <c r="H656" s="87"/>
      <c r="I656" s="87"/>
      <c r="J656" s="87"/>
      <c r="K656" s="87"/>
      <c r="L656" s="87"/>
      <c r="M656" s="87"/>
      <c r="N656" s="87">
        <f t="shared" si="36"/>
        <v>0</v>
      </c>
      <c r="O656" s="87">
        <f t="shared" si="37"/>
        <v>0</v>
      </c>
      <c r="P656" s="87" t="b">
        <f t="shared" si="38"/>
        <v>0</v>
      </c>
      <c r="Q656" s="87" t="b">
        <f>(Requirements!K658="Normative")</f>
        <v>0</v>
      </c>
      <c r="R656" s="87" t="b">
        <f>AND(Requirements!L658&lt;&gt;"Non-testable",Requirements!L658&lt;&gt;"Deleted",Requirements!L658&lt;&gt;"")</f>
        <v>1</v>
      </c>
      <c r="S656" s="87" t="b">
        <f>(VLOOKUP(Requirements!I658,Scope[[Role]:[Description]],2,FALSE)="In")</f>
        <v>1</v>
      </c>
      <c r="T656" s="87">
        <f t="shared" si="39"/>
        <v>0</v>
      </c>
    </row>
    <row r="657" spans="1:20">
      <c r="A657" s="44" t="str">
        <f>Requirements!A659</f>
        <v>MS-SMB_R9290</v>
      </c>
      <c r="B657" s="87"/>
      <c r="C657" s="87"/>
      <c r="D657" s="87"/>
      <c r="E657" s="87"/>
      <c r="F657" s="87"/>
      <c r="G657" s="87"/>
      <c r="H657" s="87"/>
      <c r="I657" s="87"/>
      <c r="J657" s="87"/>
      <c r="K657" s="87"/>
      <c r="L657" s="87"/>
      <c r="M657" s="87"/>
      <c r="N657" s="87">
        <f t="shared" si="36"/>
        <v>0</v>
      </c>
      <c r="O657" s="87">
        <f t="shared" si="37"/>
        <v>0</v>
      </c>
      <c r="P657" s="87" t="b">
        <f t="shared" si="38"/>
        <v>0</v>
      </c>
      <c r="Q657" s="87" t="b">
        <f>(Requirements!K659="Normative")</f>
        <v>0</v>
      </c>
      <c r="R657" s="87" t="b">
        <f>AND(Requirements!L659&lt;&gt;"Non-testable",Requirements!L659&lt;&gt;"Deleted",Requirements!L659&lt;&gt;"")</f>
        <v>1</v>
      </c>
      <c r="S657" s="87" t="b">
        <f>(VLOOKUP(Requirements!I659,Scope[[Role]:[Description]],2,FALSE)="In")</f>
        <v>1</v>
      </c>
      <c r="T657" s="87">
        <f t="shared" si="39"/>
        <v>0</v>
      </c>
    </row>
    <row r="658" spans="1:20">
      <c r="A658" s="84" t="str">
        <f>Requirements!A660</f>
        <v>MS-SMB_R9291</v>
      </c>
      <c r="B658" s="87">
        <v>1</v>
      </c>
      <c r="C658" s="87"/>
      <c r="D658" s="87">
        <v>1</v>
      </c>
      <c r="E658" s="87"/>
      <c r="F658" s="87"/>
      <c r="G658" s="87"/>
      <c r="H658" s="87"/>
      <c r="I658" s="87"/>
      <c r="J658" s="87"/>
      <c r="K658" s="87"/>
      <c r="L658" s="87">
        <v>1</v>
      </c>
      <c r="M658" s="87">
        <v>1</v>
      </c>
      <c r="N658" s="87">
        <f t="shared" si="36"/>
        <v>4</v>
      </c>
      <c r="O658" s="60">
        <f t="shared" si="37"/>
        <v>1</v>
      </c>
      <c r="P658" s="60" t="b">
        <f t="shared" si="38"/>
        <v>1</v>
      </c>
      <c r="Q658" s="87" t="b">
        <f>(Requirements!K660="Normative")</f>
        <v>1</v>
      </c>
      <c r="R658" s="87" t="b">
        <f>AND(Requirements!L660&lt;&gt;"Non-testable",Requirements!L660&lt;&gt;"Deleted",Requirements!L660&lt;&gt;"")</f>
        <v>1</v>
      </c>
      <c r="S658" s="87" t="b">
        <f>(VLOOKUP(Requirements!I660,Scope[[Role]:[Description]],2,FALSE)="In")</f>
        <v>1</v>
      </c>
      <c r="T658" s="87">
        <f t="shared" si="39"/>
        <v>1</v>
      </c>
    </row>
    <row r="659" spans="1:20">
      <c r="A659" s="44" t="str">
        <f>Requirements!A661</f>
        <v>MS-SMB_R9292</v>
      </c>
      <c r="B659" s="87"/>
      <c r="C659" s="87"/>
      <c r="D659" s="87"/>
      <c r="E659" s="87"/>
      <c r="F659" s="87"/>
      <c r="G659" s="87"/>
      <c r="H659" s="87"/>
      <c r="I659" s="87"/>
      <c r="J659" s="87"/>
      <c r="K659" s="87"/>
      <c r="L659" s="87"/>
      <c r="M659" s="87"/>
      <c r="N659" s="87">
        <f t="shared" si="36"/>
        <v>0</v>
      </c>
      <c r="O659" s="87">
        <f t="shared" si="37"/>
        <v>0</v>
      </c>
      <c r="P659" s="87" t="b">
        <f t="shared" si="38"/>
        <v>0</v>
      </c>
      <c r="Q659" s="87" t="b">
        <f>(Requirements!K661="Normative")</f>
        <v>0</v>
      </c>
      <c r="R659" s="87" t="b">
        <f>AND(Requirements!L661&lt;&gt;"Non-testable",Requirements!L661&lt;&gt;"Deleted",Requirements!L661&lt;&gt;"")</f>
        <v>1</v>
      </c>
      <c r="S659" s="87" t="b">
        <f>(VLOOKUP(Requirements!I661,Scope[[Role]:[Description]],2,FALSE)="In")</f>
        <v>1</v>
      </c>
      <c r="T659" s="87">
        <f t="shared" si="39"/>
        <v>0</v>
      </c>
    </row>
    <row r="660" spans="1:20">
      <c r="A660" s="44" t="str">
        <f>Requirements!A662</f>
        <v>MS-SMB_R9293</v>
      </c>
      <c r="B660" s="87"/>
      <c r="C660" s="87"/>
      <c r="D660" s="87"/>
      <c r="E660" s="87"/>
      <c r="F660" s="87"/>
      <c r="G660" s="87"/>
      <c r="H660" s="87"/>
      <c r="I660" s="87"/>
      <c r="J660" s="87"/>
      <c r="K660" s="87"/>
      <c r="L660" s="87"/>
      <c r="M660" s="87"/>
      <c r="N660" s="87">
        <f t="shared" ref="N660:N723" si="40">SUM(B660:M660)</f>
        <v>0</v>
      </c>
      <c r="O660" s="87">
        <f t="shared" ref="O660:O723" si="41">IF(N660=0,0,1)</f>
        <v>0</v>
      </c>
      <c r="P660" s="87" t="b">
        <f t="shared" ref="P660:P723" si="42">AND(Q660:S660)</f>
        <v>0</v>
      </c>
      <c r="Q660" s="87" t="b">
        <f>(Requirements!K662="Normative")</f>
        <v>0</v>
      </c>
      <c r="R660" s="87" t="b">
        <f>AND(Requirements!L662&lt;&gt;"Non-testable",Requirements!L662&lt;&gt;"Deleted",Requirements!L662&lt;&gt;"")</f>
        <v>1</v>
      </c>
      <c r="S660" s="87" t="b">
        <f>(VLOOKUP(Requirements!I662,Scope[[Role]:[Description]],2,FALSE)="In")</f>
        <v>1</v>
      </c>
      <c r="T660" s="87">
        <f t="shared" ref="T660:T723" si="43">IF(P660,O660, 0)</f>
        <v>0</v>
      </c>
    </row>
    <row r="661" spans="1:20">
      <c r="A661" s="44" t="str">
        <f>Requirements!A663</f>
        <v>MS-SMB_R9294</v>
      </c>
      <c r="B661" s="87"/>
      <c r="C661" s="87"/>
      <c r="D661" s="87"/>
      <c r="E661" s="87"/>
      <c r="F661" s="87"/>
      <c r="G661" s="87"/>
      <c r="H661" s="87"/>
      <c r="I661" s="87"/>
      <c r="J661" s="87"/>
      <c r="K661" s="87"/>
      <c r="L661" s="87"/>
      <c r="M661" s="87"/>
      <c r="N661" s="87">
        <f t="shared" si="40"/>
        <v>0</v>
      </c>
      <c r="O661" s="87">
        <f t="shared" si="41"/>
        <v>0</v>
      </c>
      <c r="P661" s="87" t="b">
        <f t="shared" si="42"/>
        <v>0</v>
      </c>
      <c r="Q661" s="87" t="b">
        <f>(Requirements!K663="Normative")</f>
        <v>0</v>
      </c>
      <c r="R661" s="87" t="b">
        <f>AND(Requirements!L663&lt;&gt;"Non-testable",Requirements!L663&lt;&gt;"Deleted",Requirements!L663&lt;&gt;"")</f>
        <v>1</v>
      </c>
      <c r="S661" s="87" t="b">
        <f>(VLOOKUP(Requirements!I663,Scope[[Role]:[Description]],2,FALSE)="In")</f>
        <v>1</v>
      </c>
      <c r="T661" s="87">
        <f t="shared" si="43"/>
        <v>0</v>
      </c>
    </row>
    <row r="662" spans="1:20">
      <c r="A662" s="44" t="str">
        <f>Requirements!A664</f>
        <v>MS-SMB_R9295</v>
      </c>
      <c r="B662" s="87"/>
      <c r="C662" s="87"/>
      <c r="D662" s="87"/>
      <c r="E662" s="87"/>
      <c r="F662" s="87"/>
      <c r="G662" s="87"/>
      <c r="H662" s="87"/>
      <c r="I662" s="87"/>
      <c r="J662" s="87"/>
      <c r="K662" s="87"/>
      <c r="L662" s="87"/>
      <c r="M662" s="87"/>
      <c r="N662" s="87">
        <f t="shared" si="40"/>
        <v>0</v>
      </c>
      <c r="O662" s="87">
        <f t="shared" si="41"/>
        <v>0</v>
      </c>
      <c r="P662" s="87" t="b">
        <f t="shared" si="42"/>
        <v>0</v>
      </c>
      <c r="Q662" s="87" t="b">
        <f>(Requirements!K664="Normative")</f>
        <v>0</v>
      </c>
      <c r="R662" s="87" t="b">
        <f>AND(Requirements!L664&lt;&gt;"Non-testable",Requirements!L664&lt;&gt;"Deleted",Requirements!L664&lt;&gt;"")</f>
        <v>1</v>
      </c>
      <c r="S662" s="87" t="b">
        <f>(VLOOKUP(Requirements!I664,Scope[[Role]:[Description]],2,FALSE)="In")</f>
        <v>1</v>
      </c>
      <c r="T662" s="87">
        <f t="shared" si="43"/>
        <v>0</v>
      </c>
    </row>
    <row r="663" spans="1:20">
      <c r="A663" s="44" t="str">
        <f>Requirements!A665</f>
        <v>MS-SMB_R9296</v>
      </c>
      <c r="B663" s="87"/>
      <c r="C663" s="87"/>
      <c r="D663" s="87"/>
      <c r="E663" s="87"/>
      <c r="F663" s="87"/>
      <c r="G663" s="87"/>
      <c r="H663" s="87"/>
      <c r="I663" s="87"/>
      <c r="J663" s="87"/>
      <c r="K663" s="87"/>
      <c r="L663" s="87"/>
      <c r="M663" s="87"/>
      <c r="N663" s="87">
        <f t="shared" si="40"/>
        <v>0</v>
      </c>
      <c r="O663" s="87">
        <f t="shared" si="41"/>
        <v>0</v>
      </c>
      <c r="P663" s="87" t="b">
        <f t="shared" si="42"/>
        <v>0</v>
      </c>
      <c r="Q663" s="87" t="b">
        <f>(Requirements!K665="Normative")</f>
        <v>0</v>
      </c>
      <c r="R663" s="87" t="b">
        <f>AND(Requirements!L665&lt;&gt;"Non-testable",Requirements!L665&lt;&gt;"Deleted",Requirements!L665&lt;&gt;"")</f>
        <v>1</v>
      </c>
      <c r="S663" s="87" t="b">
        <f>(VLOOKUP(Requirements!I665,Scope[[Role]:[Description]],2,FALSE)="In")</f>
        <v>1</v>
      </c>
      <c r="T663" s="87">
        <f t="shared" si="43"/>
        <v>0</v>
      </c>
    </row>
    <row r="664" spans="1:20">
      <c r="A664" s="85" t="str">
        <f>Requirements!A666</f>
        <v>MS-SMB_R9297</v>
      </c>
      <c r="B664" s="87"/>
      <c r="C664" s="87"/>
      <c r="D664" s="87"/>
      <c r="E664" s="87"/>
      <c r="F664" s="87"/>
      <c r="G664" s="87"/>
      <c r="H664" s="87"/>
      <c r="I664" s="87"/>
      <c r="J664" s="87"/>
      <c r="K664" s="87"/>
      <c r="L664" s="87"/>
      <c r="M664" s="87"/>
      <c r="N664" s="87">
        <f t="shared" si="40"/>
        <v>0</v>
      </c>
      <c r="O664" s="61">
        <f t="shared" si="41"/>
        <v>0</v>
      </c>
      <c r="P664" s="61" t="b">
        <f t="shared" si="42"/>
        <v>1</v>
      </c>
      <c r="Q664" s="87" t="b">
        <f>(Requirements!K666="Normative")</f>
        <v>1</v>
      </c>
      <c r="R664" s="87" t="b">
        <f>AND(Requirements!L666&lt;&gt;"Non-testable",Requirements!L666&lt;&gt;"Deleted",Requirements!L666&lt;&gt;"")</f>
        <v>1</v>
      </c>
      <c r="S664" s="87" t="b">
        <f>(VLOOKUP(Requirements!I666,Scope[[Role]:[Description]],2,FALSE)="In")</f>
        <v>1</v>
      </c>
      <c r="T664" s="87">
        <f t="shared" si="43"/>
        <v>0</v>
      </c>
    </row>
    <row r="665" spans="1:20">
      <c r="A665" s="85" t="str">
        <f>Requirements!A667</f>
        <v>MS-SMB_R9298</v>
      </c>
      <c r="B665" s="87"/>
      <c r="C665" s="87"/>
      <c r="D665" s="87"/>
      <c r="E665" s="87"/>
      <c r="F665" s="87"/>
      <c r="G665" s="87"/>
      <c r="H665" s="87"/>
      <c r="I665" s="87"/>
      <c r="J665" s="87"/>
      <c r="K665" s="87"/>
      <c r="L665" s="87"/>
      <c r="M665" s="87"/>
      <c r="N665" s="87">
        <f t="shared" si="40"/>
        <v>0</v>
      </c>
      <c r="O665" s="61">
        <f t="shared" si="41"/>
        <v>0</v>
      </c>
      <c r="P665" s="61" t="b">
        <f t="shared" si="42"/>
        <v>1</v>
      </c>
      <c r="Q665" s="87" t="b">
        <f>(Requirements!K667="Normative")</f>
        <v>1</v>
      </c>
      <c r="R665" s="87" t="b">
        <f>AND(Requirements!L667&lt;&gt;"Non-testable",Requirements!L667&lt;&gt;"Deleted",Requirements!L667&lt;&gt;"")</f>
        <v>1</v>
      </c>
      <c r="S665" s="87" t="b">
        <f>(VLOOKUP(Requirements!I667,Scope[[Role]:[Description]],2,FALSE)="In")</f>
        <v>1</v>
      </c>
      <c r="T665" s="87">
        <f t="shared" si="43"/>
        <v>0</v>
      </c>
    </row>
    <row r="666" spans="1:20">
      <c r="A666" s="85" t="str">
        <f>Requirements!A668</f>
        <v>MS-SMB_R9299</v>
      </c>
      <c r="B666" s="87"/>
      <c r="C666" s="87"/>
      <c r="D666" s="87"/>
      <c r="E666" s="87"/>
      <c r="F666" s="87"/>
      <c r="G666" s="87"/>
      <c r="H666" s="87"/>
      <c r="I666" s="87"/>
      <c r="J666" s="87"/>
      <c r="K666" s="87"/>
      <c r="L666" s="87"/>
      <c r="M666" s="87"/>
      <c r="N666" s="87">
        <f t="shared" si="40"/>
        <v>0</v>
      </c>
      <c r="O666" s="61">
        <f t="shared" si="41"/>
        <v>0</v>
      </c>
      <c r="P666" s="61" t="b">
        <f t="shared" si="42"/>
        <v>1</v>
      </c>
      <c r="Q666" s="87" t="b">
        <f>(Requirements!K668="Normative")</f>
        <v>1</v>
      </c>
      <c r="R666" s="87" t="b">
        <f>AND(Requirements!L668&lt;&gt;"Non-testable",Requirements!L668&lt;&gt;"Deleted",Requirements!L668&lt;&gt;"")</f>
        <v>1</v>
      </c>
      <c r="S666" s="87" t="b">
        <f>(VLOOKUP(Requirements!I668,Scope[[Role]:[Description]],2,FALSE)="In")</f>
        <v>1</v>
      </c>
      <c r="T666" s="87">
        <f t="shared" si="43"/>
        <v>0</v>
      </c>
    </row>
    <row r="667" spans="1:20">
      <c r="A667" s="85" t="str">
        <f>Requirements!A669</f>
        <v>MS-SMB_R9300</v>
      </c>
      <c r="B667" s="87"/>
      <c r="C667" s="87"/>
      <c r="D667" s="87"/>
      <c r="E667" s="87"/>
      <c r="F667" s="87"/>
      <c r="G667" s="87"/>
      <c r="H667" s="87"/>
      <c r="I667" s="87"/>
      <c r="J667" s="87"/>
      <c r="K667" s="87"/>
      <c r="L667" s="87"/>
      <c r="M667" s="87"/>
      <c r="N667" s="87">
        <f t="shared" si="40"/>
        <v>0</v>
      </c>
      <c r="O667" s="61">
        <f t="shared" si="41"/>
        <v>0</v>
      </c>
      <c r="P667" s="61" t="b">
        <f t="shared" si="42"/>
        <v>1</v>
      </c>
      <c r="Q667" s="87" t="b">
        <f>(Requirements!K669="Normative")</f>
        <v>1</v>
      </c>
      <c r="R667" s="87" t="b">
        <f>AND(Requirements!L669&lt;&gt;"Non-testable",Requirements!L669&lt;&gt;"Deleted",Requirements!L669&lt;&gt;"")</f>
        <v>1</v>
      </c>
      <c r="S667" s="87" t="b">
        <f>(VLOOKUP(Requirements!I669,Scope[[Role]:[Description]],2,FALSE)="In")</f>
        <v>1</v>
      </c>
      <c r="T667" s="87">
        <f t="shared" si="43"/>
        <v>0</v>
      </c>
    </row>
    <row r="668" spans="1:20">
      <c r="A668" s="85" t="str">
        <f>Requirements!A670</f>
        <v>MS-SMB_R9301</v>
      </c>
      <c r="B668" s="87"/>
      <c r="C668" s="87"/>
      <c r="D668" s="87"/>
      <c r="E668" s="87"/>
      <c r="F668" s="87"/>
      <c r="G668" s="87"/>
      <c r="H668" s="87"/>
      <c r="I668" s="87"/>
      <c r="J668" s="87"/>
      <c r="K668" s="87"/>
      <c r="L668" s="87"/>
      <c r="M668" s="87"/>
      <c r="N668" s="87">
        <f t="shared" si="40"/>
        <v>0</v>
      </c>
      <c r="O668" s="61">
        <f t="shared" si="41"/>
        <v>0</v>
      </c>
      <c r="P668" s="61" t="b">
        <f t="shared" si="42"/>
        <v>1</v>
      </c>
      <c r="Q668" s="87" t="b">
        <f>(Requirements!K670="Normative")</f>
        <v>1</v>
      </c>
      <c r="R668" s="87" t="b">
        <f>AND(Requirements!L670&lt;&gt;"Non-testable",Requirements!L670&lt;&gt;"Deleted",Requirements!L670&lt;&gt;"")</f>
        <v>1</v>
      </c>
      <c r="S668" s="87" t="b">
        <f>(VLOOKUP(Requirements!I670,Scope[[Role]:[Description]],2,FALSE)="In")</f>
        <v>1</v>
      </c>
      <c r="T668" s="87">
        <f t="shared" si="43"/>
        <v>0</v>
      </c>
    </row>
    <row r="669" spans="1:20">
      <c r="A669" s="44" t="str">
        <f>Requirements!A671</f>
        <v>MS-SMB_R9302</v>
      </c>
      <c r="B669" s="87"/>
      <c r="C669" s="87"/>
      <c r="D669" s="87"/>
      <c r="E669" s="87"/>
      <c r="F669" s="87"/>
      <c r="G669" s="87"/>
      <c r="H669" s="87"/>
      <c r="I669" s="87"/>
      <c r="J669" s="87"/>
      <c r="K669" s="87"/>
      <c r="L669" s="87"/>
      <c r="M669" s="87"/>
      <c r="N669" s="87">
        <f t="shared" si="40"/>
        <v>0</v>
      </c>
      <c r="O669" s="87">
        <f t="shared" si="41"/>
        <v>0</v>
      </c>
      <c r="P669" s="87" t="b">
        <f t="shared" si="42"/>
        <v>0</v>
      </c>
      <c r="Q669" s="87" t="b">
        <f>(Requirements!K671="Normative")</f>
        <v>0</v>
      </c>
      <c r="R669" s="87" t="b">
        <f>AND(Requirements!L671&lt;&gt;"Non-testable",Requirements!L671&lt;&gt;"Deleted",Requirements!L671&lt;&gt;"")</f>
        <v>1</v>
      </c>
      <c r="S669" s="87" t="b">
        <f>(VLOOKUP(Requirements!I671,Scope[[Role]:[Description]],2,FALSE)="In")</f>
        <v>1</v>
      </c>
      <c r="T669" s="87">
        <f t="shared" si="43"/>
        <v>0</v>
      </c>
    </row>
    <row r="670" spans="1:20">
      <c r="A670" s="44" t="str">
        <f>Requirements!A672</f>
        <v>MS-SMB_R9303</v>
      </c>
      <c r="B670" s="87"/>
      <c r="C670" s="87"/>
      <c r="D670" s="87"/>
      <c r="E670" s="87"/>
      <c r="F670" s="87"/>
      <c r="G670" s="87"/>
      <c r="H670" s="87"/>
      <c r="I670" s="87"/>
      <c r="J670" s="87"/>
      <c r="K670" s="87"/>
      <c r="L670" s="87"/>
      <c r="M670" s="87"/>
      <c r="N670" s="87">
        <f t="shared" si="40"/>
        <v>0</v>
      </c>
      <c r="O670" s="87">
        <f t="shared" si="41"/>
        <v>0</v>
      </c>
      <c r="P670" s="87" t="b">
        <f t="shared" si="42"/>
        <v>0</v>
      </c>
      <c r="Q670" s="87" t="b">
        <f>(Requirements!K672="Normative")</f>
        <v>0</v>
      </c>
      <c r="R670" s="87" t="b">
        <f>AND(Requirements!L672&lt;&gt;"Non-testable",Requirements!L672&lt;&gt;"Deleted",Requirements!L672&lt;&gt;"")</f>
        <v>1</v>
      </c>
      <c r="S670" s="87" t="b">
        <f>(VLOOKUP(Requirements!I672,Scope[[Role]:[Description]],2,FALSE)="In")</f>
        <v>1</v>
      </c>
      <c r="T670" s="87">
        <f t="shared" si="43"/>
        <v>0</v>
      </c>
    </row>
    <row r="671" spans="1:20">
      <c r="A671" s="85" t="str">
        <f>Requirements!A673</f>
        <v>MS-SMB_R9304</v>
      </c>
      <c r="B671" s="87"/>
      <c r="C671" s="87"/>
      <c r="D671" s="87"/>
      <c r="E671" s="87"/>
      <c r="F671" s="87"/>
      <c r="G671" s="87"/>
      <c r="H671" s="87"/>
      <c r="I671" s="87"/>
      <c r="J671" s="87"/>
      <c r="K671" s="87"/>
      <c r="L671" s="87"/>
      <c r="M671" s="87"/>
      <c r="N671" s="87">
        <f t="shared" si="40"/>
        <v>0</v>
      </c>
      <c r="O671" s="61">
        <f t="shared" si="41"/>
        <v>0</v>
      </c>
      <c r="P671" s="61" t="b">
        <f t="shared" si="42"/>
        <v>1</v>
      </c>
      <c r="Q671" s="87" t="b">
        <f>(Requirements!K673="Normative")</f>
        <v>1</v>
      </c>
      <c r="R671" s="87" t="b">
        <f>AND(Requirements!L673&lt;&gt;"Non-testable",Requirements!L673&lt;&gt;"Deleted",Requirements!L673&lt;&gt;"")</f>
        <v>1</v>
      </c>
      <c r="S671" s="87" t="b">
        <f>(VLOOKUP(Requirements!I673,Scope[[Role]:[Description]],2,FALSE)="In")</f>
        <v>1</v>
      </c>
      <c r="T671" s="87">
        <f t="shared" si="43"/>
        <v>0</v>
      </c>
    </row>
    <row r="672" spans="1:20">
      <c r="A672" s="44" t="str">
        <f>Requirements!A674</f>
        <v>MS-SMB_R9305</v>
      </c>
      <c r="B672" s="87"/>
      <c r="C672" s="87"/>
      <c r="D672" s="87"/>
      <c r="E672" s="87"/>
      <c r="F672" s="87"/>
      <c r="G672" s="87"/>
      <c r="H672" s="87"/>
      <c r="I672" s="87"/>
      <c r="J672" s="87"/>
      <c r="K672" s="87"/>
      <c r="L672" s="87"/>
      <c r="M672" s="87"/>
      <c r="N672" s="87">
        <f t="shared" si="40"/>
        <v>0</v>
      </c>
      <c r="O672" s="87">
        <f t="shared" si="41"/>
        <v>0</v>
      </c>
      <c r="P672" s="87" t="b">
        <f t="shared" si="42"/>
        <v>0</v>
      </c>
      <c r="Q672" s="87" t="b">
        <f>(Requirements!K674="Normative")</f>
        <v>0</v>
      </c>
      <c r="R672" s="87" t="b">
        <f>AND(Requirements!L674&lt;&gt;"Non-testable",Requirements!L674&lt;&gt;"Deleted",Requirements!L674&lt;&gt;"")</f>
        <v>1</v>
      </c>
      <c r="S672" s="87" t="b">
        <f>(VLOOKUP(Requirements!I674,Scope[[Role]:[Description]],2,FALSE)="In")</f>
        <v>1</v>
      </c>
      <c r="T672" s="87">
        <f t="shared" si="43"/>
        <v>0</v>
      </c>
    </row>
    <row r="673" spans="1:60">
      <c r="A673" s="44" t="str">
        <f>Requirements!A675</f>
        <v>MS-SMB_R9306</v>
      </c>
      <c r="B673" s="87"/>
      <c r="C673" s="87"/>
      <c r="D673" s="87"/>
      <c r="E673" s="87"/>
      <c r="F673" s="87"/>
      <c r="G673" s="87"/>
      <c r="H673" s="87"/>
      <c r="I673" s="87"/>
      <c r="J673" s="87"/>
      <c r="K673" s="87"/>
      <c r="L673" s="87"/>
      <c r="M673" s="87"/>
      <c r="N673" s="87">
        <f t="shared" si="40"/>
        <v>0</v>
      </c>
      <c r="O673" s="87">
        <f t="shared" si="41"/>
        <v>0</v>
      </c>
      <c r="P673" s="87" t="b">
        <f t="shared" si="42"/>
        <v>0</v>
      </c>
      <c r="Q673" s="87" t="b">
        <f>(Requirements!K675="Normative")</f>
        <v>0</v>
      </c>
      <c r="R673" s="87" t="b">
        <f>AND(Requirements!L675&lt;&gt;"Non-testable",Requirements!L675&lt;&gt;"Deleted",Requirements!L675&lt;&gt;"")</f>
        <v>1</v>
      </c>
      <c r="S673" s="87" t="b">
        <f>(VLOOKUP(Requirements!I675,Scope[[Role]:[Description]],2,FALSE)="In")</f>
        <v>1</v>
      </c>
      <c r="T673" s="87">
        <f t="shared" si="43"/>
        <v>0</v>
      </c>
    </row>
    <row r="674" spans="1:60">
      <c r="A674" s="84" t="str">
        <f>Requirements!A676</f>
        <v>MS-SMB_R9307</v>
      </c>
      <c r="B674" s="87">
        <v>1</v>
      </c>
      <c r="C674" s="87"/>
      <c r="D674" s="87">
        <v>1</v>
      </c>
      <c r="E674" s="87"/>
      <c r="F674" s="87"/>
      <c r="G674" s="87"/>
      <c r="H674" s="87"/>
      <c r="I674" s="87"/>
      <c r="J674" s="87"/>
      <c r="K674" s="87"/>
      <c r="L674" s="87">
        <v>1</v>
      </c>
      <c r="M674" s="87">
        <v>1</v>
      </c>
      <c r="N674" s="87">
        <f t="shared" si="40"/>
        <v>4</v>
      </c>
      <c r="O674" s="60">
        <f t="shared" si="41"/>
        <v>1</v>
      </c>
      <c r="P674" s="60" t="b">
        <f t="shared" si="42"/>
        <v>1</v>
      </c>
      <c r="Q674" s="87" t="b">
        <f>(Requirements!K676="Normative")</f>
        <v>1</v>
      </c>
      <c r="R674" s="87" t="b">
        <f>AND(Requirements!L676&lt;&gt;"Non-testable",Requirements!L676&lt;&gt;"Deleted",Requirements!L676&lt;&gt;"")</f>
        <v>1</v>
      </c>
      <c r="S674" s="87" t="b">
        <f>(VLOOKUP(Requirements!I676,Scope[[Role]:[Description]],2,FALSE)="In")</f>
        <v>1</v>
      </c>
      <c r="T674" s="87">
        <f t="shared" si="43"/>
        <v>1</v>
      </c>
    </row>
    <row r="675" spans="1:60">
      <c r="A675" s="85" t="str">
        <f>Requirements!A677</f>
        <v>MS-SMB_R6183</v>
      </c>
      <c r="B675" s="87"/>
      <c r="C675" s="87"/>
      <c r="D675" s="87"/>
      <c r="E675" s="87"/>
      <c r="F675" s="87"/>
      <c r="G675" s="87"/>
      <c r="H675" s="87"/>
      <c r="I675" s="87"/>
      <c r="J675" s="87"/>
      <c r="K675" s="87"/>
      <c r="L675" s="87"/>
      <c r="M675" s="87"/>
      <c r="N675" s="87">
        <f t="shared" si="40"/>
        <v>0</v>
      </c>
      <c r="O675" s="61">
        <f t="shared" si="41"/>
        <v>0</v>
      </c>
      <c r="P675" s="61" t="b">
        <f t="shared" si="42"/>
        <v>1</v>
      </c>
      <c r="Q675" s="87" t="b">
        <f>(Requirements!K677="Normative")</f>
        <v>1</v>
      </c>
      <c r="R675" s="87" t="b">
        <f>AND(Requirements!L677&lt;&gt;"Non-testable",Requirements!L677&lt;&gt;"Deleted",Requirements!L677&lt;&gt;"")</f>
        <v>1</v>
      </c>
      <c r="S675" s="87" t="b">
        <f>(VLOOKUP(Requirements!I677,Scope[[Role]:[Description]],2,FALSE)="In")</f>
        <v>1</v>
      </c>
      <c r="T675" s="87">
        <f t="shared" si="43"/>
        <v>0</v>
      </c>
    </row>
    <row r="676" spans="1:60">
      <c r="A676" s="44" t="str">
        <f>Requirements!A678</f>
        <v>MS-SMB_R9309</v>
      </c>
      <c r="B676" s="87"/>
      <c r="C676" s="87"/>
      <c r="D676" s="87"/>
      <c r="E676" s="87"/>
      <c r="F676" s="87"/>
      <c r="G676" s="87"/>
      <c r="H676" s="87"/>
      <c r="I676" s="87"/>
      <c r="J676" s="87"/>
      <c r="K676" s="87"/>
      <c r="L676" s="87"/>
      <c r="M676" s="87"/>
      <c r="N676" s="87">
        <f t="shared" si="40"/>
        <v>0</v>
      </c>
      <c r="O676" s="87">
        <f t="shared" si="41"/>
        <v>0</v>
      </c>
      <c r="P676" s="87" t="b">
        <f t="shared" si="42"/>
        <v>0</v>
      </c>
      <c r="Q676" s="87" t="b">
        <f>(Requirements!K678="Normative")</f>
        <v>0</v>
      </c>
      <c r="R676" s="87" t="b">
        <f>AND(Requirements!L678&lt;&gt;"Non-testable",Requirements!L678&lt;&gt;"Deleted",Requirements!L678&lt;&gt;"")</f>
        <v>1</v>
      </c>
      <c r="S676" s="87" t="b">
        <f>(VLOOKUP(Requirements!I678,Scope[[Role]:[Description]],2,FALSE)="In")</f>
        <v>1</v>
      </c>
      <c r="T676" s="87">
        <f t="shared" si="43"/>
        <v>0</v>
      </c>
    </row>
    <row r="677" spans="1:60">
      <c r="A677" s="44" t="str">
        <f>Requirements!A679</f>
        <v>MS-SMB_R9310</v>
      </c>
      <c r="B677" s="87"/>
      <c r="C677" s="87"/>
      <c r="D677" s="87"/>
      <c r="E677" s="87"/>
      <c r="F677" s="87"/>
      <c r="G677" s="87"/>
      <c r="H677" s="87"/>
      <c r="I677" s="87"/>
      <c r="J677" s="87"/>
      <c r="K677" s="87"/>
      <c r="L677" s="87"/>
      <c r="M677" s="87"/>
      <c r="N677" s="87">
        <f t="shared" si="40"/>
        <v>0</v>
      </c>
      <c r="O677" s="87">
        <f t="shared" si="41"/>
        <v>0</v>
      </c>
      <c r="P677" s="87" t="b">
        <f t="shared" si="42"/>
        <v>0</v>
      </c>
      <c r="Q677" s="87" t="b">
        <f>(Requirements!K679="Normative")</f>
        <v>0</v>
      </c>
      <c r="R677" s="87" t="b">
        <f>AND(Requirements!L679&lt;&gt;"Non-testable",Requirements!L679&lt;&gt;"Deleted",Requirements!L679&lt;&gt;"")</f>
        <v>1</v>
      </c>
      <c r="S677" s="87" t="b">
        <f>(VLOOKUP(Requirements!I679,Scope[[Role]:[Description]],2,FALSE)="In")</f>
        <v>1</v>
      </c>
      <c r="T677" s="87">
        <f t="shared" si="43"/>
        <v>0</v>
      </c>
    </row>
    <row r="678" spans="1:60">
      <c r="A678" s="84" t="str">
        <f>Requirements!A680</f>
        <v>MS-SMB_R119310</v>
      </c>
      <c r="B678" s="87">
        <v>1</v>
      </c>
      <c r="C678" s="87"/>
      <c r="D678" s="87">
        <v>1</v>
      </c>
      <c r="E678" s="87"/>
      <c r="F678" s="87"/>
      <c r="G678" s="87"/>
      <c r="H678" s="87"/>
      <c r="I678" s="87"/>
      <c r="J678" s="87"/>
      <c r="K678" s="87"/>
      <c r="L678" s="87">
        <v>1</v>
      </c>
      <c r="M678" s="87">
        <v>1</v>
      </c>
      <c r="N678" s="87">
        <f t="shared" si="40"/>
        <v>4</v>
      </c>
      <c r="O678" s="60">
        <f t="shared" si="41"/>
        <v>1</v>
      </c>
      <c r="P678" s="60" t="b">
        <f t="shared" si="42"/>
        <v>1</v>
      </c>
      <c r="Q678" s="87" t="b">
        <f>(Requirements!K680="Normative")</f>
        <v>1</v>
      </c>
      <c r="R678" s="87" t="b">
        <f>AND(Requirements!L680&lt;&gt;"Non-testable",Requirements!L680&lt;&gt;"Deleted",Requirements!L680&lt;&gt;"")</f>
        <v>1</v>
      </c>
      <c r="S678" s="87" t="b">
        <f>(VLOOKUP(Requirements!I680,Scope[[Role]:[Description]],2,FALSE)="In")</f>
        <v>1</v>
      </c>
      <c r="T678" s="87">
        <f t="shared" si="43"/>
        <v>1</v>
      </c>
    </row>
    <row r="679" spans="1:60">
      <c r="A679" s="84" t="str">
        <f>Requirements!A681</f>
        <v>MS-SMB_R119311</v>
      </c>
      <c r="B679" s="87">
        <v>1</v>
      </c>
      <c r="C679" s="87"/>
      <c r="D679" s="87">
        <v>1</v>
      </c>
      <c r="E679" s="87"/>
      <c r="F679" s="87"/>
      <c r="G679" s="87"/>
      <c r="H679" s="87"/>
      <c r="I679" s="87"/>
      <c r="J679" s="87"/>
      <c r="K679" s="87"/>
      <c r="L679" s="87">
        <v>1</v>
      </c>
      <c r="M679" s="87">
        <v>1</v>
      </c>
      <c r="N679" s="87">
        <f t="shared" si="40"/>
        <v>4</v>
      </c>
      <c r="O679" s="60">
        <f t="shared" si="41"/>
        <v>1</v>
      </c>
      <c r="P679" s="60" t="b">
        <f t="shared" si="42"/>
        <v>1</v>
      </c>
      <c r="Q679" s="87" t="b">
        <f>(Requirements!K681="Normative")</f>
        <v>1</v>
      </c>
      <c r="R679" s="87" t="b">
        <f>AND(Requirements!L681&lt;&gt;"Non-testable",Requirements!L681&lt;&gt;"Deleted",Requirements!L681&lt;&gt;"")</f>
        <v>1</v>
      </c>
      <c r="S679" s="87" t="b">
        <f>(VLOOKUP(Requirements!I681,Scope[[Role]:[Description]],2,FALSE)="In")</f>
        <v>1</v>
      </c>
      <c r="T679" s="87">
        <f t="shared" si="43"/>
        <v>1</v>
      </c>
    </row>
    <row r="680" spans="1:60">
      <c r="A680" s="85" t="str">
        <f>Requirements!A682</f>
        <v>MS-SMB_R119312</v>
      </c>
      <c r="B680" s="87"/>
      <c r="C680" s="87"/>
      <c r="D680" s="87"/>
      <c r="E680" s="87"/>
      <c r="F680" s="87"/>
      <c r="G680" s="87"/>
      <c r="H680" s="87"/>
      <c r="I680" s="87"/>
      <c r="J680" s="87"/>
      <c r="K680" s="87"/>
      <c r="L680" s="87"/>
      <c r="M680" s="87"/>
      <c r="N680" s="87">
        <f t="shared" si="40"/>
        <v>0</v>
      </c>
      <c r="O680" s="61">
        <f t="shared" si="41"/>
        <v>0</v>
      </c>
      <c r="P680" s="61" t="b">
        <f t="shared" si="42"/>
        <v>1</v>
      </c>
      <c r="Q680" s="87" t="b">
        <f>(Requirements!K682="Normative")</f>
        <v>1</v>
      </c>
      <c r="R680" s="87" t="b">
        <f>AND(Requirements!L682&lt;&gt;"Non-testable",Requirements!L682&lt;&gt;"Deleted",Requirements!L682&lt;&gt;"")</f>
        <v>1</v>
      </c>
      <c r="S680" s="87" t="b">
        <f>(VLOOKUP(Requirements!I682,Scope[[Role]:[Description]],2,FALSE)="In")</f>
        <v>1</v>
      </c>
      <c r="T680" s="87">
        <f t="shared" si="43"/>
        <v>0</v>
      </c>
    </row>
    <row r="681" spans="1:60">
      <c r="A681" s="84" t="str">
        <f>Requirements!A683</f>
        <v>MS-SMB_R119313</v>
      </c>
      <c r="B681" s="87">
        <v>1</v>
      </c>
      <c r="C681" s="87"/>
      <c r="D681" s="87">
        <v>1</v>
      </c>
      <c r="E681" s="87"/>
      <c r="F681" s="87"/>
      <c r="G681" s="87"/>
      <c r="H681" s="87"/>
      <c r="I681" s="87"/>
      <c r="J681" s="87"/>
      <c r="K681" s="87"/>
      <c r="L681" s="87">
        <v>1</v>
      </c>
      <c r="M681" s="87">
        <v>1</v>
      </c>
      <c r="N681" s="87">
        <f t="shared" si="40"/>
        <v>4</v>
      </c>
      <c r="O681" s="60">
        <f t="shared" si="41"/>
        <v>1</v>
      </c>
      <c r="P681" s="60" t="b">
        <f t="shared" si="42"/>
        <v>1</v>
      </c>
      <c r="Q681" s="87" t="b">
        <f>(Requirements!K683="Normative")</f>
        <v>1</v>
      </c>
      <c r="R681" s="87" t="b">
        <f>AND(Requirements!L683&lt;&gt;"Non-testable",Requirements!L683&lt;&gt;"Deleted",Requirements!L683&lt;&gt;"")</f>
        <v>1</v>
      </c>
      <c r="S681" s="87" t="b">
        <f>(VLOOKUP(Requirements!I683,Scope[[Role]:[Description]],2,FALSE)="In")</f>
        <v>1</v>
      </c>
      <c r="T681" s="87">
        <f t="shared" si="43"/>
        <v>1</v>
      </c>
    </row>
    <row r="682" spans="1:60">
      <c r="A682" s="84" t="str">
        <f>Requirements!A684</f>
        <v>MS-SMB_R119314</v>
      </c>
      <c r="B682" s="87">
        <v>1</v>
      </c>
      <c r="C682" s="87"/>
      <c r="D682" s="87">
        <v>1</v>
      </c>
      <c r="E682" s="87"/>
      <c r="F682" s="87"/>
      <c r="G682" s="87"/>
      <c r="H682" s="87"/>
      <c r="I682" s="87"/>
      <c r="J682" s="87"/>
      <c r="K682" s="87"/>
      <c r="L682" s="87">
        <v>1</v>
      </c>
      <c r="M682" s="87">
        <v>1</v>
      </c>
      <c r="N682" s="87">
        <f t="shared" si="40"/>
        <v>4</v>
      </c>
      <c r="O682" s="60">
        <f t="shared" si="41"/>
        <v>1</v>
      </c>
      <c r="P682" s="60" t="b">
        <f t="shared" si="42"/>
        <v>1</v>
      </c>
      <c r="Q682" s="87" t="b">
        <f>(Requirements!K684="Normative")</f>
        <v>1</v>
      </c>
      <c r="R682" s="87" t="b">
        <f>AND(Requirements!L684&lt;&gt;"Non-testable",Requirements!L684&lt;&gt;"Deleted",Requirements!L684&lt;&gt;"")</f>
        <v>1</v>
      </c>
      <c r="S682" s="87" t="b">
        <f>(VLOOKUP(Requirements!I684,Scope[[Role]:[Description]],2,FALSE)="In")</f>
        <v>1</v>
      </c>
      <c r="T682" s="87">
        <f t="shared" si="43"/>
        <v>1</v>
      </c>
    </row>
    <row r="683" spans="1:60">
      <c r="A683" s="85" t="str">
        <f>Requirements!A685</f>
        <v>MS-SMB_R119315</v>
      </c>
      <c r="B683" s="87"/>
      <c r="C683" s="87"/>
      <c r="D683" s="87"/>
      <c r="E683" s="87"/>
      <c r="F683" s="87"/>
      <c r="G683" s="87"/>
      <c r="H683" s="87"/>
      <c r="I683" s="87"/>
      <c r="J683" s="87"/>
      <c r="K683" s="87"/>
      <c r="L683" s="87"/>
      <c r="M683" s="87"/>
      <c r="N683" s="87">
        <f t="shared" si="40"/>
        <v>0</v>
      </c>
      <c r="O683" s="61">
        <f t="shared" si="41"/>
        <v>0</v>
      </c>
      <c r="P683" s="61" t="b">
        <f t="shared" si="42"/>
        <v>1</v>
      </c>
      <c r="Q683" s="87" t="b">
        <f>(Requirements!K685="Normative")</f>
        <v>1</v>
      </c>
      <c r="R683" s="87" t="b">
        <f>AND(Requirements!L685&lt;&gt;"Non-testable",Requirements!L685&lt;&gt;"Deleted",Requirements!L685&lt;&gt;"")</f>
        <v>1</v>
      </c>
      <c r="S683" s="87" t="b">
        <f>(VLOOKUP(Requirements!I685,Scope[[Role]:[Description]],2,FALSE)="In")</f>
        <v>1</v>
      </c>
      <c r="T683" s="87">
        <f t="shared" si="43"/>
        <v>0</v>
      </c>
    </row>
    <row r="684" spans="1:60">
      <c r="A684" s="44" t="str">
        <f>Requirements!A686</f>
        <v>MS-SMB_R119316</v>
      </c>
      <c r="B684" s="87"/>
      <c r="C684" s="87"/>
      <c r="D684" s="87"/>
      <c r="E684" s="87"/>
      <c r="F684" s="87"/>
      <c r="G684" s="87"/>
      <c r="H684" s="87"/>
      <c r="I684" s="87"/>
      <c r="J684" s="87"/>
      <c r="K684" s="87"/>
      <c r="L684" s="87"/>
      <c r="M684" s="87"/>
      <c r="N684" s="87">
        <f t="shared" si="40"/>
        <v>0</v>
      </c>
      <c r="O684" s="87">
        <f t="shared" si="41"/>
        <v>0</v>
      </c>
      <c r="P684" s="87" t="b">
        <f t="shared" si="42"/>
        <v>0</v>
      </c>
      <c r="Q684" s="87" t="b">
        <f>(Requirements!K686="Normative")</f>
        <v>1</v>
      </c>
      <c r="R684" s="87" t="b">
        <f>AND(Requirements!L686&lt;&gt;"Non-testable",Requirements!L686&lt;&gt;"Deleted",Requirements!L686&lt;&gt;"")</f>
        <v>0</v>
      </c>
      <c r="S684" s="87" t="b">
        <f>(VLOOKUP(Requirements!I686,Scope[[Role]:[Description]],2,FALSE)="In")</f>
        <v>1</v>
      </c>
      <c r="T684" s="87">
        <f t="shared" si="43"/>
        <v>0</v>
      </c>
    </row>
    <row r="685" spans="1:60">
      <c r="A685" s="83" t="str">
        <f>Requirements!A687</f>
        <v>MS-SMB_R119317</v>
      </c>
      <c r="B685" s="46"/>
      <c r="C685" s="46"/>
      <c r="D685" s="46"/>
      <c r="E685" s="46"/>
      <c r="F685" s="46"/>
      <c r="G685" s="46"/>
      <c r="H685" s="46"/>
      <c r="I685" s="46"/>
      <c r="J685" s="46"/>
      <c r="K685" s="46"/>
      <c r="L685" s="46"/>
      <c r="M685" s="46"/>
      <c r="N685" s="46">
        <f t="shared" si="40"/>
        <v>0</v>
      </c>
      <c r="O685" s="46">
        <f t="shared" si="41"/>
        <v>0</v>
      </c>
      <c r="P685" s="46" t="b">
        <f t="shared" si="42"/>
        <v>0</v>
      </c>
      <c r="Q685" s="46" t="b">
        <f>(Requirements!K687="Normative")</f>
        <v>0</v>
      </c>
      <c r="R685" s="46" t="b">
        <f>AND(Requirements!L687&lt;&gt;"Non-testable",Requirements!L687&lt;&gt;"Deleted",Requirements!L687&lt;&gt;"")</f>
        <v>0</v>
      </c>
      <c r="S685" s="46" t="b">
        <f>(VLOOKUP(Requirements!I687,Scope[[Role]:[Description]],2,FALSE)="In")</f>
        <v>1</v>
      </c>
      <c r="T685" s="46">
        <f t="shared" si="43"/>
        <v>0</v>
      </c>
      <c r="U685" s="45"/>
      <c r="V685" s="45"/>
      <c r="W685" s="45"/>
      <c r="X685" s="45"/>
      <c r="Y685" s="45"/>
      <c r="Z685" s="45"/>
      <c r="AA685" s="45"/>
      <c r="AB685" s="45"/>
      <c r="AC685" s="45"/>
      <c r="AD685" s="45"/>
      <c r="AE685" s="45"/>
      <c r="AF685" s="45"/>
      <c r="AG685" s="45"/>
      <c r="AH685" s="45"/>
      <c r="AI685" s="45"/>
      <c r="AJ685" s="45"/>
      <c r="AK685" s="45"/>
      <c r="AL685" s="45"/>
      <c r="AM685" s="45"/>
      <c r="AN685" s="45"/>
      <c r="AO685" s="45"/>
      <c r="AP685" s="45"/>
      <c r="AQ685" s="45"/>
      <c r="AR685" s="45"/>
      <c r="AS685" s="45"/>
      <c r="AT685" s="45"/>
      <c r="AU685" s="45"/>
      <c r="AV685" s="45"/>
      <c r="AW685" s="45"/>
      <c r="AX685" s="45"/>
      <c r="AY685" s="45"/>
      <c r="AZ685" s="45"/>
      <c r="BA685" s="45"/>
      <c r="BB685" s="45"/>
      <c r="BC685" s="45"/>
      <c r="BD685" s="45"/>
      <c r="BE685" s="45"/>
      <c r="BF685" s="45"/>
      <c r="BG685" s="45"/>
      <c r="BH685" s="45"/>
    </row>
    <row r="686" spans="1:60">
      <c r="A686" s="44" t="str">
        <f>Requirements!A688</f>
        <v>MS-SMB_R119318</v>
      </c>
      <c r="B686" s="87"/>
      <c r="C686" s="87"/>
      <c r="D686" s="87"/>
      <c r="E686" s="87"/>
      <c r="F686" s="87"/>
      <c r="G686" s="87"/>
      <c r="H686" s="87"/>
      <c r="I686" s="87"/>
      <c r="J686" s="87"/>
      <c r="K686" s="87"/>
      <c r="L686" s="87"/>
      <c r="M686" s="87"/>
      <c r="N686" s="87">
        <f t="shared" si="40"/>
        <v>0</v>
      </c>
      <c r="O686" s="87">
        <f t="shared" si="41"/>
        <v>0</v>
      </c>
      <c r="P686" s="87" t="b">
        <f t="shared" si="42"/>
        <v>0</v>
      </c>
      <c r="Q686" s="87" t="b">
        <f>(Requirements!K688="Normative")</f>
        <v>1</v>
      </c>
      <c r="R686" s="87" t="b">
        <f>AND(Requirements!L688&lt;&gt;"Non-testable",Requirements!L688&lt;&gt;"Deleted",Requirements!L688&lt;&gt;"")</f>
        <v>0</v>
      </c>
      <c r="S686" s="87" t="b">
        <f>(VLOOKUP(Requirements!I688,Scope[[Role]:[Description]],2,FALSE)="In")</f>
        <v>1</v>
      </c>
      <c r="T686" s="87">
        <f t="shared" si="43"/>
        <v>0</v>
      </c>
    </row>
    <row r="687" spans="1:60">
      <c r="A687" s="85" t="str">
        <f>Requirements!A689</f>
        <v>MS-SMB_R119319</v>
      </c>
      <c r="B687" s="87"/>
      <c r="C687" s="87"/>
      <c r="D687" s="87"/>
      <c r="E687" s="87"/>
      <c r="F687" s="87"/>
      <c r="G687" s="87"/>
      <c r="H687" s="87"/>
      <c r="I687" s="87"/>
      <c r="J687" s="87"/>
      <c r="K687" s="87"/>
      <c r="L687" s="87"/>
      <c r="M687" s="87"/>
      <c r="N687" s="87">
        <f t="shared" si="40"/>
        <v>0</v>
      </c>
      <c r="O687" s="61">
        <f t="shared" si="41"/>
        <v>0</v>
      </c>
      <c r="P687" s="61" t="b">
        <f t="shared" si="42"/>
        <v>1</v>
      </c>
      <c r="Q687" s="87" t="b">
        <f>(Requirements!K689="Normative")</f>
        <v>1</v>
      </c>
      <c r="R687" s="87" t="b">
        <f>AND(Requirements!L689&lt;&gt;"Non-testable",Requirements!L689&lt;&gt;"Deleted",Requirements!L689&lt;&gt;"")</f>
        <v>1</v>
      </c>
      <c r="S687" s="87" t="b">
        <f>(VLOOKUP(Requirements!I689,Scope[[Role]:[Description]],2,FALSE)="In")</f>
        <v>1</v>
      </c>
      <c r="T687" s="87">
        <f t="shared" si="43"/>
        <v>0</v>
      </c>
    </row>
    <row r="688" spans="1:60">
      <c r="A688" s="84" t="str">
        <f>Requirements!A690</f>
        <v>MS-SMB_R119320</v>
      </c>
      <c r="B688" s="87">
        <v>1</v>
      </c>
      <c r="C688" s="87"/>
      <c r="D688" s="87">
        <v>1</v>
      </c>
      <c r="E688" s="87"/>
      <c r="F688" s="87"/>
      <c r="G688" s="87"/>
      <c r="H688" s="87"/>
      <c r="I688" s="87"/>
      <c r="J688" s="87"/>
      <c r="K688" s="87"/>
      <c r="L688" s="87">
        <v>1</v>
      </c>
      <c r="M688" s="87">
        <v>1</v>
      </c>
      <c r="N688" s="87">
        <f t="shared" si="40"/>
        <v>4</v>
      </c>
      <c r="O688" s="60">
        <f t="shared" si="41"/>
        <v>1</v>
      </c>
      <c r="P688" s="60" t="b">
        <f t="shared" si="42"/>
        <v>1</v>
      </c>
      <c r="Q688" s="87" t="b">
        <f>(Requirements!K690="Normative")</f>
        <v>1</v>
      </c>
      <c r="R688" s="87" t="b">
        <f>AND(Requirements!L690&lt;&gt;"Non-testable",Requirements!L690&lt;&gt;"Deleted",Requirements!L690&lt;&gt;"")</f>
        <v>1</v>
      </c>
      <c r="S688" s="87" t="b">
        <f>(VLOOKUP(Requirements!I690,Scope[[Role]:[Description]],2,FALSE)="In")</f>
        <v>1</v>
      </c>
      <c r="T688" s="87">
        <f t="shared" si="43"/>
        <v>1</v>
      </c>
    </row>
    <row r="689" spans="1:20">
      <c r="A689" s="85" t="str">
        <f>Requirements!A691</f>
        <v>MS-SMB_R119321</v>
      </c>
      <c r="B689" s="87"/>
      <c r="C689" s="87"/>
      <c r="D689" s="87"/>
      <c r="E689" s="87"/>
      <c r="F689" s="87"/>
      <c r="G689" s="87"/>
      <c r="H689" s="87"/>
      <c r="I689" s="87"/>
      <c r="J689" s="87"/>
      <c r="K689" s="87"/>
      <c r="L689" s="87"/>
      <c r="M689" s="87"/>
      <c r="N689" s="87">
        <f t="shared" si="40"/>
        <v>0</v>
      </c>
      <c r="O689" s="61">
        <f t="shared" si="41"/>
        <v>0</v>
      </c>
      <c r="P689" s="61" t="b">
        <f t="shared" si="42"/>
        <v>1</v>
      </c>
      <c r="Q689" s="87" t="b">
        <f>(Requirements!K691="Normative")</f>
        <v>1</v>
      </c>
      <c r="R689" s="87" t="b">
        <f>AND(Requirements!L691&lt;&gt;"Non-testable",Requirements!L691&lt;&gt;"Deleted",Requirements!L691&lt;&gt;"")</f>
        <v>1</v>
      </c>
      <c r="S689" s="87" t="b">
        <f>(VLOOKUP(Requirements!I691,Scope[[Role]:[Description]],2,FALSE)="In")</f>
        <v>1</v>
      </c>
      <c r="T689" s="87">
        <f t="shared" si="43"/>
        <v>0</v>
      </c>
    </row>
    <row r="690" spans="1:20">
      <c r="A690" s="85" t="str">
        <f>Requirements!A692</f>
        <v>MS-SMB_R119322</v>
      </c>
      <c r="B690" s="87"/>
      <c r="C690" s="87"/>
      <c r="D690" s="87"/>
      <c r="E690" s="87"/>
      <c r="F690" s="87"/>
      <c r="G690" s="87"/>
      <c r="H690" s="87"/>
      <c r="I690" s="87"/>
      <c r="J690" s="87"/>
      <c r="K690" s="87"/>
      <c r="L690" s="87"/>
      <c r="M690" s="87"/>
      <c r="N690" s="87">
        <f t="shared" si="40"/>
        <v>0</v>
      </c>
      <c r="O690" s="61">
        <f t="shared" si="41"/>
        <v>0</v>
      </c>
      <c r="P690" s="61" t="b">
        <f t="shared" si="42"/>
        <v>1</v>
      </c>
      <c r="Q690" s="87" t="b">
        <f>(Requirements!K692="Normative")</f>
        <v>1</v>
      </c>
      <c r="R690" s="87" t="b">
        <f>AND(Requirements!L692&lt;&gt;"Non-testable",Requirements!L692&lt;&gt;"Deleted",Requirements!L692&lt;&gt;"")</f>
        <v>1</v>
      </c>
      <c r="S690" s="87" t="b">
        <f>(VLOOKUP(Requirements!I692,Scope[[Role]:[Description]],2,FALSE)="In")</f>
        <v>1</v>
      </c>
      <c r="T690" s="87">
        <f t="shared" si="43"/>
        <v>0</v>
      </c>
    </row>
    <row r="691" spans="1:20">
      <c r="A691" s="85" t="str">
        <f>Requirements!A693</f>
        <v>MS-SMB_R129322</v>
      </c>
      <c r="B691" s="87"/>
      <c r="C691" s="87"/>
      <c r="D691" s="87"/>
      <c r="E691" s="87"/>
      <c r="F691" s="87"/>
      <c r="G691" s="87"/>
      <c r="H691" s="87"/>
      <c r="I691" s="87"/>
      <c r="J691" s="87"/>
      <c r="K691" s="87"/>
      <c r="L691" s="87"/>
      <c r="M691" s="87"/>
      <c r="N691" s="87">
        <f t="shared" si="40"/>
        <v>0</v>
      </c>
      <c r="O691" s="61">
        <f t="shared" si="41"/>
        <v>0</v>
      </c>
      <c r="P691" s="61" t="b">
        <f t="shared" si="42"/>
        <v>1</v>
      </c>
      <c r="Q691" s="87" t="b">
        <f>(Requirements!K693="Normative")</f>
        <v>1</v>
      </c>
      <c r="R691" s="87" t="b">
        <f>AND(Requirements!L693&lt;&gt;"Non-testable",Requirements!L693&lt;&gt;"Deleted",Requirements!L693&lt;&gt;"")</f>
        <v>1</v>
      </c>
      <c r="S691" s="87" t="b">
        <f>(VLOOKUP(Requirements!I693,Scope[[Role]:[Description]],2,FALSE)="In")</f>
        <v>1</v>
      </c>
      <c r="T691" s="87">
        <f t="shared" si="43"/>
        <v>0</v>
      </c>
    </row>
    <row r="692" spans="1:20">
      <c r="A692" s="85" t="str">
        <f>Requirements!A694</f>
        <v>MS-SMB_R119323</v>
      </c>
      <c r="B692" s="87"/>
      <c r="C692" s="87"/>
      <c r="D692" s="87"/>
      <c r="E692" s="87"/>
      <c r="F692" s="87"/>
      <c r="G692" s="87"/>
      <c r="H692" s="87"/>
      <c r="I692" s="87"/>
      <c r="J692" s="87"/>
      <c r="K692" s="87"/>
      <c r="L692" s="87"/>
      <c r="M692" s="87"/>
      <c r="N692" s="87">
        <f t="shared" si="40"/>
        <v>0</v>
      </c>
      <c r="O692" s="61">
        <f t="shared" si="41"/>
        <v>0</v>
      </c>
      <c r="P692" s="61" t="b">
        <f t="shared" si="42"/>
        <v>1</v>
      </c>
      <c r="Q692" s="87" t="b">
        <f>(Requirements!K694="Normative")</f>
        <v>1</v>
      </c>
      <c r="R692" s="87" t="b">
        <f>AND(Requirements!L694&lt;&gt;"Non-testable",Requirements!L694&lt;&gt;"Deleted",Requirements!L694&lt;&gt;"")</f>
        <v>1</v>
      </c>
      <c r="S692" s="87" t="b">
        <f>(VLOOKUP(Requirements!I694,Scope[[Role]:[Description]],2,FALSE)="In")</f>
        <v>1</v>
      </c>
      <c r="T692" s="87">
        <f t="shared" si="43"/>
        <v>0</v>
      </c>
    </row>
    <row r="693" spans="1:20">
      <c r="A693" s="85" t="str">
        <f>Requirements!A695</f>
        <v>MS-SMB_R129323</v>
      </c>
      <c r="B693" s="87"/>
      <c r="C693" s="87"/>
      <c r="D693" s="87"/>
      <c r="E693" s="87"/>
      <c r="F693" s="87"/>
      <c r="G693" s="87"/>
      <c r="H693" s="87"/>
      <c r="I693" s="87"/>
      <c r="J693" s="87"/>
      <c r="K693" s="87"/>
      <c r="L693" s="87"/>
      <c r="M693" s="87"/>
      <c r="N693" s="87">
        <f t="shared" si="40"/>
        <v>0</v>
      </c>
      <c r="O693" s="61">
        <f t="shared" si="41"/>
        <v>0</v>
      </c>
      <c r="P693" s="61" t="b">
        <f t="shared" si="42"/>
        <v>1</v>
      </c>
      <c r="Q693" s="87" t="b">
        <f>(Requirements!K695="Normative")</f>
        <v>1</v>
      </c>
      <c r="R693" s="87" t="b">
        <f>AND(Requirements!L695&lt;&gt;"Non-testable",Requirements!L695&lt;&gt;"Deleted",Requirements!L695&lt;&gt;"")</f>
        <v>1</v>
      </c>
      <c r="S693" s="87" t="b">
        <f>(VLOOKUP(Requirements!I695,Scope[[Role]:[Description]],2,FALSE)="In")</f>
        <v>1</v>
      </c>
      <c r="T693" s="87">
        <f t="shared" si="43"/>
        <v>0</v>
      </c>
    </row>
    <row r="694" spans="1:20">
      <c r="A694" s="84" t="str">
        <f>Requirements!A696</f>
        <v>MS-SMB_R119324</v>
      </c>
      <c r="B694" s="87">
        <v>1</v>
      </c>
      <c r="C694" s="87"/>
      <c r="D694" s="87">
        <v>1</v>
      </c>
      <c r="E694" s="87"/>
      <c r="F694" s="87"/>
      <c r="G694" s="87"/>
      <c r="H694" s="87"/>
      <c r="I694" s="87"/>
      <c r="J694" s="87"/>
      <c r="K694" s="87"/>
      <c r="L694" s="87">
        <v>1</v>
      </c>
      <c r="M694" s="87">
        <v>1</v>
      </c>
      <c r="N694" s="87">
        <f t="shared" si="40"/>
        <v>4</v>
      </c>
      <c r="O694" s="60">
        <f t="shared" si="41"/>
        <v>1</v>
      </c>
      <c r="P694" s="60" t="b">
        <f t="shared" si="42"/>
        <v>1</v>
      </c>
      <c r="Q694" s="87" t="b">
        <f>(Requirements!K696="Normative")</f>
        <v>1</v>
      </c>
      <c r="R694" s="87" t="b">
        <f>AND(Requirements!L696&lt;&gt;"Non-testable",Requirements!L696&lt;&gt;"Deleted",Requirements!L696&lt;&gt;"")</f>
        <v>1</v>
      </c>
      <c r="S694" s="87" t="b">
        <f>(VLOOKUP(Requirements!I696,Scope[[Role]:[Description]],2,FALSE)="In")</f>
        <v>1</v>
      </c>
      <c r="T694" s="87">
        <f t="shared" si="43"/>
        <v>1</v>
      </c>
    </row>
    <row r="695" spans="1:20">
      <c r="A695" s="85" t="str">
        <f>Requirements!A697</f>
        <v>MS-SMB_R119325</v>
      </c>
      <c r="B695" s="87"/>
      <c r="C695" s="87"/>
      <c r="D695" s="87"/>
      <c r="E695" s="87"/>
      <c r="F695" s="87"/>
      <c r="G695" s="87"/>
      <c r="H695" s="87"/>
      <c r="I695" s="87"/>
      <c r="J695" s="87"/>
      <c r="K695" s="87"/>
      <c r="L695" s="87"/>
      <c r="M695" s="87"/>
      <c r="N695" s="87">
        <f t="shared" si="40"/>
        <v>0</v>
      </c>
      <c r="O695" s="61">
        <f t="shared" si="41"/>
        <v>0</v>
      </c>
      <c r="P695" s="61" t="b">
        <f t="shared" si="42"/>
        <v>1</v>
      </c>
      <c r="Q695" s="87" t="b">
        <f>(Requirements!K697="Normative")</f>
        <v>1</v>
      </c>
      <c r="R695" s="87" t="b">
        <f>AND(Requirements!L697&lt;&gt;"Non-testable",Requirements!L697&lt;&gt;"Deleted",Requirements!L697&lt;&gt;"")</f>
        <v>1</v>
      </c>
      <c r="S695" s="87" t="b">
        <f>(VLOOKUP(Requirements!I697,Scope[[Role]:[Description]],2,FALSE)="In")</f>
        <v>1</v>
      </c>
      <c r="T695" s="87">
        <f t="shared" si="43"/>
        <v>0</v>
      </c>
    </row>
    <row r="696" spans="1:20">
      <c r="A696" s="84" t="str">
        <f>Requirements!A698</f>
        <v>MS-SMB_R119326</v>
      </c>
      <c r="B696" s="87">
        <v>1</v>
      </c>
      <c r="C696" s="87"/>
      <c r="D696" s="87">
        <v>1</v>
      </c>
      <c r="E696" s="87"/>
      <c r="F696" s="87"/>
      <c r="G696" s="87"/>
      <c r="H696" s="87"/>
      <c r="I696" s="87"/>
      <c r="J696" s="87"/>
      <c r="K696" s="87"/>
      <c r="L696" s="87">
        <v>1</v>
      </c>
      <c r="M696" s="87">
        <v>1</v>
      </c>
      <c r="N696" s="87">
        <f t="shared" si="40"/>
        <v>4</v>
      </c>
      <c r="O696" s="60">
        <f t="shared" si="41"/>
        <v>1</v>
      </c>
      <c r="P696" s="60" t="b">
        <f t="shared" si="42"/>
        <v>1</v>
      </c>
      <c r="Q696" s="87" t="b">
        <f>(Requirements!K698="Normative")</f>
        <v>1</v>
      </c>
      <c r="R696" s="87" t="b">
        <f>AND(Requirements!L698&lt;&gt;"Non-testable",Requirements!L698&lt;&gt;"Deleted",Requirements!L698&lt;&gt;"")</f>
        <v>1</v>
      </c>
      <c r="S696" s="87" t="b">
        <f>(VLOOKUP(Requirements!I698,Scope[[Role]:[Description]],2,FALSE)="In")</f>
        <v>1</v>
      </c>
      <c r="T696" s="87">
        <f t="shared" si="43"/>
        <v>1</v>
      </c>
    </row>
    <row r="697" spans="1:20">
      <c r="A697" s="85" t="str">
        <f>Requirements!A699</f>
        <v>MS-SMB_R119327</v>
      </c>
      <c r="B697" s="87"/>
      <c r="C697" s="87"/>
      <c r="D697" s="87"/>
      <c r="E697" s="87"/>
      <c r="F697" s="87"/>
      <c r="G697" s="87"/>
      <c r="H697" s="87"/>
      <c r="I697" s="87"/>
      <c r="J697" s="87"/>
      <c r="K697" s="87"/>
      <c r="L697" s="87"/>
      <c r="M697" s="87"/>
      <c r="N697" s="87">
        <f t="shared" si="40"/>
        <v>0</v>
      </c>
      <c r="O697" s="61">
        <f t="shared" si="41"/>
        <v>0</v>
      </c>
      <c r="P697" s="61" t="b">
        <f t="shared" si="42"/>
        <v>1</v>
      </c>
      <c r="Q697" s="87" t="b">
        <f>(Requirements!K699="Normative")</f>
        <v>1</v>
      </c>
      <c r="R697" s="87" t="b">
        <f>AND(Requirements!L699&lt;&gt;"Non-testable",Requirements!L699&lt;&gt;"Deleted",Requirements!L699&lt;&gt;"")</f>
        <v>1</v>
      </c>
      <c r="S697" s="87" t="b">
        <f>(VLOOKUP(Requirements!I699,Scope[[Role]:[Description]],2,FALSE)="In")</f>
        <v>1</v>
      </c>
      <c r="T697" s="87">
        <f t="shared" si="43"/>
        <v>0</v>
      </c>
    </row>
    <row r="698" spans="1:20">
      <c r="A698" s="84" t="str">
        <f>Requirements!A700</f>
        <v>MS-SMB_R119328</v>
      </c>
      <c r="B698" s="87">
        <v>1</v>
      </c>
      <c r="C698" s="87"/>
      <c r="D698" s="87">
        <v>1</v>
      </c>
      <c r="E698" s="87"/>
      <c r="F698" s="87"/>
      <c r="G698" s="87"/>
      <c r="H698" s="87"/>
      <c r="I698" s="87"/>
      <c r="J698" s="87"/>
      <c r="K698" s="87"/>
      <c r="L698" s="87">
        <v>1</v>
      </c>
      <c r="M698" s="87">
        <v>1</v>
      </c>
      <c r="N698" s="87">
        <f t="shared" si="40"/>
        <v>4</v>
      </c>
      <c r="O698" s="60">
        <f t="shared" si="41"/>
        <v>1</v>
      </c>
      <c r="P698" s="60" t="b">
        <f t="shared" si="42"/>
        <v>1</v>
      </c>
      <c r="Q698" s="87" t="b">
        <f>(Requirements!K700="Normative")</f>
        <v>1</v>
      </c>
      <c r="R698" s="87" t="b">
        <f>AND(Requirements!L700&lt;&gt;"Non-testable",Requirements!L700&lt;&gt;"Deleted",Requirements!L700&lt;&gt;"")</f>
        <v>1</v>
      </c>
      <c r="S698" s="87" t="b">
        <f>(VLOOKUP(Requirements!I700,Scope[[Role]:[Description]],2,FALSE)="In")</f>
        <v>1</v>
      </c>
      <c r="T698" s="87">
        <f t="shared" si="43"/>
        <v>1</v>
      </c>
    </row>
    <row r="699" spans="1:20">
      <c r="A699" s="85" t="str">
        <f>Requirements!A701</f>
        <v>MS-SMB_R119329</v>
      </c>
      <c r="B699" s="87"/>
      <c r="C699" s="87"/>
      <c r="D699" s="87"/>
      <c r="E699" s="87"/>
      <c r="F699" s="87"/>
      <c r="G699" s="87"/>
      <c r="H699" s="87"/>
      <c r="I699" s="87"/>
      <c r="J699" s="87"/>
      <c r="K699" s="87"/>
      <c r="L699" s="87"/>
      <c r="M699" s="87"/>
      <c r="N699" s="87">
        <f t="shared" si="40"/>
        <v>0</v>
      </c>
      <c r="O699" s="61">
        <f t="shared" si="41"/>
        <v>0</v>
      </c>
      <c r="P699" s="61" t="b">
        <f t="shared" si="42"/>
        <v>1</v>
      </c>
      <c r="Q699" s="87" t="b">
        <f>(Requirements!K701="Normative")</f>
        <v>1</v>
      </c>
      <c r="R699" s="87" t="b">
        <f>AND(Requirements!L701&lt;&gt;"Non-testable",Requirements!L701&lt;&gt;"Deleted",Requirements!L701&lt;&gt;"")</f>
        <v>1</v>
      </c>
      <c r="S699" s="87" t="b">
        <f>(VLOOKUP(Requirements!I701,Scope[[Role]:[Description]],2,FALSE)="In")</f>
        <v>1</v>
      </c>
      <c r="T699" s="87">
        <f t="shared" si="43"/>
        <v>0</v>
      </c>
    </row>
    <row r="700" spans="1:20">
      <c r="A700" s="44" t="str">
        <f>Requirements!A702</f>
        <v>MS-SMB_R119330</v>
      </c>
      <c r="B700" s="87"/>
      <c r="C700" s="87"/>
      <c r="D700" s="87"/>
      <c r="E700" s="87"/>
      <c r="F700" s="87"/>
      <c r="G700" s="87"/>
      <c r="H700" s="87"/>
      <c r="I700" s="87"/>
      <c r="J700" s="87"/>
      <c r="K700" s="87"/>
      <c r="L700" s="87"/>
      <c r="M700" s="87"/>
      <c r="N700" s="87">
        <f t="shared" si="40"/>
        <v>0</v>
      </c>
      <c r="O700" s="87">
        <f t="shared" si="41"/>
        <v>0</v>
      </c>
      <c r="P700" s="87" t="b">
        <f t="shared" si="42"/>
        <v>0</v>
      </c>
      <c r="Q700" s="87" t="b">
        <f>(Requirements!K702="Normative")</f>
        <v>1</v>
      </c>
      <c r="R700" s="87" t="b">
        <f>AND(Requirements!L702&lt;&gt;"Non-testable",Requirements!L702&lt;&gt;"Deleted",Requirements!L702&lt;&gt;"")</f>
        <v>0</v>
      </c>
      <c r="S700" s="87" t="b">
        <f>(VLOOKUP(Requirements!I702,Scope[[Role]:[Description]],2,FALSE)="In")</f>
        <v>1</v>
      </c>
      <c r="T700" s="87">
        <f t="shared" si="43"/>
        <v>0</v>
      </c>
    </row>
    <row r="701" spans="1:20">
      <c r="A701" s="85" t="str">
        <f>Requirements!A703</f>
        <v>MS-SMB_R119331</v>
      </c>
      <c r="B701" s="87"/>
      <c r="C701" s="87"/>
      <c r="D701" s="87"/>
      <c r="E701" s="87"/>
      <c r="F701" s="87"/>
      <c r="G701" s="87"/>
      <c r="H701" s="87"/>
      <c r="I701" s="87"/>
      <c r="J701" s="87"/>
      <c r="K701" s="87"/>
      <c r="L701" s="87"/>
      <c r="M701" s="87"/>
      <c r="N701" s="87">
        <f t="shared" si="40"/>
        <v>0</v>
      </c>
      <c r="O701" s="61">
        <f t="shared" si="41"/>
        <v>0</v>
      </c>
      <c r="P701" s="61" t="b">
        <f t="shared" si="42"/>
        <v>1</v>
      </c>
      <c r="Q701" s="87" t="b">
        <f>(Requirements!K703="Normative")</f>
        <v>1</v>
      </c>
      <c r="R701" s="87" t="b">
        <f>AND(Requirements!L703&lt;&gt;"Non-testable",Requirements!L703&lt;&gt;"Deleted",Requirements!L703&lt;&gt;"")</f>
        <v>1</v>
      </c>
      <c r="S701" s="87" t="b">
        <f>(VLOOKUP(Requirements!I703,Scope[[Role]:[Description]],2,FALSE)="In")</f>
        <v>1</v>
      </c>
      <c r="T701" s="87">
        <f t="shared" si="43"/>
        <v>0</v>
      </c>
    </row>
    <row r="702" spans="1:20">
      <c r="A702" s="44" t="str">
        <f>Requirements!A704</f>
        <v>MS-SMB_R119332</v>
      </c>
      <c r="B702" s="87"/>
      <c r="C702" s="87"/>
      <c r="D702" s="87"/>
      <c r="E702" s="87"/>
      <c r="F702" s="87"/>
      <c r="G702" s="87"/>
      <c r="H702" s="87"/>
      <c r="I702" s="87"/>
      <c r="J702" s="87"/>
      <c r="K702" s="87"/>
      <c r="L702" s="87"/>
      <c r="M702" s="87"/>
      <c r="N702" s="87">
        <f t="shared" si="40"/>
        <v>0</v>
      </c>
      <c r="O702" s="87">
        <f t="shared" si="41"/>
        <v>0</v>
      </c>
      <c r="P702" s="87" t="b">
        <f t="shared" si="42"/>
        <v>0</v>
      </c>
      <c r="Q702" s="87" t="b">
        <f>(Requirements!K704="Normative")</f>
        <v>1</v>
      </c>
      <c r="R702" s="87" t="b">
        <f>AND(Requirements!L704&lt;&gt;"Non-testable",Requirements!L704&lt;&gt;"Deleted",Requirements!L704&lt;&gt;"")</f>
        <v>0</v>
      </c>
      <c r="S702" s="87" t="b">
        <f>(VLOOKUP(Requirements!I704,Scope[[Role]:[Description]],2,FALSE)="In")</f>
        <v>1</v>
      </c>
      <c r="T702" s="87">
        <f t="shared" si="43"/>
        <v>0</v>
      </c>
    </row>
    <row r="703" spans="1:20">
      <c r="A703" s="44" t="str">
        <f>Requirements!A705</f>
        <v>MS-SMB_R119333</v>
      </c>
      <c r="B703" s="87"/>
      <c r="C703" s="87"/>
      <c r="D703" s="87"/>
      <c r="E703" s="87"/>
      <c r="F703" s="87"/>
      <c r="G703" s="87"/>
      <c r="H703" s="87"/>
      <c r="I703" s="87"/>
      <c r="J703" s="87"/>
      <c r="K703" s="87"/>
      <c r="L703" s="87"/>
      <c r="M703" s="87"/>
      <c r="N703" s="87">
        <f t="shared" si="40"/>
        <v>0</v>
      </c>
      <c r="O703" s="87">
        <f t="shared" si="41"/>
        <v>0</v>
      </c>
      <c r="P703" s="87" t="b">
        <f t="shared" si="42"/>
        <v>0</v>
      </c>
      <c r="Q703" s="87" t="b">
        <f>(Requirements!K705="Normative")</f>
        <v>1</v>
      </c>
      <c r="R703" s="87" t="b">
        <f>AND(Requirements!L705&lt;&gt;"Non-testable",Requirements!L705&lt;&gt;"Deleted",Requirements!L705&lt;&gt;"")</f>
        <v>0</v>
      </c>
      <c r="S703" s="87" t="b">
        <f>(VLOOKUP(Requirements!I705,Scope[[Role]:[Description]],2,FALSE)="In")</f>
        <v>1</v>
      </c>
      <c r="T703" s="87">
        <f t="shared" si="43"/>
        <v>0</v>
      </c>
    </row>
    <row r="704" spans="1:20">
      <c r="A704" s="85" t="str">
        <f>Requirements!A706</f>
        <v>MS-SMB_R119334</v>
      </c>
      <c r="B704" s="87"/>
      <c r="C704" s="87"/>
      <c r="D704" s="87"/>
      <c r="E704" s="87"/>
      <c r="F704" s="87"/>
      <c r="G704" s="87"/>
      <c r="H704" s="87"/>
      <c r="I704" s="87"/>
      <c r="J704" s="87"/>
      <c r="K704" s="87"/>
      <c r="L704" s="87"/>
      <c r="M704" s="87"/>
      <c r="N704" s="87">
        <f t="shared" si="40"/>
        <v>0</v>
      </c>
      <c r="O704" s="61">
        <f t="shared" si="41"/>
        <v>0</v>
      </c>
      <c r="P704" s="61" t="b">
        <f t="shared" si="42"/>
        <v>1</v>
      </c>
      <c r="Q704" s="87" t="b">
        <f>(Requirements!K706="Normative")</f>
        <v>1</v>
      </c>
      <c r="R704" s="87" t="b">
        <f>AND(Requirements!L706&lt;&gt;"Non-testable",Requirements!L706&lt;&gt;"Deleted",Requirements!L706&lt;&gt;"")</f>
        <v>1</v>
      </c>
      <c r="S704" s="87" t="b">
        <f>(VLOOKUP(Requirements!I706,Scope[[Role]:[Description]],2,FALSE)="In")</f>
        <v>1</v>
      </c>
      <c r="T704" s="87">
        <f t="shared" si="43"/>
        <v>0</v>
      </c>
    </row>
    <row r="705" spans="1:20">
      <c r="A705" s="44" t="str">
        <f>Requirements!A707</f>
        <v>MS-SMB_R9311</v>
      </c>
      <c r="B705" s="87"/>
      <c r="C705" s="87"/>
      <c r="D705" s="87"/>
      <c r="E705" s="87"/>
      <c r="F705" s="87"/>
      <c r="G705" s="87"/>
      <c r="H705" s="87"/>
      <c r="I705" s="87"/>
      <c r="J705" s="87"/>
      <c r="K705" s="87"/>
      <c r="L705" s="87"/>
      <c r="M705" s="87"/>
      <c r="N705" s="87">
        <f t="shared" si="40"/>
        <v>0</v>
      </c>
      <c r="O705" s="87">
        <f t="shared" si="41"/>
        <v>0</v>
      </c>
      <c r="P705" s="87" t="b">
        <f t="shared" si="42"/>
        <v>0</v>
      </c>
      <c r="Q705" s="87" t="b">
        <f>(Requirements!K707="Normative")</f>
        <v>0</v>
      </c>
      <c r="R705" s="87" t="b">
        <f>AND(Requirements!L707&lt;&gt;"Non-testable",Requirements!L707&lt;&gt;"Deleted",Requirements!L707&lt;&gt;"")</f>
        <v>1</v>
      </c>
      <c r="S705" s="87" t="b">
        <f>(VLOOKUP(Requirements!I707,Scope[[Role]:[Description]],2,FALSE)="In")</f>
        <v>1</v>
      </c>
      <c r="T705" s="87">
        <f t="shared" si="43"/>
        <v>0</v>
      </c>
    </row>
    <row r="706" spans="1:20">
      <c r="A706" s="44" t="str">
        <f>Requirements!A708</f>
        <v>MS-SMB_R9312</v>
      </c>
      <c r="B706" s="87"/>
      <c r="C706" s="87"/>
      <c r="D706" s="87"/>
      <c r="E706" s="87"/>
      <c r="F706" s="87"/>
      <c r="G706" s="87"/>
      <c r="H706" s="87"/>
      <c r="I706" s="87"/>
      <c r="J706" s="87"/>
      <c r="K706" s="87"/>
      <c r="L706" s="87"/>
      <c r="M706" s="87"/>
      <c r="N706" s="87">
        <f t="shared" si="40"/>
        <v>0</v>
      </c>
      <c r="O706" s="87">
        <f t="shared" si="41"/>
        <v>0</v>
      </c>
      <c r="P706" s="87" t="b">
        <f t="shared" si="42"/>
        <v>0</v>
      </c>
      <c r="Q706" s="87" t="b">
        <f>(Requirements!K708="Normative")</f>
        <v>0</v>
      </c>
      <c r="R706" s="87" t="b">
        <f>AND(Requirements!L708&lt;&gt;"Non-testable",Requirements!L708&lt;&gt;"Deleted",Requirements!L708&lt;&gt;"")</f>
        <v>1</v>
      </c>
      <c r="S706" s="87" t="b">
        <f>(VLOOKUP(Requirements!I708,Scope[[Role]:[Description]],2,FALSE)="In")</f>
        <v>1</v>
      </c>
      <c r="T706" s="87">
        <f t="shared" si="43"/>
        <v>0</v>
      </c>
    </row>
    <row r="707" spans="1:20">
      <c r="A707" s="84" t="str">
        <f>Requirements!A709</f>
        <v>MS-SMB_R9313</v>
      </c>
      <c r="B707" s="87">
        <v>1</v>
      </c>
      <c r="C707" s="87"/>
      <c r="D707" s="87">
        <v>1</v>
      </c>
      <c r="E707" s="87"/>
      <c r="F707" s="87"/>
      <c r="G707" s="87"/>
      <c r="H707" s="87"/>
      <c r="I707" s="87"/>
      <c r="J707" s="87"/>
      <c r="K707" s="87"/>
      <c r="L707" s="87">
        <v>1</v>
      </c>
      <c r="M707" s="87">
        <v>1</v>
      </c>
      <c r="N707" s="87">
        <f t="shared" si="40"/>
        <v>4</v>
      </c>
      <c r="O707" s="60">
        <f t="shared" si="41"/>
        <v>1</v>
      </c>
      <c r="P707" s="60" t="b">
        <f t="shared" si="42"/>
        <v>1</v>
      </c>
      <c r="Q707" s="87" t="b">
        <f>(Requirements!K709="Normative")</f>
        <v>1</v>
      </c>
      <c r="R707" s="87" t="b">
        <f>AND(Requirements!L709&lt;&gt;"Non-testable",Requirements!L709&lt;&gt;"Deleted",Requirements!L709&lt;&gt;"")</f>
        <v>1</v>
      </c>
      <c r="S707" s="87" t="b">
        <f>(VLOOKUP(Requirements!I709,Scope[[Role]:[Description]],2,FALSE)="In")</f>
        <v>1</v>
      </c>
      <c r="T707" s="87">
        <f t="shared" si="43"/>
        <v>1</v>
      </c>
    </row>
    <row r="708" spans="1:20">
      <c r="A708" s="44" t="str">
        <f>Requirements!A710</f>
        <v>MS-SMB_R9314</v>
      </c>
      <c r="B708" s="87"/>
      <c r="C708" s="87"/>
      <c r="D708" s="87"/>
      <c r="E708" s="87"/>
      <c r="F708" s="87"/>
      <c r="G708" s="87"/>
      <c r="H708" s="87"/>
      <c r="I708" s="87"/>
      <c r="J708" s="87"/>
      <c r="K708" s="87"/>
      <c r="L708" s="87"/>
      <c r="M708" s="87"/>
      <c r="N708" s="87">
        <f t="shared" si="40"/>
        <v>0</v>
      </c>
      <c r="O708" s="87">
        <f t="shared" si="41"/>
        <v>0</v>
      </c>
      <c r="P708" s="87" t="b">
        <f t="shared" si="42"/>
        <v>0</v>
      </c>
      <c r="Q708" s="87" t="b">
        <f>(Requirements!K710="Normative")</f>
        <v>0</v>
      </c>
      <c r="R708" s="87" t="b">
        <f>AND(Requirements!L710&lt;&gt;"Non-testable",Requirements!L710&lt;&gt;"Deleted",Requirements!L710&lt;&gt;"")</f>
        <v>1</v>
      </c>
      <c r="S708" s="87" t="b">
        <f>(VLOOKUP(Requirements!I710,Scope[[Role]:[Description]],2,FALSE)="In")</f>
        <v>1</v>
      </c>
      <c r="T708" s="87">
        <f t="shared" si="43"/>
        <v>0</v>
      </c>
    </row>
    <row r="709" spans="1:20">
      <c r="A709" s="44" t="str">
        <f>Requirements!A711</f>
        <v>MS-SMB_R9315</v>
      </c>
      <c r="B709" s="87"/>
      <c r="C709" s="87"/>
      <c r="D709" s="87"/>
      <c r="E709" s="87"/>
      <c r="F709" s="87"/>
      <c r="G709" s="87"/>
      <c r="H709" s="87"/>
      <c r="I709" s="87"/>
      <c r="J709" s="87"/>
      <c r="K709" s="87"/>
      <c r="L709" s="87"/>
      <c r="M709" s="87"/>
      <c r="N709" s="87">
        <f t="shared" si="40"/>
        <v>0</v>
      </c>
      <c r="O709" s="87">
        <f t="shared" si="41"/>
        <v>0</v>
      </c>
      <c r="P709" s="87" t="b">
        <f t="shared" si="42"/>
        <v>0</v>
      </c>
      <c r="Q709" s="87" t="b">
        <f>(Requirements!K711="Normative")</f>
        <v>0</v>
      </c>
      <c r="R709" s="87" t="b">
        <f>AND(Requirements!L711&lt;&gt;"Non-testable",Requirements!L711&lt;&gt;"Deleted",Requirements!L711&lt;&gt;"")</f>
        <v>1</v>
      </c>
      <c r="S709" s="87" t="b">
        <f>(VLOOKUP(Requirements!I711,Scope[[Role]:[Description]],2,FALSE)="In")</f>
        <v>1</v>
      </c>
      <c r="T709" s="87">
        <f t="shared" si="43"/>
        <v>0</v>
      </c>
    </row>
    <row r="710" spans="1:20">
      <c r="A710" s="84" t="str">
        <f>Requirements!A712</f>
        <v>MS-SMB_R9316</v>
      </c>
      <c r="B710" s="87">
        <v>1</v>
      </c>
      <c r="C710" s="87"/>
      <c r="D710" s="87">
        <v>1</v>
      </c>
      <c r="E710" s="87"/>
      <c r="F710" s="87"/>
      <c r="G710" s="87"/>
      <c r="H710" s="87"/>
      <c r="I710" s="87"/>
      <c r="J710" s="87"/>
      <c r="K710" s="87"/>
      <c r="L710" s="87">
        <v>1</v>
      </c>
      <c r="M710" s="87">
        <v>1</v>
      </c>
      <c r="N710" s="87">
        <f t="shared" si="40"/>
        <v>4</v>
      </c>
      <c r="O710" s="60">
        <f t="shared" si="41"/>
        <v>1</v>
      </c>
      <c r="P710" s="60" t="b">
        <f t="shared" si="42"/>
        <v>1</v>
      </c>
      <c r="Q710" s="87" t="b">
        <f>(Requirements!K712="Normative")</f>
        <v>1</v>
      </c>
      <c r="R710" s="87" t="b">
        <f>AND(Requirements!L712&lt;&gt;"Non-testable",Requirements!L712&lt;&gt;"Deleted",Requirements!L712&lt;&gt;"")</f>
        <v>1</v>
      </c>
      <c r="S710" s="87" t="b">
        <f>(VLOOKUP(Requirements!I712,Scope[[Role]:[Description]],2,FALSE)="In")</f>
        <v>1</v>
      </c>
      <c r="T710" s="87">
        <f t="shared" si="43"/>
        <v>1</v>
      </c>
    </row>
    <row r="711" spans="1:20">
      <c r="A711" s="44" t="str">
        <f>Requirements!A713</f>
        <v>MS-SMB_R9317</v>
      </c>
      <c r="B711" s="87"/>
      <c r="C711" s="87"/>
      <c r="D711" s="87"/>
      <c r="E711" s="87"/>
      <c r="F711" s="87"/>
      <c r="G711" s="87"/>
      <c r="H711" s="87"/>
      <c r="I711" s="87"/>
      <c r="J711" s="87"/>
      <c r="K711" s="87"/>
      <c r="L711" s="87"/>
      <c r="M711" s="87"/>
      <c r="N711" s="87">
        <f t="shared" si="40"/>
        <v>0</v>
      </c>
      <c r="O711" s="87">
        <f t="shared" si="41"/>
        <v>0</v>
      </c>
      <c r="P711" s="87" t="b">
        <f t="shared" si="42"/>
        <v>0</v>
      </c>
      <c r="Q711" s="87" t="b">
        <f>(Requirements!K713="Normative")</f>
        <v>0</v>
      </c>
      <c r="R711" s="87" t="b">
        <f>AND(Requirements!L713&lt;&gt;"Non-testable",Requirements!L713&lt;&gt;"Deleted",Requirements!L713&lt;&gt;"")</f>
        <v>1</v>
      </c>
      <c r="S711" s="87" t="b">
        <f>(VLOOKUP(Requirements!I713,Scope[[Role]:[Description]],2,FALSE)="In")</f>
        <v>1</v>
      </c>
      <c r="T711" s="87">
        <f t="shared" si="43"/>
        <v>0</v>
      </c>
    </row>
    <row r="712" spans="1:20">
      <c r="A712" s="85" t="str">
        <f>Requirements!A714</f>
        <v>MS-SMB_R3095</v>
      </c>
      <c r="B712" s="87"/>
      <c r="C712" s="87"/>
      <c r="D712" s="87"/>
      <c r="E712" s="87"/>
      <c r="F712" s="87"/>
      <c r="G712" s="87"/>
      <c r="H712" s="87"/>
      <c r="I712" s="87"/>
      <c r="J712" s="87"/>
      <c r="K712" s="87"/>
      <c r="L712" s="87"/>
      <c r="M712" s="87"/>
      <c r="N712" s="87">
        <f t="shared" si="40"/>
        <v>0</v>
      </c>
      <c r="O712" s="61">
        <f t="shared" si="41"/>
        <v>0</v>
      </c>
      <c r="P712" s="61" t="b">
        <f t="shared" si="42"/>
        <v>1</v>
      </c>
      <c r="Q712" s="87" t="b">
        <f>(Requirements!K714="Normative")</f>
        <v>1</v>
      </c>
      <c r="R712" s="87" t="b">
        <f>AND(Requirements!L714&lt;&gt;"Non-testable",Requirements!L714&lt;&gt;"Deleted",Requirements!L714&lt;&gt;"")</f>
        <v>1</v>
      </c>
      <c r="S712" s="87" t="b">
        <f>(VLOOKUP(Requirements!I714,Scope[[Role]:[Description]],2,FALSE)="In")</f>
        <v>1</v>
      </c>
      <c r="T712" s="87">
        <f t="shared" si="43"/>
        <v>0</v>
      </c>
    </row>
    <row r="713" spans="1:20">
      <c r="A713" s="84" t="str">
        <f>Requirements!A715</f>
        <v>MS-SMB_R9319</v>
      </c>
      <c r="B713" s="87">
        <v>1</v>
      </c>
      <c r="C713" s="87"/>
      <c r="D713" s="87">
        <v>1</v>
      </c>
      <c r="E713" s="87"/>
      <c r="F713" s="87"/>
      <c r="G713" s="87"/>
      <c r="H713" s="87"/>
      <c r="I713" s="87"/>
      <c r="J713" s="87"/>
      <c r="K713" s="87"/>
      <c r="L713" s="87">
        <v>1</v>
      </c>
      <c r="M713" s="87">
        <v>1</v>
      </c>
      <c r="N713" s="87">
        <f t="shared" si="40"/>
        <v>4</v>
      </c>
      <c r="O713" s="60">
        <f t="shared" si="41"/>
        <v>1</v>
      </c>
      <c r="P713" s="60" t="b">
        <f t="shared" si="42"/>
        <v>1</v>
      </c>
      <c r="Q713" s="87" t="b">
        <f>(Requirements!K715="Normative")</f>
        <v>1</v>
      </c>
      <c r="R713" s="87" t="b">
        <f>AND(Requirements!L715&lt;&gt;"Non-testable",Requirements!L715&lt;&gt;"Deleted",Requirements!L715&lt;&gt;"")</f>
        <v>1</v>
      </c>
      <c r="S713" s="87" t="b">
        <f>(VLOOKUP(Requirements!I715,Scope[[Role]:[Description]],2,FALSE)="In")</f>
        <v>1</v>
      </c>
      <c r="T713" s="87">
        <f t="shared" si="43"/>
        <v>1</v>
      </c>
    </row>
    <row r="714" spans="1:20">
      <c r="A714" s="44" t="str">
        <f>Requirements!A716</f>
        <v>MS-SMB_R9320</v>
      </c>
      <c r="B714" s="87"/>
      <c r="C714" s="87"/>
      <c r="D714" s="87"/>
      <c r="E714" s="87"/>
      <c r="F714" s="87"/>
      <c r="G714" s="87"/>
      <c r="H714" s="87"/>
      <c r="I714" s="87"/>
      <c r="J714" s="87"/>
      <c r="K714" s="87"/>
      <c r="L714" s="87"/>
      <c r="M714" s="87"/>
      <c r="N714" s="87">
        <f t="shared" si="40"/>
        <v>0</v>
      </c>
      <c r="O714" s="87">
        <f t="shared" si="41"/>
        <v>0</v>
      </c>
      <c r="P714" s="87" t="b">
        <f t="shared" si="42"/>
        <v>0</v>
      </c>
      <c r="Q714" s="87" t="b">
        <f>(Requirements!K716="Normative")</f>
        <v>0</v>
      </c>
      <c r="R714" s="87" t="b">
        <f>AND(Requirements!L716&lt;&gt;"Non-testable",Requirements!L716&lt;&gt;"Deleted",Requirements!L716&lt;&gt;"")</f>
        <v>1</v>
      </c>
      <c r="S714" s="87" t="b">
        <f>(VLOOKUP(Requirements!I716,Scope[[Role]:[Description]],2,FALSE)="In")</f>
        <v>1</v>
      </c>
      <c r="T714" s="87">
        <f t="shared" si="43"/>
        <v>0</v>
      </c>
    </row>
    <row r="715" spans="1:20">
      <c r="A715" s="44" t="str">
        <f>Requirements!A717</f>
        <v>MS-SMB_R9321</v>
      </c>
      <c r="B715" s="87"/>
      <c r="C715" s="87"/>
      <c r="D715" s="87"/>
      <c r="E715" s="87"/>
      <c r="F715" s="87"/>
      <c r="G715" s="87"/>
      <c r="H715" s="87"/>
      <c r="I715" s="87"/>
      <c r="J715" s="87"/>
      <c r="K715" s="87"/>
      <c r="L715" s="87"/>
      <c r="M715" s="87"/>
      <c r="N715" s="87">
        <f t="shared" si="40"/>
        <v>0</v>
      </c>
      <c r="O715" s="87">
        <f t="shared" si="41"/>
        <v>0</v>
      </c>
      <c r="P715" s="87" t="b">
        <f t="shared" si="42"/>
        <v>0</v>
      </c>
      <c r="Q715" s="87" t="b">
        <f>(Requirements!K717="Normative")</f>
        <v>0</v>
      </c>
      <c r="R715" s="87" t="b">
        <f>AND(Requirements!L717&lt;&gt;"Non-testable",Requirements!L717&lt;&gt;"Deleted",Requirements!L717&lt;&gt;"")</f>
        <v>1</v>
      </c>
      <c r="S715" s="87" t="b">
        <f>(VLOOKUP(Requirements!I717,Scope[[Role]:[Description]],2,FALSE)="In")</f>
        <v>1</v>
      </c>
      <c r="T715" s="87">
        <f t="shared" si="43"/>
        <v>0</v>
      </c>
    </row>
    <row r="716" spans="1:20">
      <c r="A716" s="44" t="str">
        <f>Requirements!A718</f>
        <v>MS-SMB_R9322</v>
      </c>
      <c r="B716" s="87"/>
      <c r="C716" s="87"/>
      <c r="D716" s="87"/>
      <c r="E716" s="87"/>
      <c r="F716" s="87"/>
      <c r="G716" s="87"/>
      <c r="H716" s="87"/>
      <c r="I716" s="87"/>
      <c r="J716" s="87"/>
      <c r="K716" s="87"/>
      <c r="L716" s="87"/>
      <c r="M716" s="87"/>
      <c r="N716" s="87">
        <f t="shared" si="40"/>
        <v>0</v>
      </c>
      <c r="O716" s="87">
        <f t="shared" si="41"/>
        <v>0</v>
      </c>
      <c r="P716" s="87" t="b">
        <f t="shared" si="42"/>
        <v>0</v>
      </c>
      <c r="Q716" s="87" t="b">
        <f>(Requirements!K718="Normative")</f>
        <v>0</v>
      </c>
      <c r="R716" s="87" t="b">
        <f>AND(Requirements!L718&lt;&gt;"Non-testable",Requirements!L718&lt;&gt;"Deleted",Requirements!L718&lt;&gt;"")</f>
        <v>1</v>
      </c>
      <c r="S716" s="87" t="b">
        <f>(VLOOKUP(Requirements!I718,Scope[[Role]:[Description]],2,FALSE)="In")</f>
        <v>1</v>
      </c>
      <c r="T716" s="87">
        <f t="shared" si="43"/>
        <v>0</v>
      </c>
    </row>
    <row r="717" spans="1:20">
      <c r="A717" s="84" t="str">
        <f>Requirements!A719</f>
        <v>MS-SMB_R9323</v>
      </c>
      <c r="B717" s="87">
        <v>1</v>
      </c>
      <c r="C717" s="87"/>
      <c r="D717" s="87">
        <v>1</v>
      </c>
      <c r="E717" s="87"/>
      <c r="F717" s="87"/>
      <c r="G717" s="87"/>
      <c r="H717" s="87"/>
      <c r="I717" s="87"/>
      <c r="J717" s="87"/>
      <c r="K717" s="87"/>
      <c r="L717" s="87">
        <v>1</v>
      </c>
      <c r="M717" s="87">
        <v>1</v>
      </c>
      <c r="N717" s="87">
        <f t="shared" si="40"/>
        <v>4</v>
      </c>
      <c r="O717" s="60">
        <f t="shared" si="41"/>
        <v>1</v>
      </c>
      <c r="P717" s="60" t="b">
        <f t="shared" si="42"/>
        <v>1</v>
      </c>
      <c r="Q717" s="87" t="b">
        <f>(Requirements!K719="Normative")</f>
        <v>1</v>
      </c>
      <c r="R717" s="87" t="b">
        <f>AND(Requirements!L719&lt;&gt;"Non-testable",Requirements!L719&lt;&gt;"Deleted",Requirements!L719&lt;&gt;"")</f>
        <v>1</v>
      </c>
      <c r="S717" s="87" t="b">
        <f>(VLOOKUP(Requirements!I719,Scope[[Role]:[Description]],2,FALSE)="In")</f>
        <v>1</v>
      </c>
      <c r="T717" s="87">
        <f t="shared" si="43"/>
        <v>1</v>
      </c>
    </row>
    <row r="718" spans="1:20">
      <c r="A718" s="44" t="str">
        <f>Requirements!A720</f>
        <v>MS-SMB_R9324</v>
      </c>
      <c r="B718" s="87"/>
      <c r="C718" s="87"/>
      <c r="D718" s="87"/>
      <c r="E718" s="87"/>
      <c r="F718" s="87"/>
      <c r="G718" s="87"/>
      <c r="H718" s="87"/>
      <c r="I718" s="87"/>
      <c r="J718" s="87"/>
      <c r="K718" s="87"/>
      <c r="L718" s="87"/>
      <c r="M718" s="87"/>
      <c r="N718" s="87">
        <f t="shared" si="40"/>
        <v>0</v>
      </c>
      <c r="O718" s="87">
        <f t="shared" si="41"/>
        <v>0</v>
      </c>
      <c r="P718" s="87" t="b">
        <f t="shared" si="42"/>
        <v>0</v>
      </c>
      <c r="Q718" s="87" t="b">
        <f>(Requirements!K720="Normative")</f>
        <v>0</v>
      </c>
      <c r="R718" s="87" t="b">
        <f>AND(Requirements!L720&lt;&gt;"Non-testable",Requirements!L720&lt;&gt;"Deleted",Requirements!L720&lt;&gt;"")</f>
        <v>1</v>
      </c>
      <c r="S718" s="87" t="b">
        <f>(VLOOKUP(Requirements!I720,Scope[[Role]:[Description]],2,FALSE)="In")</f>
        <v>1</v>
      </c>
      <c r="T718" s="87">
        <f t="shared" si="43"/>
        <v>0</v>
      </c>
    </row>
    <row r="719" spans="1:20">
      <c r="A719" s="44" t="str">
        <f>Requirements!A721</f>
        <v>MS-SMB_R9325</v>
      </c>
      <c r="B719" s="87"/>
      <c r="C719" s="87"/>
      <c r="D719" s="87"/>
      <c r="E719" s="87"/>
      <c r="F719" s="87"/>
      <c r="G719" s="87"/>
      <c r="H719" s="87"/>
      <c r="I719" s="87"/>
      <c r="J719" s="87"/>
      <c r="K719" s="87"/>
      <c r="L719" s="87"/>
      <c r="M719" s="87"/>
      <c r="N719" s="87">
        <f t="shared" si="40"/>
        <v>0</v>
      </c>
      <c r="O719" s="87">
        <f t="shared" si="41"/>
        <v>0</v>
      </c>
      <c r="P719" s="87" t="b">
        <f t="shared" si="42"/>
        <v>0</v>
      </c>
      <c r="Q719" s="87" t="b">
        <f>(Requirements!K721="Normative")</f>
        <v>0</v>
      </c>
      <c r="R719" s="87" t="b">
        <f>AND(Requirements!L721&lt;&gt;"Non-testable",Requirements!L721&lt;&gt;"Deleted",Requirements!L721&lt;&gt;"")</f>
        <v>1</v>
      </c>
      <c r="S719" s="87" t="b">
        <f>(VLOOKUP(Requirements!I721,Scope[[Role]:[Description]],2,FALSE)="In")</f>
        <v>1</v>
      </c>
      <c r="T719" s="87">
        <f t="shared" si="43"/>
        <v>0</v>
      </c>
    </row>
    <row r="720" spans="1:20">
      <c r="A720" s="44" t="str">
        <f>Requirements!A722</f>
        <v>MS-SMB_R9326</v>
      </c>
      <c r="B720" s="87"/>
      <c r="C720" s="87"/>
      <c r="D720" s="87"/>
      <c r="E720" s="87"/>
      <c r="F720" s="87"/>
      <c r="G720" s="87"/>
      <c r="H720" s="87"/>
      <c r="I720" s="87"/>
      <c r="J720" s="87"/>
      <c r="K720" s="87"/>
      <c r="L720" s="87"/>
      <c r="M720" s="87"/>
      <c r="N720" s="87">
        <f t="shared" si="40"/>
        <v>0</v>
      </c>
      <c r="O720" s="87">
        <f t="shared" si="41"/>
        <v>0</v>
      </c>
      <c r="P720" s="87" t="b">
        <f t="shared" si="42"/>
        <v>0</v>
      </c>
      <c r="Q720" s="87" t="b">
        <f>(Requirements!K722="Normative")</f>
        <v>0</v>
      </c>
      <c r="R720" s="87" t="b">
        <f>AND(Requirements!L722&lt;&gt;"Non-testable",Requirements!L722&lt;&gt;"Deleted",Requirements!L722&lt;&gt;"")</f>
        <v>1</v>
      </c>
      <c r="S720" s="87" t="b">
        <f>(VLOOKUP(Requirements!I722,Scope[[Role]:[Description]],2,FALSE)="In")</f>
        <v>1</v>
      </c>
      <c r="T720" s="87">
        <f t="shared" si="43"/>
        <v>0</v>
      </c>
    </row>
    <row r="721" spans="1:20">
      <c r="A721" s="44" t="str">
        <f>Requirements!A723</f>
        <v>MS-SMB_R9327</v>
      </c>
      <c r="B721" s="87"/>
      <c r="C721" s="87"/>
      <c r="D721" s="87"/>
      <c r="E721" s="87"/>
      <c r="F721" s="87"/>
      <c r="G721" s="87"/>
      <c r="H721" s="87"/>
      <c r="I721" s="87"/>
      <c r="J721" s="87"/>
      <c r="K721" s="87"/>
      <c r="L721" s="87"/>
      <c r="M721" s="87"/>
      <c r="N721" s="87">
        <f t="shared" si="40"/>
        <v>0</v>
      </c>
      <c r="O721" s="87">
        <f t="shared" si="41"/>
        <v>0</v>
      </c>
      <c r="P721" s="87" t="b">
        <f t="shared" si="42"/>
        <v>0</v>
      </c>
      <c r="Q721" s="87" t="b">
        <f>(Requirements!K723="Normative")</f>
        <v>0</v>
      </c>
      <c r="R721" s="87" t="b">
        <f>AND(Requirements!L723&lt;&gt;"Non-testable",Requirements!L723&lt;&gt;"Deleted",Requirements!L723&lt;&gt;"")</f>
        <v>1</v>
      </c>
      <c r="S721" s="87" t="b">
        <f>(VLOOKUP(Requirements!I723,Scope[[Role]:[Description]],2,FALSE)="In")</f>
        <v>1</v>
      </c>
      <c r="T721" s="87">
        <f t="shared" si="43"/>
        <v>0</v>
      </c>
    </row>
    <row r="722" spans="1:20">
      <c r="A722" s="44" t="str">
        <f>Requirements!A724</f>
        <v>MS-SMB_R9328</v>
      </c>
      <c r="B722" s="87"/>
      <c r="C722" s="87"/>
      <c r="D722" s="87"/>
      <c r="E722" s="87"/>
      <c r="F722" s="87"/>
      <c r="G722" s="87"/>
      <c r="H722" s="87"/>
      <c r="I722" s="87"/>
      <c r="J722" s="87"/>
      <c r="K722" s="87"/>
      <c r="L722" s="87"/>
      <c r="M722" s="87"/>
      <c r="N722" s="87">
        <f t="shared" si="40"/>
        <v>0</v>
      </c>
      <c r="O722" s="87">
        <f t="shared" si="41"/>
        <v>0</v>
      </c>
      <c r="P722" s="87" t="b">
        <f t="shared" si="42"/>
        <v>0</v>
      </c>
      <c r="Q722" s="87" t="b">
        <f>(Requirements!K724="Normative")</f>
        <v>0</v>
      </c>
      <c r="R722" s="87" t="b">
        <f>AND(Requirements!L724&lt;&gt;"Non-testable",Requirements!L724&lt;&gt;"Deleted",Requirements!L724&lt;&gt;"")</f>
        <v>1</v>
      </c>
      <c r="S722" s="87" t="b">
        <f>(VLOOKUP(Requirements!I724,Scope[[Role]:[Description]],2,FALSE)="In")</f>
        <v>1</v>
      </c>
      <c r="T722" s="87">
        <f t="shared" si="43"/>
        <v>0</v>
      </c>
    </row>
    <row r="723" spans="1:20">
      <c r="A723" s="84" t="str">
        <f>Requirements!A725</f>
        <v>MS-SMB_R9329</v>
      </c>
      <c r="B723" s="87"/>
      <c r="C723" s="87"/>
      <c r="D723" s="87"/>
      <c r="E723" s="87"/>
      <c r="F723" s="87"/>
      <c r="G723" s="87">
        <v>1</v>
      </c>
      <c r="H723" s="87"/>
      <c r="I723" s="87"/>
      <c r="J723" s="87"/>
      <c r="K723" s="87"/>
      <c r="L723" s="87"/>
      <c r="M723" s="87"/>
      <c r="N723" s="87">
        <f t="shared" si="40"/>
        <v>1</v>
      </c>
      <c r="O723" s="60">
        <f t="shared" si="41"/>
        <v>1</v>
      </c>
      <c r="P723" s="60" t="b">
        <f t="shared" si="42"/>
        <v>1</v>
      </c>
      <c r="Q723" s="87" t="b">
        <f>(Requirements!K725="Normative")</f>
        <v>1</v>
      </c>
      <c r="R723" s="87" t="b">
        <f>AND(Requirements!L725&lt;&gt;"Non-testable",Requirements!L725&lt;&gt;"Deleted",Requirements!L725&lt;&gt;"")</f>
        <v>1</v>
      </c>
      <c r="S723" s="87" t="b">
        <f>(VLOOKUP(Requirements!I725,Scope[[Role]:[Description]],2,FALSE)="In")</f>
        <v>1</v>
      </c>
      <c r="T723" s="87">
        <f t="shared" si="43"/>
        <v>1</v>
      </c>
    </row>
    <row r="724" spans="1:20">
      <c r="A724" s="44" t="str">
        <f>Requirements!A726</f>
        <v>MS-SMB_R9330</v>
      </c>
      <c r="B724" s="87"/>
      <c r="C724" s="87"/>
      <c r="D724" s="87"/>
      <c r="E724" s="87"/>
      <c r="F724" s="87"/>
      <c r="G724" s="87"/>
      <c r="H724" s="87"/>
      <c r="I724" s="87"/>
      <c r="J724" s="87"/>
      <c r="K724" s="87"/>
      <c r="L724" s="87"/>
      <c r="M724" s="87"/>
      <c r="N724" s="87">
        <f t="shared" ref="N724:N787" si="44">SUM(B724:M724)</f>
        <v>0</v>
      </c>
      <c r="O724" s="87">
        <f t="shared" ref="O724:O787" si="45">IF(N724=0,0,1)</f>
        <v>0</v>
      </c>
      <c r="P724" s="87" t="b">
        <f t="shared" ref="P724:P787" si="46">AND(Q724:S724)</f>
        <v>0</v>
      </c>
      <c r="Q724" s="87" t="b">
        <f>(Requirements!K726="Normative")</f>
        <v>0</v>
      </c>
      <c r="R724" s="87" t="b">
        <f>AND(Requirements!L726&lt;&gt;"Non-testable",Requirements!L726&lt;&gt;"Deleted",Requirements!L726&lt;&gt;"")</f>
        <v>1</v>
      </c>
      <c r="S724" s="87" t="b">
        <f>(VLOOKUP(Requirements!I726,Scope[[Role]:[Description]],2,FALSE)="In")</f>
        <v>1</v>
      </c>
      <c r="T724" s="87">
        <f t="shared" ref="T724:T787" si="47">IF(P724,O724, 0)</f>
        <v>0</v>
      </c>
    </row>
    <row r="725" spans="1:20">
      <c r="A725" s="44" t="str">
        <f>Requirements!A727</f>
        <v>MS-SMB_R9331</v>
      </c>
      <c r="B725" s="87"/>
      <c r="C725" s="87"/>
      <c r="D725" s="87"/>
      <c r="E725" s="87"/>
      <c r="F725" s="87"/>
      <c r="G725" s="87"/>
      <c r="H725" s="87"/>
      <c r="I725" s="87"/>
      <c r="J725" s="87"/>
      <c r="K725" s="87"/>
      <c r="L725" s="87"/>
      <c r="M725" s="87"/>
      <c r="N725" s="87">
        <f t="shared" si="44"/>
        <v>0</v>
      </c>
      <c r="O725" s="87">
        <f t="shared" si="45"/>
        <v>0</v>
      </c>
      <c r="P725" s="87" t="b">
        <f t="shared" si="46"/>
        <v>0</v>
      </c>
      <c r="Q725" s="87" t="b">
        <f>(Requirements!K727="Normative")</f>
        <v>0</v>
      </c>
      <c r="R725" s="87" t="b">
        <f>AND(Requirements!L727&lt;&gt;"Non-testable",Requirements!L727&lt;&gt;"Deleted",Requirements!L727&lt;&gt;"")</f>
        <v>1</v>
      </c>
      <c r="S725" s="87" t="b">
        <f>(VLOOKUP(Requirements!I727,Scope[[Role]:[Description]],2,FALSE)="In")</f>
        <v>1</v>
      </c>
      <c r="T725" s="87">
        <f t="shared" si="47"/>
        <v>0</v>
      </c>
    </row>
    <row r="726" spans="1:20">
      <c r="A726" s="44" t="str">
        <f>Requirements!A728</f>
        <v>MS-SMB_R9332</v>
      </c>
      <c r="B726" s="87"/>
      <c r="C726" s="87"/>
      <c r="D726" s="87"/>
      <c r="E726" s="87"/>
      <c r="F726" s="87"/>
      <c r="G726" s="87"/>
      <c r="H726" s="87"/>
      <c r="I726" s="87"/>
      <c r="J726" s="87"/>
      <c r="K726" s="87"/>
      <c r="L726" s="87"/>
      <c r="M726" s="87"/>
      <c r="N726" s="87">
        <f t="shared" si="44"/>
        <v>0</v>
      </c>
      <c r="O726" s="87">
        <f t="shared" si="45"/>
        <v>0</v>
      </c>
      <c r="P726" s="87" t="b">
        <f t="shared" si="46"/>
        <v>0</v>
      </c>
      <c r="Q726" s="87" t="b">
        <f>(Requirements!K728="Normative")</f>
        <v>0</v>
      </c>
      <c r="R726" s="87" t="b">
        <f>AND(Requirements!L728&lt;&gt;"Non-testable",Requirements!L728&lt;&gt;"Deleted",Requirements!L728&lt;&gt;"")</f>
        <v>1</v>
      </c>
      <c r="S726" s="87" t="b">
        <f>(VLOOKUP(Requirements!I728,Scope[[Role]:[Description]],2,FALSE)="In")</f>
        <v>1</v>
      </c>
      <c r="T726" s="87">
        <f t="shared" si="47"/>
        <v>0</v>
      </c>
    </row>
    <row r="727" spans="1:20">
      <c r="A727" s="44" t="str">
        <f>Requirements!A729</f>
        <v>MS-SMB_R9333</v>
      </c>
      <c r="B727" s="87"/>
      <c r="C727" s="87"/>
      <c r="D727" s="87"/>
      <c r="E727" s="87"/>
      <c r="F727" s="87"/>
      <c r="G727" s="87"/>
      <c r="H727" s="87"/>
      <c r="I727" s="87"/>
      <c r="J727" s="87"/>
      <c r="K727" s="87"/>
      <c r="L727" s="87"/>
      <c r="M727" s="87"/>
      <c r="N727" s="87">
        <f t="shared" si="44"/>
        <v>0</v>
      </c>
      <c r="O727" s="87">
        <f t="shared" si="45"/>
        <v>0</v>
      </c>
      <c r="P727" s="87" t="b">
        <f t="shared" si="46"/>
        <v>0</v>
      </c>
      <c r="Q727" s="87" t="b">
        <f>(Requirements!K729="Normative")</f>
        <v>0</v>
      </c>
      <c r="R727" s="87" t="b">
        <f>AND(Requirements!L729&lt;&gt;"Non-testable",Requirements!L729&lt;&gt;"Deleted",Requirements!L729&lt;&gt;"")</f>
        <v>1</v>
      </c>
      <c r="S727" s="87" t="b">
        <f>(VLOOKUP(Requirements!I729,Scope[[Role]:[Description]],2,FALSE)="In")</f>
        <v>1</v>
      </c>
      <c r="T727" s="87">
        <f t="shared" si="47"/>
        <v>0</v>
      </c>
    </row>
    <row r="728" spans="1:20">
      <c r="A728" s="44" t="str">
        <f>Requirements!A730</f>
        <v>MS-SMB_R9334</v>
      </c>
      <c r="B728" s="87"/>
      <c r="C728" s="87"/>
      <c r="D728" s="87"/>
      <c r="E728" s="87"/>
      <c r="F728" s="87"/>
      <c r="G728" s="87"/>
      <c r="H728" s="87"/>
      <c r="I728" s="87"/>
      <c r="J728" s="87"/>
      <c r="K728" s="87"/>
      <c r="L728" s="87"/>
      <c r="M728" s="87"/>
      <c r="N728" s="87">
        <f t="shared" si="44"/>
        <v>0</v>
      </c>
      <c r="O728" s="87">
        <f t="shared" si="45"/>
        <v>0</v>
      </c>
      <c r="P728" s="87" t="b">
        <f t="shared" si="46"/>
        <v>0</v>
      </c>
      <c r="Q728" s="87" t="b">
        <f>(Requirements!K730="Normative")</f>
        <v>0</v>
      </c>
      <c r="R728" s="87" t="b">
        <f>AND(Requirements!L730&lt;&gt;"Non-testable",Requirements!L730&lt;&gt;"Deleted",Requirements!L730&lt;&gt;"")</f>
        <v>1</v>
      </c>
      <c r="S728" s="87" t="b">
        <f>(VLOOKUP(Requirements!I730,Scope[[Role]:[Description]],2,FALSE)="In")</f>
        <v>1</v>
      </c>
      <c r="T728" s="87">
        <f t="shared" si="47"/>
        <v>0</v>
      </c>
    </row>
    <row r="729" spans="1:20">
      <c r="A729" s="44" t="str">
        <f>Requirements!A731</f>
        <v>MS-SMB_R9335</v>
      </c>
      <c r="B729" s="87"/>
      <c r="C729" s="87"/>
      <c r="D729" s="87"/>
      <c r="E729" s="87"/>
      <c r="F729" s="87"/>
      <c r="G729" s="87"/>
      <c r="H729" s="87"/>
      <c r="I729" s="87"/>
      <c r="J729" s="87"/>
      <c r="K729" s="87"/>
      <c r="L729" s="87"/>
      <c r="M729" s="87"/>
      <c r="N729" s="87">
        <f t="shared" si="44"/>
        <v>0</v>
      </c>
      <c r="O729" s="87">
        <f t="shared" si="45"/>
        <v>0</v>
      </c>
      <c r="P729" s="87" t="b">
        <f t="shared" si="46"/>
        <v>0</v>
      </c>
      <c r="Q729" s="87" t="b">
        <f>(Requirements!K731="Normative")</f>
        <v>0</v>
      </c>
      <c r="R729" s="87" t="b">
        <f>AND(Requirements!L731&lt;&gt;"Non-testable",Requirements!L731&lt;&gt;"Deleted",Requirements!L731&lt;&gt;"")</f>
        <v>1</v>
      </c>
      <c r="S729" s="87" t="b">
        <f>(VLOOKUP(Requirements!I731,Scope[[Role]:[Description]],2,FALSE)="In")</f>
        <v>1</v>
      </c>
      <c r="T729" s="87">
        <f t="shared" si="47"/>
        <v>0</v>
      </c>
    </row>
    <row r="730" spans="1:20">
      <c r="A730" s="44" t="str">
        <f>Requirements!A732</f>
        <v>MS-SMB_R9336</v>
      </c>
      <c r="B730" s="87"/>
      <c r="C730" s="87"/>
      <c r="D730" s="87"/>
      <c r="E730" s="87"/>
      <c r="F730" s="87"/>
      <c r="G730" s="87"/>
      <c r="H730" s="87"/>
      <c r="I730" s="87"/>
      <c r="J730" s="87"/>
      <c r="K730" s="87"/>
      <c r="L730" s="87"/>
      <c r="M730" s="87"/>
      <c r="N730" s="87">
        <f t="shared" si="44"/>
        <v>0</v>
      </c>
      <c r="O730" s="87">
        <f t="shared" si="45"/>
        <v>0</v>
      </c>
      <c r="P730" s="87" t="b">
        <f t="shared" si="46"/>
        <v>0</v>
      </c>
      <c r="Q730" s="87" t="b">
        <f>(Requirements!K732="Normative")</f>
        <v>0</v>
      </c>
      <c r="R730" s="87" t="b">
        <f>AND(Requirements!L732&lt;&gt;"Non-testable",Requirements!L732&lt;&gt;"Deleted",Requirements!L732&lt;&gt;"")</f>
        <v>1</v>
      </c>
      <c r="S730" s="87" t="b">
        <f>(VLOOKUP(Requirements!I732,Scope[[Role]:[Description]],2,FALSE)="In")</f>
        <v>1</v>
      </c>
      <c r="T730" s="87">
        <f t="shared" si="47"/>
        <v>0</v>
      </c>
    </row>
    <row r="731" spans="1:20">
      <c r="A731" s="44" t="str">
        <f>Requirements!A733</f>
        <v>MS-SMB_R9337</v>
      </c>
      <c r="B731" s="87"/>
      <c r="C731" s="87"/>
      <c r="D731" s="87"/>
      <c r="E731" s="87"/>
      <c r="F731" s="87"/>
      <c r="G731" s="87"/>
      <c r="H731" s="87"/>
      <c r="I731" s="87"/>
      <c r="J731" s="87"/>
      <c r="K731" s="87"/>
      <c r="L731" s="87"/>
      <c r="M731" s="87"/>
      <c r="N731" s="87">
        <f t="shared" si="44"/>
        <v>0</v>
      </c>
      <c r="O731" s="87">
        <f t="shared" si="45"/>
        <v>0</v>
      </c>
      <c r="P731" s="87" t="b">
        <f t="shared" si="46"/>
        <v>0</v>
      </c>
      <c r="Q731" s="87" t="b">
        <f>(Requirements!K733="Normative")</f>
        <v>0</v>
      </c>
      <c r="R731" s="87" t="b">
        <f>AND(Requirements!L733&lt;&gt;"Non-testable",Requirements!L733&lt;&gt;"Deleted",Requirements!L733&lt;&gt;"")</f>
        <v>1</v>
      </c>
      <c r="S731" s="87" t="b">
        <f>(VLOOKUP(Requirements!I733,Scope[[Role]:[Description]],2,FALSE)="In")</f>
        <v>1</v>
      </c>
      <c r="T731" s="87">
        <f t="shared" si="47"/>
        <v>0</v>
      </c>
    </row>
    <row r="732" spans="1:20">
      <c r="A732" s="44" t="str">
        <f>Requirements!A734</f>
        <v>MS-SMB_R9338</v>
      </c>
      <c r="B732" s="87"/>
      <c r="C732" s="87"/>
      <c r="D732" s="87"/>
      <c r="E732" s="87"/>
      <c r="F732" s="87"/>
      <c r="G732" s="87"/>
      <c r="H732" s="87"/>
      <c r="I732" s="87"/>
      <c r="J732" s="87"/>
      <c r="K732" s="87"/>
      <c r="L732" s="87"/>
      <c r="M732" s="87"/>
      <c r="N732" s="87">
        <f t="shared" si="44"/>
        <v>0</v>
      </c>
      <c r="O732" s="87">
        <f t="shared" si="45"/>
        <v>0</v>
      </c>
      <c r="P732" s="87" t="b">
        <f t="shared" si="46"/>
        <v>0</v>
      </c>
      <c r="Q732" s="87" t="b">
        <f>(Requirements!K734="Normative")</f>
        <v>0</v>
      </c>
      <c r="R732" s="87" t="b">
        <f>AND(Requirements!L734&lt;&gt;"Non-testable",Requirements!L734&lt;&gt;"Deleted",Requirements!L734&lt;&gt;"")</f>
        <v>1</v>
      </c>
      <c r="S732" s="87" t="b">
        <f>(VLOOKUP(Requirements!I734,Scope[[Role]:[Description]],2,FALSE)="In")</f>
        <v>1</v>
      </c>
      <c r="T732" s="87">
        <f t="shared" si="47"/>
        <v>0</v>
      </c>
    </row>
    <row r="733" spans="1:20">
      <c r="A733" s="44" t="str">
        <f>Requirements!A735</f>
        <v>MS-SMB_R9339</v>
      </c>
      <c r="B733" s="87"/>
      <c r="C733" s="87"/>
      <c r="D733" s="87"/>
      <c r="E733" s="87"/>
      <c r="F733" s="87"/>
      <c r="G733" s="87"/>
      <c r="H733" s="87"/>
      <c r="I733" s="87"/>
      <c r="J733" s="87"/>
      <c r="K733" s="87"/>
      <c r="L733" s="87"/>
      <c r="M733" s="87"/>
      <c r="N733" s="87">
        <f t="shared" si="44"/>
        <v>0</v>
      </c>
      <c r="O733" s="87">
        <f t="shared" si="45"/>
        <v>0</v>
      </c>
      <c r="P733" s="87" t="b">
        <f t="shared" si="46"/>
        <v>0</v>
      </c>
      <c r="Q733" s="87" t="b">
        <f>(Requirements!K735="Normative")</f>
        <v>0</v>
      </c>
      <c r="R733" s="87" t="b">
        <f>AND(Requirements!L735&lt;&gt;"Non-testable",Requirements!L735&lt;&gt;"Deleted",Requirements!L735&lt;&gt;"")</f>
        <v>1</v>
      </c>
      <c r="S733" s="87" t="b">
        <f>(VLOOKUP(Requirements!I735,Scope[[Role]:[Description]],2,FALSE)="In")</f>
        <v>1</v>
      </c>
      <c r="T733" s="87">
        <f t="shared" si="47"/>
        <v>0</v>
      </c>
    </row>
    <row r="734" spans="1:20">
      <c r="A734" s="44" t="str">
        <f>Requirements!A736</f>
        <v>MS-SMB_R9340</v>
      </c>
      <c r="B734" s="87"/>
      <c r="C734" s="87"/>
      <c r="D734" s="87"/>
      <c r="E734" s="87"/>
      <c r="F734" s="87"/>
      <c r="G734" s="87"/>
      <c r="H734" s="87"/>
      <c r="I734" s="87"/>
      <c r="J734" s="87"/>
      <c r="K734" s="87"/>
      <c r="L734" s="87"/>
      <c r="M734" s="87"/>
      <c r="N734" s="87">
        <f t="shared" si="44"/>
        <v>0</v>
      </c>
      <c r="O734" s="87">
        <f t="shared" si="45"/>
        <v>0</v>
      </c>
      <c r="P734" s="87" t="b">
        <f t="shared" si="46"/>
        <v>0</v>
      </c>
      <c r="Q734" s="87" t="b">
        <f>(Requirements!K736="Normative")</f>
        <v>0</v>
      </c>
      <c r="R734" s="87" t="b">
        <f>AND(Requirements!L736&lt;&gt;"Non-testable",Requirements!L736&lt;&gt;"Deleted",Requirements!L736&lt;&gt;"")</f>
        <v>1</v>
      </c>
      <c r="S734" s="87" t="b">
        <f>(VLOOKUP(Requirements!I736,Scope[[Role]:[Description]],2,FALSE)="In")</f>
        <v>1</v>
      </c>
      <c r="T734" s="87">
        <f t="shared" si="47"/>
        <v>0</v>
      </c>
    </row>
    <row r="735" spans="1:20">
      <c r="A735" s="44" t="str">
        <f>Requirements!A737</f>
        <v>MS-SMB_R9341</v>
      </c>
      <c r="B735" s="87"/>
      <c r="C735" s="87"/>
      <c r="D735" s="87"/>
      <c r="E735" s="87"/>
      <c r="F735" s="87"/>
      <c r="G735" s="87"/>
      <c r="H735" s="87"/>
      <c r="I735" s="87"/>
      <c r="J735" s="87"/>
      <c r="K735" s="87"/>
      <c r="L735" s="87"/>
      <c r="M735" s="87"/>
      <c r="N735" s="87">
        <f t="shared" si="44"/>
        <v>0</v>
      </c>
      <c r="O735" s="87">
        <f t="shared" si="45"/>
        <v>0</v>
      </c>
      <c r="P735" s="87" t="b">
        <f t="shared" si="46"/>
        <v>0</v>
      </c>
      <c r="Q735" s="87" t="b">
        <f>(Requirements!K737="Normative")</f>
        <v>0</v>
      </c>
      <c r="R735" s="87" t="b">
        <f>AND(Requirements!L737&lt;&gt;"Non-testable",Requirements!L737&lt;&gt;"Deleted",Requirements!L737&lt;&gt;"")</f>
        <v>1</v>
      </c>
      <c r="S735" s="87" t="b">
        <f>(VLOOKUP(Requirements!I737,Scope[[Role]:[Description]],2,FALSE)="In")</f>
        <v>1</v>
      </c>
      <c r="T735" s="87">
        <f t="shared" si="47"/>
        <v>0</v>
      </c>
    </row>
    <row r="736" spans="1:20">
      <c r="A736" s="85" t="str">
        <f>Requirements!A738</f>
        <v>MS-SMB_R9342</v>
      </c>
      <c r="B736" s="87"/>
      <c r="C736" s="87"/>
      <c r="D736" s="87"/>
      <c r="E736" s="87"/>
      <c r="F736" s="87"/>
      <c r="G736" s="87"/>
      <c r="H736" s="87"/>
      <c r="I736" s="87"/>
      <c r="J736" s="87"/>
      <c r="K736" s="87"/>
      <c r="L736" s="87"/>
      <c r="M736" s="87"/>
      <c r="N736" s="87">
        <f t="shared" si="44"/>
        <v>0</v>
      </c>
      <c r="O736" s="61">
        <f t="shared" si="45"/>
        <v>0</v>
      </c>
      <c r="P736" s="61" t="b">
        <f t="shared" si="46"/>
        <v>1</v>
      </c>
      <c r="Q736" s="87" t="b">
        <f>(Requirements!K738="Normative")</f>
        <v>1</v>
      </c>
      <c r="R736" s="87" t="b">
        <f>AND(Requirements!L738&lt;&gt;"Non-testable",Requirements!L738&lt;&gt;"Deleted",Requirements!L738&lt;&gt;"")</f>
        <v>1</v>
      </c>
      <c r="S736" s="87" t="b">
        <f>(VLOOKUP(Requirements!I738,Scope[[Role]:[Description]],2,FALSE)="In")</f>
        <v>1</v>
      </c>
      <c r="T736" s="87">
        <f t="shared" si="47"/>
        <v>0</v>
      </c>
    </row>
    <row r="737" spans="1:20">
      <c r="A737" s="84" t="str">
        <f>Requirements!A739</f>
        <v>MS-SMB_R9343</v>
      </c>
      <c r="B737" s="87"/>
      <c r="C737" s="87"/>
      <c r="D737" s="87"/>
      <c r="E737" s="87"/>
      <c r="F737" s="87"/>
      <c r="G737" s="87">
        <v>1</v>
      </c>
      <c r="H737" s="87"/>
      <c r="I737" s="87"/>
      <c r="J737" s="87"/>
      <c r="K737" s="87"/>
      <c r="L737" s="87"/>
      <c r="M737" s="87"/>
      <c r="N737" s="87">
        <f t="shared" si="44"/>
        <v>1</v>
      </c>
      <c r="O737" s="60">
        <f t="shared" si="45"/>
        <v>1</v>
      </c>
      <c r="P737" s="60" t="b">
        <f t="shared" si="46"/>
        <v>1</v>
      </c>
      <c r="Q737" s="87" t="b">
        <f>(Requirements!K739="Normative")</f>
        <v>1</v>
      </c>
      <c r="R737" s="87" t="b">
        <f>AND(Requirements!L739&lt;&gt;"Non-testable",Requirements!L739&lt;&gt;"Deleted",Requirements!L739&lt;&gt;"")</f>
        <v>1</v>
      </c>
      <c r="S737" s="87" t="b">
        <f>(VLOOKUP(Requirements!I739,Scope[[Role]:[Description]],2,FALSE)="In")</f>
        <v>1</v>
      </c>
      <c r="T737" s="87">
        <f t="shared" si="47"/>
        <v>1</v>
      </c>
    </row>
    <row r="738" spans="1:20">
      <c r="A738" s="44" t="str">
        <f>Requirements!A740</f>
        <v>MS-SMB_R9344</v>
      </c>
      <c r="B738" s="87"/>
      <c r="C738" s="87"/>
      <c r="D738" s="87"/>
      <c r="E738" s="87"/>
      <c r="F738" s="87"/>
      <c r="G738" s="87"/>
      <c r="H738" s="87"/>
      <c r="I738" s="87"/>
      <c r="J738" s="87"/>
      <c r="K738" s="87"/>
      <c r="L738" s="87"/>
      <c r="M738" s="87"/>
      <c r="N738" s="87">
        <f t="shared" si="44"/>
        <v>0</v>
      </c>
      <c r="O738" s="87">
        <f t="shared" si="45"/>
        <v>0</v>
      </c>
      <c r="P738" s="87" t="b">
        <f t="shared" si="46"/>
        <v>0</v>
      </c>
      <c r="Q738" s="87" t="b">
        <f>(Requirements!K740="Normative")</f>
        <v>0</v>
      </c>
      <c r="R738" s="87" t="b">
        <f>AND(Requirements!L740&lt;&gt;"Non-testable",Requirements!L740&lt;&gt;"Deleted",Requirements!L740&lt;&gt;"")</f>
        <v>1</v>
      </c>
      <c r="S738" s="87" t="b">
        <f>(VLOOKUP(Requirements!I740,Scope[[Role]:[Description]],2,FALSE)="In")</f>
        <v>1</v>
      </c>
      <c r="T738" s="87">
        <f t="shared" si="47"/>
        <v>0</v>
      </c>
    </row>
    <row r="739" spans="1:20">
      <c r="A739" s="44" t="str">
        <f>Requirements!A741</f>
        <v>MS-SMB_R9345</v>
      </c>
      <c r="B739" s="87"/>
      <c r="C739" s="87"/>
      <c r="D739" s="87"/>
      <c r="E739" s="87"/>
      <c r="F739" s="87"/>
      <c r="G739" s="87"/>
      <c r="H739" s="87"/>
      <c r="I739" s="87"/>
      <c r="J739" s="87"/>
      <c r="K739" s="87"/>
      <c r="L739" s="87"/>
      <c r="M739" s="87"/>
      <c r="N739" s="87">
        <f t="shared" si="44"/>
        <v>0</v>
      </c>
      <c r="O739" s="87">
        <f t="shared" si="45"/>
        <v>0</v>
      </c>
      <c r="P739" s="87" t="b">
        <f t="shared" si="46"/>
        <v>0</v>
      </c>
      <c r="Q739" s="87" t="b">
        <f>(Requirements!K741="Normative")</f>
        <v>0</v>
      </c>
      <c r="R739" s="87" t="b">
        <f>AND(Requirements!L741&lt;&gt;"Non-testable",Requirements!L741&lt;&gt;"Deleted",Requirements!L741&lt;&gt;"")</f>
        <v>1</v>
      </c>
      <c r="S739" s="87" t="b">
        <f>(VLOOKUP(Requirements!I741,Scope[[Role]:[Description]],2,FALSE)="In")</f>
        <v>1</v>
      </c>
      <c r="T739" s="87">
        <f t="shared" si="47"/>
        <v>0</v>
      </c>
    </row>
    <row r="740" spans="1:20">
      <c r="A740" s="44" t="str">
        <f>Requirements!A742</f>
        <v>MS-SMB_R9346</v>
      </c>
      <c r="B740" s="87"/>
      <c r="C740" s="87"/>
      <c r="D740" s="87"/>
      <c r="E740" s="87"/>
      <c r="F740" s="87"/>
      <c r="G740" s="87"/>
      <c r="H740" s="87"/>
      <c r="I740" s="87"/>
      <c r="J740" s="87"/>
      <c r="K740" s="87"/>
      <c r="L740" s="87"/>
      <c r="M740" s="87"/>
      <c r="N740" s="87">
        <f t="shared" si="44"/>
        <v>0</v>
      </c>
      <c r="O740" s="87">
        <f t="shared" si="45"/>
        <v>0</v>
      </c>
      <c r="P740" s="87" t="b">
        <f t="shared" si="46"/>
        <v>0</v>
      </c>
      <c r="Q740" s="87" t="b">
        <f>(Requirements!K742="Normative")</f>
        <v>0</v>
      </c>
      <c r="R740" s="87" t="b">
        <f>AND(Requirements!L742&lt;&gt;"Non-testable",Requirements!L742&lt;&gt;"Deleted",Requirements!L742&lt;&gt;"")</f>
        <v>1</v>
      </c>
      <c r="S740" s="87" t="b">
        <f>(VLOOKUP(Requirements!I742,Scope[[Role]:[Description]],2,FALSE)="In")</f>
        <v>1</v>
      </c>
      <c r="T740" s="87">
        <f t="shared" si="47"/>
        <v>0</v>
      </c>
    </row>
    <row r="741" spans="1:20">
      <c r="A741" s="44" t="str">
        <f>Requirements!A743</f>
        <v>MS-SMB_R9347</v>
      </c>
      <c r="B741" s="87"/>
      <c r="C741" s="87"/>
      <c r="D741" s="87"/>
      <c r="E741" s="87"/>
      <c r="F741" s="87"/>
      <c r="G741" s="87"/>
      <c r="H741" s="87"/>
      <c r="I741" s="87"/>
      <c r="J741" s="87"/>
      <c r="K741" s="87"/>
      <c r="L741" s="87"/>
      <c r="M741" s="87"/>
      <c r="N741" s="87">
        <f t="shared" si="44"/>
        <v>0</v>
      </c>
      <c r="O741" s="87">
        <f t="shared" si="45"/>
        <v>0</v>
      </c>
      <c r="P741" s="87" t="b">
        <f t="shared" si="46"/>
        <v>0</v>
      </c>
      <c r="Q741" s="87" t="b">
        <f>(Requirements!K743="Normative")</f>
        <v>0</v>
      </c>
      <c r="R741" s="87" t="b">
        <f>AND(Requirements!L743&lt;&gt;"Non-testable",Requirements!L743&lt;&gt;"Deleted",Requirements!L743&lt;&gt;"")</f>
        <v>1</v>
      </c>
      <c r="S741" s="87" t="b">
        <f>(VLOOKUP(Requirements!I743,Scope[[Role]:[Description]],2,FALSE)="In")</f>
        <v>1</v>
      </c>
      <c r="T741" s="87">
        <f t="shared" si="47"/>
        <v>0</v>
      </c>
    </row>
    <row r="742" spans="1:20">
      <c r="A742" s="44" t="str">
        <f>Requirements!A744</f>
        <v>MS-SMB_R9348</v>
      </c>
      <c r="B742" s="87"/>
      <c r="C742" s="87"/>
      <c r="D742" s="87"/>
      <c r="E742" s="87"/>
      <c r="F742" s="87"/>
      <c r="G742" s="87"/>
      <c r="H742" s="87"/>
      <c r="I742" s="87"/>
      <c r="J742" s="87"/>
      <c r="K742" s="87"/>
      <c r="L742" s="87"/>
      <c r="M742" s="87"/>
      <c r="N742" s="87">
        <f t="shared" si="44"/>
        <v>0</v>
      </c>
      <c r="O742" s="87">
        <f t="shared" si="45"/>
        <v>0</v>
      </c>
      <c r="P742" s="87" t="b">
        <f t="shared" si="46"/>
        <v>0</v>
      </c>
      <c r="Q742" s="87" t="b">
        <f>(Requirements!K744="Normative")</f>
        <v>0</v>
      </c>
      <c r="R742" s="87" t="b">
        <f>AND(Requirements!L744&lt;&gt;"Non-testable",Requirements!L744&lt;&gt;"Deleted",Requirements!L744&lt;&gt;"")</f>
        <v>1</v>
      </c>
      <c r="S742" s="87" t="b">
        <f>(VLOOKUP(Requirements!I744,Scope[[Role]:[Description]],2,FALSE)="In")</f>
        <v>1</v>
      </c>
      <c r="T742" s="87">
        <f t="shared" si="47"/>
        <v>0</v>
      </c>
    </row>
    <row r="743" spans="1:20">
      <c r="A743" s="44" t="str">
        <f>Requirements!A745</f>
        <v>MS-SMB_R9349</v>
      </c>
      <c r="B743" s="87"/>
      <c r="C743" s="87"/>
      <c r="D743" s="87"/>
      <c r="E743" s="87"/>
      <c r="F743" s="87"/>
      <c r="G743" s="87"/>
      <c r="H743" s="87"/>
      <c r="I743" s="87"/>
      <c r="J743" s="87"/>
      <c r="K743" s="87"/>
      <c r="L743" s="87"/>
      <c r="M743" s="87"/>
      <c r="N743" s="87">
        <f t="shared" si="44"/>
        <v>0</v>
      </c>
      <c r="O743" s="87">
        <f t="shared" si="45"/>
        <v>0</v>
      </c>
      <c r="P743" s="87" t="b">
        <f t="shared" si="46"/>
        <v>0</v>
      </c>
      <c r="Q743" s="87" t="b">
        <f>(Requirements!K745="Normative")</f>
        <v>0</v>
      </c>
      <c r="R743" s="87" t="b">
        <f>AND(Requirements!L745&lt;&gt;"Non-testable",Requirements!L745&lt;&gt;"Deleted",Requirements!L745&lt;&gt;"")</f>
        <v>1</v>
      </c>
      <c r="S743" s="87" t="b">
        <f>(VLOOKUP(Requirements!I745,Scope[[Role]:[Description]],2,FALSE)="In")</f>
        <v>1</v>
      </c>
      <c r="T743" s="87">
        <f t="shared" si="47"/>
        <v>0</v>
      </c>
    </row>
    <row r="744" spans="1:20">
      <c r="A744" s="85" t="str">
        <f>Requirements!A746</f>
        <v>MS-SMB_R9350</v>
      </c>
      <c r="B744" s="87"/>
      <c r="C744" s="87"/>
      <c r="D744" s="87"/>
      <c r="E744" s="87"/>
      <c r="F744" s="87"/>
      <c r="G744" s="87"/>
      <c r="H744" s="87"/>
      <c r="I744" s="87"/>
      <c r="J744" s="87"/>
      <c r="K744" s="87"/>
      <c r="L744" s="87"/>
      <c r="M744" s="87"/>
      <c r="N744" s="87">
        <f t="shared" si="44"/>
        <v>0</v>
      </c>
      <c r="O744" s="61">
        <f t="shared" si="45"/>
        <v>0</v>
      </c>
      <c r="P744" s="61" t="b">
        <f t="shared" si="46"/>
        <v>1</v>
      </c>
      <c r="Q744" s="87" t="b">
        <f>(Requirements!K746="Normative")</f>
        <v>1</v>
      </c>
      <c r="R744" s="87" t="b">
        <f>AND(Requirements!L746&lt;&gt;"Non-testable",Requirements!L746&lt;&gt;"Deleted",Requirements!L746&lt;&gt;"")</f>
        <v>1</v>
      </c>
      <c r="S744" s="87" t="b">
        <f>(VLOOKUP(Requirements!I746,Scope[[Role]:[Description]],2,FALSE)="In")</f>
        <v>1</v>
      </c>
      <c r="T744" s="87">
        <f t="shared" si="47"/>
        <v>0</v>
      </c>
    </row>
    <row r="745" spans="1:20">
      <c r="A745" s="85" t="str">
        <f>Requirements!A747</f>
        <v>MS-SMB_R9351</v>
      </c>
      <c r="B745" s="87"/>
      <c r="C745" s="87"/>
      <c r="D745" s="87"/>
      <c r="E745" s="87"/>
      <c r="F745" s="87"/>
      <c r="G745" s="87"/>
      <c r="H745" s="87"/>
      <c r="I745" s="87"/>
      <c r="J745" s="87"/>
      <c r="K745" s="87"/>
      <c r="L745" s="87"/>
      <c r="M745" s="87"/>
      <c r="N745" s="87">
        <f t="shared" si="44"/>
        <v>0</v>
      </c>
      <c r="O745" s="61">
        <f t="shared" si="45"/>
        <v>0</v>
      </c>
      <c r="P745" s="61" t="b">
        <f t="shared" si="46"/>
        <v>1</v>
      </c>
      <c r="Q745" s="87" t="b">
        <f>(Requirements!K747="Normative")</f>
        <v>1</v>
      </c>
      <c r="R745" s="87" t="b">
        <f>AND(Requirements!L747&lt;&gt;"Non-testable",Requirements!L747&lt;&gt;"Deleted",Requirements!L747&lt;&gt;"")</f>
        <v>1</v>
      </c>
      <c r="S745" s="87" t="b">
        <f>(VLOOKUP(Requirements!I747,Scope[[Role]:[Description]],2,FALSE)="In")</f>
        <v>1</v>
      </c>
      <c r="T745" s="87">
        <f t="shared" si="47"/>
        <v>0</v>
      </c>
    </row>
    <row r="746" spans="1:20">
      <c r="A746" s="85" t="str">
        <f>Requirements!A748</f>
        <v>MS-SMB_R9352</v>
      </c>
      <c r="B746" s="87"/>
      <c r="C746" s="87"/>
      <c r="D746" s="87"/>
      <c r="E746" s="87"/>
      <c r="F746" s="87"/>
      <c r="G746" s="87"/>
      <c r="H746" s="87"/>
      <c r="I746" s="87"/>
      <c r="J746" s="87"/>
      <c r="K746" s="87"/>
      <c r="L746" s="87"/>
      <c r="M746" s="87"/>
      <c r="N746" s="87">
        <f t="shared" si="44"/>
        <v>0</v>
      </c>
      <c r="O746" s="61">
        <f t="shared" si="45"/>
        <v>0</v>
      </c>
      <c r="P746" s="61" t="b">
        <f t="shared" si="46"/>
        <v>1</v>
      </c>
      <c r="Q746" s="87" t="b">
        <f>(Requirements!K748="Normative")</f>
        <v>1</v>
      </c>
      <c r="R746" s="87" t="b">
        <f>AND(Requirements!L748&lt;&gt;"Non-testable",Requirements!L748&lt;&gt;"Deleted",Requirements!L748&lt;&gt;"")</f>
        <v>1</v>
      </c>
      <c r="S746" s="87" t="b">
        <f>(VLOOKUP(Requirements!I748,Scope[[Role]:[Description]],2,FALSE)="In")</f>
        <v>1</v>
      </c>
      <c r="T746" s="87">
        <f t="shared" si="47"/>
        <v>0</v>
      </c>
    </row>
    <row r="747" spans="1:20">
      <c r="A747" s="85" t="str">
        <f>Requirements!A749</f>
        <v>MS-SMB_R9353</v>
      </c>
      <c r="B747" s="87"/>
      <c r="C747" s="87"/>
      <c r="D747" s="87"/>
      <c r="E747" s="87"/>
      <c r="F747" s="87"/>
      <c r="G747" s="87"/>
      <c r="H747" s="87"/>
      <c r="I747" s="87"/>
      <c r="J747" s="87"/>
      <c r="K747" s="87"/>
      <c r="L747" s="87"/>
      <c r="M747" s="87"/>
      <c r="N747" s="87">
        <f t="shared" si="44"/>
        <v>0</v>
      </c>
      <c r="O747" s="61">
        <f t="shared" si="45"/>
        <v>0</v>
      </c>
      <c r="P747" s="61" t="b">
        <f t="shared" si="46"/>
        <v>1</v>
      </c>
      <c r="Q747" s="87" t="b">
        <f>(Requirements!K749="Normative")</f>
        <v>1</v>
      </c>
      <c r="R747" s="87" t="b">
        <f>AND(Requirements!L749&lt;&gt;"Non-testable",Requirements!L749&lt;&gt;"Deleted",Requirements!L749&lt;&gt;"")</f>
        <v>1</v>
      </c>
      <c r="S747" s="87" t="b">
        <f>(VLOOKUP(Requirements!I749,Scope[[Role]:[Description]],2,FALSE)="In")</f>
        <v>1</v>
      </c>
      <c r="T747" s="87">
        <f t="shared" si="47"/>
        <v>0</v>
      </c>
    </row>
    <row r="748" spans="1:20">
      <c r="A748" s="44" t="str">
        <f>Requirements!A750</f>
        <v>MS-SMB_R9354</v>
      </c>
      <c r="B748" s="87"/>
      <c r="C748" s="87"/>
      <c r="D748" s="87"/>
      <c r="E748" s="87"/>
      <c r="F748" s="87"/>
      <c r="G748" s="87"/>
      <c r="H748" s="87"/>
      <c r="I748" s="87"/>
      <c r="J748" s="87"/>
      <c r="K748" s="87"/>
      <c r="L748" s="87"/>
      <c r="M748" s="87"/>
      <c r="N748" s="87">
        <f t="shared" si="44"/>
        <v>0</v>
      </c>
      <c r="O748" s="87">
        <f t="shared" si="45"/>
        <v>0</v>
      </c>
      <c r="P748" s="87" t="b">
        <f t="shared" si="46"/>
        <v>0</v>
      </c>
      <c r="Q748" s="87" t="b">
        <f>(Requirements!K750="Normative")</f>
        <v>0</v>
      </c>
      <c r="R748" s="87" t="b">
        <f>AND(Requirements!L750&lt;&gt;"Non-testable",Requirements!L750&lt;&gt;"Deleted",Requirements!L750&lt;&gt;"")</f>
        <v>1</v>
      </c>
      <c r="S748" s="87" t="b">
        <f>(VLOOKUP(Requirements!I750,Scope[[Role]:[Description]],2,FALSE)="In")</f>
        <v>1</v>
      </c>
      <c r="T748" s="87">
        <f t="shared" si="47"/>
        <v>0</v>
      </c>
    </row>
    <row r="749" spans="1:20">
      <c r="A749" s="85" t="str">
        <f>Requirements!A751</f>
        <v>MS-SMB_R9355</v>
      </c>
      <c r="B749" s="87"/>
      <c r="C749" s="87"/>
      <c r="D749" s="87"/>
      <c r="E749" s="87"/>
      <c r="F749" s="87"/>
      <c r="G749" s="87"/>
      <c r="H749" s="87"/>
      <c r="I749" s="87"/>
      <c r="J749" s="87"/>
      <c r="K749" s="87"/>
      <c r="L749" s="87"/>
      <c r="M749" s="87"/>
      <c r="N749" s="87">
        <f t="shared" si="44"/>
        <v>0</v>
      </c>
      <c r="O749" s="61">
        <f t="shared" si="45"/>
        <v>0</v>
      </c>
      <c r="P749" s="61" t="b">
        <f t="shared" si="46"/>
        <v>1</v>
      </c>
      <c r="Q749" s="87" t="b">
        <f>(Requirements!K751="Normative")</f>
        <v>1</v>
      </c>
      <c r="R749" s="87" t="b">
        <f>AND(Requirements!L751&lt;&gt;"Non-testable",Requirements!L751&lt;&gt;"Deleted",Requirements!L751&lt;&gt;"")</f>
        <v>1</v>
      </c>
      <c r="S749" s="87" t="b">
        <f>(VLOOKUP(Requirements!I751,Scope[[Role]:[Description]],2,FALSE)="In")</f>
        <v>1</v>
      </c>
      <c r="T749" s="87">
        <f t="shared" si="47"/>
        <v>0</v>
      </c>
    </row>
    <row r="750" spans="1:20">
      <c r="A750" s="85" t="str">
        <f>Requirements!A752</f>
        <v>MS-SMB_R9356</v>
      </c>
      <c r="B750" s="87"/>
      <c r="C750" s="87"/>
      <c r="D750" s="87"/>
      <c r="E750" s="87"/>
      <c r="F750" s="87"/>
      <c r="G750" s="87"/>
      <c r="H750" s="87"/>
      <c r="I750" s="87"/>
      <c r="J750" s="87"/>
      <c r="K750" s="87"/>
      <c r="L750" s="87"/>
      <c r="M750" s="87"/>
      <c r="N750" s="87">
        <f t="shared" si="44"/>
        <v>0</v>
      </c>
      <c r="O750" s="61">
        <f t="shared" si="45"/>
        <v>0</v>
      </c>
      <c r="P750" s="61" t="b">
        <f t="shared" si="46"/>
        <v>1</v>
      </c>
      <c r="Q750" s="87" t="b">
        <f>(Requirements!K752="Normative")</f>
        <v>1</v>
      </c>
      <c r="R750" s="87" t="b">
        <f>AND(Requirements!L752&lt;&gt;"Non-testable",Requirements!L752&lt;&gt;"Deleted",Requirements!L752&lt;&gt;"")</f>
        <v>1</v>
      </c>
      <c r="S750" s="87" t="b">
        <f>(VLOOKUP(Requirements!I752,Scope[[Role]:[Description]],2,FALSE)="In")</f>
        <v>1</v>
      </c>
      <c r="T750" s="87">
        <f t="shared" si="47"/>
        <v>0</v>
      </c>
    </row>
    <row r="751" spans="1:20">
      <c r="A751" s="44" t="str">
        <f>Requirements!A753</f>
        <v>MS-SMB_R9357</v>
      </c>
      <c r="B751" s="87"/>
      <c r="C751" s="87"/>
      <c r="D751" s="87"/>
      <c r="E751" s="87"/>
      <c r="F751" s="87"/>
      <c r="G751" s="87"/>
      <c r="H751" s="87"/>
      <c r="I751" s="87"/>
      <c r="J751" s="87"/>
      <c r="K751" s="87"/>
      <c r="L751" s="87"/>
      <c r="M751" s="87"/>
      <c r="N751" s="87">
        <f t="shared" si="44"/>
        <v>0</v>
      </c>
      <c r="O751" s="87">
        <f t="shared" si="45"/>
        <v>0</v>
      </c>
      <c r="P751" s="87" t="b">
        <f t="shared" si="46"/>
        <v>0</v>
      </c>
      <c r="Q751" s="87" t="b">
        <f>(Requirements!K753="Normative")</f>
        <v>0</v>
      </c>
      <c r="R751" s="87" t="b">
        <f>AND(Requirements!L753&lt;&gt;"Non-testable",Requirements!L753&lt;&gt;"Deleted",Requirements!L753&lt;&gt;"")</f>
        <v>1</v>
      </c>
      <c r="S751" s="87" t="b">
        <f>(VLOOKUP(Requirements!I753,Scope[[Role]:[Description]],2,FALSE)="In")</f>
        <v>1</v>
      </c>
      <c r="T751" s="87">
        <f t="shared" si="47"/>
        <v>0</v>
      </c>
    </row>
    <row r="752" spans="1:20">
      <c r="A752" s="44" t="str">
        <f>Requirements!A754</f>
        <v>MS-SMB_R9358</v>
      </c>
      <c r="B752" s="87"/>
      <c r="C752" s="87"/>
      <c r="D752" s="87"/>
      <c r="E752" s="87"/>
      <c r="F752" s="87"/>
      <c r="G752" s="87"/>
      <c r="H752" s="87"/>
      <c r="I752" s="87"/>
      <c r="J752" s="87"/>
      <c r="K752" s="87"/>
      <c r="L752" s="87"/>
      <c r="M752" s="87"/>
      <c r="N752" s="87">
        <f t="shared" si="44"/>
        <v>0</v>
      </c>
      <c r="O752" s="87">
        <f t="shared" si="45"/>
        <v>0</v>
      </c>
      <c r="P752" s="87" t="b">
        <f t="shared" si="46"/>
        <v>0</v>
      </c>
      <c r="Q752" s="87" t="b">
        <f>(Requirements!K754="Normative")</f>
        <v>0</v>
      </c>
      <c r="R752" s="87" t="b">
        <f>AND(Requirements!L754&lt;&gt;"Non-testable",Requirements!L754&lt;&gt;"Deleted",Requirements!L754&lt;&gt;"")</f>
        <v>1</v>
      </c>
      <c r="S752" s="87" t="b">
        <f>(VLOOKUP(Requirements!I754,Scope[[Role]:[Description]],2,FALSE)="In")</f>
        <v>1</v>
      </c>
      <c r="T752" s="87">
        <f t="shared" si="47"/>
        <v>0</v>
      </c>
    </row>
    <row r="753" spans="1:20">
      <c r="A753" s="44" t="str">
        <f>Requirements!A755</f>
        <v>MS-SMB_R9359</v>
      </c>
      <c r="B753" s="87"/>
      <c r="C753" s="87"/>
      <c r="D753" s="87"/>
      <c r="E753" s="87"/>
      <c r="F753" s="87"/>
      <c r="G753" s="87"/>
      <c r="H753" s="87"/>
      <c r="I753" s="87"/>
      <c r="J753" s="87"/>
      <c r="K753" s="87"/>
      <c r="L753" s="87"/>
      <c r="M753" s="87"/>
      <c r="N753" s="87">
        <f t="shared" si="44"/>
        <v>0</v>
      </c>
      <c r="O753" s="87">
        <f t="shared" si="45"/>
        <v>0</v>
      </c>
      <c r="P753" s="87" t="b">
        <f t="shared" si="46"/>
        <v>0</v>
      </c>
      <c r="Q753" s="87" t="b">
        <f>(Requirements!K755="Normative")</f>
        <v>0</v>
      </c>
      <c r="R753" s="87" t="b">
        <f>AND(Requirements!L755&lt;&gt;"Non-testable",Requirements!L755&lt;&gt;"Deleted",Requirements!L755&lt;&gt;"")</f>
        <v>1</v>
      </c>
      <c r="S753" s="87" t="b">
        <f>(VLOOKUP(Requirements!I755,Scope[[Role]:[Description]],2,FALSE)="In")</f>
        <v>1</v>
      </c>
      <c r="T753" s="87">
        <f t="shared" si="47"/>
        <v>0</v>
      </c>
    </row>
    <row r="754" spans="1:20">
      <c r="A754" s="44" t="str">
        <f>Requirements!A756</f>
        <v>MS-SMB_R9360</v>
      </c>
      <c r="B754" s="87"/>
      <c r="C754" s="87"/>
      <c r="D754" s="87"/>
      <c r="E754" s="87"/>
      <c r="F754" s="87"/>
      <c r="G754" s="87"/>
      <c r="H754" s="87"/>
      <c r="I754" s="87"/>
      <c r="J754" s="87"/>
      <c r="K754" s="87"/>
      <c r="L754" s="87"/>
      <c r="M754" s="87"/>
      <c r="N754" s="87">
        <f t="shared" si="44"/>
        <v>0</v>
      </c>
      <c r="O754" s="87">
        <f t="shared" si="45"/>
        <v>0</v>
      </c>
      <c r="P754" s="87" t="b">
        <f t="shared" si="46"/>
        <v>0</v>
      </c>
      <c r="Q754" s="87" t="b">
        <f>(Requirements!K756="Normative")</f>
        <v>0</v>
      </c>
      <c r="R754" s="87" t="b">
        <f>AND(Requirements!L756&lt;&gt;"Non-testable",Requirements!L756&lt;&gt;"Deleted",Requirements!L756&lt;&gt;"")</f>
        <v>1</v>
      </c>
      <c r="S754" s="87" t="b">
        <f>(VLOOKUP(Requirements!I756,Scope[[Role]:[Description]],2,FALSE)="In")</f>
        <v>1</v>
      </c>
      <c r="T754" s="87">
        <f t="shared" si="47"/>
        <v>0</v>
      </c>
    </row>
    <row r="755" spans="1:20">
      <c r="A755" s="44" t="str">
        <f>Requirements!A757</f>
        <v>MS-SMB_R9361</v>
      </c>
      <c r="B755" s="87"/>
      <c r="C755" s="87"/>
      <c r="D755" s="87"/>
      <c r="E755" s="87"/>
      <c r="F755" s="87"/>
      <c r="G755" s="87"/>
      <c r="H755" s="87"/>
      <c r="I755" s="87"/>
      <c r="J755" s="87"/>
      <c r="K755" s="87"/>
      <c r="L755" s="87"/>
      <c r="M755" s="87"/>
      <c r="N755" s="87">
        <f t="shared" si="44"/>
        <v>0</v>
      </c>
      <c r="O755" s="87">
        <f t="shared" si="45"/>
        <v>0</v>
      </c>
      <c r="P755" s="87" t="b">
        <f t="shared" si="46"/>
        <v>0</v>
      </c>
      <c r="Q755" s="87" t="b">
        <f>(Requirements!K757="Normative")</f>
        <v>0</v>
      </c>
      <c r="R755" s="87" t="b">
        <f>AND(Requirements!L757&lt;&gt;"Non-testable",Requirements!L757&lt;&gt;"Deleted",Requirements!L757&lt;&gt;"")</f>
        <v>1</v>
      </c>
      <c r="S755" s="87" t="b">
        <f>(VLOOKUP(Requirements!I757,Scope[[Role]:[Description]],2,FALSE)="In")</f>
        <v>1</v>
      </c>
      <c r="T755" s="87">
        <f t="shared" si="47"/>
        <v>0</v>
      </c>
    </row>
    <row r="756" spans="1:20">
      <c r="A756" s="85" t="str">
        <f>Requirements!A758</f>
        <v>MS-SMB_R9362</v>
      </c>
      <c r="B756" s="87"/>
      <c r="C756" s="87"/>
      <c r="D756" s="87"/>
      <c r="E756" s="87"/>
      <c r="F756" s="87"/>
      <c r="G756" s="87"/>
      <c r="H756" s="87"/>
      <c r="I756" s="87"/>
      <c r="J756" s="87"/>
      <c r="K756" s="87"/>
      <c r="L756" s="87"/>
      <c r="M756" s="87"/>
      <c r="N756" s="87">
        <f t="shared" si="44"/>
        <v>0</v>
      </c>
      <c r="O756" s="61">
        <f t="shared" si="45"/>
        <v>0</v>
      </c>
      <c r="P756" s="61" t="b">
        <f t="shared" si="46"/>
        <v>1</v>
      </c>
      <c r="Q756" s="87" t="b">
        <f>(Requirements!K758="Normative")</f>
        <v>1</v>
      </c>
      <c r="R756" s="87" t="b">
        <f>AND(Requirements!L758&lt;&gt;"Non-testable",Requirements!L758&lt;&gt;"Deleted",Requirements!L758&lt;&gt;"")</f>
        <v>1</v>
      </c>
      <c r="S756" s="87" t="b">
        <f>(VLOOKUP(Requirements!I758,Scope[[Role]:[Description]],2,FALSE)="In")</f>
        <v>1</v>
      </c>
      <c r="T756" s="87">
        <f t="shared" si="47"/>
        <v>0</v>
      </c>
    </row>
    <row r="757" spans="1:20">
      <c r="A757" s="85" t="str">
        <f>Requirements!A759</f>
        <v>MS-SMB_R9363</v>
      </c>
      <c r="B757" s="87"/>
      <c r="C757" s="87"/>
      <c r="D757" s="87"/>
      <c r="E757" s="87"/>
      <c r="F757" s="87"/>
      <c r="G757" s="87"/>
      <c r="H757" s="87"/>
      <c r="I757" s="87"/>
      <c r="J757" s="87"/>
      <c r="K757" s="87"/>
      <c r="L757" s="87"/>
      <c r="M757" s="87"/>
      <c r="N757" s="87">
        <f t="shared" si="44"/>
        <v>0</v>
      </c>
      <c r="O757" s="61">
        <f t="shared" si="45"/>
        <v>0</v>
      </c>
      <c r="P757" s="61" t="b">
        <f t="shared" si="46"/>
        <v>1</v>
      </c>
      <c r="Q757" s="87" t="b">
        <f>(Requirements!K759="Normative")</f>
        <v>1</v>
      </c>
      <c r="R757" s="87" t="b">
        <f>AND(Requirements!L759&lt;&gt;"Non-testable",Requirements!L759&lt;&gt;"Deleted",Requirements!L759&lt;&gt;"")</f>
        <v>1</v>
      </c>
      <c r="S757" s="87" t="b">
        <f>(VLOOKUP(Requirements!I759,Scope[[Role]:[Description]],2,FALSE)="In")</f>
        <v>1</v>
      </c>
      <c r="T757" s="87">
        <f t="shared" si="47"/>
        <v>0</v>
      </c>
    </row>
    <row r="758" spans="1:20">
      <c r="A758" s="85" t="str">
        <f>Requirements!A760</f>
        <v>MS-SMB_R9364</v>
      </c>
      <c r="B758" s="87"/>
      <c r="C758" s="87"/>
      <c r="D758" s="87"/>
      <c r="E758" s="87"/>
      <c r="F758" s="87"/>
      <c r="G758" s="87"/>
      <c r="H758" s="87"/>
      <c r="I758" s="87"/>
      <c r="J758" s="87"/>
      <c r="K758" s="87"/>
      <c r="L758" s="87"/>
      <c r="M758" s="87"/>
      <c r="N758" s="87">
        <f t="shared" si="44"/>
        <v>0</v>
      </c>
      <c r="O758" s="61">
        <f t="shared" si="45"/>
        <v>0</v>
      </c>
      <c r="P758" s="61" t="b">
        <f t="shared" si="46"/>
        <v>1</v>
      </c>
      <c r="Q758" s="87" t="b">
        <f>(Requirements!K760="Normative")</f>
        <v>1</v>
      </c>
      <c r="R758" s="87" t="b">
        <f>AND(Requirements!L760&lt;&gt;"Non-testable",Requirements!L760&lt;&gt;"Deleted",Requirements!L760&lt;&gt;"")</f>
        <v>1</v>
      </c>
      <c r="S758" s="87" t="b">
        <f>(VLOOKUP(Requirements!I760,Scope[[Role]:[Description]],2,FALSE)="In")</f>
        <v>1</v>
      </c>
      <c r="T758" s="87">
        <f t="shared" si="47"/>
        <v>0</v>
      </c>
    </row>
    <row r="759" spans="1:20">
      <c r="A759" s="85" t="str">
        <f>Requirements!A761</f>
        <v>MS-SMB_R9365</v>
      </c>
      <c r="B759" s="87"/>
      <c r="C759" s="87"/>
      <c r="D759" s="87"/>
      <c r="E759" s="87"/>
      <c r="F759" s="87"/>
      <c r="G759" s="87"/>
      <c r="H759" s="87"/>
      <c r="I759" s="87"/>
      <c r="J759" s="87"/>
      <c r="K759" s="87"/>
      <c r="L759" s="87"/>
      <c r="M759" s="87"/>
      <c r="N759" s="87">
        <f t="shared" si="44"/>
        <v>0</v>
      </c>
      <c r="O759" s="61">
        <f t="shared" si="45"/>
        <v>0</v>
      </c>
      <c r="P759" s="61" t="b">
        <f t="shared" si="46"/>
        <v>1</v>
      </c>
      <c r="Q759" s="87" t="b">
        <f>(Requirements!K761="Normative")</f>
        <v>1</v>
      </c>
      <c r="R759" s="87" t="b">
        <f>AND(Requirements!L761&lt;&gt;"Non-testable",Requirements!L761&lt;&gt;"Deleted",Requirements!L761&lt;&gt;"")</f>
        <v>1</v>
      </c>
      <c r="S759" s="87" t="b">
        <f>(VLOOKUP(Requirements!I761,Scope[[Role]:[Description]],2,FALSE)="In")</f>
        <v>1</v>
      </c>
      <c r="T759" s="87">
        <f t="shared" si="47"/>
        <v>0</v>
      </c>
    </row>
    <row r="760" spans="1:20">
      <c r="A760" s="44" t="str">
        <f>Requirements!A762</f>
        <v>MS-SMB_R9366</v>
      </c>
      <c r="B760" s="87"/>
      <c r="C760" s="87"/>
      <c r="D760" s="87"/>
      <c r="E760" s="87"/>
      <c r="F760" s="87"/>
      <c r="G760" s="87"/>
      <c r="H760" s="87"/>
      <c r="I760" s="87"/>
      <c r="J760" s="87"/>
      <c r="K760" s="87"/>
      <c r="L760" s="87"/>
      <c r="M760" s="87"/>
      <c r="N760" s="87">
        <f t="shared" si="44"/>
        <v>0</v>
      </c>
      <c r="O760" s="87">
        <f t="shared" si="45"/>
        <v>0</v>
      </c>
      <c r="P760" s="87" t="b">
        <f t="shared" si="46"/>
        <v>0</v>
      </c>
      <c r="Q760" s="87" t="b">
        <f>(Requirements!K762="Normative")</f>
        <v>0</v>
      </c>
      <c r="R760" s="87" t="b">
        <f>AND(Requirements!L762&lt;&gt;"Non-testable",Requirements!L762&lt;&gt;"Deleted",Requirements!L762&lt;&gt;"")</f>
        <v>1</v>
      </c>
      <c r="S760" s="87" t="b">
        <f>(VLOOKUP(Requirements!I762,Scope[[Role]:[Description]],2,FALSE)="In")</f>
        <v>1</v>
      </c>
      <c r="T760" s="87">
        <f t="shared" si="47"/>
        <v>0</v>
      </c>
    </row>
    <row r="761" spans="1:20">
      <c r="A761" s="85" t="str">
        <f>Requirements!A763</f>
        <v>MS-SMB_R9367</v>
      </c>
      <c r="B761" s="87"/>
      <c r="C761" s="87"/>
      <c r="D761" s="87"/>
      <c r="E761" s="87"/>
      <c r="F761" s="87"/>
      <c r="G761" s="87"/>
      <c r="H761" s="87"/>
      <c r="I761" s="87"/>
      <c r="J761" s="87"/>
      <c r="K761" s="87"/>
      <c r="L761" s="87"/>
      <c r="M761" s="87"/>
      <c r="N761" s="87">
        <f t="shared" si="44"/>
        <v>0</v>
      </c>
      <c r="O761" s="61">
        <f t="shared" si="45"/>
        <v>0</v>
      </c>
      <c r="P761" s="61" t="b">
        <f t="shared" si="46"/>
        <v>1</v>
      </c>
      <c r="Q761" s="87" t="b">
        <f>(Requirements!K763="Normative")</f>
        <v>1</v>
      </c>
      <c r="R761" s="87" t="b">
        <f>AND(Requirements!L763&lt;&gt;"Non-testable",Requirements!L763&lt;&gt;"Deleted",Requirements!L763&lt;&gt;"")</f>
        <v>1</v>
      </c>
      <c r="S761" s="87" t="b">
        <f>(VLOOKUP(Requirements!I763,Scope[[Role]:[Description]],2,FALSE)="In")</f>
        <v>1</v>
      </c>
      <c r="T761" s="87">
        <f t="shared" si="47"/>
        <v>0</v>
      </c>
    </row>
    <row r="762" spans="1:20">
      <c r="A762" s="85" t="str">
        <f>Requirements!A764</f>
        <v>MS-SMB_R9368</v>
      </c>
      <c r="B762" s="87"/>
      <c r="C762" s="87"/>
      <c r="D762" s="87"/>
      <c r="E762" s="87"/>
      <c r="F762" s="87"/>
      <c r="G762" s="87"/>
      <c r="H762" s="87"/>
      <c r="I762" s="87"/>
      <c r="J762" s="87"/>
      <c r="K762" s="87"/>
      <c r="L762" s="87"/>
      <c r="M762" s="87"/>
      <c r="N762" s="87">
        <f t="shared" si="44"/>
        <v>0</v>
      </c>
      <c r="O762" s="61">
        <f t="shared" si="45"/>
        <v>0</v>
      </c>
      <c r="P762" s="61" t="b">
        <f t="shared" si="46"/>
        <v>1</v>
      </c>
      <c r="Q762" s="87" t="b">
        <f>(Requirements!K764="Normative")</f>
        <v>1</v>
      </c>
      <c r="R762" s="87" t="b">
        <f>AND(Requirements!L764&lt;&gt;"Non-testable",Requirements!L764&lt;&gt;"Deleted",Requirements!L764&lt;&gt;"")</f>
        <v>1</v>
      </c>
      <c r="S762" s="87" t="b">
        <f>(VLOOKUP(Requirements!I764,Scope[[Role]:[Description]],2,FALSE)="In")</f>
        <v>1</v>
      </c>
      <c r="T762" s="87">
        <f t="shared" si="47"/>
        <v>0</v>
      </c>
    </row>
    <row r="763" spans="1:20">
      <c r="A763" s="44" t="str">
        <f>Requirements!A765</f>
        <v>MS-SMB_R9369</v>
      </c>
      <c r="B763" s="87"/>
      <c r="C763" s="87"/>
      <c r="D763" s="87"/>
      <c r="E763" s="87"/>
      <c r="F763" s="87"/>
      <c r="G763" s="87"/>
      <c r="H763" s="87"/>
      <c r="I763" s="87"/>
      <c r="J763" s="87"/>
      <c r="K763" s="87"/>
      <c r="L763" s="87"/>
      <c r="M763" s="87"/>
      <c r="N763" s="87">
        <f t="shared" si="44"/>
        <v>0</v>
      </c>
      <c r="O763" s="87">
        <f t="shared" si="45"/>
        <v>0</v>
      </c>
      <c r="P763" s="87" t="b">
        <f t="shared" si="46"/>
        <v>0</v>
      </c>
      <c r="Q763" s="87" t="b">
        <f>(Requirements!K765="Normative")</f>
        <v>0</v>
      </c>
      <c r="R763" s="87" t="b">
        <f>AND(Requirements!L765&lt;&gt;"Non-testable",Requirements!L765&lt;&gt;"Deleted",Requirements!L765&lt;&gt;"")</f>
        <v>1</v>
      </c>
      <c r="S763" s="87" t="b">
        <f>(VLOOKUP(Requirements!I765,Scope[[Role]:[Description]],2,FALSE)="In")</f>
        <v>1</v>
      </c>
      <c r="T763" s="87">
        <f t="shared" si="47"/>
        <v>0</v>
      </c>
    </row>
    <row r="764" spans="1:20">
      <c r="A764" s="44" t="str">
        <f>Requirements!A766</f>
        <v>MS-SMB_R9370</v>
      </c>
      <c r="B764" s="87"/>
      <c r="C764" s="87"/>
      <c r="D764" s="87"/>
      <c r="E764" s="87"/>
      <c r="F764" s="87"/>
      <c r="G764" s="87"/>
      <c r="H764" s="87"/>
      <c r="I764" s="87"/>
      <c r="J764" s="87"/>
      <c r="K764" s="87"/>
      <c r="L764" s="87"/>
      <c r="M764" s="87"/>
      <c r="N764" s="87">
        <f t="shared" si="44"/>
        <v>0</v>
      </c>
      <c r="O764" s="87">
        <f t="shared" si="45"/>
        <v>0</v>
      </c>
      <c r="P764" s="87" t="b">
        <f t="shared" si="46"/>
        <v>0</v>
      </c>
      <c r="Q764" s="87" t="b">
        <f>(Requirements!K766="Normative")</f>
        <v>0</v>
      </c>
      <c r="R764" s="87" t="b">
        <f>AND(Requirements!L766&lt;&gt;"Non-testable",Requirements!L766&lt;&gt;"Deleted",Requirements!L766&lt;&gt;"")</f>
        <v>1</v>
      </c>
      <c r="S764" s="87" t="b">
        <f>(VLOOKUP(Requirements!I766,Scope[[Role]:[Description]],2,FALSE)="In")</f>
        <v>1</v>
      </c>
      <c r="T764" s="87">
        <f t="shared" si="47"/>
        <v>0</v>
      </c>
    </row>
    <row r="765" spans="1:20">
      <c r="A765" s="44" t="str">
        <f>Requirements!A767</f>
        <v>MS-SMB_R9371</v>
      </c>
      <c r="B765" s="87"/>
      <c r="C765" s="87"/>
      <c r="D765" s="87"/>
      <c r="E765" s="87"/>
      <c r="F765" s="87"/>
      <c r="G765" s="87"/>
      <c r="H765" s="87"/>
      <c r="I765" s="87"/>
      <c r="J765" s="87"/>
      <c r="K765" s="87"/>
      <c r="L765" s="87"/>
      <c r="M765" s="87"/>
      <c r="N765" s="87">
        <f t="shared" si="44"/>
        <v>0</v>
      </c>
      <c r="O765" s="87">
        <f t="shared" si="45"/>
        <v>0</v>
      </c>
      <c r="P765" s="87" t="b">
        <f t="shared" si="46"/>
        <v>0</v>
      </c>
      <c r="Q765" s="87" t="b">
        <f>(Requirements!K767="Normative")</f>
        <v>0</v>
      </c>
      <c r="R765" s="87" t="b">
        <f>AND(Requirements!L767&lt;&gt;"Non-testable",Requirements!L767&lt;&gt;"Deleted",Requirements!L767&lt;&gt;"")</f>
        <v>1</v>
      </c>
      <c r="S765" s="87" t="b">
        <f>(VLOOKUP(Requirements!I767,Scope[[Role]:[Description]],2,FALSE)="In")</f>
        <v>1</v>
      </c>
      <c r="T765" s="87">
        <f t="shared" si="47"/>
        <v>0</v>
      </c>
    </row>
    <row r="766" spans="1:20">
      <c r="A766" s="44" t="str">
        <f>Requirements!A768</f>
        <v>MS-SMB_R9372</v>
      </c>
      <c r="B766" s="87"/>
      <c r="C766" s="87"/>
      <c r="D766" s="87"/>
      <c r="E766" s="87"/>
      <c r="F766" s="87"/>
      <c r="G766" s="87"/>
      <c r="H766" s="87"/>
      <c r="I766" s="87"/>
      <c r="J766" s="87"/>
      <c r="K766" s="87"/>
      <c r="L766" s="87"/>
      <c r="M766" s="87"/>
      <c r="N766" s="87">
        <f t="shared" si="44"/>
        <v>0</v>
      </c>
      <c r="O766" s="87">
        <f t="shared" si="45"/>
        <v>0</v>
      </c>
      <c r="P766" s="87" t="b">
        <f t="shared" si="46"/>
        <v>0</v>
      </c>
      <c r="Q766" s="87" t="b">
        <f>(Requirements!K768="Normative")</f>
        <v>0</v>
      </c>
      <c r="R766" s="87" t="b">
        <f>AND(Requirements!L768&lt;&gt;"Non-testable",Requirements!L768&lt;&gt;"Deleted",Requirements!L768&lt;&gt;"")</f>
        <v>1</v>
      </c>
      <c r="S766" s="87" t="b">
        <f>(VLOOKUP(Requirements!I768,Scope[[Role]:[Description]],2,FALSE)="In")</f>
        <v>1</v>
      </c>
      <c r="T766" s="87">
        <f t="shared" si="47"/>
        <v>0</v>
      </c>
    </row>
    <row r="767" spans="1:20">
      <c r="A767" s="44" t="str">
        <f>Requirements!A769</f>
        <v>MS-SMB_R9373</v>
      </c>
      <c r="B767" s="87"/>
      <c r="C767" s="87"/>
      <c r="D767" s="87"/>
      <c r="E767" s="87"/>
      <c r="F767" s="87"/>
      <c r="G767" s="87"/>
      <c r="H767" s="87"/>
      <c r="I767" s="87"/>
      <c r="J767" s="87"/>
      <c r="K767" s="87"/>
      <c r="L767" s="87"/>
      <c r="M767" s="87"/>
      <c r="N767" s="87">
        <f t="shared" si="44"/>
        <v>0</v>
      </c>
      <c r="O767" s="87">
        <f t="shared" si="45"/>
        <v>0</v>
      </c>
      <c r="P767" s="87" t="b">
        <f t="shared" si="46"/>
        <v>0</v>
      </c>
      <c r="Q767" s="87" t="b">
        <f>(Requirements!K769="Normative")</f>
        <v>0</v>
      </c>
      <c r="R767" s="87" t="b">
        <f>AND(Requirements!L769&lt;&gt;"Non-testable",Requirements!L769&lt;&gt;"Deleted",Requirements!L769&lt;&gt;"")</f>
        <v>1</v>
      </c>
      <c r="S767" s="87" t="b">
        <f>(VLOOKUP(Requirements!I769,Scope[[Role]:[Description]],2,FALSE)="In")</f>
        <v>1</v>
      </c>
      <c r="T767" s="87">
        <f t="shared" si="47"/>
        <v>0</v>
      </c>
    </row>
    <row r="768" spans="1:20">
      <c r="A768" s="85" t="str">
        <f>Requirements!A770</f>
        <v>MS-SMB_R9374</v>
      </c>
      <c r="B768" s="87"/>
      <c r="C768" s="87"/>
      <c r="D768" s="87"/>
      <c r="E768" s="87"/>
      <c r="F768" s="87"/>
      <c r="G768" s="87"/>
      <c r="H768" s="87"/>
      <c r="I768" s="87"/>
      <c r="J768" s="87"/>
      <c r="K768" s="87"/>
      <c r="L768" s="87"/>
      <c r="M768" s="87"/>
      <c r="N768" s="87">
        <f t="shared" si="44"/>
        <v>0</v>
      </c>
      <c r="O768" s="61">
        <f t="shared" si="45"/>
        <v>0</v>
      </c>
      <c r="P768" s="61" t="b">
        <f t="shared" si="46"/>
        <v>1</v>
      </c>
      <c r="Q768" s="87" t="b">
        <f>(Requirements!K770="Normative")</f>
        <v>1</v>
      </c>
      <c r="R768" s="87" t="b">
        <f>AND(Requirements!L770&lt;&gt;"Non-testable",Requirements!L770&lt;&gt;"Deleted",Requirements!L770&lt;&gt;"")</f>
        <v>1</v>
      </c>
      <c r="S768" s="87" t="b">
        <f>(VLOOKUP(Requirements!I770,Scope[[Role]:[Description]],2,FALSE)="In")</f>
        <v>1</v>
      </c>
      <c r="T768" s="87">
        <f t="shared" si="47"/>
        <v>0</v>
      </c>
    </row>
    <row r="769" spans="1:20">
      <c r="A769" s="85" t="str">
        <f>Requirements!A771</f>
        <v>MS-SMB_R9375</v>
      </c>
      <c r="B769" s="87"/>
      <c r="C769" s="87"/>
      <c r="D769" s="87"/>
      <c r="E769" s="87"/>
      <c r="F769" s="87"/>
      <c r="G769" s="87"/>
      <c r="H769" s="87"/>
      <c r="I769" s="87"/>
      <c r="J769" s="87"/>
      <c r="K769" s="87"/>
      <c r="L769" s="87"/>
      <c r="M769" s="87"/>
      <c r="N769" s="87">
        <f t="shared" si="44"/>
        <v>0</v>
      </c>
      <c r="O769" s="61">
        <f t="shared" si="45"/>
        <v>0</v>
      </c>
      <c r="P769" s="61" t="b">
        <f t="shared" si="46"/>
        <v>1</v>
      </c>
      <c r="Q769" s="87" t="b">
        <f>(Requirements!K771="Normative")</f>
        <v>1</v>
      </c>
      <c r="R769" s="87" t="b">
        <f>AND(Requirements!L771&lt;&gt;"Non-testable",Requirements!L771&lt;&gt;"Deleted",Requirements!L771&lt;&gt;"")</f>
        <v>1</v>
      </c>
      <c r="S769" s="87" t="b">
        <f>(VLOOKUP(Requirements!I771,Scope[[Role]:[Description]],2,FALSE)="In")</f>
        <v>1</v>
      </c>
      <c r="T769" s="87">
        <f t="shared" si="47"/>
        <v>0</v>
      </c>
    </row>
    <row r="770" spans="1:20">
      <c r="A770" s="85" t="str">
        <f>Requirements!A772</f>
        <v>MS-SMB_R9376</v>
      </c>
      <c r="B770" s="87"/>
      <c r="C770" s="87"/>
      <c r="D770" s="87"/>
      <c r="E770" s="87"/>
      <c r="F770" s="87"/>
      <c r="G770" s="87"/>
      <c r="H770" s="87"/>
      <c r="I770" s="87"/>
      <c r="J770" s="87"/>
      <c r="K770" s="87"/>
      <c r="L770" s="87"/>
      <c r="M770" s="87"/>
      <c r="N770" s="87">
        <f t="shared" si="44"/>
        <v>0</v>
      </c>
      <c r="O770" s="61">
        <f t="shared" si="45"/>
        <v>0</v>
      </c>
      <c r="P770" s="61" t="b">
        <f t="shared" si="46"/>
        <v>1</v>
      </c>
      <c r="Q770" s="87" t="b">
        <f>(Requirements!K772="Normative")</f>
        <v>1</v>
      </c>
      <c r="R770" s="87" t="b">
        <f>AND(Requirements!L772&lt;&gt;"Non-testable",Requirements!L772&lt;&gt;"Deleted",Requirements!L772&lt;&gt;"")</f>
        <v>1</v>
      </c>
      <c r="S770" s="87" t="b">
        <f>(VLOOKUP(Requirements!I772,Scope[[Role]:[Description]],2,FALSE)="In")</f>
        <v>1</v>
      </c>
      <c r="T770" s="87">
        <f t="shared" si="47"/>
        <v>0</v>
      </c>
    </row>
    <row r="771" spans="1:20">
      <c r="A771" s="85" t="str">
        <f>Requirements!A773</f>
        <v>MS-SMB_R9377</v>
      </c>
      <c r="B771" s="87"/>
      <c r="C771" s="87"/>
      <c r="D771" s="87"/>
      <c r="E771" s="87"/>
      <c r="F771" s="87"/>
      <c r="G771" s="87"/>
      <c r="H771" s="87"/>
      <c r="I771" s="87"/>
      <c r="J771" s="87"/>
      <c r="K771" s="87"/>
      <c r="L771" s="87"/>
      <c r="M771" s="87"/>
      <c r="N771" s="87">
        <f t="shared" si="44"/>
        <v>0</v>
      </c>
      <c r="O771" s="61">
        <f t="shared" si="45"/>
        <v>0</v>
      </c>
      <c r="P771" s="61" t="b">
        <f t="shared" si="46"/>
        <v>1</v>
      </c>
      <c r="Q771" s="87" t="b">
        <f>(Requirements!K773="Normative")</f>
        <v>1</v>
      </c>
      <c r="R771" s="87" t="b">
        <f>AND(Requirements!L773&lt;&gt;"Non-testable",Requirements!L773&lt;&gt;"Deleted",Requirements!L773&lt;&gt;"")</f>
        <v>1</v>
      </c>
      <c r="S771" s="87" t="b">
        <f>(VLOOKUP(Requirements!I773,Scope[[Role]:[Description]],2,FALSE)="In")</f>
        <v>1</v>
      </c>
      <c r="T771" s="87">
        <f t="shared" si="47"/>
        <v>0</v>
      </c>
    </row>
    <row r="772" spans="1:20">
      <c r="A772" s="85" t="str">
        <f>Requirements!A774</f>
        <v>MS-SMB_R9378</v>
      </c>
      <c r="B772" s="87"/>
      <c r="C772" s="87"/>
      <c r="D772" s="87"/>
      <c r="E772" s="87"/>
      <c r="F772" s="87"/>
      <c r="G772" s="87"/>
      <c r="H772" s="87"/>
      <c r="I772" s="87"/>
      <c r="J772" s="87"/>
      <c r="K772" s="87"/>
      <c r="L772" s="87"/>
      <c r="M772" s="87"/>
      <c r="N772" s="87">
        <f t="shared" si="44"/>
        <v>0</v>
      </c>
      <c r="O772" s="61">
        <f t="shared" si="45"/>
        <v>0</v>
      </c>
      <c r="P772" s="61" t="b">
        <f t="shared" si="46"/>
        <v>1</v>
      </c>
      <c r="Q772" s="87" t="b">
        <f>(Requirements!K774="Normative")</f>
        <v>1</v>
      </c>
      <c r="R772" s="87" t="b">
        <f>AND(Requirements!L774&lt;&gt;"Non-testable",Requirements!L774&lt;&gt;"Deleted",Requirements!L774&lt;&gt;"")</f>
        <v>1</v>
      </c>
      <c r="S772" s="87" t="b">
        <f>(VLOOKUP(Requirements!I774,Scope[[Role]:[Description]],2,FALSE)="In")</f>
        <v>1</v>
      </c>
      <c r="T772" s="87">
        <f t="shared" si="47"/>
        <v>0</v>
      </c>
    </row>
    <row r="773" spans="1:20">
      <c r="A773" s="44" t="str">
        <f>Requirements!A775</f>
        <v>MS-SMB_R9379</v>
      </c>
      <c r="B773" s="87"/>
      <c r="C773" s="87"/>
      <c r="D773" s="87"/>
      <c r="E773" s="87"/>
      <c r="F773" s="87"/>
      <c r="G773" s="87"/>
      <c r="H773" s="87"/>
      <c r="I773" s="87"/>
      <c r="J773" s="87"/>
      <c r="K773" s="87"/>
      <c r="L773" s="87"/>
      <c r="M773" s="87"/>
      <c r="N773" s="87">
        <f t="shared" si="44"/>
        <v>0</v>
      </c>
      <c r="O773" s="87">
        <f t="shared" si="45"/>
        <v>0</v>
      </c>
      <c r="P773" s="87" t="b">
        <f t="shared" si="46"/>
        <v>0</v>
      </c>
      <c r="Q773" s="87" t="b">
        <f>(Requirements!K775="Normative")</f>
        <v>0</v>
      </c>
      <c r="R773" s="87" t="b">
        <f>AND(Requirements!L775&lt;&gt;"Non-testable",Requirements!L775&lt;&gt;"Deleted",Requirements!L775&lt;&gt;"")</f>
        <v>1</v>
      </c>
      <c r="S773" s="87" t="b">
        <f>(VLOOKUP(Requirements!I775,Scope[[Role]:[Description]],2,FALSE)="In")</f>
        <v>1</v>
      </c>
      <c r="T773" s="87">
        <f t="shared" si="47"/>
        <v>0</v>
      </c>
    </row>
    <row r="774" spans="1:20">
      <c r="A774" s="85" t="str">
        <f>Requirements!A776</f>
        <v>MS-SMB_R9380</v>
      </c>
      <c r="B774" s="87"/>
      <c r="C774" s="87"/>
      <c r="D774" s="87"/>
      <c r="E774" s="87"/>
      <c r="F774" s="87"/>
      <c r="G774" s="87"/>
      <c r="H774" s="87"/>
      <c r="I774" s="87"/>
      <c r="J774" s="87"/>
      <c r="K774" s="87"/>
      <c r="L774" s="87"/>
      <c r="M774" s="87"/>
      <c r="N774" s="87">
        <f t="shared" si="44"/>
        <v>0</v>
      </c>
      <c r="O774" s="61">
        <f t="shared" si="45"/>
        <v>0</v>
      </c>
      <c r="P774" s="61" t="b">
        <f t="shared" si="46"/>
        <v>1</v>
      </c>
      <c r="Q774" s="87" t="b">
        <f>(Requirements!K776="Normative")</f>
        <v>1</v>
      </c>
      <c r="R774" s="87" t="b">
        <f>AND(Requirements!L776&lt;&gt;"Non-testable",Requirements!L776&lt;&gt;"Deleted",Requirements!L776&lt;&gt;"")</f>
        <v>1</v>
      </c>
      <c r="S774" s="87" t="b">
        <f>(VLOOKUP(Requirements!I776,Scope[[Role]:[Description]],2,FALSE)="In")</f>
        <v>1</v>
      </c>
      <c r="T774" s="87">
        <f t="shared" si="47"/>
        <v>0</v>
      </c>
    </row>
    <row r="775" spans="1:20">
      <c r="A775" s="85" t="str">
        <f>Requirements!A777</f>
        <v>MS-SMB_R9381</v>
      </c>
      <c r="B775" s="87"/>
      <c r="C775" s="87"/>
      <c r="D775" s="87"/>
      <c r="E775" s="87"/>
      <c r="F775" s="87"/>
      <c r="G775" s="87"/>
      <c r="H775" s="87"/>
      <c r="I775" s="87"/>
      <c r="J775" s="87"/>
      <c r="K775" s="87"/>
      <c r="L775" s="87"/>
      <c r="M775" s="87"/>
      <c r="N775" s="87">
        <f t="shared" si="44"/>
        <v>0</v>
      </c>
      <c r="O775" s="61">
        <f t="shared" si="45"/>
        <v>0</v>
      </c>
      <c r="P775" s="61" t="b">
        <f t="shared" si="46"/>
        <v>1</v>
      </c>
      <c r="Q775" s="87" t="b">
        <f>(Requirements!K777="Normative")</f>
        <v>1</v>
      </c>
      <c r="R775" s="87" t="b">
        <f>AND(Requirements!L777&lt;&gt;"Non-testable",Requirements!L777&lt;&gt;"Deleted",Requirements!L777&lt;&gt;"")</f>
        <v>1</v>
      </c>
      <c r="S775" s="87" t="b">
        <f>(VLOOKUP(Requirements!I777,Scope[[Role]:[Description]],2,FALSE)="In")</f>
        <v>1</v>
      </c>
      <c r="T775" s="87">
        <f t="shared" si="47"/>
        <v>0</v>
      </c>
    </row>
    <row r="776" spans="1:20">
      <c r="A776" s="44" t="str">
        <f>Requirements!A778</f>
        <v>MS-SMB_R9382</v>
      </c>
      <c r="B776" s="87"/>
      <c r="C776" s="87"/>
      <c r="D776" s="87"/>
      <c r="E776" s="87"/>
      <c r="F776" s="87"/>
      <c r="G776" s="87"/>
      <c r="H776" s="87"/>
      <c r="I776" s="87"/>
      <c r="J776" s="87"/>
      <c r="K776" s="87"/>
      <c r="L776" s="87"/>
      <c r="M776" s="87"/>
      <c r="N776" s="87">
        <f t="shared" si="44"/>
        <v>0</v>
      </c>
      <c r="O776" s="87">
        <f t="shared" si="45"/>
        <v>0</v>
      </c>
      <c r="P776" s="87" t="b">
        <f t="shared" si="46"/>
        <v>0</v>
      </c>
      <c r="Q776" s="87" t="b">
        <f>(Requirements!K778="Normative")</f>
        <v>0</v>
      </c>
      <c r="R776" s="87" t="b">
        <f>AND(Requirements!L778&lt;&gt;"Non-testable",Requirements!L778&lt;&gt;"Deleted",Requirements!L778&lt;&gt;"")</f>
        <v>1</v>
      </c>
      <c r="S776" s="87" t="b">
        <f>(VLOOKUP(Requirements!I778,Scope[[Role]:[Description]],2,FALSE)="In")</f>
        <v>1</v>
      </c>
      <c r="T776" s="87">
        <f t="shared" si="47"/>
        <v>0</v>
      </c>
    </row>
    <row r="777" spans="1:20">
      <c r="A777" s="44" t="str">
        <f>Requirements!A779</f>
        <v>MS-SMB_R9383</v>
      </c>
      <c r="B777" s="87"/>
      <c r="C777" s="87"/>
      <c r="D777" s="87"/>
      <c r="E777" s="87"/>
      <c r="F777" s="87"/>
      <c r="G777" s="87"/>
      <c r="H777" s="87"/>
      <c r="I777" s="87"/>
      <c r="J777" s="87"/>
      <c r="K777" s="87"/>
      <c r="L777" s="87"/>
      <c r="M777" s="87"/>
      <c r="N777" s="87">
        <f t="shared" si="44"/>
        <v>0</v>
      </c>
      <c r="O777" s="87">
        <f t="shared" si="45"/>
        <v>0</v>
      </c>
      <c r="P777" s="87" t="b">
        <f t="shared" si="46"/>
        <v>0</v>
      </c>
      <c r="Q777" s="87" t="b">
        <f>(Requirements!K779="Normative")</f>
        <v>0</v>
      </c>
      <c r="R777" s="87" t="b">
        <f>AND(Requirements!L779&lt;&gt;"Non-testable",Requirements!L779&lt;&gt;"Deleted",Requirements!L779&lt;&gt;"")</f>
        <v>1</v>
      </c>
      <c r="S777" s="87" t="b">
        <f>(VLOOKUP(Requirements!I779,Scope[[Role]:[Description]],2,FALSE)="In")</f>
        <v>1</v>
      </c>
      <c r="T777" s="87">
        <f t="shared" si="47"/>
        <v>0</v>
      </c>
    </row>
    <row r="778" spans="1:20">
      <c r="A778" s="44" t="str">
        <f>Requirements!A780</f>
        <v>MS-SMB_R9384</v>
      </c>
      <c r="B778" s="87"/>
      <c r="C778" s="87"/>
      <c r="D778" s="87"/>
      <c r="E778" s="87"/>
      <c r="F778" s="87"/>
      <c r="G778" s="87"/>
      <c r="H778" s="87"/>
      <c r="I778" s="87"/>
      <c r="J778" s="87"/>
      <c r="K778" s="87"/>
      <c r="L778" s="87"/>
      <c r="M778" s="87"/>
      <c r="N778" s="87">
        <f t="shared" si="44"/>
        <v>0</v>
      </c>
      <c r="O778" s="87">
        <f t="shared" si="45"/>
        <v>0</v>
      </c>
      <c r="P778" s="87" t="b">
        <f t="shared" si="46"/>
        <v>0</v>
      </c>
      <c r="Q778" s="87" t="b">
        <f>(Requirements!K780="Normative")</f>
        <v>0</v>
      </c>
      <c r="R778" s="87" t="b">
        <f>AND(Requirements!L780&lt;&gt;"Non-testable",Requirements!L780&lt;&gt;"Deleted",Requirements!L780&lt;&gt;"")</f>
        <v>1</v>
      </c>
      <c r="S778" s="87" t="b">
        <f>(VLOOKUP(Requirements!I780,Scope[[Role]:[Description]],2,FALSE)="In")</f>
        <v>1</v>
      </c>
      <c r="T778" s="87">
        <f t="shared" si="47"/>
        <v>0</v>
      </c>
    </row>
    <row r="779" spans="1:20">
      <c r="A779" s="44" t="str">
        <f>Requirements!A781</f>
        <v>MS-SMB_R9385</v>
      </c>
      <c r="B779" s="87"/>
      <c r="C779" s="87"/>
      <c r="D779" s="87"/>
      <c r="E779" s="87"/>
      <c r="F779" s="87"/>
      <c r="G779" s="87"/>
      <c r="H779" s="87"/>
      <c r="I779" s="87"/>
      <c r="J779" s="87"/>
      <c r="K779" s="87"/>
      <c r="L779" s="87"/>
      <c r="M779" s="87"/>
      <c r="N779" s="87">
        <f t="shared" si="44"/>
        <v>0</v>
      </c>
      <c r="O779" s="87">
        <f t="shared" si="45"/>
        <v>0</v>
      </c>
      <c r="P779" s="87" t="b">
        <f t="shared" si="46"/>
        <v>0</v>
      </c>
      <c r="Q779" s="87" t="b">
        <f>(Requirements!K781="Normative")</f>
        <v>0</v>
      </c>
      <c r="R779" s="87" t="b">
        <f>AND(Requirements!L781&lt;&gt;"Non-testable",Requirements!L781&lt;&gt;"Deleted",Requirements!L781&lt;&gt;"")</f>
        <v>1</v>
      </c>
      <c r="S779" s="87" t="b">
        <f>(VLOOKUP(Requirements!I781,Scope[[Role]:[Description]],2,FALSE)="In")</f>
        <v>1</v>
      </c>
      <c r="T779" s="87">
        <f t="shared" si="47"/>
        <v>0</v>
      </c>
    </row>
    <row r="780" spans="1:20">
      <c r="A780" s="44" t="str">
        <f>Requirements!A782</f>
        <v>MS-SMB_R9386</v>
      </c>
      <c r="B780" s="87"/>
      <c r="C780" s="87"/>
      <c r="D780" s="87"/>
      <c r="E780" s="87"/>
      <c r="F780" s="87"/>
      <c r="G780" s="87"/>
      <c r="H780" s="87"/>
      <c r="I780" s="87"/>
      <c r="J780" s="87"/>
      <c r="K780" s="87"/>
      <c r="L780" s="87"/>
      <c r="M780" s="87"/>
      <c r="N780" s="87">
        <f t="shared" si="44"/>
        <v>0</v>
      </c>
      <c r="O780" s="87">
        <f t="shared" si="45"/>
        <v>0</v>
      </c>
      <c r="P780" s="87" t="b">
        <f t="shared" si="46"/>
        <v>0</v>
      </c>
      <c r="Q780" s="87" t="b">
        <f>(Requirements!K782="Normative")</f>
        <v>0</v>
      </c>
      <c r="R780" s="87" t="b">
        <f>AND(Requirements!L782&lt;&gt;"Non-testable",Requirements!L782&lt;&gt;"Deleted",Requirements!L782&lt;&gt;"")</f>
        <v>1</v>
      </c>
      <c r="S780" s="87" t="b">
        <f>(VLOOKUP(Requirements!I782,Scope[[Role]:[Description]],2,FALSE)="In")</f>
        <v>1</v>
      </c>
      <c r="T780" s="87">
        <f t="shared" si="47"/>
        <v>0</v>
      </c>
    </row>
    <row r="781" spans="1:20">
      <c r="A781" s="85" t="str">
        <f>Requirements!A783</f>
        <v>MS-SMB_R9387</v>
      </c>
      <c r="B781" s="87"/>
      <c r="C781" s="87"/>
      <c r="D781" s="87"/>
      <c r="E781" s="87"/>
      <c r="F781" s="87"/>
      <c r="G781" s="87"/>
      <c r="H781" s="87"/>
      <c r="I781" s="87"/>
      <c r="J781" s="87"/>
      <c r="K781" s="87"/>
      <c r="L781" s="87"/>
      <c r="M781" s="87"/>
      <c r="N781" s="87">
        <f t="shared" si="44"/>
        <v>0</v>
      </c>
      <c r="O781" s="61">
        <f t="shared" si="45"/>
        <v>0</v>
      </c>
      <c r="P781" s="61" t="b">
        <f t="shared" si="46"/>
        <v>1</v>
      </c>
      <c r="Q781" s="87" t="b">
        <f>(Requirements!K783="Normative")</f>
        <v>1</v>
      </c>
      <c r="R781" s="87" t="b">
        <f>AND(Requirements!L783&lt;&gt;"Non-testable",Requirements!L783&lt;&gt;"Deleted",Requirements!L783&lt;&gt;"")</f>
        <v>1</v>
      </c>
      <c r="S781" s="87" t="b">
        <f>(VLOOKUP(Requirements!I783,Scope[[Role]:[Description]],2,FALSE)="In")</f>
        <v>1</v>
      </c>
      <c r="T781" s="87">
        <f t="shared" si="47"/>
        <v>0</v>
      </c>
    </row>
    <row r="782" spans="1:20">
      <c r="A782" s="44" t="str">
        <f>Requirements!A784</f>
        <v>MS-SMB_R9388</v>
      </c>
      <c r="B782" s="87"/>
      <c r="C782" s="87"/>
      <c r="D782" s="87"/>
      <c r="E782" s="87"/>
      <c r="F782" s="87"/>
      <c r="G782" s="87"/>
      <c r="H782" s="87"/>
      <c r="I782" s="87"/>
      <c r="J782" s="87"/>
      <c r="K782" s="87"/>
      <c r="L782" s="87"/>
      <c r="M782" s="87"/>
      <c r="N782" s="87">
        <f t="shared" si="44"/>
        <v>0</v>
      </c>
      <c r="O782" s="87">
        <f t="shared" si="45"/>
        <v>0</v>
      </c>
      <c r="P782" s="87" t="b">
        <f t="shared" si="46"/>
        <v>0</v>
      </c>
      <c r="Q782" s="87" t="b">
        <f>(Requirements!K784="Normative")</f>
        <v>0</v>
      </c>
      <c r="R782" s="87" t="b">
        <f>AND(Requirements!L784&lt;&gt;"Non-testable",Requirements!L784&lt;&gt;"Deleted",Requirements!L784&lt;&gt;"")</f>
        <v>1</v>
      </c>
      <c r="S782" s="87" t="b">
        <f>(VLOOKUP(Requirements!I784,Scope[[Role]:[Description]],2,FALSE)="In")</f>
        <v>1</v>
      </c>
      <c r="T782" s="87">
        <f t="shared" si="47"/>
        <v>0</v>
      </c>
    </row>
    <row r="783" spans="1:20">
      <c r="A783" s="85" t="str">
        <f>Requirements!A785</f>
        <v>MS-SMB_R9389</v>
      </c>
      <c r="B783" s="87"/>
      <c r="C783" s="87"/>
      <c r="D783" s="87"/>
      <c r="E783" s="87"/>
      <c r="F783" s="87"/>
      <c r="G783" s="87"/>
      <c r="H783" s="87"/>
      <c r="I783" s="87"/>
      <c r="J783" s="87"/>
      <c r="K783" s="87"/>
      <c r="L783" s="87"/>
      <c r="M783" s="87"/>
      <c r="N783" s="87">
        <f t="shared" si="44"/>
        <v>0</v>
      </c>
      <c r="O783" s="61">
        <f t="shared" si="45"/>
        <v>0</v>
      </c>
      <c r="P783" s="61" t="b">
        <f t="shared" si="46"/>
        <v>1</v>
      </c>
      <c r="Q783" s="87" t="b">
        <f>(Requirements!K785="Normative")</f>
        <v>1</v>
      </c>
      <c r="R783" s="87" t="b">
        <f>AND(Requirements!L785&lt;&gt;"Non-testable",Requirements!L785&lt;&gt;"Deleted",Requirements!L785&lt;&gt;"")</f>
        <v>1</v>
      </c>
      <c r="S783" s="87" t="b">
        <f>(VLOOKUP(Requirements!I785,Scope[[Role]:[Description]],2,FALSE)="In")</f>
        <v>1</v>
      </c>
      <c r="T783" s="87">
        <f t="shared" si="47"/>
        <v>0</v>
      </c>
    </row>
    <row r="784" spans="1:20">
      <c r="A784" s="44" t="str">
        <f>Requirements!A786</f>
        <v>MS-SMB_R9390</v>
      </c>
      <c r="B784" s="87"/>
      <c r="C784" s="87"/>
      <c r="D784" s="87"/>
      <c r="E784" s="87"/>
      <c r="F784" s="87"/>
      <c r="G784" s="87"/>
      <c r="H784" s="87"/>
      <c r="I784" s="87"/>
      <c r="J784" s="87"/>
      <c r="K784" s="87"/>
      <c r="L784" s="87"/>
      <c r="M784" s="87"/>
      <c r="N784" s="87">
        <f t="shared" si="44"/>
        <v>0</v>
      </c>
      <c r="O784" s="87">
        <f t="shared" si="45"/>
        <v>0</v>
      </c>
      <c r="P784" s="87" t="b">
        <f t="shared" si="46"/>
        <v>0</v>
      </c>
      <c r="Q784" s="87" t="b">
        <f>(Requirements!K786="Normative")</f>
        <v>1</v>
      </c>
      <c r="R784" s="87" t="b">
        <f>AND(Requirements!L786&lt;&gt;"Non-testable",Requirements!L786&lt;&gt;"Deleted",Requirements!L786&lt;&gt;"")</f>
        <v>0</v>
      </c>
      <c r="S784" s="87" t="b">
        <f>(VLOOKUP(Requirements!I786,Scope[[Role]:[Description]],2,FALSE)="In")</f>
        <v>1</v>
      </c>
      <c r="T784" s="87">
        <f t="shared" si="47"/>
        <v>0</v>
      </c>
    </row>
    <row r="785" spans="1:20">
      <c r="A785" s="84" t="str">
        <f>Requirements!A787</f>
        <v>MS-SMB_R109390</v>
      </c>
      <c r="B785" s="87"/>
      <c r="C785" s="87"/>
      <c r="D785" s="87"/>
      <c r="E785" s="87"/>
      <c r="F785" s="87"/>
      <c r="G785" s="87"/>
      <c r="H785" s="87"/>
      <c r="I785" s="87">
        <v>1</v>
      </c>
      <c r="J785" s="87"/>
      <c r="K785" s="87"/>
      <c r="L785" s="87"/>
      <c r="M785" s="87"/>
      <c r="N785" s="87">
        <f t="shared" si="44"/>
        <v>1</v>
      </c>
      <c r="O785" s="60">
        <f t="shared" si="45"/>
        <v>1</v>
      </c>
      <c r="P785" s="60" t="b">
        <f t="shared" si="46"/>
        <v>1</v>
      </c>
      <c r="Q785" s="87" t="b">
        <f>(Requirements!K787="Normative")</f>
        <v>1</v>
      </c>
      <c r="R785" s="87" t="b">
        <f>AND(Requirements!L787&lt;&gt;"Non-testable",Requirements!L787&lt;&gt;"Deleted",Requirements!L787&lt;&gt;"")</f>
        <v>1</v>
      </c>
      <c r="S785" s="87" t="b">
        <f>(VLOOKUP(Requirements!I787,Scope[[Role]:[Description]],2,FALSE)="In")</f>
        <v>1</v>
      </c>
      <c r="T785" s="87">
        <f t="shared" si="47"/>
        <v>1</v>
      </c>
    </row>
    <row r="786" spans="1:20">
      <c r="A786" s="44" t="str">
        <f>Requirements!A788</f>
        <v>MS-SMB_R9391</v>
      </c>
      <c r="B786" s="87"/>
      <c r="C786" s="87"/>
      <c r="D786" s="87"/>
      <c r="E786" s="87"/>
      <c r="F786" s="87"/>
      <c r="G786" s="87"/>
      <c r="H786" s="87"/>
      <c r="I786" s="87"/>
      <c r="J786" s="87"/>
      <c r="K786" s="87"/>
      <c r="L786" s="87"/>
      <c r="M786" s="87"/>
      <c r="N786" s="87">
        <f t="shared" si="44"/>
        <v>0</v>
      </c>
      <c r="O786" s="87">
        <f t="shared" si="45"/>
        <v>0</v>
      </c>
      <c r="P786" s="87" t="b">
        <f t="shared" si="46"/>
        <v>0</v>
      </c>
      <c r="Q786" s="87" t="b">
        <f>(Requirements!K788="Normative")</f>
        <v>0</v>
      </c>
      <c r="R786" s="87" t="b">
        <f>AND(Requirements!L788&lt;&gt;"Non-testable",Requirements!L788&lt;&gt;"Deleted",Requirements!L788&lt;&gt;"")</f>
        <v>1</v>
      </c>
      <c r="S786" s="87" t="b">
        <f>(VLOOKUP(Requirements!I788,Scope[[Role]:[Description]],2,FALSE)="In")</f>
        <v>1</v>
      </c>
      <c r="T786" s="87">
        <f t="shared" si="47"/>
        <v>0</v>
      </c>
    </row>
    <row r="787" spans="1:20">
      <c r="A787" s="44" t="str">
        <f>Requirements!A789</f>
        <v>MS-SMB_R9392</v>
      </c>
      <c r="B787" s="87"/>
      <c r="C787" s="87"/>
      <c r="D787" s="87"/>
      <c r="E787" s="87"/>
      <c r="F787" s="87"/>
      <c r="G787" s="87"/>
      <c r="H787" s="87"/>
      <c r="I787" s="87"/>
      <c r="J787" s="87"/>
      <c r="K787" s="87"/>
      <c r="L787" s="87"/>
      <c r="M787" s="87"/>
      <c r="N787" s="87">
        <f t="shared" si="44"/>
        <v>0</v>
      </c>
      <c r="O787" s="87">
        <f t="shared" si="45"/>
        <v>0</v>
      </c>
      <c r="P787" s="87" t="b">
        <f t="shared" si="46"/>
        <v>0</v>
      </c>
      <c r="Q787" s="87" t="b">
        <f>(Requirements!K789="Normative")</f>
        <v>0</v>
      </c>
      <c r="R787" s="87" t="b">
        <f>AND(Requirements!L789&lt;&gt;"Non-testable",Requirements!L789&lt;&gt;"Deleted",Requirements!L789&lt;&gt;"")</f>
        <v>1</v>
      </c>
      <c r="S787" s="87" t="b">
        <f>(VLOOKUP(Requirements!I789,Scope[[Role]:[Description]],2,FALSE)="In")</f>
        <v>1</v>
      </c>
      <c r="T787" s="87">
        <f t="shared" si="47"/>
        <v>0</v>
      </c>
    </row>
    <row r="788" spans="1:20">
      <c r="A788" s="44" t="str">
        <f>Requirements!A790</f>
        <v>MS-SMB_R9393</v>
      </c>
      <c r="B788" s="87"/>
      <c r="C788" s="87"/>
      <c r="D788" s="87"/>
      <c r="E788" s="87"/>
      <c r="F788" s="87"/>
      <c r="G788" s="87"/>
      <c r="H788" s="87"/>
      <c r="I788" s="87"/>
      <c r="J788" s="87"/>
      <c r="K788" s="87"/>
      <c r="L788" s="87"/>
      <c r="M788" s="87"/>
      <c r="N788" s="87">
        <f t="shared" ref="N788:N851" si="48">SUM(B788:M788)</f>
        <v>0</v>
      </c>
      <c r="O788" s="87">
        <f t="shared" ref="O788:O851" si="49">IF(N788=0,0,1)</f>
        <v>0</v>
      </c>
      <c r="P788" s="87" t="b">
        <f t="shared" ref="P788:P851" si="50">AND(Q788:S788)</f>
        <v>0</v>
      </c>
      <c r="Q788" s="87" t="b">
        <f>(Requirements!K790="Normative")</f>
        <v>0</v>
      </c>
      <c r="R788" s="87" t="b">
        <f>AND(Requirements!L790&lt;&gt;"Non-testable",Requirements!L790&lt;&gt;"Deleted",Requirements!L790&lt;&gt;"")</f>
        <v>1</v>
      </c>
      <c r="S788" s="87" t="b">
        <f>(VLOOKUP(Requirements!I790,Scope[[Role]:[Description]],2,FALSE)="In")</f>
        <v>1</v>
      </c>
      <c r="T788" s="87">
        <f t="shared" ref="T788:T851" si="51">IF(P788,O788, 0)</f>
        <v>0</v>
      </c>
    </row>
    <row r="789" spans="1:20">
      <c r="A789" s="44" t="str">
        <f>Requirements!A791</f>
        <v>MS-SMB_R9394</v>
      </c>
      <c r="B789" s="87"/>
      <c r="C789" s="87"/>
      <c r="D789" s="87"/>
      <c r="E789" s="87"/>
      <c r="F789" s="87"/>
      <c r="G789" s="87"/>
      <c r="H789" s="87"/>
      <c r="I789" s="87"/>
      <c r="J789" s="87"/>
      <c r="K789" s="87"/>
      <c r="L789" s="87"/>
      <c r="M789" s="87"/>
      <c r="N789" s="87">
        <f t="shared" si="48"/>
        <v>0</v>
      </c>
      <c r="O789" s="87">
        <f t="shared" si="49"/>
        <v>0</v>
      </c>
      <c r="P789" s="87" t="b">
        <f t="shared" si="50"/>
        <v>0</v>
      </c>
      <c r="Q789" s="87" t="b">
        <f>(Requirements!K791="Normative")</f>
        <v>0</v>
      </c>
      <c r="R789" s="87" t="b">
        <f>AND(Requirements!L791&lt;&gt;"Non-testable",Requirements!L791&lt;&gt;"Deleted",Requirements!L791&lt;&gt;"")</f>
        <v>1</v>
      </c>
      <c r="S789" s="87" t="b">
        <f>(VLOOKUP(Requirements!I791,Scope[[Role]:[Description]],2,FALSE)="In")</f>
        <v>1</v>
      </c>
      <c r="T789" s="87">
        <f t="shared" si="51"/>
        <v>0</v>
      </c>
    </row>
    <row r="790" spans="1:20">
      <c r="A790" s="85" t="str">
        <f>Requirements!A792</f>
        <v>MS-SMB_R9395</v>
      </c>
      <c r="B790" s="87"/>
      <c r="C790" s="87"/>
      <c r="D790" s="87"/>
      <c r="E790" s="87"/>
      <c r="F790" s="87"/>
      <c r="G790" s="87"/>
      <c r="H790" s="87"/>
      <c r="I790" s="87"/>
      <c r="J790" s="87"/>
      <c r="K790" s="87"/>
      <c r="L790" s="87"/>
      <c r="M790" s="87"/>
      <c r="N790" s="87">
        <f t="shared" si="48"/>
        <v>0</v>
      </c>
      <c r="O790" s="61">
        <f t="shared" si="49"/>
        <v>0</v>
      </c>
      <c r="P790" s="61" t="b">
        <f t="shared" si="50"/>
        <v>1</v>
      </c>
      <c r="Q790" s="87" t="b">
        <f>(Requirements!K792="Normative")</f>
        <v>1</v>
      </c>
      <c r="R790" s="87" t="b">
        <f>AND(Requirements!L792&lt;&gt;"Non-testable",Requirements!L792&lt;&gt;"Deleted",Requirements!L792&lt;&gt;"")</f>
        <v>1</v>
      </c>
      <c r="S790" s="87" t="b">
        <f>(VLOOKUP(Requirements!I792,Scope[[Role]:[Description]],2,FALSE)="In")</f>
        <v>1</v>
      </c>
      <c r="T790" s="87">
        <f t="shared" si="51"/>
        <v>0</v>
      </c>
    </row>
    <row r="791" spans="1:20">
      <c r="A791" s="44" t="str">
        <f>Requirements!A793</f>
        <v>MS-SMB_R9396</v>
      </c>
      <c r="B791" s="87"/>
      <c r="C791" s="87"/>
      <c r="D791" s="87"/>
      <c r="E791" s="87"/>
      <c r="F791" s="87"/>
      <c r="G791" s="87"/>
      <c r="H791" s="87"/>
      <c r="I791" s="87"/>
      <c r="J791" s="87"/>
      <c r="K791" s="87"/>
      <c r="L791" s="87"/>
      <c r="M791" s="87"/>
      <c r="N791" s="87">
        <f t="shared" si="48"/>
        <v>0</v>
      </c>
      <c r="O791" s="87">
        <f t="shared" si="49"/>
        <v>0</v>
      </c>
      <c r="P791" s="87" t="b">
        <f t="shared" si="50"/>
        <v>0</v>
      </c>
      <c r="Q791" s="87" t="b">
        <f>(Requirements!K793="Normative")</f>
        <v>1</v>
      </c>
      <c r="R791" s="87" t="b">
        <f>AND(Requirements!L793&lt;&gt;"Non-testable",Requirements!L793&lt;&gt;"Deleted",Requirements!L793&lt;&gt;"")</f>
        <v>0</v>
      </c>
      <c r="S791" s="87" t="b">
        <f>(VLOOKUP(Requirements!I793,Scope[[Role]:[Description]],2,FALSE)="In")</f>
        <v>1</v>
      </c>
      <c r="T791" s="87">
        <f t="shared" si="51"/>
        <v>0</v>
      </c>
    </row>
    <row r="792" spans="1:20">
      <c r="A792" s="84" t="str">
        <f>Requirements!A794</f>
        <v>MS-SMB_R109396</v>
      </c>
      <c r="B792" s="87"/>
      <c r="C792" s="87"/>
      <c r="D792" s="87"/>
      <c r="E792" s="87"/>
      <c r="F792" s="87"/>
      <c r="G792" s="87"/>
      <c r="H792" s="87"/>
      <c r="I792" s="87">
        <v>1</v>
      </c>
      <c r="J792" s="87"/>
      <c r="K792" s="87"/>
      <c r="L792" s="87"/>
      <c r="M792" s="87"/>
      <c r="N792" s="87">
        <f t="shared" si="48"/>
        <v>1</v>
      </c>
      <c r="O792" s="60">
        <f t="shared" si="49"/>
        <v>1</v>
      </c>
      <c r="P792" s="60" t="b">
        <f t="shared" si="50"/>
        <v>1</v>
      </c>
      <c r="Q792" s="87" t="b">
        <f>(Requirements!K794="Normative")</f>
        <v>1</v>
      </c>
      <c r="R792" s="87" t="b">
        <f>AND(Requirements!L794&lt;&gt;"Non-testable",Requirements!L794&lt;&gt;"Deleted",Requirements!L794&lt;&gt;"")</f>
        <v>1</v>
      </c>
      <c r="S792" s="87" t="b">
        <f>(VLOOKUP(Requirements!I794,Scope[[Role]:[Description]],2,FALSE)="In")</f>
        <v>1</v>
      </c>
      <c r="T792" s="87">
        <f t="shared" si="51"/>
        <v>1</v>
      </c>
    </row>
    <row r="793" spans="1:20">
      <c r="A793" s="84" t="str">
        <f>Requirements!A795</f>
        <v>MS-SMB_R9397</v>
      </c>
      <c r="B793" s="87"/>
      <c r="C793" s="87"/>
      <c r="D793" s="87"/>
      <c r="E793" s="87"/>
      <c r="F793" s="87"/>
      <c r="G793" s="87">
        <v>1</v>
      </c>
      <c r="H793" s="87"/>
      <c r="I793" s="87"/>
      <c r="J793" s="87"/>
      <c r="K793" s="87"/>
      <c r="L793" s="87"/>
      <c r="M793" s="87"/>
      <c r="N793" s="87">
        <f t="shared" si="48"/>
        <v>1</v>
      </c>
      <c r="O793" s="60">
        <f t="shared" si="49"/>
        <v>1</v>
      </c>
      <c r="P793" s="60" t="b">
        <f t="shared" si="50"/>
        <v>1</v>
      </c>
      <c r="Q793" s="87" t="b">
        <f>(Requirements!K795="Normative")</f>
        <v>1</v>
      </c>
      <c r="R793" s="87" t="b">
        <f>AND(Requirements!L795&lt;&gt;"Non-testable",Requirements!L795&lt;&gt;"Deleted",Requirements!L795&lt;&gt;"")</f>
        <v>1</v>
      </c>
      <c r="S793" s="87" t="b">
        <f>(VLOOKUP(Requirements!I795,Scope[[Role]:[Description]],2,FALSE)="In")</f>
        <v>1</v>
      </c>
      <c r="T793" s="87">
        <f t="shared" si="51"/>
        <v>1</v>
      </c>
    </row>
    <row r="794" spans="1:20">
      <c r="A794" s="44" t="str">
        <f>Requirements!A796</f>
        <v>MS-SMB_R9398</v>
      </c>
      <c r="B794" s="87"/>
      <c r="C794" s="87"/>
      <c r="D794" s="87"/>
      <c r="E794" s="87"/>
      <c r="F794" s="87"/>
      <c r="G794" s="87"/>
      <c r="H794" s="87"/>
      <c r="I794" s="87"/>
      <c r="J794" s="87"/>
      <c r="K794" s="87"/>
      <c r="L794" s="87"/>
      <c r="M794" s="87"/>
      <c r="N794" s="87">
        <f t="shared" si="48"/>
        <v>0</v>
      </c>
      <c r="O794" s="87">
        <f t="shared" si="49"/>
        <v>0</v>
      </c>
      <c r="P794" s="87" t="b">
        <f t="shared" si="50"/>
        <v>0</v>
      </c>
      <c r="Q794" s="87" t="b">
        <f>(Requirements!K796="Normative")</f>
        <v>0</v>
      </c>
      <c r="R794" s="87" t="b">
        <f>AND(Requirements!L796&lt;&gt;"Non-testable",Requirements!L796&lt;&gt;"Deleted",Requirements!L796&lt;&gt;"")</f>
        <v>1</v>
      </c>
      <c r="S794" s="87" t="b">
        <f>(VLOOKUP(Requirements!I796,Scope[[Role]:[Description]],2,FALSE)="In")</f>
        <v>1</v>
      </c>
      <c r="T794" s="87">
        <f t="shared" si="51"/>
        <v>0</v>
      </c>
    </row>
    <row r="795" spans="1:20">
      <c r="A795" s="44" t="str">
        <f>Requirements!A797</f>
        <v>MS-SMB_R9399</v>
      </c>
      <c r="B795" s="87"/>
      <c r="C795" s="87"/>
      <c r="D795" s="87"/>
      <c r="E795" s="87"/>
      <c r="F795" s="87"/>
      <c r="G795" s="87"/>
      <c r="H795" s="87"/>
      <c r="I795" s="87"/>
      <c r="J795" s="87"/>
      <c r="K795" s="87"/>
      <c r="L795" s="87"/>
      <c r="M795" s="87"/>
      <c r="N795" s="87">
        <f t="shared" si="48"/>
        <v>0</v>
      </c>
      <c r="O795" s="87">
        <f t="shared" si="49"/>
        <v>0</v>
      </c>
      <c r="P795" s="87" t="b">
        <f t="shared" si="50"/>
        <v>0</v>
      </c>
      <c r="Q795" s="87" t="b">
        <f>(Requirements!K797="Normative")</f>
        <v>0</v>
      </c>
      <c r="R795" s="87" t="b">
        <f>AND(Requirements!L797&lt;&gt;"Non-testable",Requirements!L797&lt;&gt;"Deleted",Requirements!L797&lt;&gt;"")</f>
        <v>1</v>
      </c>
      <c r="S795" s="87" t="b">
        <f>(VLOOKUP(Requirements!I797,Scope[[Role]:[Description]],2,FALSE)="In")</f>
        <v>1</v>
      </c>
      <c r="T795" s="87">
        <f t="shared" si="51"/>
        <v>0</v>
      </c>
    </row>
    <row r="796" spans="1:20">
      <c r="A796" s="44" t="str">
        <f>Requirements!A798</f>
        <v>MS-SMB_R9400</v>
      </c>
      <c r="B796" s="87"/>
      <c r="C796" s="87"/>
      <c r="D796" s="87"/>
      <c r="E796" s="87"/>
      <c r="F796" s="87"/>
      <c r="G796" s="87"/>
      <c r="H796" s="87"/>
      <c r="I796" s="87"/>
      <c r="J796" s="87"/>
      <c r="K796" s="87"/>
      <c r="L796" s="87"/>
      <c r="M796" s="87"/>
      <c r="N796" s="87">
        <f t="shared" si="48"/>
        <v>0</v>
      </c>
      <c r="O796" s="87">
        <f t="shared" si="49"/>
        <v>0</v>
      </c>
      <c r="P796" s="87" t="b">
        <f t="shared" si="50"/>
        <v>0</v>
      </c>
      <c r="Q796" s="87" t="b">
        <f>(Requirements!K798="Normative")</f>
        <v>0</v>
      </c>
      <c r="R796" s="87" t="b">
        <f>AND(Requirements!L798&lt;&gt;"Non-testable",Requirements!L798&lt;&gt;"Deleted",Requirements!L798&lt;&gt;"")</f>
        <v>1</v>
      </c>
      <c r="S796" s="87" t="b">
        <f>(VLOOKUP(Requirements!I798,Scope[[Role]:[Description]],2,FALSE)="In")</f>
        <v>1</v>
      </c>
      <c r="T796" s="87">
        <f t="shared" si="51"/>
        <v>0</v>
      </c>
    </row>
    <row r="797" spans="1:20">
      <c r="A797" s="44" t="str">
        <f>Requirements!A799</f>
        <v>MS-SMB_R9401</v>
      </c>
      <c r="B797" s="87"/>
      <c r="C797" s="87"/>
      <c r="D797" s="87"/>
      <c r="E797" s="87"/>
      <c r="F797" s="87"/>
      <c r="G797" s="87"/>
      <c r="H797" s="87"/>
      <c r="I797" s="87"/>
      <c r="J797" s="87"/>
      <c r="K797" s="87"/>
      <c r="L797" s="87"/>
      <c r="M797" s="87"/>
      <c r="N797" s="87">
        <f t="shared" si="48"/>
        <v>0</v>
      </c>
      <c r="O797" s="87">
        <f t="shared" si="49"/>
        <v>0</v>
      </c>
      <c r="P797" s="87" t="b">
        <f t="shared" si="50"/>
        <v>0</v>
      </c>
      <c r="Q797" s="87" t="b">
        <f>(Requirements!K799="Normative")</f>
        <v>0</v>
      </c>
      <c r="R797" s="87" t="b">
        <f>AND(Requirements!L799&lt;&gt;"Non-testable",Requirements!L799&lt;&gt;"Deleted",Requirements!L799&lt;&gt;"")</f>
        <v>1</v>
      </c>
      <c r="S797" s="87" t="b">
        <f>(VLOOKUP(Requirements!I799,Scope[[Role]:[Description]],2,FALSE)="In")</f>
        <v>1</v>
      </c>
      <c r="T797" s="87">
        <f t="shared" si="51"/>
        <v>0</v>
      </c>
    </row>
    <row r="798" spans="1:20">
      <c r="A798" s="44" t="str">
        <f>Requirements!A800</f>
        <v>MS-SMB_R9402</v>
      </c>
      <c r="B798" s="87"/>
      <c r="C798" s="87"/>
      <c r="D798" s="87"/>
      <c r="E798" s="87"/>
      <c r="F798" s="87"/>
      <c r="G798" s="87"/>
      <c r="H798" s="87"/>
      <c r="I798" s="87"/>
      <c r="J798" s="87"/>
      <c r="K798" s="87"/>
      <c r="L798" s="87"/>
      <c r="M798" s="87"/>
      <c r="N798" s="87">
        <f t="shared" si="48"/>
        <v>0</v>
      </c>
      <c r="O798" s="87">
        <f t="shared" si="49"/>
        <v>0</v>
      </c>
      <c r="P798" s="87" t="b">
        <f t="shared" si="50"/>
        <v>0</v>
      </c>
      <c r="Q798" s="87" t="b">
        <f>(Requirements!K800="Normative")</f>
        <v>0</v>
      </c>
      <c r="R798" s="87" t="b">
        <f>AND(Requirements!L800&lt;&gt;"Non-testable",Requirements!L800&lt;&gt;"Deleted",Requirements!L800&lt;&gt;"")</f>
        <v>1</v>
      </c>
      <c r="S798" s="87" t="b">
        <f>(VLOOKUP(Requirements!I800,Scope[[Role]:[Description]],2,FALSE)="In")</f>
        <v>1</v>
      </c>
      <c r="T798" s="87">
        <f t="shared" si="51"/>
        <v>0</v>
      </c>
    </row>
    <row r="799" spans="1:20">
      <c r="A799" s="84" t="str">
        <f>Requirements!A801</f>
        <v>MS-SMB_R9403</v>
      </c>
      <c r="B799" s="87"/>
      <c r="C799" s="87"/>
      <c r="D799" s="87"/>
      <c r="E799" s="87"/>
      <c r="F799" s="87"/>
      <c r="G799" s="87">
        <v>1</v>
      </c>
      <c r="H799" s="87"/>
      <c r="I799" s="87"/>
      <c r="J799" s="87"/>
      <c r="K799" s="87"/>
      <c r="L799" s="87"/>
      <c r="M799" s="87"/>
      <c r="N799" s="87">
        <f t="shared" si="48"/>
        <v>1</v>
      </c>
      <c r="O799" s="60">
        <f t="shared" si="49"/>
        <v>1</v>
      </c>
      <c r="P799" s="60" t="b">
        <f t="shared" si="50"/>
        <v>1</v>
      </c>
      <c r="Q799" s="87" t="b">
        <f>(Requirements!K801="Normative")</f>
        <v>1</v>
      </c>
      <c r="R799" s="87" t="b">
        <f>AND(Requirements!L801&lt;&gt;"Non-testable",Requirements!L801&lt;&gt;"Deleted",Requirements!L801&lt;&gt;"")</f>
        <v>1</v>
      </c>
      <c r="S799" s="87" t="b">
        <f>(VLOOKUP(Requirements!I801,Scope[[Role]:[Description]],2,FALSE)="In")</f>
        <v>1</v>
      </c>
      <c r="T799" s="87">
        <f t="shared" si="51"/>
        <v>1</v>
      </c>
    </row>
    <row r="800" spans="1:20">
      <c r="A800" s="44" t="str">
        <f>Requirements!A802</f>
        <v>MS-SMB_R9404</v>
      </c>
      <c r="B800" s="87"/>
      <c r="C800" s="87"/>
      <c r="D800" s="87"/>
      <c r="E800" s="87"/>
      <c r="F800" s="87"/>
      <c r="G800" s="87"/>
      <c r="H800" s="87"/>
      <c r="I800" s="87"/>
      <c r="J800" s="87"/>
      <c r="K800" s="87"/>
      <c r="L800" s="87"/>
      <c r="M800" s="87"/>
      <c r="N800" s="87">
        <f t="shared" si="48"/>
        <v>0</v>
      </c>
      <c r="O800" s="87">
        <f t="shared" si="49"/>
        <v>0</v>
      </c>
      <c r="P800" s="87" t="b">
        <f t="shared" si="50"/>
        <v>0</v>
      </c>
      <c r="Q800" s="87" t="b">
        <f>(Requirements!K802="Normative")</f>
        <v>0</v>
      </c>
      <c r="R800" s="87" t="b">
        <f>AND(Requirements!L802&lt;&gt;"Non-testable",Requirements!L802&lt;&gt;"Deleted",Requirements!L802&lt;&gt;"")</f>
        <v>1</v>
      </c>
      <c r="S800" s="87" t="b">
        <f>(VLOOKUP(Requirements!I802,Scope[[Role]:[Description]],2,FALSE)="In")</f>
        <v>1</v>
      </c>
      <c r="T800" s="87">
        <f t="shared" si="51"/>
        <v>0</v>
      </c>
    </row>
    <row r="801" spans="1:20">
      <c r="A801" s="44" t="str">
        <f>Requirements!A803</f>
        <v>MS-SMB_R9405</v>
      </c>
      <c r="B801" s="87"/>
      <c r="C801" s="87"/>
      <c r="D801" s="87"/>
      <c r="E801" s="87"/>
      <c r="F801" s="87"/>
      <c r="G801" s="87"/>
      <c r="H801" s="87"/>
      <c r="I801" s="87"/>
      <c r="J801" s="87"/>
      <c r="K801" s="87"/>
      <c r="L801" s="87"/>
      <c r="M801" s="87"/>
      <c r="N801" s="87">
        <f t="shared" si="48"/>
        <v>0</v>
      </c>
      <c r="O801" s="87">
        <f t="shared" si="49"/>
        <v>0</v>
      </c>
      <c r="P801" s="87" t="b">
        <f t="shared" si="50"/>
        <v>0</v>
      </c>
      <c r="Q801" s="87" t="b">
        <f>(Requirements!K803="Normative")</f>
        <v>0</v>
      </c>
      <c r="R801" s="87" t="b">
        <f>AND(Requirements!L803&lt;&gt;"Non-testable",Requirements!L803&lt;&gt;"Deleted",Requirements!L803&lt;&gt;"")</f>
        <v>1</v>
      </c>
      <c r="S801" s="87" t="b">
        <f>(VLOOKUP(Requirements!I803,Scope[[Role]:[Description]],2,FALSE)="In")</f>
        <v>1</v>
      </c>
      <c r="T801" s="87">
        <f t="shared" si="51"/>
        <v>0</v>
      </c>
    </row>
    <row r="802" spans="1:20">
      <c r="A802" s="44" t="str">
        <f>Requirements!A804</f>
        <v>MS-SMB_R9406</v>
      </c>
      <c r="B802" s="87"/>
      <c r="C802" s="87"/>
      <c r="D802" s="87"/>
      <c r="E802" s="87"/>
      <c r="F802" s="87"/>
      <c r="G802" s="87"/>
      <c r="H802" s="87"/>
      <c r="I802" s="87"/>
      <c r="J802" s="87"/>
      <c r="K802" s="87"/>
      <c r="L802" s="87"/>
      <c r="M802" s="87"/>
      <c r="N802" s="87">
        <f t="shared" si="48"/>
        <v>0</v>
      </c>
      <c r="O802" s="87">
        <f t="shared" si="49"/>
        <v>0</v>
      </c>
      <c r="P802" s="87" t="b">
        <f t="shared" si="50"/>
        <v>0</v>
      </c>
      <c r="Q802" s="87" t="b">
        <f>(Requirements!K804="Normative")</f>
        <v>0</v>
      </c>
      <c r="R802" s="87" t="b">
        <f>AND(Requirements!L804&lt;&gt;"Non-testable",Requirements!L804&lt;&gt;"Deleted",Requirements!L804&lt;&gt;"")</f>
        <v>1</v>
      </c>
      <c r="S802" s="87" t="b">
        <f>(VLOOKUP(Requirements!I804,Scope[[Role]:[Description]],2,FALSE)="In")</f>
        <v>1</v>
      </c>
      <c r="T802" s="87">
        <f t="shared" si="51"/>
        <v>0</v>
      </c>
    </row>
    <row r="803" spans="1:20">
      <c r="A803" s="84" t="str">
        <f>Requirements!A805</f>
        <v>MS-SMB_R9407</v>
      </c>
      <c r="B803" s="87"/>
      <c r="C803" s="87"/>
      <c r="D803" s="87"/>
      <c r="E803" s="87"/>
      <c r="F803" s="87"/>
      <c r="G803" s="87">
        <v>1</v>
      </c>
      <c r="H803" s="87"/>
      <c r="I803" s="87"/>
      <c r="J803" s="87"/>
      <c r="K803" s="87"/>
      <c r="L803" s="87"/>
      <c r="M803" s="87"/>
      <c r="N803" s="87">
        <f t="shared" si="48"/>
        <v>1</v>
      </c>
      <c r="O803" s="60">
        <f t="shared" si="49"/>
        <v>1</v>
      </c>
      <c r="P803" s="60" t="b">
        <f t="shared" si="50"/>
        <v>1</v>
      </c>
      <c r="Q803" s="87" t="b">
        <f>(Requirements!K805="Normative")</f>
        <v>1</v>
      </c>
      <c r="R803" s="87" t="b">
        <f>AND(Requirements!L805&lt;&gt;"Non-testable",Requirements!L805&lt;&gt;"Deleted",Requirements!L805&lt;&gt;"")</f>
        <v>1</v>
      </c>
      <c r="S803" s="87" t="b">
        <f>(VLOOKUP(Requirements!I805,Scope[[Role]:[Description]],2,FALSE)="In")</f>
        <v>1</v>
      </c>
      <c r="T803" s="87">
        <f t="shared" si="51"/>
        <v>1</v>
      </c>
    </row>
    <row r="804" spans="1:20">
      <c r="A804" s="84" t="str">
        <f>Requirements!A806</f>
        <v>MS-SMB_R9408</v>
      </c>
      <c r="B804" s="87"/>
      <c r="C804" s="87"/>
      <c r="D804" s="87"/>
      <c r="E804" s="87"/>
      <c r="F804" s="87"/>
      <c r="G804" s="87">
        <v>1</v>
      </c>
      <c r="H804" s="87"/>
      <c r="I804" s="87"/>
      <c r="J804" s="87"/>
      <c r="K804" s="87"/>
      <c r="L804" s="87"/>
      <c r="M804" s="87"/>
      <c r="N804" s="87">
        <f t="shared" si="48"/>
        <v>1</v>
      </c>
      <c r="O804" s="60">
        <f t="shared" si="49"/>
        <v>1</v>
      </c>
      <c r="P804" s="60" t="b">
        <f t="shared" si="50"/>
        <v>1</v>
      </c>
      <c r="Q804" s="87" t="b">
        <f>(Requirements!K806="Normative")</f>
        <v>1</v>
      </c>
      <c r="R804" s="87" t="b">
        <f>AND(Requirements!L806&lt;&gt;"Non-testable",Requirements!L806&lt;&gt;"Deleted",Requirements!L806&lt;&gt;"")</f>
        <v>1</v>
      </c>
      <c r="S804" s="87" t="b">
        <f>(VLOOKUP(Requirements!I806,Scope[[Role]:[Description]],2,FALSE)="In")</f>
        <v>1</v>
      </c>
      <c r="T804" s="87">
        <f t="shared" si="51"/>
        <v>1</v>
      </c>
    </row>
    <row r="805" spans="1:20">
      <c r="A805" s="84" t="str">
        <f>Requirements!A807</f>
        <v>MS-SMB_R9409</v>
      </c>
      <c r="B805" s="87"/>
      <c r="C805" s="87"/>
      <c r="D805" s="87"/>
      <c r="E805" s="87"/>
      <c r="F805" s="87"/>
      <c r="G805" s="87">
        <v>1</v>
      </c>
      <c r="H805" s="87"/>
      <c r="I805" s="87"/>
      <c r="J805" s="87"/>
      <c r="K805" s="87"/>
      <c r="L805" s="87"/>
      <c r="M805" s="87"/>
      <c r="N805" s="87">
        <f t="shared" si="48"/>
        <v>1</v>
      </c>
      <c r="O805" s="60">
        <f t="shared" si="49"/>
        <v>1</v>
      </c>
      <c r="P805" s="60" t="b">
        <f t="shared" si="50"/>
        <v>1</v>
      </c>
      <c r="Q805" s="87" t="b">
        <f>(Requirements!K807="Normative")</f>
        <v>1</v>
      </c>
      <c r="R805" s="87" t="b">
        <f>AND(Requirements!L807&lt;&gt;"Non-testable",Requirements!L807&lt;&gt;"Deleted",Requirements!L807&lt;&gt;"")</f>
        <v>1</v>
      </c>
      <c r="S805" s="87" t="b">
        <f>(VLOOKUP(Requirements!I807,Scope[[Role]:[Description]],2,FALSE)="In")</f>
        <v>1</v>
      </c>
      <c r="T805" s="87">
        <f t="shared" si="51"/>
        <v>1</v>
      </c>
    </row>
    <row r="806" spans="1:20">
      <c r="A806" s="84" t="str">
        <f>Requirements!A808</f>
        <v>MS-SMB_R9410</v>
      </c>
      <c r="B806" s="87"/>
      <c r="C806" s="87"/>
      <c r="D806" s="87"/>
      <c r="E806" s="87"/>
      <c r="F806" s="87"/>
      <c r="G806" s="87">
        <v>1</v>
      </c>
      <c r="H806" s="87"/>
      <c r="I806" s="87"/>
      <c r="J806" s="87"/>
      <c r="K806" s="87"/>
      <c r="L806" s="87"/>
      <c r="M806" s="87"/>
      <c r="N806" s="87">
        <f t="shared" si="48"/>
        <v>1</v>
      </c>
      <c r="O806" s="60">
        <f t="shared" si="49"/>
        <v>1</v>
      </c>
      <c r="P806" s="60" t="b">
        <f t="shared" si="50"/>
        <v>1</v>
      </c>
      <c r="Q806" s="87" t="b">
        <f>(Requirements!K808="Normative")</f>
        <v>1</v>
      </c>
      <c r="R806" s="87" t="b">
        <f>AND(Requirements!L808&lt;&gt;"Non-testable",Requirements!L808&lt;&gt;"Deleted",Requirements!L808&lt;&gt;"")</f>
        <v>1</v>
      </c>
      <c r="S806" s="87" t="b">
        <f>(VLOOKUP(Requirements!I808,Scope[[Role]:[Description]],2,FALSE)="In")</f>
        <v>1</v>
      </c>
      <c r="T806" s="87">
        <f t="shared" si="51"/>
        <v>1</v>
      </c>
    </row>
    <row r="807" spans="1:20">
      <c r="A807" s="84" t="str">
        <f>Requirements!A809</f>
        <v>MS-SMB_R109410</v>
      </c>
      <c r="B807" s="87"/>
      <c r="C807" s="87"/>
      <c r="D807" s="87"/>
      <c r="E807" s="87"/>
      <c r="F807" s="87"/>
      <c r="G807" s="87">
        <v>1</v>
      </c>
      <c r="H807" s="87"/>
      <c r="I807" s="87"/>
      <c r="J807" s="87"/>
      <c r="K807" s="87"/>
      <c r="L807" s="87"/>
      <c r="M807" s="87"/>
      <c r="N807" s="87">
        <f t="shared" si="48"/>
        <v>1</v>
      </c>
      <c r="O807" s="60">
        <f t="shared" si="49"/>
        <v>1</v>
      </c>
      <c r="P807" s="60" t="b">
        <f t="shared" si="50"/>
        <v>1</v>
      </c>
      <c r="Q807" s="87" t="b">
        <f>(Requirements!K809="Normative")</f>
        <v>1</v>
      </c>
      <c r="R807" s="87" t="b">
        <f>AND(Requirements!L809&lt;&gt;"Non-testable",Requirements!L809&lt;&gt;"Deleted",Requirements!L809&lt;&gt;"")</f>
        <v>1</v>
      </c>
      <c r="S807" s="87" t="b">
        <f>(VLOOKUP(Requirements!I809,Scope[[Role]:[Description]],2,FALSE)="In")</f>
        <v>1</v>
      </c>
      <c r="T807" s="87">
        <f t="shared" si="51"/>
        <v>1</v>
      </c>
    </row>
    <row r="808" spans="1:20">
      <c r="A808" s="44" t="str">
        <f>Requirements!A810</f>
        <v>MS-SMB_R9411</v>
      </c>
      <c r="B808" s="87"/>
      <c r="C808" s="87"/>
      <c r="D808" s="87"/>
      <c r="E808" s="87"/>
      <c r="F808" s="87"/>
      <c r="G808" s="87"/>
      <c r="H808" s="87"/>
      <c r="I808" s="87"/>
      <c r="J808" s="87"/>
      <c r="K808" s="87"/>
      <c r="L808" s="87"/>
      <c r="M808" s="87"/>
      <c r="N808" s="87">
        <f t="shared" si="48"/>
        <v>0</v>
      </c>
      <c r="O808" s="87">
        <f t="shared" si="49"/>
        <v>0</v>
      </c>
      <c r="P808" s="87" t="b">
        <f t="shared" si="50"/>
        <v>0</v>
      </c>
      <c r="Q808" s="87" t="b">
        <f>(Requirements!K810="Normative")</f>
        <v>0</v>
      </c>
      <c r="R808" s="87" t="b">
        <f>AND(Requirements!L810&lt;&gt;"Non-testable",Requirements!L810&lt;&gt;"Deleted",Requirements!L810&lt;&gt;"")</f>
        <v>1</v>
      </c>
      <c r="S808" s="87" t="b">
        <f>(VLOOKUP(Requirements!I810,Scope[[Role]:[Description]],2,FALSE)="In")</f>
        <v>1</v>
      </c>
      <c r="T808" s="87">
        <f t="shared" si="51"/>
        <v>0</v>
      </c>
    </row>
    <row r="809" spans="1:20">
      <c r="A809" s="44" t="str">
        <f>Requirements!A811</f>
        <v>MS-SMB_R9412</v>
      </c>
      <c r="B809" s="87"/>
      <c r="C809" s="87"/>
      <c r="D809" s="87"/>
      <c r="E809" s="87"/>
      <c r="F809" s="87"/>
      <c r="G809" s="87"/>
      <c r="H809" s="87"/>
      <c r="I809" s="87"/>
      <c r="J809" s="87"/>
      <c r="K809" s="87"/>
      <c r="L809" s="87"/>
      <c r="M809" s="87"/>
      <c r="N809" s="87">
        <f t="shared" si="48"/>
        <v>0</v>
      </c>
      <c r="O809" s="87">
        <f t="shared" si="49"/>
        <v>0</v>
      </c>
      <c r="P809" s="87" t="b">
        <f t="shared" si="50"/>
        <v>0</v>
      </c>
      <c r="Q809" s="87" t="b">
        <f>(Requirements!K811="Normative")</f>
        <v>0</v>
      </c>
      <c r="R809" s="87" t="b">
        <f>AND(Requirements!L811&lt;&gt;"Non-testable",Requirements!L811&lt;&gt;"Deleted",Requirements!L811&lt;&gt;"")</f>
        <v>1</v>
      </c>
      <c r="S809" s="87" t="b">
        <f>(VLOOKUP(Requirements!I811,Scope[[Role]:[Description]],2,FALSE)="In")</f>
        <v>1</v>
      </c>
      <c r="T809" s="87">
        <f t="shared" si="51"/>
        <v>0</v>
      </c>
    </row>
    <row r="810" spans="1:20">
      <c r="A810" s="44" t="str">
        <f>Requirements!A812</f>
        <v>MS-SMB_R9413</v>
      </c>
      <c r="B810" s="87"/>
      <c r="C810" s="87"/>
      <c r="D810" s="87"/>
      <c r="E810" s="87"/>
      <c r="F810" s="87"/>
      <c r="G810" s="87"/>
      <c r="H810" s="87"/>
      <c r="I810" s="87"/>
      <c r="J810" s="87"/>
      <c r="K810" s="87"/>
      <c r="L810" s="87"/>
      <c r="M810" s="87"/>
      <c r="N810" s="87">
        <f t="shared" si="48"/>
        <v>0</v>
      </c>
      <c r="O810" s="87">
        <f t="shared" si="49"/>
        <v>0</v>
      </c>
      <c r="P810" s="87" t="b">
        <f t="shared" si="50"/>
        <v>0</v>
      </c>
      <c r="Q810" s="87" t="b">
        <f>(Requirements!K812="Normative")</f>
        <v>0</v>
      </c>
      <c r="R810" s="87" t="b">
        <f>AND(Requirements!L812&lt;&gt;"Non-testable",Requirements!L812&lt;&gt;"Deleted",Requirements!L812&lt;&gt;"")</f>
        <v>1</v>
      </c>
      <c r="S810" s="87" t="b">
        <f>(VLOOKUP(Requirements!I812,Scope[[Role]:[Description]],2,FALSE)="In")</f>
        <v>1</v>
      </c>
      <c r="T810" s="87">
        <f t="shared" si="51"/>
        <v>0</v>
      </c>
    </row>
    <row r="811" spans="1:20">
      <c r="A811" s="44" t="str">
        <f>Requirements!A813</f>
        <v>MS-SMB_R9414</v>
      </c>
      <c r="B811" s="87"/>
      <c r="C811" s="87"/>
      <c r="D811" s="87"/>
      <c r="E811" s="87"/>
      <c r="F811" s="87"/>
      <c r="G811" s="87"/>
      <c r="H811" s="87"/>
      <c r="I811" s="87"/>
      <c r="J811" s="87"/>
      <c r="K811" s="87"/>
      <c r="L811" s="87"/>
      <c r="M811" s="87"/>
      <c r="N811" s="87">
        <f t="shared" si="48"/>
        <v>0</v>
      </c>
      <c r="O811" s="87">
        <f t="shared" si="49"/>
        <v>0</v>
      </c>
      <c r="P811" s="87" t="b">
        <f t="shared" si="50"/>
        <v>0</v>
      </c>
      <c r="Q811" s="87" t="b">
        <f>(Requirements!K813="Normative")</f>
        <v>0</v>
      </c>
      <c r="R811" s="87" t="b">
        <f>AND(Requirements!L813&lt;&gt;"Non-testable",Requirements!L813&lt;&gt;"Deleted",Requirements!L813&lt;&gt;"")</f>
        <v>1</v>
      </c>
      <c r="S811" s="87" t="b">
        <f>(VLOOKUP(Requirements!I813,Scope[[Role]:[Description]],2,FALSE)="In")</f>
        <v>1</v>
      </c>
      <c r="T811" s="87">
        <f t="shared" si="51"/>
        <v>0</v>
      </c>
    </row>
    <row r="812" spans="1:20">
      <c r="A812" s="85" t="str">
        <f>Requirements!A814</f>
        <v>MS-SMB_R9415</v>
      </c>
      <c r="B812" s="87"/>
      <c r="C812" s="87"/>
      <c r="D812" s="87"/>
      <c r="E812" s="87"/>
      <c r="F812" s="87"/>
      <c r="G812" s="87"/>
      <c r="H812" s="87"/>
      <c r="I812" s="87"/>
      <c r="J812" s="87"/>
      <c r="K812" s="87"/>
      <c r="L812" s="87"/>
      <c r="M812" s="87"/>
      <c r="N812" s="87">
        <f t="shared" si="48"/>
        <v>0</v>
      </c>
      <c r="O812" s="61">
        <f t="shared" si="49"/>
        <v>0</v>
      </c>
      <c r="P812" s="61" t="b">
        <f t="shared" si="50"/>
        <v>1</v>
      </c>
      <c r="Q812" s="87" t="b">
        <f>(Requirements!K814="Normative")</f>
        <v>1</v>
      </c>
      <c r="R812" s="87" t="b">
        <f>AND(Requirements!L814&lt;&gt;"Non-testable",Requirements!L814&lt;&gt;"Deleted",Requirements!L814&lt;&gt;"")</f>
        <v>1</v>
      </c>
      <c r="S812" s="87" t="b">
        <f>(VLOOKUP(Requirements!I814,Scope[[Role]:[Description]],2,FALSE)="In")</f>
        <v>1</v>
      </c>
      <c r="T812" s="87">
        <f t="shared" si="51"/>
        <v>0</v>
      </c>
    </row>
    <row r="813" spans="1:20">
      <c r="A813" s="85" t="str">
        <f>Requirements!A815</f>
        <v>MS-SMB_R9416</v>
      </c>
      <c r="B813" s="87"/>
      <c r="C813" s="87"/>
      <c r="D813" s="87"/>
      <c r="E813" s="87"/>
      <c r="F813" s="87"/>
      <c r="G813" s="87"/>
      <c r="H813" s="87"/>
      <c r="I813" s="87"/>
      <c r="J813" s="87"/>
      <c r="K813" s="87"/>
      <c r="L813" s="87"/>
      <c r="M813" s="87"/>
      <c r="N813" s="87">
        <f t="shared" si="48"/>
        <v>0</v>
      </c>
      <c r="O813" s="61">
        <f t="shared" si="49"/>
        <v>0</v>
      </c>
      <c r="P813" s="61" t="b">
        <f t="shared" si="50"/>
        <v>1</v>
      </c>
      <c r="Q813" s="87" t="b">
        <f>(Requirements!K815="Normative")</f>
        <v>1</v>
      </c>
      <c r="R813" s="87" t="b">
        <f>AND(Requirements!L815&lt;&gt;"Non-testable",Requirements!L815&lt;&gt;"Deleted",Requirements!L815&lt;&gt;"")</f>
        <v>1</v>
      </c>
      <c r="S813" s="87" t="b">
        <f>(VLOOKUP(Requirements!I815,Scope[[Role]:[Description]],2,FALSE)="In")</f>
        <v>1</v>
      </c>
      <c r="T813" s="87">
        <f t="shared" si="51"/>
        <v>0</v>
      </c>
    </row>
    <row r="814" spans="1:20">
      <c r="A814" s="44" t="str">
        <f>Requirements!A816</f>
        <v>MS-SMB_R9417</v>
      </c>
      <c r="B814" s="87"/>
      <c r="C814" s="87"/>
      <c r="D814" s="87"/>
      <c r="E814" s="87"/>
      <c r="F814" s="87"/>
      <c r="G814" s="87"/>
      <c r="H814" s="87"/>
      <c r="I814" s="87"/>
      <c r="J814" s="87"/>
      <c r="K814" s="87"/>
      <c r="L814" s="87"/>
      <c r="M814" s="87"/>
      <c r="N814" s="87">
        <f t="shared" si="48"/>
        <v>0</v>
      </c>
      <c r="O814" s="87">
        <f t="shared" si="49"/>
        <v>0</v>
      </c>
      <c r="P814" s="87" t="b">
        <f t="shared" si="50"/>
        <v>0</v>
      </c>
      <c r="Q814" s="87" t="b">
        <f>(Requirements!K816="Normative")</f>
        <v>0</v>
      </c>
      <c r="R814" s="87" t="b">
        <f>AND(Requirements!L816&lt;&gt;"Non-testable",Requirements!L816&lt;&gt;"Deleted",Requirements!L816&lt;&gt;"")</f>
        <v>1</v>
      </c>
      <c r="S814" s="87" t="b">
        <f>(VLOOKUP(Requirements!I816,Scope[[Role]:[Description]],2,FALSE)="In")</f>
        <v>1</v>
      </c>
      <c r="T814" s="87">
        <f t="shared" si="51"/>
        <v>0</v>
      </c>
    </row>
    <row r="815" spans="1:20">
      <c r="A815" s="84" t="str">
        <f>Requirements!A817</f>
        <v>MS-SMB_R9418</v>
      </c>
      <c r="B815" s="87"/>
      <c r="C815" s="87"/>
      <c r="D815" s="87"/>
      <c r="E815" s="87"/>
      <c r="F815" s="87"/>
      <c r="G815" s="87">
        <v>1</v>
      </c>
      <c r="H815" s="87"/>
      <c r="I815" s="87"/>
      <c r="J815" s="87"/>
      <c r="K815" s="87"/>
      <c r="L815" s="87"/>
      <c r="M815" s="87"/>
      <c r="N815" s="87">
        <f t="shared" si="48"/>
        <v>1</v>
      </c>
      <c r="O815" s="60">
        <f t="shared" si="49"/>
        <v>1</v>
      </c>
      <c r="P815" s="60" t="b">
        <f t="shared" si="50"/>
        <v>1</v>
      </c>
      <c r="Q815" s="87" t="b">
        <f>(Requirements!K817="Normative")</f>
        <v>1</v>
      </c>
      <c r="R815" s="87" t="b">
        <f>AND(Requirements!L817&lt;&gt;"Non-testable",Requirements!L817&lt;&gt;"Deleted",Requirements!L817&lt;&gt;"")</f>
        <v>1</v>
      </c>
      <c r="S815" s="87" t="b">
        <f>(VLOOKUP(Requirements!I817,Scope[[Role]:[Description]],2,FALSE)="In")</f>
        <v>1</v>
      </c>
      <c r="T815" s="87">
        <f t="shared" si="51"/>
        <v>1</v>
      </c>
    </row>
    <row r="816" spans="1:20">
      <c r="A816" s="84" t="str">
        <f>Requirements!A818</f>
        <v>MS-SMB_R109418</v>
      </c>
      <c r="B816" s="87"/>
      <c r="C816" s="87"/>
      <c r="D816" s="87"/>
      <c r="E816" s="87"/>
      <c r="F816" s="87"/>
      <c r="G816" s="87">
        <v>1</v>
      </c>
      <c r="H816" s="87"/>
      <c r="I816" s="87"/>
      <c r="J816" s="87"/>
      <c r="K816" s="87"/>
      <c r="L816" s="87"/>
      <c r="M816" s="87"/>
      <c r="N816" s="87">
        <f t="shared" si="48"/>
        <v>1</v>
      </c>
      <c r="O816" s="60">
        <f t="shared" si="49"/>
        <v>1</v>
      </c>
      <c r="P816" s="60" t="b">
        <f t="shared" si="50"/>
        <v>1</v>
      </c>
      <c r="Q816" s="87" t="b">
        <f>(Requirements!K818="Normative")</f>
        <v>1</v>
      </c>
      <c r="R816" s="87" t="b">
        <f>AND(Requirements!L818&lt;&gt;"Non-testable",Requirements!L818&lt;&gt;"Deleted",Requirements!L818&lt;&gt;"")</f>
        <v>1</v>
      </c>
      <c r="S816" s="87" t="b">
        <f>(VLOOKUP(Requirements!I818,Scope[[Role]:[Description]],2,FALSE)="In")</f>
        <v>1</v>
      </c>
      <c r="T816" s="87">
        <f t="shared" si="51"/>
        <v>1</v>
      </c>
    </row>
    <row r="817" spans="1:20">
      <c r="A817" s="85" t="str">
        <f>Requirements!A819</f>
        <v>MS-SMB_R9419</v>
      </c>
      <c r="B817" s="87"/>
      <c r="C817" s="87"/>
      <c r="D817" s="87"/>
      <c r="E817" s="87"/>
      <c r="F817" s="87"/>
      <c r="G817" s="87"/>
      <c r="H817" s="87"/>
      <c r="I817" s="87"/>
      <c r="J817" s="87"/>
      <c r="K817" s="87"/>
      <c r="L817" s="87"/>
      <c r="M817" s="87"/>
      <c r="N817" s="87">
        <f t="shared" si="48"/>
        <v>0</v>
      </c>
      <c r="O817" s="61">
        <f t="shared" si="49"/>
        <v>0</v>
      </c>
      <c r="P817" s="61" t="b">
        <f t="shared" si="50"/>
        <v>1</v>
      </c>
      <c r="Q817" s="87" t="b">
        <f>(Requirements!K819="Normative")</f>
        <v>1</v>
      </c>
      <c r="R817" s="87" t="b">
        <f>AND(Requirements!L819&lt;&gt;"Non-testable",Requirements!L819&lt;&gt;"Deleted",Requirements!L819&lt;&gt;"")</f>
        <v>1</v>
      </c>
      <c r="S817" s="87" t="b">
        <f>(VLOOKUP(Requirements!I819,Scope[[Role]:[Description]],2,FALSE)="In")</f>
        <v>1</v>
      </c>
      <c r="T817" s="87">
        <f t="shared" si="51"/>
        <v>0</v>
      </c>
    </row>
    <row r="818" spans="1:20">
      <c r="A818" s="44" t="str">
        <f>Requirements!A820</f>
        <v>MS-SMB_R9420</v>
      </c>
      <c r="B818" s="87"/>
      <c r="C818" s="87"/>
      <c r="D818" s="87"/>
      <c r="E818" s="87"/>
      <c r="F818" s="87"/>
      <c r="G818" s="87"/>
      <c r="H818" s="87"/>
      <c r="I818" s="87"/>
      <c r="J818" s="87"/>
      <c r="K818" s="87"/>
      <c r="L818" s="87"/>
      <c r="M818" s="87"/>
      <c r="N818" s="87">
        <f t="shared" si="48"/>
        <v>0</v>
      </c>
      <c r="O818" s="87">
        <f t="shared" si="49"/>
        <v>0</v>
      </c>
      <c r="P818" s="87" t="b">
        <f t="shared" si="50"/>
        <v>0</v>
      </c>
      <c r="Q818" s="87" t="b">
        <f>(Requirements!K820="Normative")</f>
        <v>0</v>
      </c>
      <c r="R818" s="87" t="b">
        <f>AND(Requirements!L820&lt;&gt;"Non-testable",Requirements!L820&lt;&gt;"Deleted",Requirements!L820&lt;&gt;"")</f>
        <v>1</v>
      </c>
      <c r="S818" s="87" t="b">
        <f>(VLOOKUP(Requirements!I820,Scope[[Role]:[Description]],2,FALSE)="In")</f>
        <v>1</v>
      </c>
      <c r="T818" s="87">
        <f t="shared" si="51"/>
        <v>0</v>
      </c>
    </row>
    <row r="819" spans="1:20">
      <c r="A819" s="84" t="str">
        <f>Requirements!A821</f>
        <v>MS-SMB_R9421</v>
      </c>
      <c r="B819" s="87"/>
      <c r="C819" s="87"/>
      <c r="D819" s="87"/>
      <c r="E819" s="87"/>
      <c r="F819" s="87"/>
      <c r="G819" s="87">
        <v>1</v>
      </c>
      <c r="H819" s="87"/>
      <c r="I819" s="87"/>
      <c r="J819" s="87"/>
      <c r="K819" s="87"/>
      <c r="L819" s="87"/>
      <c r="M819" s="87"/>
      <c r="N819" s="87">
        <f t="shared" si="48"/>
        <v>1</v>
      </c>
      <c r="O819" s="60">
        <f t="shared" si="49"/>
        <v>1</v>
      </c>
      <c r="P819" s="60" t="b">
        <f t="shared" si="50"/>
        <v>1</v>
      </c>
      <c r="Q819" s="87" t="b">
        <f>(Requirements!K821="Normative")</f>
        <v>1</v>
      </c>
      <c r="R819" s="87" t="b">
        <f>AND(Requirements!L821&lt;&gt;"Non-testable",Requirements!L821&lt;&gt;"Deleted",Requirements!L821&lt;&gt;"")</f>
        <v>1</v>
      </c>
      <c r="S819" s="87" t="b">
        <f>(VLOOKUP(Requirements!I821,Scope[[Role]:[Description]],2,FALSE)="In")</f>
        <v>1</v>
      </c>
      <c r="T819" s="87">
        <f t="shared" si="51"/>
        <v>1</v>
      </c>
    </row>
    <row r="820" spans="1:20">
      <c r="A820" s="44" t="str">
        <f>Requirements!A822</f>
        <v>MS-SMB_R9422</v>
      </c>
      <c r="B820" s="87"/>
      <c r="C820" s="87"/>
      <c r="D820" s="87"/>
      <c r="E820" s="87"/>
      <c r="F820" s="87"/>
      <c r="G820" s="87"/>
      <c r="H820" s="87"/>
      <c r="I820" s="87"/>
      <c r="J820" s="87"/>
      <c r="K820" s="87"/>
      <c r="L820" s="87"/>
      <c r="M820" s="87"/>
      <c r="N820" s="87">
        <f t="shared" si="48"/>
        <v>0</v>
      </c>
      <c r="O820" s="87">
        <f t="shared" si="49"/>
        <v>0</v>
      </c>
      <c r="P820" s="87" t="b">
        <f t="shared" si="50"/>
        <v>0</v>
      </c>
      <c r="Q820" s="87" t="b">
        <f>(Requirements!K822="Normative")</f>
        <v>0</v>
      </c>
      <c r="R820" s="87" t="b">
        <f>AND(Requirements!L822&lt;&gt;"Non-testable",Requirements!L822&lt;&gt;"Deleted",Requirements!L822&lt;&gt;"")</f>
        <v>1</v>
      </c>
      <c r="S820" s="87" t="b">
        <f>(VLOOKUP(Requirements!I822,Scope[[Role]:[Description]],2,FALSE)="In")</f>
        <v>1</v>
      </c>
      <c r="T820" s="87">
        <f t="shared" si="51"/>
        <v>0</v>
      </c>
    </row>
    <row r="821" spans="1:20">
      <c r="A821" s="44" t="str">
        <f>Requirements!A823</f>
        <v>MS-SMB_R9423</v>
      </c>
      <c r="B821" s="87"/>
      <c r="C821" s="87"/>
      <c r="D821" s="87"/>
      <c r="E821" s="87"/>
      <c r="F821" s="87"/>
      <c r="G821" s="87"/>
      <c r="H821" s="87"/>
      <c r="I821" s="87"/>
      <c r="J821" s="87"/>
      <c r="K821" s="87"/>
      <c r="L821" s="87"/>
      <c r="M821" s="87"/>
      <c r="N821" s="87">
        <f t="shared" si="48"/>
        <v>0</v>
      </c>
      <c r="O821" s="87">
        <f t="shared" si="49"/>
        <v>0</v>
      </c>
      <c r="P821" s="87" t="b">
        <f t="shared" si="50"/>
        <v>0</v>
      </c>
      <c r="Q821" s="87" t="b">
        <f>(Requirements!K823="Normative")</f>
        <v>0</v>
      </c>
      <c r="R821" s="87" t="b">
        <f>AND(Requirements!L823&lt;&gt;"Non-testable",Requirements!L823&lt;&gt;"Deleted",Requirements!L823&lt;&gt;"")</f>
        <v>1</v>
      </c>
      <c r="S821" s="87" t="b">
        <f>(VLOOKUP(Requirements!I823,Scope[[Role]:[Description]],2,FALSE)="In")</f>
        <v>1</v>
      </c>
      <c r="T821" s="87">
        <f t="shared" si="51"/>
        <v>0</v>
      </c>
    </row>
    <row r="822" spans="1:20">
      <c r="A822" s="84" t="str">
        <f>Requirements!A824</f>
        <v>MS-SMB_R9424</v>
      </c>
      <c r="B822" s="87"/>
      <c r="C822" s="87"/>
      <c r="D822" s="87"/>
      <c r="E822" s="87"/>
      <c r="F822" s="87"/>
      <c r="G822" s="87">
        <v>1</v>
      </c>
      <c r="H822" s="87"/>
      <c r="I822" s="87"/>
      <c r="J822" s="87"/>
      <c r="K822" s="87"/>
      <c r="L822" s="87"/>
      <c r="M822" s="87"/>
      <c r="N822" s="87">
        <f t="shared" si="48"/>
        <v>1</v>
      </c>
      <c r="O822" s="60">
        <f t="shared" si="49"/>
        <v>1</v>
      </c>
      <c r="P822" s="60" t="b">
        <f t="shared" si="50"/>
        <v>1</v>
      </c>
      <c r="Q822" s="87" t="b">
        <f>(Requirements!K824="Normative")</f>
        <v>1</v>
      </c>
      <c r="R822" s="87" t="b">
        <f>AND(Requirements!L824&lt;&gt;"Non-testable",Requirements!L824&lt;&gt;"Deleted",Requirements!L824&lt;&gt;"")</f>
        <v>1</v>
      </c>
      <c r="S822" s="87" t="b">
        <f>(VLOOKUP(Requirements!I824,Scope[[Role]:[Description]],2,FALSE)="In")</f>
        <v>1</v>
      </c>
      <c r="T822" s="87">
        <f t="shared" si="51"/>
        <v>1</v>
      </c>
    </row>
    <row r="823" spans="1:20">
      <c r="A823" s="44" t="str">
        <f>Requirements!A825</f>
        <v>MS-SMB_R9425</v>
      </c>
      <c r="B823" s="87"/>
      <c r="C823" s="87"/>
      <c r="D823" s="87"/>
      <c r="E823" s="87"/>
      <c r="F823" s="87"/>
      <c r="G823" s="87"/>
      <c r="H823" s="87"/>
      <c r="I823" s="87"/>
      <c r="J823" s="87"/>
      <c r="K823" s="87"/>
      <c r="L823" s="87"/>
      <c r="M823" s="87"/>
      <c r="N823" s="87">
        <f t="shared" si="48"/>
        <v>0</v>
      </c>
      <c r="O823" s="87">
        <f t="shared" si="49"/>
        <v>0</v>
      </c>
      <c r="P823" s="87" t="b">
        <f t="shared" si="50"/>
        <v>0</v>
      </c>
      <c r="Q823" s="87" t="b">
        <f>(Requirements!K825="Normative")</f>
        <v>0</v>
      </c>
      <c r="R823" s="87" t="b">
        <f>AND(Requirements!L825&lt;&gt;"Non-testable",Requirements!L825&lt;&gt;"Deleted",Requirements!L825&lt;&gt;"")</f>
        <v>1</v>
      </c>
      <c r="S823" s="87" t="b">
        <f>(VLOOKUP(Requirements!I825,Scope[[Role]:[Description]],2,FALSE)="In")</f>
        <v>1</v>
      </c>
      <c r="T823" s="87">
        <f t="shared" si="51"/>
        <v>0</v>
      </c>
    </row>
    <row r="824" spans="1:20">
      <c r="A824" s="84" t="str">
        <f>Requirements!A826</f>
        <v>MS-SMB_R9426</v>
      </c>
      <c r="B824" s="87"/>
      <c r="C824" s="87"/>
      <c r="D824" s="87"/>
      <c r="E824" s="87"/>
      <c r="F824" s="87"/>
      <c r="G824" s="87">
        <v>1</v>
      </c>
      <c r="H824" s="87"/>
      <c r="I824" s="87"/>
      <c r="J824" s="87"/>
      <c r="K824" s="87"/>
      <c r="L824" s="87"/>
      <c r="M824" s="87"/>
      <c r="N824" s="87">
        <f t="shared" si="48"/>
        <v>1</v>
      </c>
      <c r="O824" s="60">
        <f t="shared" si="49"/>
        <v>1</v>
      </c>
      <c r="P824" s="60" t="b">
        <f t="shared" si="50"/>
        <v>1</v>
      </c>
      <c r="Q824" s="87" t="b">
        <f>(Requirements!K826="Normative")</f>
        <v>1</v>
      </c>
      <c r="R824" s="87" t="b">
        <f>AND(Requirements!L826&lt;&gt;"Non-testable",Requirements!L826&lt;&gt;"Deleted",Requirements!L826&lt;&gt;"")</f>
        <v>1</v>
      </c>
      <c r="S824" s="87" t="b">
        <f>(VLOOKUP(Requirements!I826,Scope[[Role]:[Description]],2,FALSE)="In")</f>
        <v>1</v>
      </c>
      <c r="T824" s="87">
        <f t="shared" si="51"/>
        <v>1</v>
      </c>
    </row>
    <row r="825" spans="1:20">
      <c r="A825" s="85" t="str">
        <f>Requirements!A827</f>
        <v>MS-SMB_R9427</v>
      </c>
      <c r="B825" s="87"/>
      <c r="C825" s="87"/>
      <c r="D825" s="87"/>
      <c r="E825" s="87"/>
      <c r="F825" s="87"/>
      <c r="G825" s="87"/>
      <c r="H825" s="87"/>
      <c r="I825" s="87"/>
      <c r="J825" s="87"/>
      <c r="K825" s="87"/>
      <c r="L825" s="87"/>
      <c r="M825" s="87"/>
      <c r="N825" s="87">
        <f t="shared" si="48"/>
        <v>0</v>
      </c>
      <c r="O825" s="61">
        <f t="shared" si="49"/>
        <v>0</v>
      </c>
      <c r="P825" s="61" t="b">
        <f t="shared" si="50"/>
        <v>1</v>
      </c>
      <c r="Q825" s="87" t="b">
        <f>(Requirements!K827="Normative")</f>
        <v>1</v>
      </c>
      <c r="R825" s="87" t="b">
        <f>AND(Requirements!L827&lt;&gt;"Non-testable",Requirements!L827&lt;&gt;"Deleted",Requirements!L827&lt;&gt;"")</f>
        <v>1</v>
      </c>
      <c r="S825" s="87" t="b">
        <f>(VLOOKUP(Requirements!I827,Scope[[Role]:[Description]],2,FALSE)="In")</f>
        <v>1</v>
      </c>
      <c r="T825" s="87">
        <f t="shared" si="51"/>
        <v>0</v>
      </c>
    </row>
    <row r="826" spans="1:20">
      <c r="A826" s="84" t="str">
        <f>Requirements!A828</f>
        <v>MS-SMB_R3415</v>
      </c>
      <c r="B826" s="87"/>
      <c r="C826" s="87"/>
      <c r="D826" s="87"/>
      <c r="E826" s="87"/>
      <c r="F826" s="87"/>
      <c r="G826" s="87">
        <v>1</v>
      </c>
      <c r="H826" s="87"/>
      <c r="I826" s="87"/>
      <c r="J826" s="87"/>
      <c r="K826" s="87"/>
      <c r="L826" s="87"/>
      <c r="M826" s="87"/>
      <c r="N826" s="87">
        <f t="shared" si="48"/>
        <v>1</v>
      </c>
      <c r="O826" s="60">
        <f t="shared" si="49"/>
        <v>1</v>
      </c>
      <c r="P826" s="60" t="b">
        <f t="shared" si="50"/>
        <v>1</v>
      </c>
      <c r="Q826" s="87" t="b">
        <f>(Requirements!K828="Normative")</f>
        <v>1</v>
      </c>
      <c r="R826" s="87" t="b">
        <f>AND(Requirements!L828&lt;&gt;"Non-testable",Requirements!L828&lt;&gt;"Deleted",Requirements!L828&lt;&gt;"")</f>
        <v>1</v>
      </c>
      <c r="S826" s="87" t="b">
        <f>(VLOOKUP(Requirements!I828,Scope[[Role]:[Description]],2,FALSE)="In")</f>
        <v>1</v>
      </c>
      <c r="T826" s="87">
        <f t="shared" si="51"/>
        <v>1</v>
      </c>
    </row>
    <row r="827" spans="1:20">
      <c r="A827" s="44" t="str">
        <f>Requirements!A829</f>
        <v>MS-SMB_R9429</v>
      </c>
      <c r="B827" s="87"/>
      <c r="C827" s="87"/>
      <c r="D827" s="87"/>
      <c r="E827" s="87"/>
      <c r="F827" s="87"/>
      <c r="G827" s="87"/>
      <c r="H827" s="87"/>
      <c r="I827" s="87"/>
      <c r="J827" s="87"/>
      <c r="K827" s="87"/>
      <c r="L827" s="87"/>
      <c r="M827" s="87"/>
      <c r="N827" s="87">
        <f t="shared" si="48"/>
        <v>0</v>
      </c>
      <c r="O827" s="87">
        <f t="shared" si="49"/>
        <v>0</v>
      </c>
      <c r="P827" s="87" t="b">
        <f t="shared" si="50"/>
        <v>0</v>
      </c>
      <c r="Q827" s="87" t="b">
        <f>(Requirements!K829="Normative")</f>
        <v>0</v>
      </c>
      <c r="R827" s="87" t="b">
        <f>AND(Requirements!L829&lt;&gt;"Non-testable",Requirements!L829&lt;&gt;"Deleted",Requirements!L829&lt;&gt;"")</f>
        <v>1</v>
      </c>
      <c r="S827" s="87" t="b">
        <f>(VLOOKUP(Requirements!I829,Scope[[Role]:[Description]],2,FALSE)="In")</f>
        <v>1</v>
      </c>
      <c r="T827" s="87">
        <f t="shared" si="51"/>
        <v>0</v>
      </c>
    </row>
    <row r="828" spans="1:20">
      <c r="A828" s="44" t="str">
        <f>Requirements!A830</f>
        <v>MS-SMB_R9430</v>
      </c>
      <c r="B828" s="87"/>
      <c r="C828" s="87"/>
      <c r="D828" s="87"/>
      <c r="E828" s="87"/>
      <c r="F828" s="87"/>
      <c r="G828" s="87"/>
      <c r="H828" s="87"/>
      <c r="I828" s="87"/>
      <c r="J828" s="87"/>
      <c r="K828" s="87"/>
      <c r="L828" s="87"/>
      <c r="M828" s="87"/>
      <c r="N828" s="87">
        <f t="shared" si="48"/>
        <v>0</v>
      </c>
      <c r="O828" s="87">
        <f t="shared" si="49"/>
        <v>0</v>
      </c>
      <c r="P828" s="87" t="b">
        <f t="shared" si="50"/>
        <v>0</v>
      </c>
      <c r="Q828" s="87" t="b">
        <f>(Requirements!K830="Normative")</f>
        <v>0</v>
      </c>
      <c r="R828" s="87" t="b">
        <f>AND(Requirements!L830&lt;&gt;"Non-testable",Requirements!L830&lt;&gt;"Deleted",Requirements!L830&lt;&gt;"")</f>
        <v>1</v>
      </c>
      <c r="S828" s="87" t="b">
        <f>(VLOOKUP(Requirements!I830,Scope[[Role]:[Description]],2,FALSE)="In")</f>
        <v>1</v>
      </c>
      <c r="T828" s="87">
        <f t="shared" si="51"/>
        <v>0</v>
      </c>
    </row>
    <row r="829" spans="1:20">
      <c r="A829" s="44" t="str">
        <f>Requirements!A831</f>
        <v>MS-SMB_R9431</v>
      </c>
      <c r="B829" s="87"/>
      <c r="C829" s="87"/>
      <c r="D829" s="87"/>
      <c r="E829" s="87"/>
      <c r="F829" s="87"/>
      <c r="G829" s="87"/>
      <c r="H829" s="87"/>
      <c r="I829" s="87"/>
      <c r="J829" s="87"/>
      <c r="K829" s="87"/>
      <c r="L829" s="87"/>
      <c r="M829" s="87"/>
      <c r="N829" s="87">
        <f t="shared" si="48"/>
        <v>0</v>
      </c>
      <c r="O829" s="87">
        <f t="shared" si="49"/>
        <v>0</v>
      </c>
      <c r="P829" s="87" t="b">
        <f t="shared" si="50"/>
        <v>0</v>
      </c>
      <c r="Q829" s="87" t="b">
        <f>(Requirements!K831="Normative")</f>
        <v>0</v>
      </c>
      <c r="R829" s="87" t="b">
        <f>AND(Requirements!L831&lt;&gt;"Non-testable",Requirements!L831&lt;&gt;"Deleted",Requirements!L831&lt;&gt;"")</f>
        <v>1</v>
      </c>
      <c r="S829" s="87" t="b">
        <f>(VLOOKUP(Requirements!I831,Scope[[Role]:[Description]],2,FALSE)="In")</f>
        <v>1</v>
      </c>
      <c r="T829" s="87">
        <f t="shared" si="51"/>
        <v>0</v>
      </c>
    </row>
    <row r="830" spans="1:20">
      <c r="A830" s="85" t="str">
        <f>Requirements!A832</f>
        <v>MS-SMB_R9432</v>
      </c>
      <c r="B830" s="87"/>
      <c r="C830" s="87"/>
      <c r="D830" s="87"/>
      <c r="E830" s="87"/>
      <c r="F830" s="87"/>
      <c r="G830" s="87"/>
      <c r="H830" s="87"/>
      <c r="I830" s="87"/>
      <c r="J830" s="87"/>
      <c r="K830" s="87"/>
      <c r="L830" s="87"/>
      <c r="M830" s="87"/>
      <c r="N830" s="87">
        <f t="shared" si="48"/>
        <v>0</v>
      </c>
      <c r="O830" s="61">
        <f t="shared" si="49"/>
        <v>0</v>
      </c>
      <c r="P830" s="61" t="b">
        <f t="shared" si="50"/>
        <v>1</v>
      </c>
      <c r="Q830" s="87" t="b">
        <f>(Requirements!K832="Normative")</f>
        <v>1</v>
      </c>
      <c r="R830" s="87" t="b">
        <f>AND(Requirements!L832&lt;&gt;"Non-testable",Requirements!L832&lt;&gt;"Deleted",Requirements!L832&lt;&gt;"")</f>
        <v>1</v>
      </c>
      <c r="S830" s="87" t="b">
        <f>(VLOOKUP(Requirements!I832,Scope[[Role]:[Description]],2,FALSE)="In")</f>
        <v>1</v>
      </c>
      <c r="T830" s="87">
        <f t="shared" si="51"/>
        <v>0</v>
      </c>
    </row>
    <row r="831" spans="1:20">
      <c r="A831" s="84" t="str">
        <f>Requirements!A833</f>
        <v>MS-SMB_R9433</v>
      </c>
      <c r="B831" s="87"/>
      <c r="C831" s="87"/>
      <c r="D831" s="87"/>
      <c r="E831" s="87"/>
      <c r="F831" s="87"/>
      <c r="G831" s="87">
        <v>1</v>
      </c>
      <c r="H831" s="87"/>
      <c r="I831" s="87"/>
      <c r="J831" s="87"/>
      <c r="K831" s="87"/>
      <c r="L831" s="87"/>
      <c r="M831" s="87"/>
      <c r="N831" s="87">
        <f t="shared" si="48"/>
        <v>1</v>
      </c>
      <c r="O831" s="60">
        <f t="shared" si="49"/>
        <v>1</v>
      </c>
      <c r="P831" s="60" t="b">
        <f t="shared" si="50"/>
        <v>1</v>
      </c>
      <c r="Q831" s="87" t="b">
        <f>(Requirements!K833="Normative")</f>
        <v>1</v>
      </c>
      <c r="R831" s="87" t="b">
        <f>AND(Requirements!L833&lt;&gt;"Non-testable",Requirements!L833&lt;&gt;"Deleted",Requirements!L833&lt;&gt;"")</f>
        <v>1</v>
      </c>
      <c r="S831" s="87" t="b">
        <f>(VLOOKUP(Requirements!I833,Scope[[Role]:[Description]],2,FALSE)="In")</f>
        <v>1</v>
      </c>
      <c r="T831" s="87">
        <f t="shared" si="51"/>
        <v>1</v>
      </c>
    </row>
    <row r="832" spans="1:20">
      <c r="A832" s="85" t="str">
        <f>Requirements!A834</f>
        <v>MS-SMB_R9434</v>
      </c>
      <c r="B832" s="87"/>
      <c r="C832" s="87"/>
      <c r="D832" s="87"/>
      <c r="E832" s="87"/>
      <c r="F832" s="87"/>
      <c r="G832" s="87"/>
      <c r="H832" s="87"/>
      <c r="I832" s="87"/>
      <c r="J832" s="87"/>
      <c r="K832" s="87"/>
      <c r="L832" s="87"/>
      <c r="M832" s="87"/>
      <c r="N832" s="87">
        <f t="shared" si="48"/>
        <v>0</v>
      </c>
      <c r="O832" s="61">
        <f t="shared" si="49"/>
        <v>0</v>
      </c>
      <c r="P832" s="61" t="b">
        <f t="shared" si="50"/>
        <v>1</v>
      </c>
      <c r="Q832" s="87" t="b">
        <f>(Requirements!K834="Normative")</f>
        <v>1</v>
      </c>
      <c r="R832" s="87" t="b">
        <f>AND(Requirements!L834&lt;&gt;"Non-testable",Requirements!L834&lt;&gt;"Deleted",Requirements!L834&lt;&gt;"")</f>
        <v>1</v>
      </c>
      <c r="S832" s="87" t="b">
        <f>(VLOOKUP(Requirements!I834,Scope[[Role]:[Description]],2,FALSE)="In")</f>
        <v>1</v>
      </c>
      <c r="T832" s="87">
        <f t="shared" si="51"/>
        <v>0</v>
      </c>
    </row>
    <row r="833" spans="1:20">
      <c r="A833" s="85" t="str">
        <f>Requirements!A835</f>
        <v>MS-SMB_R9435</v>
      </c>
      <c r="B833" s="87"/>
      <c r="C833" s="87"/>
      <c r="D833" s="87"/>
      <c r="E833" s="87"/>
      <c r="F833" s="87"/>
      <c r="G833" s="87"/>
      <c r="H833" s="87"/>
      <c r="I833" s="87"/>
      <c r="J833" s="87"/>
      <c r="K833" s="87"/>
      <c r="L833" s="87"/>
      <c r="M833" s="87"/>
      <c r="N833" s="87">
        <f t="shared" si="48"/>
        <v>0</v>
      </c>
      <c r="O833" s="61">
        <f t="shared" si="49"/>
        <v>0</v>
      </c>
      <c r="P833" s="61" t="b">
        <f t="shared" si="50"/>
        <v>1</v>
      </c>
      <c r="Q833" s="87" t="b">
        <f>(Requirements!K835="Normative")</f>
        <v>1</v>
      </c>
      <c r="R833" s="87" t="b">
        <f>AND(Requirements!L835&lt;&gt;"Non-testable",Requirements!L835&lt;&gt;"Deleted",Requirements!L835&lt;&gt;"")</f>
        <v>1</v>
      </c>
      <c r="S833" s="87" t="b">
        <f>(VLOOKUP(Requirements!I835,Scope[[Role]:[Description]],2,FALSE)="In")</f>
        <v>1</v>
      </c>
      <c r="T833" s="87">
        <f t="shared" si="51"/>
        <v>0</v>
      </c>
    </row>
    <row r="834" spans="1:20">
      <c r="A834" s="44" t="str">
        <f>Requirements!A836</f>
        <v>MS-SMB_R9436</v>
      </c>
      <c r="B834" s="87"/>
      <c r="C834" s="87"/>
      <c r="D834" s="87"/>
      <c r="E834" s="87"/>
      <c r="F834" s="87"/>
      <c r="G834" s="87"/>
      <c r="H834" s="87"/>
      <c r="I834" s="87"/>
      <c r="J834" s="87"/>
      <c r="K834" s="87"/>
      <c r="L834" s="87"/>
      <c r="M834" s="87"/>
      <c r="N834" s="87">
        <f t="shared" si="48"/>
        <v>0</v>
      </c>
      <c r="O834" s="87">
        <f t="shared" si="49"/>
        <v>0</v>
      </c>
      <c r="P834" s="87" t="b">
        <f t="shared" si="50"/>
        <v>0</v>
      </c>
      <c r="Q834" s="87" t="b">
        <f>(Requirements!K836="Normative")</f>
        <v>0</v>
      </c>
      <c r="R834" s="87" t="b">
        <f>AND(Requirements!L836&lt;&gt;"Non-testable",Requirements!L836&lt;&gt;"Deleted",Requirements!L836&lt;&gt;"")</f>
        <v>1</v>
      </c>
      <c r="S834" s="87" t="b">
        <f>(VLOOKUP(Requirements!I836,Scope[[Role]:[Description]],2,FALSE)="In")</f>
        <v>1</v>
      </c>
      <c r="T834" s="87">
        <f t="shared" si="51"/>
        <v>0</v>
      </c>
    </row>
    <row r="835" spans="1:20">
      <c r="A835" s="85" t="str">
        <f>Requirements!A837</f>
        <v>MS-SMB_R9437</v>
      </c>
      <c r="B835" s="87"/>
      <c r="C835" s="87"/>
      <c r="D835" s="87"/>
      <c r="E835" s="87"/>
      <c r="F835" s="87"/>
      <c r="G835" s="87"/>
      <c r="H835" s="87"/>
      <c r="I835" s="87"/>
      <c r="J835" s="87"/>
      <c r="K835" s="87"/>
      <c r="L835" s="87"/>
      <c r="M835" s="87"/>
      <c r="N835" s="87">
        <f t="shared" si="48"/>
        <v>0</v>
      </c>
      <c r="O835" s="61">
        <f t="shared" si="49"/>
        <v>0</v>
      </c>
      <c r="P835" s="61" t="b">
        <f t="shared" si="50"/>
        <v>1</v>
      </c>
      <c r="Q835" s="87" t="b">
        <f>(Requirements!K837="Normative")</f>
        <v>1</v>
      </c>
      <c r="R835" s="87" t="b">
        <f>AND(Requirements!L837&lt;&gt;"Non-testable",Requirements!L837&lt;&gt;"Deleted",Requirements!L837&lt;&gt;"")</f>
        <v>1</v>
      </c>
      <c r="S835" s="87" t="b">
        <f>(VLOOKUP(Requirements!I837,Scope[[Role]:[Description]],2,FALSE)="In")</f>
        <v>1</v>
      </c>
      <c r="T835" s="87">
        <f t="shared" si="51"/>
        <v>0</v>
      </c>
    </row>
    <row r="836" spans="1:20">
      <c r="A836" s="44" t="str">
        <f>Requirements!A838</f>
        <v>MS-SMB_R9438</v>
      </c>
      <c r="B836" s="87"/>
      <c r="C836" s="87"/>
      <c r="D836" s="87"/>
      <c r="E836" s="87"/>
      <c r="F836" s="87"/>
      <c r="G836" s="87"/>
      <c r="H836" s="87"/>
      <c r="I836" s="87"/>
      <c r="J836" s="87"/>
      <c r="K836" s="87"/>
      <c r="L836" s="87"/>
      <c r="M836" s="87"/>
      <c r="N836" s="87">
        <f t="shared" si="48"/>
        <v>0</v>
      </c>
      <c r="O836" s="87">
        <f t="shared" si="49"/>
        <v>0</v>
      </c>
      <c r="P836" s="87" t="b">
        <f t="shared" si="50"/>
        <v>0</v>
      </c>
      <c r="Q836" s="87" t="b">
        <f>(Requirements!K838="Normative")</f>
        <v>0</v>
      </c>
      <c r="R836" s="87" t="b">
        <f>AND(Requirements!L838&lt;&gt;"Non-testable",Requirements!L838&lt;&gt;"Deleted",Requirements!L838&lt;&gt;"")</f>
        <v>1</v>
      </c>
      <c r="S836" s="87" t="b">
        <f>(VLOOKUP(Requirements!I838,Scope[[Role]:[Description]],2,FALSE)="In")</f>
        <v>1</v>
      </c>
      <c r="T836" s="87">
        <f t="shared" si="51"/>
        <v>0</v>
      </c>
    </row>
    <row r="837" spans="1:20">
      <c r="A837" s="44" t="str">
        <f>Requirements!A839</f>
        <v>MS-SMB_R9439</v>
      </c>
      <c r="B837" s="87"/>
      <c r="C837" s="87"/>
      <c r="D837" s="87"/>
      <c r="E837" s="87"/>
      <c r="F837" s="87"/>
      <c r="G837" s="87"/>
      <c r="H837" s="87"/>
      <c r="I837" s="87"/>
      <c r="J837" s="87"/>
      <c r="K837" s="87"/>
      <c r="L837" s="87"/>
      <c r="M837" s="87"/>
      <c r="N837" s="87">
        <f t="shared" si="48"/>
        <v>0</v>
      </c>
      <c r="O837" s="87">
        <f t="shared" si="49"/>
        <v>0</v>
      </c>
      <c r="P837" s="87" t="b">
        <f t="shared" si="50"/>
        <v>0</v>
      </c>
      <c r="Q837" s="87" t="b">
        <f>(Requirements!K839="Normative")</f>
        <v>0</v>
      </c>
      <c r="R837" s="87" t="b">
        <f>AND(Requirements!L839&lt;&gt;"Non-testable",Requirements!L839&lt;&gt;"Deleted",Requirements!L839&lt;&gt;"")</f>
        <v>1</v>
      </c>
      <c r="S837" s="87" t="b">
        <f>(VLOOKUP(Requirements!I839,Scope[[Role]:[Description]],2,FALSE)="In")</f>
        <v>1</v>
      </c>
      <c r="T837" s="87">
        <f t="shared" si="51"/>
        <v>0</v>
      </c>
    </row>
    <row r="838" spans="1:20">
      <c r="A838" s="44" t="str">
        <f>Requirements!A840</f>
        <v>MS-SMB_R9440</v>
      </c>
      <c r="B838" s="87"/>
      <c r="C838" s="87"/>
      <c r="D838" s="87"/>
      <c r="E838" s="87"/>
      <c r="F838" s="87"/>
      <c r="G838" s="87"/>
      <c r="H838" s="87"/>
      <c r="I838" s="87"/>
      <c r="J838" s="87"/>
      <c r="K838" s="87"/>
      <c r="L838" s="87"/>
      <c r="M838" s="87"/>
      <c r="N838" s="87">
        <f t="shared" si="48"/>
        <v>0</v>
      </c>
      <c r="O838" s="87">
        <f t="shared" si="49"/>
        <v>0</v>
      </c>
      <c r="P838" s="87" t="b">
        <f t="shared" si="50"/>
        <v>0</v>
      </c>
      <c r="Q838" s="87" t="b">
        <f>(Requirements!K840="Normative")</f>
        <v>0</v>
      </c>
      <c r="R838" s="87" t="b">
        <f>AND(Requirements!L840&lt;&gt;"Non-testable",Requirements!L840&lt;&gt;"Deleted",Requirements!L840&lt;&gt;"")</f>
        <v>1</v>
      </c>
      <c r="S838" s="87" t="b">
        <f>(VLOOKUP(Requirements!I840,Scope[[Role]:[Description]],2,FALSE)="In")</f>
        <v>1</v>
      </c>
      <c r="T838" s="87">
        <f t="shared" si="51"/>
        <v>0</v>
      </c>
    </row>
    <row r="839" spans="1:20">
      <c r="A839" s="85" t="str">
        <f>Requirements!A841</f>
        <v>MS-SMB_R9441</v>
      </c>
      <c r="B839" s="87"/>
      <c r="C839" s="87"/>
      <c r="D839" s="87"/>
      <c r="E839" s="87"/>
      <c r="F839" s="87"/>
      <c r="G839" s="87"/>
      <c r="H839" s="87"/>
      <c r="I839" s="87"/>
      <c r="J839" s="87"/>
      <c r="K839" s="87"/>
      <c r="L839" s="87"/>
      <c r="M839" s="87"/>
      <c r="N839" s="87">
        <f t="shared" si="48"/>
        <v>0</v>
      </c>
      <c r="O839" s="61">
        <f t="shared" si="49"/>
        <v>0</v>
      </c>
      <c r="P839" s="61" t="b">
        <f t="shared" si="50"/>
        <v>1</v>
      </c>
      <c r="Q839" s="87" t="b">
        <f>(Requirements!K841="Normative")</f>
        <v>1</v>
      </c>
      <c r="R839" s="87" t="b">
        <f>AND(Requirements!L841&lt;&gt;"Non-testable",Requirements!L841&lt;&gt;"Deleted",Requirements!L841&lt;&gt;"")</f>
        <v>1</v>
      </c>
      <c r="S839" s="87" t="b">
        <f>(VLOOKUP(Requirements!I841,Scope[[Role]:[Description]],2,FALSE)="In")</f>
        <v>1</v>
      </c>
      <c r="T839" s="87">
        <f t="shared" si="51"/>
        <v>0</v>
      </c>
    </row>
    <row r="840" spans="1:20">
      <c r="A840" s="44" t="str">
        <f>Requirements!A842</f>
        <v>MS-SMB_R9442</v>
      </c>
      <c r="B840" s="87"/>
      <c r="C840" s="87"/>
      <c r="D840" s="87"/>
      <c r="E840" s="87"/>
      <c r="F840" s="87"/>
      <c r="G840" s="87"/>
      <c r="H840" s="87"/>
      <c r="I840" s="87"/>
      <c r="J840" s="87"/>
      <c r="K840" s="87"/>
      <c r="L840" s="87"/>
      <c r="M840" s="87"/>
      <c r="N840" s="87">
        <f t="shared" si="48"/>
        <v>0</v>
      </c>
      <c r="O840" s="87">
        <f t="shared" si="49"/>
        <v>0</v>
      </c>
      <c r="P840" s="87" t="b">
        <f t="shared" si="50"/>
        <v>0</v>
      </c>
      <c r="Q840" s="87" t="b">
        <f>(Requirements!K842="Normative")</f>
        <v>0</v>
      </c>
      <c r="R840" s="87" t="b">
        <f>AND(Requirements!L842&lt;&gt;"Non-testable",Requirements!L842&lt;&gt;"Deleted",Requirements!L842&lt;&gt;"")</f>
        <v>1</v>
      </c>
      <c r="S840" s="87" t="b">
        <f>(VLOOKUP(Requirements!I842,Scope[[Role]:[Description]],2,FALSE)="In")</f>
        <v>1</v>
      </c>
      <c r="T840" s="87">
        <f t="shared" si="51"/>
        <v>0</v>
      </c>
    </row>
    <row r="841" spans="1:20">
      <c r="A841" s="85" t="str">
        <f>Requirements!A843</f>
        <v>MS-SMB_R9443</v>
      </c>
      <c r="B841" s="87"/>
      <c r="C841" s="87"/>
      <c r="D841" s="87"/>
      <c r="E841" s="87"/>
      <c r="F841" s="87"/>
      <c r="G841" s="87"/>
      <c r="H841" s="87"/>
      <c r="I841" s="87"/>
      <c r="J841" s="87"/>
      <c r="K841" s="87"/>
      <c r="L841" s="87"/>
      <c r="M841" s="87"/>
      <c r="N841" s="87">
        <f t="shared" si="48"/>
        <v>0</v>
      </c>
      <c r="O841" s="61">
        <f t="shared" si="49"/>
        <v>0</v>
      </c>
      <c r="P841" s="61" t="b">
        <f t="shared" si="50"/>
        <v>1</v>
      </c>
      <c r="Q841" s="87" t="b">
        <f>(Requirements!K843="Normative")</f>
        <v>1</v>
      </c>
      <c r="R841" s="87" t="b">
        <f>AND(Requirements!L843&lt;&gt;"Non-testable",Requirements!L843&lt;&gt;"Deleted",Requirements!L843&lt;&gt;"")</f>
        <v>1</v>
      </c>
      <c r="S841" s="87" t="b">
        <f>(VLOOKUP(Requirements!I843,Scope[[Role]:[Description]],2,FALSE)="In")</f>
        <v>1</v>
      </c>
      <c r="T841" s="87">
        <f t="shared" si="51"/>
        <v>0</v>
      </c>
    </row>
    <row r="842" spans="1:20">
      <c r="A842" s="85" t="str">
        <f>Requirements!A844</f>
        <v>MS-SMB_R9444</v>
      </c>
      <c r="B842" s="87"/>
      <c r="C842" s="87"/>
      <c r="D842" s="87"/>
      <c r="E842" s="87"/>
      <c r="F842" s="87"/>
      <c r="G842" s="87"/>
      <c r="H842" s="87"/>
      <c r="I842" s="87"/>
      <c r="J842" s="87"/>
      <c r="K842" s="87"/>
      <c r="L842" s="87"/>
      <c r="M842" s="87"/>
      <c r="N842" s="87">
        <f t="shared" si="48"/>
        <v>0</v>
      </c>
      <c r="O842" s="61">
        <f t="shared" si="49"/>
        <v>0</v>
      </c>
      <c r="P842" s="61" t="b">
        <f t="shared" si="50"/>
        <v>1</v>
      </c>
      <c r="Q842" s="87" t="b">
        <f>(Requirements!K844="Normative")</f>
        <v>1</v>
      </c>
      <c r="R842" s="87" t="b">
        <f>AND(Requirements!L844&lt;&gt;"Non-testable",Requirements!L844&lt;&gt;"Deleted",Requirements!L844&lt;&gt;"")</f>
        <v>1</v>
      </c>
      <c r="S842" s="87" t="b">
        <f>(VLOOKUP(Requirements!I844,Scope[[Role]:[Description]],2,FALSE)="In")</f>
        <v>1</v>
      </c>
      <c r="T842" s="87">
        <f t="shared" si="51"/>
        <v>0</v>
      </c>
    </row>
    <row r="843" spans="1:20">
      <c r="A843" s="85" t="str">
        <f>Requirements!A845</f>
        <v>MS-SMB_R9445</v>
      </c>
      <c r="B843" s="87"/>
      <c r="C843" s="87"/>
      <c r="D843" s="87"/>
      <c r="E843" s="87"/>
      <c r="F843" s="87"/>
      <c r="G843" s="87"/>
      <c r="H843" s="87"/>
      <c r="I843" s="87"/>
      <c r="J843" s="87"/>
      <c r="K843" s="87"/>
      <c r="L843" s="87"/>
      <c r="M843" s="87"/>
      <c r="N843" s="87">
        <f t="shared" si="48"/>
        <v>0</v>
      </c>
      <c r="O843" s="61">
        <f t="shared" si="49"/>
        <v>0</v>
      </c>
      <c r="P843" s="61" t="b">
        <f t="shared" si="50"/>
        <v>1</v>
      </c>
      <c r="Q843" s="87" t="b">
        <f>(Requirements!K845="Normative")</f>
        <v>1</v>
      </c>
      <c r="R843" s="87" t="b">
        <f>AND(Requirements!L845&lt;&gt;"Non-testable",Requirements!L845&lt;&gt;"Deleted",Requirements!L845&lt;&gt;"")</f>
        <v>1</v>
      </c>
      <c r="S843" s="87" t="b">
        <f>(VLOOKUP(Requirements!I845,Scope[[Role]:[Description]],2,FALSE)="In")</f>
        <v>1</v>
      </c>
      <c r="T843" s="87">
        <f t="shared" si="51"/>
        <v>0</v>
      </c>
    </row>
    <row r="844" spans="1:20">
      <c r="A844" s="44" t="str">
        <f>Requirements!A846</f>
        <v>MS-SMB_R9446</v>
      </c>
      <c r="B844" s="87"/>
      <c r="C844" s="87"/>
      <c r="D844" s="87"/>
      <c r="E844" s="87"/>
      <c r="F844" s="87"/>
      <c r="G844" s="87"/>
      <c r="H844" s="87"/>
      <c r="I844" s="87"/>
      <c r="J844" s="87"/>
      <c r="K844" s="87"/>
      <c r="L844" s="87"/>
      <c r="M844" s="87"/>
      <c r="N844" s="87">
        <f t="shared" si="48"/>
        <v>0</v>
      </c>
      <c r="O844" s="87">
        <f t="shared" si="49"/>
        <v>0</v>
      </c>
      <c r="P844" s="87" t="b">
        <f t="shared" si="50"/>
        <v>0</v>
      </c>
      <c r="Q844" s="87" t="b">
        <f>(Requirements!K846="Normative")</f>
        <v>1</v>
      </c>
      <c r="R844" s="87" t="b">
        <f>AND(Requirements!L846&lt;&gt;"Non-testable",Requirements!L846&lt;&gt;"Deleted",Requirements!L846&lt;&gt;"")</f>
        <v>0</v>
      </c>
      <c r="S844" s="87" t="b">
        <f>(VLOOKUP(Requirements!I846,Scope[[Role]:[Description]],2,FALSE)="In")</f>
        <v>1</v>
      </c>
      <c r="T844" s="87">
        <f t="shared" si="51"/>
        <v>0</v>
      </c>
    </row>
    <row r="845" spans="1:20">
      <c r="A845" s="84" t="str">
        <f>Requirements!A847</f>
        <v>MS-SMB_R109446</v>
      </c>
      <c r="B845" s="87"/>
      <c r="C845" s="87"/>
      <c r="D845" s="87"/>
      <c r="E845" s="87"/>
      <c r="F845" s="87"/>
      <c r="G845" s="87"/>
      <c r="H845" s="87"/>
      <c r="I845" s="87">
        <v>1</v>
      </c>
      <c r="J845" s="87"/>
      <c r="K845" s="87"/>
      <c r="L845" s="87"/>
      <c r="M845" s="87"/>
      <c r="N845" s="87">
        <f t="shared" si="48"/>
        <v>1</v>
      </c>
      <c r="O845" s="60">
        <f t="shared" si="49"/>
        <v>1</v>
      </c>
      <c r="P845" s="60" t="b">
        <f t="shared" si="50"/>
        <v>1</v>
      </c>
      <c r="Q845" s="87" t="b">
        <f>(Requirements!K847="Normative")</f>
        <v>1</v>
      </c>
      <c r="R845" s="87" t="b">
        <f>AND(Requirements!L847&lt;&gt;"Non-testable",Requirements!L847&lt;&gt;"Deleted",Requirements!L847&lt;&gt;"")</f>
        <v>1</v>
      </c>
      <c r="S845" s="87" t="b">
        <f>(VLOOKUP(Requirements!I847,Scope[[Role]:[Description]],2,FALSE)="In")</f>
        <v>1</v>
      </c>
      <c r="T845" s="87">
        <f t="shared" si="51"/>
        <v>1</v>
      </c>
    </row>
    <row r="846" spans="1:20">
      <c r="A846" s="44" t="str">
        <f>Requirements!A848</f>
        <v>MS-SMB_R9447</v>
      </c>
      <c r="B846" s="87"/>
      <c r="C846" s="87"/>
      <c r="D846" s="87"/>
      <c r="E846" s="87"/>
      <c r="F846" s="87"/>
      <c r="G846" s="87"/>
      <c r="H846" s="87"/>
      <c r="I846" s="87"/>
      <c r="J846" s="87"/>
      <c r="K846" s="87"/>
      <c r="L846" s="87"/>
      <c r="M846" s="87"/>
      <c r="N846" s="87">
        <f t="shared" si="48"/>
        <v>0</v>
      </c>
      <c r="O846" s="87">
        <f t="shared" si="49"/>
        <v>0</v>
      </c>
      <c r="P846" s="87" t="b">
        <f t="shared" si="50"/>
        <v>0</v>
      </c>
      <c r="Q846" s="87" t="b">
        <f>(Requirements!K848="Normative")</f>
        <v>0</v>
      </c>
      <c r="R846" s="87" t="b">
        <f>AND(Requirements!L848&lt;&gt;"Non-testable",Requirements!L848&lt;&gt;"Deleted",Requirements!L848&lt;&gt;"")</f>
        <v>1</v>
      </c>
      <c r="S846" s="87" t="b">
        <f>(VLOOKUP(Requirements!I848,Scope[[Role]:[Description]],2,FALSE)="In")</f>
        <v>1</v>
      </c>
      <c r="T846" s="87">
        <f t="shared" si="51"/>
        <v>0</v>
      </c>
    </row>
    <row r="847" spans="1:20">
      <c r="A847" s="85" t="str">
        <f>Requirements!A849</f>
        <v>MS-SMB_R9448</v>
      </c>
      <c r="B847" s="87"/>
      <c r="C847" s="87"/>
      <c r="D847" s="87"/>
      <c r="E847" s="87"/>
      <c r="F847" s="87"/>
      <c r="G847" s="87"/>
      <c r="H847" s="87"/>
      <c r="I847" s="87"/>
      <c r="J847" s="87"/>
      <c r="K847" s="87"/>
      <c r="L847" s="87"/>
      <c r="M847" s="87"/>
      <c r="N847" s="87">
        <f t="shared" si="48"/>
        <v>0</v>
      </c>
      <c r="O847" s="61">
        <f t="shared" si="49"/>
        <v>0</v>
      </c>
      <c r="P847" s="61" t="b">
        <f t="shared" si="50"/>
        <v>1</v>
      </c>
      <c r="Q847" s="87" t="b">
        <f>(Requirements!K849="Normative")</f>
        <v>1</v>
      </c>
      <c r="R847" s="87" t="b">
        <f>AND(Requirements!L849&lt;&gt;"Non-testable",Requirements!L849&lt;&gt;"Deleted",Requirements!L849&lt;&gt;"")</f>
        <v>1</v>
      </c>
      <c r="S847" s="87" t="b">
        <f>(VLOOKUP(Requirements!I849,Scope[[Role]:[Description]],2,FALSE)="In")</f>
        <v>1</v>
      </c>
      <c r="T847" s="87">
        <f t="shared" si="51"/>
        <v>0</v>
      </c>
    </row>
    <row r="848" spans="1:20">
      <c r="A848" s="85" t="str">
        <f>Requirements!A850</f>
        <v>MS-SMB_R9449</v>
      </c>
      <c r="B848" s="87"/>
      <c r="C848" s="87"/>
      <c r="D848" s="87"/>
      <c r="E848" s="87"/>
      <c r="F848" s="87"/>
      <c r="G848" s="87"/>
      <c r="H848" s="87"/>
      <c r="I848" s="87"/>
      <c r="J848" s="87"/>
      <c r="K848" s="87"/>
      <c r="L848" s="87"/>
      <c r="M848" s="87"/>
      <c r="N848" s="87">
        <f t="shared" si="48"/>
        <v>0</v>
      </c>
      <c r="O848" s="61">
        <f t="shared" si="49"/>
        <v>0</v>
      </c>
      <c r="P848" s="61" t="b">
        <f t="shared" si="50"/>
        <v>1</v>
      </c>
      <c r="Q848" s="87" t="b">
        <f>(Requirements!K850="Normative")</f>
        <v>1</v>
      </c>
      <c r="R848" s="87" t="b">
        <f>AND(Requirements!L850&lt;&gt;"Non-testable",Requirements!L850&lt;&gt;"Deleted",Requirements!L850&lt;&gt;"")</f>
        <v>1</v>
      </c>
      <c r="S848" s="87" t="b">
        <f>(VLOOKUP(Requirements!I850,Scope[[Role]:[Description]],2,FALSE)="In")</f>
        <v>1</v>
      </c>
      <c r="T848" s="87">
        <f t="shared" si="51"/>
        <v>0</v>
      </c>
    </row>
    <row r="849" spans="1:20">
      <c r="A849" s="85" t="str">
        <f>Requirements!A851</f>
        <v>MS-SMB_R9450</v>
      </c>
      <c r="B849" s="87"/>
      <c r="C849" s="87"/>
      <c r="D849" s="87"/>
      <c r="E849" s="87"/>
      <c r="F849" s="87"/>
      <c r="G849" s="87"/>
      <c r="H849" s="87"/>
      <c r="I849" s="87"/>
      <c r="J849" s="87"/>
      <c r="K849" s="87"/>
      <c r="L849" s="87"/>
      <c r="M849" s="87"/>
      <c r="N849" s="87">
        <f t="shared" si="48"/>
        <v>0</v>
      </c>
      <c r="O849" s="61">
        <f t="shared" si="49"/>
        <v>0</v>
      </c>
      <c r="P849" s="61" t="b">
        <f t="shared" si="50"/>
        <v>1</v>
      </c>
      <c r="Q849" s="87" t="b">
        <f>(Requirements!K851="Normative")</f>
        <v>1</v>
      </c>
      <c r="R849" s="87" t="b">
        <f>AND(Requirements!L851&lt;&gt;"Non-testable",Requirements!L851&lt;&gt;"Deleted",Requirements!L851&lt;&gt;"")</f>
        <v>1</v>
      </c>
      <c r="S849" s="87" t="b">
        <f>(VLOOKUP(Requirements!I851,Scope[[Role]:[Description]],2,FALSE)="In")</f>
        <v>1</v>
      </c>
      <c r="T849" s="87">
        <f t="shared" si="51"/>
        <v>0</v>
      </c>
    </row>
    <row r="850" spans="1:20">
      <c r="A850" s="84" t="str">
        <f>Requirements!A852</f>
        <v>MS-SMB_R9451</v>
      </c>
      <c r="B850" s="87"/>
      <c r="C850" s="87"/>
      <c r="D850" s="87"/>
      <c r="E850" s="87"/>
      <c r="F850" s="87"/>
      <c r="G850" s="87">
        <v>1</v>
      </c>
      <c r="H850" s="87"/>
      <c r="I850" s="87"/>
      <c r="J850" s="87"/>
      <c r="K850" s="87"/>
      <c r="L850" s="87"/>
      <c r="M850" s="87"/>
      <c r="N850" s="87">
        <f t="shared" si="48"/>
        <v>1</v>
      </c>
      <c r="O850" s="60">
        <f t="shared" si="49"/>
        <v>1</v>
      </c>
      <c r="P850" s="60" t="b">
        <f t="shared" si="50"/>
        <v>1</v>
      </c>
      <c r="Q850" s="87" t="b">
        <f>(Requirements!K852="Normative")</f>
        <v>1</v>
      </c>
      <c r="R850" s="87" t="b">
        <f>AND(Requirements!L852&lt;&gt;"Non-testable",Requirements!L852&lt;&gt;"Deleted",Requirements!L852&lt;&gt;"")</f>
        <v>1</v>
      </c>
      <c r="S850" s="87" t="b">
        <f>(VLOOKUP(Requirements!I852,Scope[[Role]:[Description]],2,FALSE)="In")</f>
        <v>1</v>
      </c>
      <c r="T850" s="87">
        <f t="shared" si="51"/>
        <v>1</v>
      </c>
    </row>
    <row r="851" spans="1:20">
      <c r="A851" s="44" t="str">
        <f>Requirements!A853</f>
        <v>MS-SMB_R9452</v>
      </c>
      <c r="B851" s="87"/>
      <c r="C851" s="87"/>
      <c r="D851" s="87"/>
      <c r="E851" s="87"/>
      <c r="F851" s="87"/>
      <c r="G851" s="87"/>
      <c r="H851" s="87"/>
      <c r="I851" s="87"/>
      <c r="J851" s="87"/>
      <c r="K851" s="87"/>
      <c r="L851" s="87"/>
      <c r="M851" s="87"/>
      <c r="N851" s="87">
        <f t="shared" si="48"/>
        <v>0</v>
      </c>
      <c r="O851" s="87">
        <f t="shared" si="49"/>
        <v>0</v>
      </c>
      <c r="P851" s="87" t="b">
        <f t="shared" si="50"/>
        <v>0</v>
      </c>
      <c r="Q851" s="87" t="b">
        <f>(Requirements!K853="Normative")</f>
        <v>0</v>
      </c>
      <c r="R851" s="87" t="b">
        <f>AND(Requirements!L853&lt;&gt;"Non-testable",Requirements!L853&lt;&gt;"Deleted",Requirements!L853&lt;&gt;"")</f>
        <v>1</v>
      </c>
      <c r="S851" s="87" t="b">
        <f>(VLOOKUP(Requirements!I853,Scope[[Role]:[Description]],2,FALSE)="In")</f>
        <v>1</v>
      </c>
      <c r="T851" s="87">
        <f t="shared" si="51"/>
        <v>0</v>
      </c>
    </row>
    <row r="852" spans="1:20">
      <c r="A852" s="44" t="str">
        <f>Requirements!A854</f>
        <v>MS-SMB_R9453</v>
      </c>
      <c r="B852" s="87"/>
      <c r="C852" s="87"/>
      <c r="D852" s="87"/>
      <c r="E852" s="87"/>
      <c r="F852" s="87"/>
      <c r="G852" s="87"/>
      <c r="H852" s="87"/>
      <c r="I852" s="87"/>
      <c r="J852" s="87"/>
      <c r="K852" s="87"/>
      <c r="L852" s="87"/>
      <c r="M852" s="87"/>
      <c r="N852" s="87">
        <f t="shared" ref="N852:N915" si="52">SUM(B852:M852)</f>
        <v>0</v>
      </c>
      <c r="O852" s="87">
        <f t="shared" ref="O852:O915" si="53">IF(N852=0,0,1)</f>
        <v>0</v>
      </c>
      <c r="P852" s="87" t="b">
        <f t="shared" ref="P852:P915" si="54">AND(Q852:S852)</f>
        <v>0</v>
      </c>
      <c r="Q852" s="87" t="b">
        <f>(Requirements!K854="Normative")</f>
        <v>0</v>
      </c>
      <c r="R852" s="87" t="b">
        <f>AND(Requirements!L854&lt;&gt;"Non-testable",Requirements!L854&lt;&gt;"Deleted",Requirements!L854&lt;&gt;"")</f>
        <v>1</v>
      </c>
      <c r="S852" s="87" t="b">
        <f>(VLOOKUP(Requirements!I854,Scope[[Role]:[Description]],2,FALSE)="In")</f>
        <v>1</v>
      </c>
      <c r="T852" s="87">
        <f t="shared" ref="T852:T915" si="55">IF(P852,O852, 0)</f>
        <v>0</v>
      </c>
    </row>
    <row r="853" spans="1:20">
      <c r="A853" s="84" t="str">
        <f>Requirements!A855</f>
        <v>MS-SMB_R9454</v>
      </c>
      <c r="B853" s="87"/>
      <c r="C853" s="87"/>
      <c r="D853" s="87"/>
      <c r="E853" s="87"/>
      <c r="F853" s="87"/>
      <c r="G853" s="87">
        <v>1</v>
      </c>
      <c r="H853" s="87"/>
      <c r="I853" s="87"/>
      <c r="J853" s="87"/>
      <c r="K853" s="87"/>
      <c r="L853" s="87"/>
      <c r="M853" s="87"/>
      <c r="N853" s="87">
        <f t="shared" si="52"/>
        <v>1</v>
      </c>
      <c r="O853" s="60">
        <f t="shared" si="53"/>
        <v>1</v>
      </c>
      <c r="P853" s="60" t="b">
        <f t="shared" si="54"/>
        <v>1</v>
      </c>
      <c r="Q853" s="87" t="b">
        <f>(Requirements!K855="Normative")</f>
        <v>1</v>
      </c>
      <c r="R853" s="87" t="b">
        <f>AND(Requirements!L855&lt;&gt;"Non-testable",Requirements!L855&lt;&gt;"Deleted",Requirements!L855&lt;&gt;"")</f>
        <v>1</v>
      </c>
      <c r="S853" s="87" t="b">
        <f>(VLOOKUP(Requirements!I855,Scope[[Role]:[Description]],2,FALSE)="In")</f>
        <v>1</v>
      </c>
      <c r="T853" s="87">
        <f t="shared" si="55"/>
        <v>1</v>
      </c>
    </row>
    <row r="854" spans="1:20">
      <c r="A854" s="44" t="str">
        <f>Requirements!A856</f>
        <v>MS-SMB_R9455</v>
      </c>
      <c r="B854" s="87"/>
      <c r="C854" s="87"/>
      <c r="D854" s="87"/>
      <c r="E854" s="87"/>
      <c r="F854" s="87"/>
      <c r="G854" s="87"/>
      <c r="H854" s="87"/>
      <c r="I854" s="87"/>
      <c r="J854" s="87"/>
      <c r="K854" s="87"/>
      <c r="L854" s="87"/>
      <c r="M854" s="87"/>
      <c r="N854" s="87">
        <f t="shared" si="52"/>
        <v>0</v>
      </c>
      <c r="O854" s="87">
        <f t="shared" si="53"/>
        <v>0</v>
      </c>
      <c r="P854" s="87" t="b">
        <f t="shared" si="54"/>
        <v>0</v>
      </c>
      <c r="Q854" s="87" t="b">
        <f>(Requirements!K856="Normative")</f>
        <v>0</v>
      </c>
      <c r="R854" s="87" t="b">
        <f>AND(Requirements!L856&lt;&gt;"Non-testable",Requirements!L856&lt;&gt;"Deleted",Requirements!L856&lt;&gt;"")</f>
        <v>1</v>
      </c>
      <c r="S854" s="87" t="b">
        <f>(VLOOKUP(Requirements!I856,Scope[[Role]:[Description]],2,FALSE)="In")</f>
        <v>1</v>
      </c>
      <c r="T854" s="87">
        <f t="shared" si="55"/>
        <v>0</v>
      </c>
    </row>
    <row r="855" spans="1:20">
      <c r="A855" s="44" t="str">
        <f>Requirements!A857</f>
        <v>MS-SMB_R9456</v>
      </c>
      <c r="B855" s="87"/>
      <c r="C855" s="87"/>
      <c r="D855" s="87"/>
      <c r="E855" s="87"/>
      <c r="F855" s="87"/>
      <c r="G855" s="87"/>
      <c r="H855" s="87"/>
      <c r="I855" s="87"/>
      <c r="J855" s="87"/>
      <c r="K855" s="87"/>
      <c r="L855" s="87"/>
      <c r="M855" s="87"/>
      <c r="N855" s="87">
        <f t="shared" si="52"/>
        <v>0</v>
      </c>
      <c r="O855" s="87">
        <f t="shared" si="53"/>
        <v>0</v>
      </c>
      <c r="P855" s="87" t="b">
        <f t="shared" si="54"/>
        <v>0</v>
      </c>
      <c r="Q855" s="87" t="b">
        <f>(Requirements!K857="Normative")</f>
        <v>0</v>
      </c>
      <c r="R855" s="87" t="b">
        <f>AND(Requirements!L857&lt;&gt;"Non-testable",Requirements!L857&lt;&gt;"Deleted",Requirements!L857&lt;&gt;"")</f>
        <v>1</v>
      </c>
      <c r="S855" s="87" t="b">
        <f>(VLOOKUP(Requirements!I857,Scope[[Role]:[Description]],2,FALSE)="In")</f>
        <v>1</v>
      </c>
      <c r="T855" s="87">
        <f t="shared" si="55"/>
        <v>0</v>
      </c>
    </row>
    <row r="856" spans="1:20">
      <c r="A856" s="44" t="str">
        <f>Requirements!A858</f>
        <v>MS-SMB_R9457</v>
      </c>
      <c r="B856" s="87"/>
      <c r="C856" s="87"/>
      <c r="D856" s="87"/>
      <c r="E856" s="87"/>
      <c r="F856" s="87"/>
      <c r="G856" s="87"/>
      <c r="H856" s="87"/>
      <c r="I856" s="87"/>
      <c r="J856" s="87"/>
      <c r="K856" s="87"/>
      <c r="L856" s="87"/>
      <c r="M856" s="87"/>
      <c r="N856" s="87">
        <f t="shared" si="52"/>
        <v>0</v>
      </c>
      <c r="O856" s="87">
        <f t="shared" si="53"/>
        <v>0</v>
      </c>
      <c r="P856" s="87" t="b">
        <f t="shared" si="54"/>
        <v>0</v>
      </c>
      <c r="Q856" s="87" t="b">
        <f>(Requirements!K858="Normative")</f>
        <v>0</v>
      </c>
      <c r="R856" s="87" t="b">
        <f>AND(Requirements!L858&lt;&gt;"Non-testable",Requirements!L858&lt;&gt;"Deleted",Requirements!L858&lt;&gt;"")</f>
        <v>1</v>
      </c>
      <c r="S856" s="87" t="b">
        <f>(VLOOKUP(Requirements!I858,Scope[[Role]:[Description]],2,FALSE)="In")</f>
        <v>1</v>
      </c>
      <c r="T856" s="87">
        <f t="shared" si="55"/>
        <v>0</v>
      </c>
    </row>
    <row r="857" spans="1:20">
      <c r="A857" s="85" t="str">
        <f>Requirements!A859</f>
        <v>MS-SMB_R9458</v>
      </c>
      <c r="B857" s="87"/>
      <c r="C857" s="87"/>
      <c r="D857" s="87"/>
      <c r="E857" s="87"/>
      <c r="F857" s="87"/>
      <c r="G857" s="87"/>
      <c r="H857" s="87"/>
      <c r="I857" s="87"/>
      <c r="J857" s="87"/>
      <c r="K857" s="87"/>
      <c r="L857" s="87"/>
      <c r="M857" s="87"/>
      <c r="N857" s="87">
        <f t="shared" si="52"/>
        <v>0</v>
      </c>
      <c r="O857" s="61">
        <f t="shared" si="53"/>
        <v>0</v>
      </c>
      <c r="P857" s="61" t="b">
        <f t="shared" si="54"/>
        <v>1</v>
      </c>
      <c r="Q857" s="87" t="b">
        <f>(Requirements!K859="Normative")</f>
        <v>1</v>
      </c>
      <c r="R857" s="87" t="b">
        <f>AND(Requirements!L859&lt;&gt;"Non-testable",Requirements!L859&lt;&gt;"Deleted",Requirements!L859&lt;&gt;"")</f>
        <v>1</v>
      </c>
      <c r="S857" s="87" t="b">
        <f>(VLOOKUP(Requirements!I859,Scope[[Role]:[Description]],2,FALSE)="In")</f>
        <v>1</v>
      </c>
      <c r="T857" s="87">
        <f t="shared" si="55"/>
        <v>0</v>
      </c>
    </row>
    <row r="858" spans="1:20">
      <c r="A858" s="85" t="str">
        <f>Requirements!A860</f>
        <v>MS-SMB_R9459</v>
      </c>
      <c r="B858" s="87"/>
      <c r="C858" s="87"/>
      <c r="D858" s="87"/>
      <c r="E858" s="87"/>
      <c r="F858" s="87"/>
      <c r="G858" s="87"/>
      <c r="H858" s="87"/>
      <c r="I858" s="87"/>
      <c r="J858" s="87"/>
      <c r="K858" s="87"/>
      <c r="L858" s="87"/>
      <c r="M858" s="87"/>
      <c r="N858" s="87">
        <f t="shared" si="52"/>
        <v>0</v>
      </c>
      <c r="O858" s="61">
        <f t="shared" si="53"/>
        <v>0</v>
      </c>
      <c r="P858" s="61" t="b">
        <f t="shared" si="54"/>
        <v>1</v>
      </c>
      <c r="Q858" s="87" t="b">
        <f>(Requirements!K860="Normative")</f>
        <v>1</v>
      </c>
      <c r="R858" s="87" t="b">
        <f>AND(Requirements!L860&lt;&gt;"Non-testable",Requirements!L860&lt;&gt;"Deleted",Requirements!L860&lt;&gt;"")</f>
        <v>1</v>
      </c>
      <c r="S858" s="87" t="b">
        <f>(VLOOKUP(Requirements!I860,Scope[[Role]:[Description]],2,FALSE)="In")</f>
        <v>1</v>
      </c>
      <c r="T858" s="87">
        <f t="shared" si="55"/>
        <v>0</v>
      </c>
    </row>
    <row r="859" spans="1:20">
      <c r="A859" s="44" t="str">
        <f>Requirements!A861</f>
        <v>MS-SMB_R9460</v>
      </c>
      <c r="B859" s="87"/>
      <c r="C859" s="87"/>
      <c r="D859" s="87"/>
      <c r="E859" s="87"/>
      <c r="F859" s="87"/>
      <c r="G859" s="87"/>
      <c r="H859" s="87"/>
      <c r="I859" s="87"/>
      <c r="J859" s="87"/>
      <c r="K859" s="87"/>
      <c r="L859" s="87"/>
      <c r="M859" s="87"/>
      <c r="N859" s="87">
        <f t="shared" si="52"/>
        <v>0</v>
      </c>
      <c r="O859" s="87">
        <f t="shared" si="53"/>
        <v>0</v>
      </c>
      <c r="P859" s="87" t="b">
        <f t="shared" si="54"/>
        <v>0</v>
      </c>
      <c r="Q859" s="87" t="b">
        <f>(Requirements!K861="Normative")</f>
        <v>0</v>
      </c>
      <c r="R859" s="87" t="b">
        <f>AND(Requirements!L861&lt;&gt;"Non-testable",Requirements!L861&lt;&gt;"Deleted",Requirements!L861&lt;&gt;"")</f>
        <v>1</v>
      </c>
      <c r="S859" s="87" t="b">
        <f>(VLOOKUP(Requirements!I861,Scope[[Role]:[Description]],2,FALSE)="In")</f>
        <v>1</v>
      </c>
      <c r="T859" s="87">
        <f t="shared" si="55"/>
        <v>0</v>
      </c>
    </row>
    <row r="860" spans="1:20">
      <c r="A860" s="85" t="str">
        <f>Requirements!A862</f>
        <v>MS-SMB_R9461</v>
      </c>
      <c r="B860" s="87"/>
      <c r="C860" s="87"/>
      <c r="D860" s="87"/>
      <c r="E860" s="87"/>
      <c r="F860" s="87"/>
      <c r="G860" s="87"/>
      <c r="H860" s="87"/>
      <c r="I860" s="87"/>
      <c r="J860" s="87"/>
      <c r="K860" s="87"/>
      <c r="L860" s="87"/>
      <c r="M860" s="87"/>
      <c r="N860" s="87">
        <f t="shared" si="52"/>
        <v>0</v>
      </c>
      <c r="O860" s="61">
        <f t="shared" si="53"/>
        <v>0</v>
      </c>
      <c r="P860" s="61" t="b">
        <f t="shared" si="54"/>
        <v>1</v>
      </c>
      <c r="Q860" s="87" t="b">
        <f>(Requirements!K862="Normative")</f>
        <v>1</v>
      </c>
      <c r="R860" s="87" t="b">
        <f>AND(Requirements!L862&lt;&gt;"Non-testable",Requirements!L862&lt;&gt;"Deleted",Requirements!L862&lt;&gt;"")</f>
        <v>1</v>
      </c>
      <c r="S860" s="87" t="b">
        <f>(VLOOKUP(Requirements!I862,Scope[[Role]:[Description]],2,FALSE)="In")</f>
        <v>1</v>
      </c>
      <c r="T860" s="87">
        <f t="shared" si="55"/>
        <v>0</v>
      </c>
    </row>
    <row r="861" spans="1:20">
      <c r="A861" s="44" t="str">
        <f>Requirements!A863</f>
        <v>MS-SMB_R9462</v>
      </c>
      <c r="B861" s="87"/>
      <c r="C861" s="87"/>
      <c r="D861" s="87"/>
      <c r="E861" s="87"/>
      <c r="F861" s="87"/>
      <c r="G861" s="87"/>
      <c r="H861" s="87"/>
      <c r="I861" s="87"/>
      <c r="J861" s="87"/>
      <c r="K861" s="87"/>
      <c r="L861" s="87"/>
      <c r="M861" s="87"/>
      <c r="N861" s="87">
        <f t="shared" si="52"/>
        <v>0</v>
      </c>
      <c r="O861" s="87">
        <f t="shared" si="53"/>
        <v>0</v>
      </c>
      <c r="P861" s="87" t="b">
        <f t="shared" si="54"/>
        <v>0</v>
      </c>
      <c r="Q861" s="87" t="b">
        <f>(Requirements!K863="Normative")</f>
        <v>0</v>
      </c>
      <c r="R861" s="87" t="b">
        <f>AND(Requirements!L863&lt;&gt;"Non-testable",Requirements!L863&lt;&gt;"Deleted",Requirements!L863&lt;&gt;"")</f>
        <v>1</v>
      </c>
      <c r="S861" s="87" t="b">
        <f>(VLOOKUP(Requirements!I863,Scope[[Role]:[Description]],2,FALSE)="In")</f>
        <v>1</v>
      </c>
      <c r="T861" s="87">
        <f t="shared" si="55"/>
        <v>0</v>
      </c>
    </row>
    <row r="862" spans="1:20">
      <c r="A862" s="84" t="str">
        <f>Requirements!A864</f>
        <v>MS-SMB_R9463</v>
      </c>
      <c r="B862" s="87"/>
      <c r="C862" s="87"/>
      <c r="D862" s="87"/>
      <c r="E862" s="87"/>
      <c r="F862" s="87"/>
      <c r="G862" s="87">
        <v>1</v>
      </c>
      <c r="H862" s="87"/>
      <c r="I862" s="87"/>
      <c r="J862" s="87"/>
      <c r="K862" s="87"/>
      <c r="L862" s="87"/>
      <c r="M862" s="87"/>
      <c r="N862" s="87">
        <f t="shared" si="52"/>
        <v>1</v>
      </c>
      <c r="O862" s="60">
        <f t="shared" si="53"/>
        <v>1</v>
      </c>
      <c r="P862" s="60" t="b">
        <f t="shared" si="54"/>
        <v>1</v>
      </c>
      <c r="Q862" s="87" t="b">
        <f>(Requirements!K864="Normative")</f>
        <v>1</v>
      </c>
      <c r="R862" s="87" t="b">
        <f>AND(Requirements!L864&lt;&gt;"Non-testable",Requirements!L864&lt;&gt;"Deleted",Requirements!L864&lt;&gt;"")</f>
        <v>1</v>
      </c>
      <c r="S862" s="87" t="b">
        <f>(VLOOKUP(Requirements!I864,Scope[[Role]:[Description]],2,FALSE)="In")</f>
        <v>1</v>
      </c>
      <c r="T862" s="87">
        <f t="shared" si="55"/>
        <v>1</v>
      </c>
    </row>
    <row r="863" spans="1:20">
      <c r="A863" s="44" t="str">
        <f>Requirements!A865</f>
        <v>MS-SMB_R9464</v>
      </c>
      <c r="B863" s="87"/>
      <c r="C863" s="87"/>
      <c r="D863" s="87"/>
      <c r="E863" s="87"/>
      <c r="F863" s="87"/>
      <c r="G863" s="87"/>
      <c r="H863" s="87"/>
      <c r="I863" s="87"/>
      <c r="J863" s="87"/>
      <c r="K863" s="87"/>
      <c r="L863" s="87"/>
      <c r="M863" s="87"/>
      <c r="N863" s="87">
        <f t="shared" si="52"/>
        <v>0</v>
      </c>
      <c r="O863" s="87">
        <f t="shared" si="53"/>
        <v>0</v>
      </c>
      <c r="P863" s="87" t="b">
        <f t="shared" si="54"/>
        <v>0</v>
      </c>
      <c r="Q863" s="87" t="b">
        <f>(Requirements!K865="Normative")</f>
        <v>0</v>
      </c>
      <c r="R863" s="87" t="b">
        <f>AND(Requirements!L865&lt;&gt;"Non-testable",Requirements!L865&lt;&gt;"Deleted",Requirements!L865&lt;&gt;"")</f>
        <v>1</v>
      </c>
      <c r="S863" s="87" t="b">
        <f>(VLOOKUP(Requirements!I865,Scope[[Role]:[Description]],2,FALSE)="In")</f>
        <v>1</v>
      </c>
      <c r="T863" s="87">
        <f t="shared" si="55"/>
        <v>0</v>
      </c>
    </row>
    <row r="864" spans="1:20">
      <c r="A864" s="44" t="str">
        <f>Requirements!A866</f>
        <v>MS-SMB_R9465</v>
      </c>
      <c r="B864" s="87"/>
      <c r="C864" s="87"/>
      <c r="D864" s="87"/>
      <c r="E864" s="87"/>
      <c r="F864" s="87"/>
      <c r="G864" s="87"/>
      <c r="H864" s="87"/>
      <c r="I864" s="87"/>
      <c r="J864" s="87"/>
      <c r="K864" s="87"/>
      <c r="L864" s="87"/>
      <c r="M864" s="87"/>
      <c r="N864" s="87">
        <f t="shared" si="52"/>
        <v>0</v>
      </c>
      <c r="O864" s="87">
        <f t="shared" si="53"/>
        <v>0</v>
      </c>
      <c r="P864" s="87" t="b">
        <f t="shared" si="54"/>
        <v>0</v>
      </c>
      <c r="Q864" s="87" t="b">
        <f>(Requirements!K866="Normative")</f>
        <v>0</v>
      </c>
      <c r="R864" s="87" t="b">
        <f>AND(Requirements!L866&lt;&gt;"Non-testable",Requirements!L866&lt;&gt;"Deleted",Requirements!L866&lt;&gt;"")</f>
        <v>1</v>
      </c>
      <c r="S864" s="87" t="b">
        <f>(VLOOKUP(Requirements!I866,Scope[[Role]:[Description]],2,FALSE)="In")</f>
        <v>1</v>
      </c>
      <c r="T864" s="87">
        <f t="shared" si="55"/>
        <v>0</v>
      </c>
    </row>
    <row r="865" spans="1:20">
      <c r="A865" s="44" t="str">
        <f>Requirements!A867</f>
        <v>MS-SMB_R9466</v>
      </c>
      <c r="B865" s="87"/>
      <c r="C865" s="87"/>
      <c r="D865" s="87"/>
      <c r="E865" s="87"/>
      <c r="F865" s="87"/>
      <c r="G865" s="87"/>
      <c r="H865" s="87"/>
      <c r="I865" s="87"/>
      <c r="J865" s="87"/>
      <c r="K865" s="87"/>
      <c r="L865" s="87"/>
      <c r="M865" s="87"/>
      <c r="N865" s="87">
        <f t="shared" si="52"/>
        <v>0</v>
      </c>
      <c r="O865" s="87">
        <f t="shared" si="53"/>
        <v>0</v>
      </c>
      <c r="P865" s="87" t="b">
        <f t="shared" si="54"/>
        <v>0</v>
      </c>
      <c r="Q865" s="87" t="b">
        <f>(Requirements!K867="Normative")</f>
        <v>0</v>
      </c>
      <c r="R865" s="87" t="b">
        <f>AND(Requirements!L867&lt;&gt;"Non-testable",Requirements!L867&lt;&gt;"Deleted",Requirements!L867&lt;&gt;"")</f>
        <v>1</v>
      </c>
      <c r="S865" s="87" t="b">
        <f>(VLOOKUP(Requirements!I867,Scope[[Role]:[Description]],2,FALSE)="In")</f>
        <v>1</v>
      </c>
      <c r="T865" s="87">
        <f t="shared" si="55"/>
        <v>0</v>
      </c>
    </row>
    <row r="866" spans="1:20">
      <c r="A866" s="84" t="str">
        <f>Requirements!A868</f>
        <v>MS-SMB_R119466</v>
      </c>
      <c r="B866" s="87"/>
      <c r="C866" s="87"/>
      <c r="D866" s="87"/>
      <c r="E866" s="87"/>
      <c r="F866" s="87"/>
      <c r="G866" s="87">
        <v>1</v>
      </c>
      <c r="H866" s="87"/>
      <c r="I866" s="87"/>
      <c r="J866" s="87"/>
      <c r="K866" s="87"/>
      <c r="L866" s="87"/>
      <c r="M866" s="87"/>
      <c r="N866" s="87">
        <f t="shared" si="52"/>
        <v>1</v>
      </c>
      <c r="O866" s="60">
        <f t="shared" si="53"/>
        <v>1</v>
      </c>
      <c r="P866" s="60" t="b">
        <f t="shared" si="54"/>
        <v>1</v>
      </c>
      <c r="Q866" s="87" t="b">
        <f>(Requirements!K868="Normative")</f>
        <v>1</v>
      </c>
      <c r="R866" s="87" t="b">
        <f>AND(Requirements!L868&lt;&gt;"Non-testable",Requirements!L868&lt;&gt;"Deleted",Requirements!L868&lt;&gt;"")</f>
        <v>1</v>
      </c>
      <c r="S866" s="87" t="b">
        <f>(VLOOKUP(Requirements!I868,Scope[[Role]:[Description]],2,FALSE)="In")</f>
        <v>1</v>
      </c>
      <c r="T866" s="87">
        <f t="shared" si="55"/>
        <v>1</v>
      </c>
    </row>
    <row r="867" spans="1:20">
      <c r="A867" s="85" t="str">
        <f>Requirements!A869</f>
        <v>MS-SMB_R119467</v>
      </c>
      <c r="B867" s="87"/>
      <c r="C867" s="87"/>
      <c r="D867" s="87"/>
      <c r="E867" s="87"/>
      <c r="F867" s="87"/>
      <c r="G867" s="87"/>
      <c r="H867" s="87"/>
      <c r="I867" s="87"/>
      <c r="J867" s="87"/>
      <c r="K867" s="87"/>
      <c r="L867" s="87"/>
      <c r="M867" s="87"/>
      <c r="N867" s="87">
        <f t="shared" si="52"/>
        <v>0</v>
      </c>
      <c r="O867" s="61">
        <f t="shared" si="53"/>
        <v>0</v>
      </c>
      <c r="P867" s="61" t="b">
        <f t="shared" si="54"/>
        <v>1</v>
      </c>
      <c r="Q867" s="87" t="b">
        <f>(Requirements!K869="Normative")</f>
        <v>1</v>
      </c>
      <c r="R867" s="87" t="b">
        <f>AND(Requirements!L869&lt;&gt;"Non-testable",Requirements!L869&lt;&gt;"Deleted",Requirements!L869&lt;&gt;"")</f>
        <v>1</v>
      </c>
      <c r="S867" s="87" t="b">
        <f>(VLOOKUP(Requirements!I869,Scope[[Role]:[Description]],2,FALSE)="In")</f>
        <v>1</v>
      </c>
      <c r="T867" s="87">
        <f t="shared" si="55"/>
        <v>0</v>
      </c>
    </row>
    <row r="868" spans="1:20">
      <c r="A868" s="84" t="str">
        <f>Requirements!A870</f>
        <v>MS-SMB_R119468</v>
      </c>
      <c r="B868" s="87"/>
      <c r="C868" s="87"/>
      <c r="D868" s="87"/>
      <c r="E868" s="87"/>
      <c r="F868" s="87"/>
      <c r="G868" s="87">
        <v>1</v>
      </c>
      <c r="H868" s="87"/>
      <c r="I868" s="87"/>
      <c r="J868" s="87"/>
      <c r="K868" s="87"/>
      <c r="L868" s="87"/>
      <c r="M868" s="87"/>
      <c r="N868" s="87">
        <f t="shared" si="52"/>
        <v>1</v>
      </c>
      <c r="O868" s="60">
        <f t="shared" si="53"/>
        <v>1</v>
      </c>
      <c r="P868" s="60" t="b">
        <f t="shared" si="54"/>
        <v>1</v>
      </c>
      <c r="Q868" s="87" t="b">
        <f>(Requirements!K870="Normative")</f>
        <v>1</v>
      </c>
      <c r="R868" s="87" t="b">
        <f>AND(Requirements!L870&lt;&gt;"Non-testable",Requirements!L870&lt;&gt;"Deleted",Requirements!L870&lt;&gt;"")</f>
        <v>1</v>
      </c>
      <c r="S868" s="87" t="b">
        <f>(VLOOKUP(Requirements!I870,Scope[[Role]:[Description]],2,FALSE)="In")</f>
        <v>1</v>
      </c>
      <c r="T868" s="87">
        <f t="shared" si="55"/>
        <v>1</v>
      </c>
    </row>
    <row r="869" spans="1:20">
      <c r="A869" s="84" t="str">
        <f>Requirements!A871</f>
        <v>MS-SMB_R1109468</v>
      </c>
      <c r="B869" s="87"/>
      <c r="C869" s="87"/>
      <c r="D869" s="87"/>
      <c r="E869" s="87"/>
      <c r="F869" s="87"/>
      <c r="G869" s="87">
        <v>1</v>
      </c>
      <c r="H869" s="87"/>
      <c r="I869" s="87"/>
      <c r="J869" s="87"/>
      <c r="K869" s="87"/>
      <c r="L869" s="87"/>
      <c r="M869" s="87"/>
      <c r="N869" s="87">
        <f t="shared" si="52"/>
        <v>1</v>
      </c>
      <c r="O869" s="60">
        <f t="shared" si="53"/>
        <v>1</v>
      </c>
      <c r="P869" s="60" t="b">
        <f t="shared" si="54"/>
        <v>1</v>
      </c>
      <c r="Q869" s="87" t="b">
        <f>(Requirements!K871="Normative")</f>
        <v>1</v>
      </c>
      <c r="R869" s="87" t="b">
        <f>AND(Requirements!L871&lt;&gt;"Non-testable",Requirements!L871&lt;&gt;"Deleted",Requirements!L871&lt;&gt;"")</f>
        <v>1</v>
      </c>
      <c r="S869" s="87" t="b">
        <f>(VLOOKUP(Requirements!I871,Scope[[Role]:[Description]],2,FALSE)="In")</f>
        <v>1</v>
      </c>
      <c r="T869" s="87">
        <f t="shared" si="55"/>
        <v>1</v>
      </c>
    </row>
    <row r="870" spans="1:20">
      <c r="A870" s="85" t="str">
        <f>Requirements!A872</f>
        <v>MS-SMB_R119469</v>
      </c>
      <c r="B870" s="87"/>
      <c r="C870" s="87"/>
      <c r="D870" s="87"/>
      <c r="E870" s="87"/>
      <c r="F870" s="87"/>
      <c r="G870" s="87"/>
      <c r="H870" s="87"/>
      <c r="I870" s="87"/>
      <c r="J870" s="87"/>
      <c r="K870" s="87"/>
      <c r="L870" s="87"/>
      <c r="M870" s="87"/>
      <c r="N870" s="87">
        <f t="shared" si="52"/>
        <v>0</v>
      </c>
      <c r="O870" s="61">
        <f t="shared" si="53"/>
        <v>0</v>
      </c>
      <c r="P870" s="61" t="b">
        <f t="shared" si="54"/>
        <v>1</v>
      </c>
      <c r="Q870" s="87" t="b">
        <f>(Requirements!K872="Normative")</f>
        <v>1</v>
      </c>
      <c r="R870" s="87" t="b">
        <f>AND(Requirements!L872&lt;&gt;"Non-testable",Requirements!L872&lt;&gt;"Deleted",Requirements!L872&lt;&gt;"")</f>
        <v>1</v>
      </c>
      <c r="S870" s="87" t="b">
        <f>(VLOOKUP(Requirements!I872,Scope[[Role]:[Description]],2,FALSE)="In")</f>
        <v>1</v>
      </c>
      <c r="T870" s="87">
        <f t="shared" si="55"/>
        <v>0</v>
      </c>
    </row>
    <row r="871" spans="1:20">
      <c r="A871" s="84" t="str">
        <f>Requirements!A873</f>
        <v>MS-SMB_R119470</v>
      </c>
      <c r="B871" s="87"/>
      <c r="C871" s="87"/>
      <c r="D871" s="87"/>
      <c r="E871" s="87"/>
      <c r="F871" s="87"/>
      <c r="G871" s="87">
        <v>1</v>
      </c>
      <c r="H871" s="87"/>
      <c r="I871" s="87"/>
      <c r="J871" s="87"/>
      <c r="K871" s="87"/>
      <c r="L871" s="87"/>
      <c r="M871" s="87"/>
      <c r="N871" s="87">
        <f t="shared" si="52"/>
        <v>1</v>
      </c>
      <c r="O871" s="60">
        <f t="shared" si="53"/>
        <v>1</v>
      </c>
      <c r="P871" s="60" t="b">
        <f t="shared" si="54"/>
        <v>1</v>
      </c>
      <c r="Q871" s="87" t="b">
        <f>(Requirements!K873="Normative")</f>
        <v>1</v>
      </c>
      <c r="R871" s="87" t="b">
        <f>AND(Requirements!L873&lt;&gt;"Non-testable",Requirements!L873&lt;&gt;"Deleted",Requirements!L873&lt;&gt;"")</f>
        <v>1</v>
      </c>
      <c r="S871" s="87" t="b">
        <f>(VLOOKUP(Requirements!I873,Scope[[Role]:[Description]],2,FALSE)="In")</f>
        <v>1</v>
      </c>
      <c r="T871" s="87">
        <f t="shared" si="55"/>
        <v>1</v>
      </c>
    </row>
    <row r="872" spans="1:20">
      <c r="A872" s="84" t="str">
        <f>Requirements!A874</f>
        <v>MS-SMB_R1109470</v>
      </c>
      <c r="B872" s="87"/>
      <c r="C872" s="87"/>
      <c r="D872" s="87"/>
      <c r="E872" s="87"/>
      <c r="F872" s="87"/>
      <c r="G872" s="87">
        <v>1</v>
      </c>
      <c r="H872" s="87"/>
      <c r="I872" s="87"/>
      <c r="J872" s="87"/>
      <c r="K872" s="87"/>
      <c r="L872" s="87"/>
      <c r="M872" s="87"/>
      <c r="N872" s="87">
        <f t="shared" si="52"/>
        <v>1</v>
      </c>
      <c r="O872" s="60">
        <f t="shared" si="53"/>
        <v>1</v>
      </c>
      <c r="P872" s="60" t="b">
        <f t="shared" si="54"/>
        <v>1</v>
      </c>
      <c r="Q872" s="87" t="b">
        <f>(Requirements!K874="Normative")</f>
        <v>1</v>
      </c>
      <c r="R872" s="87" t="b">
        <f>AND(Requirements!L874&lt;&gt;"Non-testable",Requirements!L874&lt;&gt;"Deleted",Requirements!L874&lt;&gt;"")</f>
        <v>1</v>
      </c>
      <c r="S872" s="87" t="b">
        <f>(VLOOKUP(Requirements!I874,Scope[[Role]:[Description]],2,FALSE)="In")</f>
        <v>1</v>
      </c>
      <c r="T872" s="87">
        <f t="shared" si="55"/>
        <v>1</v>
      </c>
    </row>
    <row r="873" spans="1:20">
      <c r="A873" s="85" t="str">
        <f>Requirements!A875</f>
        <v>MS-SMB_R119471</v>
      </c>
      <c r="B873" s="87"/>
      <c r="C873" s="87"/>
      <c r="D873" s="87"/>
      <c r="E873" s="87"/>
      <c r="F873" s="87"/>
      <c r="G873" s="87"/>
      <c r="H873" s="87"/>
      <c r="I873" s="87"/>
      <c r="J873" s="87"/>
      <c r="K873" s="87"/>
      <c r="L873" s="87"/>
      <c r="M873" s="87"/>
      <c r="N873" s="87">
        <f t="shared" si="52"/>
        <v>0</v>
      </c>
      <c r="O873" s="61">
        <f t="shared" si="53"/>
        <v>0</v>
      </c>
      <c r="P873" s="61" t="b">
        <f t="shared" si="54"/>
        <v>1</v>
      </c>
      <c r="Q873" s="87" t="b">
        <f>(Requirements!K875="Normative")</f>
        <v>1</v>
      </c>
      <c r="R873" s="87" t="b">
        <f>AND(Requirements!L875&lt;&gt;"Non-testable",Requirements!L875&lt;&gt;"Deleted",Requirements!L875&lt;&gt;"")</f>
        <v>1</v>
      </c>
      <c r="S873" s="87" t="b">
        <f>(VLOOKUP(Requirements!I875,Scope[[Role]:[Description]],2,FALSE)="In")</f>
        <v>1</v>
      </c>
      <c r="T873" s="87">
        <f t="shared" si="55"/>
        <v>0</v>
      </c>
    </row>
    <row r="874" spans="1:20">
      <c r="A874" s="84" t="str">
        <f>Requirements!A876</f>
        <v>MS-SMB_R119472</v>
      </c>
      <c r="B874" s="87"/>
      <c r="C874" s="87"/>
      <c r="D874" s="87"/>
      <c r="E874" s="87"/>
      <c r="F874" s="87"/>
      <c r="G874" s="87">
        <v>1</v>
      </c>
      <c r="H874" s="87"/>
      <c r="I874" s="87"/>
      <c r="J874" s="87"/>
      <c r="K874" s="87"/>
      <c r="L874" s="87"/>
      <c r="M874" s="87"/>
      <c r="N874" s="87">
        <f t="shared" si="52"/>
        <v>1</v>
      </c>
      <c r="O874" s="60">
        <f t="shared" si="53"/>
        <v>1</v>
      </c>
      <c r="P874" s="60" t="b">
        <f t="shared" si="54"/>
        <v>1</v>
      </c>
      <c r="Q874" s="87" t="b">
        <f>(Requirements!K876="Normative")</f>
        <v>1</v>
      </c>
      <c r="R874" s="87" t="b">
        <f>AND(Requirements!L876&lt;&gt;"Non-testable",Requirements!L876&lt;&gt;"Deleted",Requirements!L876&lt;&gt;"")</f>
        <v>1</v>
      </c>
      <c r="S874" s="87" t="b">
        <f>(VLOOKUP(Requirements!I876,Scope[[Role]:[Description]],2,FALSE)="In")</f>
        <v>1</v>
      </c>
      <c r="T874" s="87">
        <f t="shared" si="55"/>
        <v>1</v>
      </c>
    </row>
    <row r="875" spans="1:20">
      <c r="A875" s="85" t="str">
        <f>Requirements!A877</f>
        <v>MS-SMB_R119473</v>
      </c>
      <c r="B875" s="87"/>
      <c r="C875" s="87"/>
      <c r="D875" s="87"/>
      <c r="E875" s="87"/>
      <c r="F875" s="87"/>
      <c r="G875" s="87"/>
      <c r="H875" s="87"/>
      <c r="I875" s="87"/>
      <c r="J875" s="87"/>
      <c r="K875" s="87"/>
      <c r="L875" s="87"/>
      <c r="M875" s="87"/>
      <c r="N875" s="87">
        <f t="shared" si="52"/>
        <v>0</v>
      </c>
      <c r="O875" s="61">
        <f t="shared" si="53"/>
        <v>0</v>
      </c>
      <c r="P875" s="61" t="b">
        <f t="shared" si="54"/>
        <v>1</v>
      </c>
      <c r="Q875" s="87" t="b">
        <f>(Requirements!K877="Normative")</f>
        <v>1</v>
      </c>
      <c r="R875" s="87" t="b">
        <f>AND(Requirements!L877&lt;&gt;"Non-testable",Requirements!L877&lt;&gt;"Deleted",Requirements!L877&lt;&gt;"")</f>
        <v>1</v>
      </c>
      <c r="S875" s="87" t="b">
        <f>(VLOOKUP(Requirements!I877,Scope[[Role]:[Description]],2,FALSE)="In")</f>
        <v>1</v>
      </c>
      <c r="T875" s="87">
        <f t="shared" si="55"/>
        <v>0</v>
      </c>
    </row>
    <row r="876" spans="1:20">
      <c r="A876" s="84" t="str">
        <f>Requirements!A878</f>
        <v>MS-SMB_R119474</v>
      </c>
      <c r="B876" s="87"/>
      <c r="C876" s="87"/>
      <c r="D876" s="87"/>
      <c r="E876" s="87"/>
      <c r="F876" s="87"/>
      <c r="G876" s="87">
        <v>1</v>
      </c>
      <c r="H876" s="87"/>
      <c r="I876" s="87"/>
      <c r="J876" s="87"/>
      <c r="K876" s="87"/>
      <c r="L876" s="87"/>
      <c r="M876" s="87"/>
      <c r="N876" s="87">
        <f t="shared" si="52"/>
        <v>1</v>
      </c>
      <c r="O876" s="60">
        <f t="shared" si="53"/>
        <v>1</v>
      </c>
      <c r="P876" s="60" t="b">
        <f t="shared" si="54"/>
        <v>1</v>
      </c>
      <c r="Q876" s="87" t="b">
        <f>(Requirements!K878="Normative")</f>
        <v>1</v>
      </c>
      <c r="R876" s="87" t="b">
        <f>AND(Requirements!L878&lt;&gt;"Non-testable",Requirements!L878&lt;&gt;"Deleted",Requirements!L878&lt;&gt;"")</f>
        <v>1</v>
      </c>
      <c r="S876" s="87" t="b">
        <f>(VLOOKUP(Requirements!I878,Scope[[Role]:[Description]],2,FALSE)="In")</f>
        <v>1</v>
      </c>
      <c r="T876" s="87">
        <f t="shared" si="55"/>
        <v>1</v>
      </c>
    </row>
    <row r="877" spans="1:20">
      <c r="A877" s="85" t="str">
        <f>Requirements!A879</f>
        <v>MS-SMB_R119475</v>
      </c>
      <c r="B877" s="87"/>
      <c r="C877" s="87"/>
      <c r="D877" s="87"/>
      <c r="E877" s="87"/>
      <c r="F877" s="87"/>
      <c r="G877" s="87"/>
      <c r="H877" s="87"/>
      <c r="I877" s="87"/>
      <c r="J877" s="87"/>
      <c r="K877" s="87"/>
      <c r="L877" s="87"/>
      <c r="M877" s="87"/>
      <c r="N877" s="87">
        <f t="shared" si="52"/>
        <v>0</v>
      </c>
      <c r="O877" s="61">
        <f t="shared" si="53"/>
        <v>0</v>
      </c>
      <c r="P877" s="61" t="b">
        <f t="shared" si="54"/>
        <v>1</v>
      </c>
      <c r="Q877" s="87" t="b">
        <f>(Requirements!K879="Normative")</f>
        <v>1</v>
      </c>
      <c r="R877" s="87" t="b">
        <f>AND(Requirements!L879&lt;&gt;"Non-testable",Requirements!L879&lt;&gt;"Deleted",Requirements!L879&lt;&gt;"")</f>
        <v>1</v>
      </c>
      <c r="S877" s="87" t="b">
        <f>(VLOOKUP(Requirements!I879,Scope[[Role]:[Description]],2,FALSE)="In")</f>
        <v>1</v>
      </c>
      <c r="T877" s="87">
        <f t="shared" si="55"/>
        <v>0</v>
      </c>
    </row>
    <row r="878" spans="1:20">
      <c r="A878" s="84" t="str">
        <f>Requirements!A880</f>
        <v>MS-SMB_R119476</v>
      </c>
      <c r="B878" s="87"/>
      <c r="C878" s="87"/>
      <c r="D878" s="87"/>
      <c r="E878" s="87"/>
      <c r="F878" s="87"/>
      <c r="G878" s="87">
        <v>1</v>
      </c>
      <c r="H878" s="87"/>
      <c r="I878" s="87"/>
      <c r="J878" s="87"/>
      <c r="K878" s="87"/>
      <c r="L878" s="87"/>
      <c r="M878" s="87"/>
      <c r="N878" s="87">
        <f t="shared" si="52"/>
        <v>1</v>
      </c>
      <c r="O878" s="60">
        <f t="shared" si="53"/>
        <v>1</v>
      </c>
      <c r="P878" s="60" t="b">
        <f t="shared" si="54"/>
        <v>1</v>
      </c>
      <c r="Q878" s="87" t="b">
        <f>(Requirements!K880="Normative")</f>
        <v>1</v>
      </c>
      <c r="R878" s="87" t="b">
        <f>AND(Requirements!L880&lt;&gt;"Non-testable",Requirements!L880&lt;&gt;"Deleted",Requirements!L880&lt;&gt;"")</f>
        <v>1</v>
      </c>
      <c r="S878" s="87" t="b">
        <f>(VLOOKUP(Requirements!I880,Scope[[Role]:[Description]],2,FALSE)="In")</f>
        <v>1</v>
      </c>
      <c r="T878" s="87">
        <f t="shared" si="55"/>
        <v>1</v>
      </c>
    </row>
    <row r="879" spans="1:20">
      <c r="A879" s="85" t="str">
        <f>Requirements!A881</f>
        <v>MS-SMB_R119477</v>
      </c>
      <c r="B879" s="87"/>
      <c r="C879" s="87"/>
      <c r="D879" s="87"/>
      <c r="E879" s="87"/>
      <c r="F879" s="87"/>
      <c r="G879" s="87"/>
      <c r="H879" s="87"/>
      <c r="I879" s="87"/>
      <c r="J879" s="87"/>
      <c r="K879" s="87"/>
      <c r="L879" s="87"/>
      <c r="M879" s="87"/>
      <c r="N879" s="87">
        <f t="shared" si="52"/>
        <v>0</v>
      </c>
      <c r="O879" s="61">
        <f t="shared" si="53"/>
        <v>0</v>
      </c>
      <c r="P879" s="61" t="b">
        <f t="shared" si="54"/>
        <v>1</v>
      </c>
      <c r="Q879" s="87" t="b">
        <f>(Requirements!K881="Normative")</f>
        <v>1</v>
      </c>
      <c r="R879" s="87" t="b">
        <f>AND(Requirements!L881&lt;&gt;"Non-testable",Requirements!L881&lt;&gt;"Deleted",Requirements!L881&lt;&gt;"")</f>
        <v>1</v>
      </c>
      <c r="S879" s="87" t="b">
        <f>(VLOOKUP(Requirements!I881,Scope[[Role]:[Description]],2,FALSE)="In")</f>
        <v>1</v>
      </c>
      <c r="T879" s="87">
        <f t="shared" si="55"/>
        <v>0</v>
      </c>
    </row>
    <row r="880" spans="1:20">
      <c r="A880" s="84" t="str">
        <f>Requirements!A882</f>
        <v>MS-SMB_R119478</v>
      </c>
      <c r="B880" s="87"/>
      <c r="C880" s="87"/>
      <c r="D880" s="87"/>
      <c r="E880" s="87"/>
      <c r="F880" s="87"/>
      <c r="G880" s="87">
        <v>1</v>
      </c>
      <c r="H880" s="87"/>
      <c r="I880" s="87"/>
      <c r="J880" s="87"/>
      <c r="K880" s="87"/>
      <c r="L880" s="87"/>
      <c r="M880" s="87"/>
      <c r="N880" s="87">
        <f t="shared" si="52"/>
        <v>1</v>
      </c>
      <c r="O880" s="60">
        <f t="shared" si="53"/>
        <v>1</v>
      </c>
      <c r="P880" s="60" t="b">
        <f t="shared" si="54"/>
        <v>1</v>
      </c>
      <c r="Q880" s="87" t="b">
        <f>(Requirements!K882="Normative")</f>
        <v>1</v>
      </c>
      <c r="R880" s="87" t="b">
        <f>AND(Requirements!L882&lt;&gt;"Non-testable",Requirements!L882&lt;&gt;"Deleted",Requirements!L882&lt;&gt;"")</f>
        <v>1</v>
      </c>
      <c r="S880" s="87" t="b">
        <f>(VLOOKUP(Requirements!I882,Scope[[Role]:[Description]],2,FALSE)="In")</f>
        <v>1</v>
      </c>
      <c r="T880" s="87">
        <f t="shared" si="55"/>
        <v>1</v>
      </c>
    </row>
    <row r="881" spans="1:20">
      <c r="A881" s="85" t="str">
        <f>Requirements!A883</f>
        <v>MS-SMB_R119479</v>
      </c>
      <c r="B881" s="87"/>
      <c r="C881" s="87"/>
      <c r="D881" s="87"/>
      <c r="E881" s="87"/>
      <c r="F881" s="87"/>
      <c r="G881" s="87"/>
      <c r="H881" s="87"/>
      <c r="I881" s="87"/>
      <c r="J881" s="87"/>
      <c r="K881" s="87"/>
      <c r="L881" s="87"/>
      <c r="M881" s="87"/>
      <c r="N881" s="87">
        <f t="shared" si="52"/>
        <v>0</v>
      </c>
      <c r="O881" s="61">
        <f t="shared" si="53"/>
        <v>0</v>
      </c>
      <c r="P881" s="61" t="b">
        <f t="shared" si="54"/>
        <v>1</v>
      </c>
      <c r="Q881" s="87" t="b">
        <f>(Requirements!K883="Normative")</f>
        <v>1</v>
      </c>
      <c r="R881" s="87" t="b">
        <f>AND(Requirements!L883&lt;&gt;"Non-testable",Requirements!L883&lt;&gt;"Deleted",Requirements!L883&lt;&gt;"")</f>
        <v>1</v>
      </c>
      <c r="S881" s="87" t="b">
        <f>(VLOOKUP(Requirements!I883,Scope[[Role]:[Description]],2,FALSE)="In")</f>
        <v>1</v>
      </c>
      <c r="T881" s="87">
        <f t="shared" si="55"/>
        <v>0</v>
      </c>
    </row>
    <row r="882" spans="1:20">
      <c r="A882" s="44" t="str">
        <f>Requirements!A884</f>
        <v>MS-SMB_R119480</v>
      </c>
      <c r="B882" s="87"/>
      <c r="C882" s="87"/>
      <c r="D882" s="87"/>
      <c r="E882" s="87"/>
      <c r="F882" s="87"/>
      <c r="G882" s="87"/>
      <c r="H882" s="87"/>
      <c r="I882" s="87"/>
      <c r="J882" s="87"/>
      <c r="K882" s="87"/>
      <c r="L882" s="87"/>
      <c r="M882" s="87"/>
      <c r="N882" s="87">
        <f t="shared" si="52"/>
        <v>0</v>
      </c>
      <c r="O882" s="87">
        <f t="shared" si="53"/>
        <v>0</v>
      </c>
      <c r="P882" s="87" t="b">
        <f t="shared" si="54"/>
        <v>0</v>
      </c>
      <c r="Q882" s="87" t="b">
        <f>(Requirements!K884="Normative")</f>
        <v>1</v>
      </c>
      <c r="R882" s="87" t="b">
        <f>AND(Requirements!L884&lt;&gt;"Non-testable",Requirements!L884&lt;&gt;"Deleted",Requirements!L884&lt;&gt;"")</f>
        <v>0</v>
      </c>
      <c r="S882" s="87" t="b">
        <f>(VLOOKUP(Requirements!I884,Scope[[Role]:[Description]],2,FALSE)="In")</f>
        <v>1</v>
      </c>
      <c r="T882" s="87">
        <f t="shared" si="55"/>
        <v>0</v>
      </c>
    </row>
    <row r="883" spans="1:20">
      <c r="A883" s="44" t="str">
        <f>Requirements!A885</f>
        <v>MS-SMB_R1109480</v>
      </c>
      <c r="B883" s="87"/>
      <c r="C883" s="87"/>
      <c r="D883" s="87"/>
      <c r="E883" s="87"/>
      <c r="F883" s="87"/>
      <c r="G883" s="87"/>
      <c r="H883" s="87"/>
      <c r="I883" s="87"/>
      <c r="J883" s="87"/>
      <c r="K883" s="87"/>
      <c r="L883" s="87"/>
      <c r="M883" s="87"/>
      <c r="N883" s="87">
        <f t="shared" si="52"/>
        <v>0</v>
      </c>
      <c r="O883" s="87">
        <f t="shared" si="53"/>
        <v>0</v>
      </c>
      <c r="P883" s="87" t="b">
        <f t="shared" si="54"/>
        <v>0</v>
      </c>
      <c r="Q883" s="87" t="b">
        <f>(Requirements!K885="Normative")</f>
        <v>1</v>
      </c>
      <c r="R883" s="87" t="b">
        <f>AND(Requirements!L885&lt;&gt;"Non-testable",Requirements!L885&lt;&gt;"Deleted",Requirements!L885&lt;&gt;"")</f>
        <v>0</v>
      </c>
      <c r="S883" s="87" t="b">
        <f>(VLOOKUP(Requirements!I885,Scope[[Role]:[Description]],2,FALSE)="In")</f>
        <v>1</v>
      </c>
      <c r="T883" s="87">
        <f t="shared" si="55"/>
        <v>0</v>
      </c>
    </row>
    <row r="884" spans="1:20">
      <c r="A884" s="85" t="str">
        <f>Requirements!A886</f>
        <v>MS-SMB_R119481</v>
      </c>
      <c r="B884" s="87"/>
      <c r="C884" s="87"/>
      <c r="D884" s="87"/>
      <c r="E884" s="87"/>
      <c r="F884" s="87"/>
      <c r="G884" s="87"/>
      <c r="H884" s="87"/>
      <c r="I884" s="87"/>
      <c r="J884" s="87"/>
      <c r="K884" s="87"/>
      <c r="L884" s="87"/>
      <c r="M884" s="87"/>
      <c r="N884" s="87">
        <f t="shared" si="52"/>
        <v>0</v>
      </c>
      <c r="O884" s="61">
        <f t="shared" si="53"/>
        <v>0</v>
      </c>
      <c r="P884" s="61" t="b">
        <f t="shared" si="54"/>
        <v>1</v>
      </c>
      <c r="Q884" s="87" t="b">
        <f>(Requirements!K886="Normative")</f>
        <v>1</v>
      </c>
      <c r="R884" s="87" t="b">
        <f>AND(Requirements!L886&lt;&gt;"Non-testable",Requirements!L886&lt;&gt;"Deleted",Requirements!L886&lt;&gt;"")</f>
        <v>1</v>
      </c>
      <c r="S884" s="87" t="b">
        <f>(VLOOKUP(Requirements!I886,Scope[[Role]:[Description]],2,FALSE)="In")</f>
        <v>1</v>
      </c>
      <c r="T884" s="87">
        <f t="shared" si="55"/>
        <v>0</v>
      </c>
    </row>
    <row r="885" spans="1:20">
      <c r="A885" s="84" t="str">
        <f>Requirements!A887</f>
        <v>MS-SMB_R119482</v>
      </c>
      <c r="B885" s="87"/>
      <c r="C885" s="87"/>
      <c r="D885" s="87"/>
      <c r="E885" s="87"/>
      <c r="F885" s="87"/>
      <c r="G885" s="87">
        <v>1</v>
      </c>
      <c r="H885" s="87"/>
      <c r="I885" s="87"/>
      <c r="J885" s="87"/>
      <c r="K885" s="87"/>
      <c r="L885" s="87"/>
      <c r="M885" s="87"/>
      <c r="N885" s="87">
        <f t="shared" si="52"/>
        <v>1</v>
      </c>
      <c r="O885" s="60">
        <f t="shared" si="53"/>
        <v>1</v>
      </c>
      <c r="P885" s="60" t="b">
        <f t="shared" si="54"/>
        <v>1</v>
      </c>
      <c r="Q885" s="87" t="b">
        <f>(Requirements!K887="Normative")</f>
        <v>1</v>
      </c>
      <c r="R885" s="87" t="b">
        <f>AND(Requirements!L887&lt;&gt;"Non-testable",Requirements!L887&lt;&gt;"Deleted",Requirements!L887&lt;&gt;"")</f>
        <v>1</v>
      </c>
      <c r="S885" s="87" t="b">
        <f>(VLOOKUP(Requirements!I887,Scope[[Role]:[Description]],2,FALSE)="In")</f>
        <v>1</v>
      </c>
      <c r="T885" s="87">
        <f t="shared" si="55"/>
        <v>1</v>
      </c>
    </row>
    <row r="886" spans="1:20">
      <c r="A886" s="85" t="str">
        <f>Requirements!A888</f>
        <v>MS-SMB_R119483</v>
      </c>
      <c r="B886" s="87"/>
      <c r="C886" s="87"/>
      <c r="D886" s="87"/>
      <c r="E886" s="87"/>
      <c r="F886" s="87"/>
      <c r="G886" s="87"/>
      <c r="H886" s="87"/>
      <c r="I886" s="87"/>
      <c r="J886" s="87"/>
      <c r="K886" s="87"/>
      <c r="L886" s="87"/>
      <c r="M886" s="87"/>
      <c r="N886" s="87">
        <f t="shared" si="52"/>
        <v>0</v>
      </c>
      <c r="O886" s="61">
        <f t="shared" si="53"/>
        <v>0</v>
      </c>
      <c r="P886" s="61" t="b">
        <f t="shared" si="54"/>
        <v>1</v>
      </c>
      <c r="Q886" s="87" t="b">
        <f>(Requirements!K888="Normative")</f>
        <v>1</v>
      </c>
      <c r="R886" s="87" t="b">
        <f>AND(Requirements!L888&lt;&gt;"Non-testable",Requirements!L888&lt;&gt;"Deleted",Requirements!L888&lt;&gt;"")</f>
        <v>1</v>
      </c>
      <c r="S886" s="87" t="b">
        <f>(VLOOKUP(Requirements!I888,Scope[[Role]:[Description]],2,FALSE)="In")</f>
        <v>1</v>
      </c>
      <c r="T886" s="87">
        <f t="shared" si="55"/>
        <v>0</v>
      </c>
    </row>
    <row r="887" spans="1:20">
      <c r="A887" s="84" t="str">
        <f>Requirements!A889</f>
        <v>MS-SMB_R119484</v>
      </c>
      <c r="B887" s="87"/>
      <c r="C887" s="87"/>
      <c r="D887" s="87"/>
      <c r="E887" s="87"/>
      <c r="F887" s="87"/>
      <c r="G887" s="87">
        <v>1</v>
      </c>
      <c r="H887" s="87"/>
      <c r="I887" s="87"/>
      <c r="J887" s="87"/>
      <c r="K887" s="87"/>
      <c r="L887" s="87"/>
      <c r="M887" s="87"/>
      <c r="N887" s="87">
        <f t="shared" si="52"/>
        <v>1</v>
      </c>
      <c r="O887" s="60">
        <f t="shared" si="53"/>
        <v>1</v>
      </c>
      <c r="P887" s="60" t="b">
        <f t="shared" si="54"/>
        <v>1</v>
      </c>
      <c r="Q887" s="87" t="b">
        <f>(Requirements!K889="Normative")</f>
        <v>1</v>
      </c>
      <c r="R887" s="87" t="b">
        <f>AND(Requirements!L889&lt;&gt;"Non-testable",Requirements!L889&lt;&gt;"Deleted",Requirements!L889&lt;&gt;"")</f>
        <v>1</v>
      </c>
      <c r="S887" s="87" t="b">
        <f>(VLOOKUP(Requirements!I889,Scope[[Role]:[Description]],2,FALSE)="In")</f>
        <v>1</v>
      </c>
      <c r="T887" s="87">
        <f t="shared" si="55"/>
        <v>1</v>
      </c>
    </row>
    <row r="888" spans="1:20">
      <c r="A888" s="85" t="str">
        <f>Requirements!A890</f>
        <v>MS-SMB_R119485</v>
      </c>
      <c r="B888" s="87"/>
      <c r="C888" s="87"/>
      <c r="D888" s="87"/>
      <c r="E888" s="87"/>
      <c r="F888" s="87"/>
      <c r="G888" s="87"/>
      <c r="H888" s="87"/>
      <c r="I888" s="87"/>
      <c r="J888" s="87"/>
      <c r="K888" s="87"/>
      <c r="L888" s="87"/>
      <c r="M888" s="87"/>
      <c r="N888" s="87">
        <f t="shared" si="52"/>
        <v>0</v>
      </c>
      <c r="O888" s="61">
        <f t="shared" si="53"/>
        <v>0</v>
      </c>
      <c r="P888" s="61" t="b">
        <f t="shared" si="54"/>
        <v>1</v>
      </c>
      <c r="Q888" s="87" t="b">
        <f>(Requirements!K890="Normative")</f>
        <v>1</v>
      </c>
      <c r="R888" s="87" t="b">
        <f>AND(Requirements!L890&lt;&gt;"Non-testable",Requirements!L890&lt;&gt;"Deleted",Requirements!L890&lt;&gt;"")</f>
        <v>1</v>
      </c>
      <c r="S888" s="87" t="b">
        <f>(VLOOKUP(Requirements!I890,Scope[[Role]:[Description]],2,FALSE)="In")</f>
        <v>1</v>
      </c>
      <c r="T888" s="87">
        <f t="shared" si="55"/>
        <v>0</v>
      </c>
    </row>
    <row r="889" spans="1:20">
      <c r="A889" s="84" t="str">
        <f>Requirements!A891</f>
        <v>MS-SMB_R119486</v>
      </c>
      <c r="B889" s="87"/>
      <c r="C889" s="87"/>
      <c r="D889" s="87"/>
      <c r="E889" s="87"/>
      <c r="F889" s="87"/>
      <c r="G889" s="87">
        <v>1</v>
      </c>
      <c r="H889" s="87"/>
      <c r="I889" s="87"/>
      <c r="J889" s="87"/>
      <c r="K889" s="87"/>
      <c r="L889" s="87"/>
      <c r="M889" s="87"/>
      <c r="N889" s="87">
        <f t="shared" si="52"/>
        <v>1</v>
      </c>
      <c r="O889" s="60">
        <f t="shared" si="53"/>
        <v>1</v>
      </c>
      <c r="P889" s="60" t="b">
        <f t="shared" si="54"/>
        <v>1</v>
      </c>
      <c r="Q889" s="87" t="b">
        <f>(Requirements!K891="Normative")</f>
        <v>1</v>
      </c>
      <c r="R889" s="87" t="b">
        <f>AND(Requirements!L891&lt;&gt;"Non-testable",Requirements!L891&lt;&gt;"Deleted",Requirements!L891&lt;&gt;"")</f>
        <v>1</v>
      </c>
      <c r="S889" s="87" t="b">
        <f>(VLOOKUP(Requirements!I891,Scope[[Role]:[Description]],2,FALSE)="In")</f>
        <v>1</v>
      </c>
      <c r="T889" s="87">
        <f t="shared" si="55"/>
        <v>1</v>
      </c>
    </row>
    <row r="890" spans="1:20">
      <c r="A890" s="85" t="str">
        <f>Requirements!A892</f>
        <v>MS-SMB_R119487</v>
      </c>
      <c r="B890" s="87"/>
      <c r="C890" s="87"/>
      <c r="D890" s="87"/>
      <c r="E890" s="87"/>
      <c r="F890" s="87"/>
      <c r="G890" s="87"/>
      <c r="H890" s="87"/>
      <c r="I890" s="87"/>
      <c r="J890" s="87"/>
      <c r="K890" s="87"/>
      <c r="L890" s="87"/>
      <c r="M890" s="87"/>
      <c r="N890" s="87">
        <f t="shared" si="52"/>
        <v>0</v>
      </c>
      <c r="O890" s="61">
        <f t="shared" si="53"/>
        <v>0</v>
      </c>
      <c r="P890" s="61" t="b">
        <f t="shared" si="54"/>
        <v>1</v>
      </c>
      <c r="Q890" s="87" t="b">
        <f>(Requirements!K892="Normative")</f>
        <v>1</v>
      </c>
      <c r="R890" s="87" t="b">
        <f>AND(Requirements!L892&lt;&gt;"Non-testable",Requirements!L892&lt;&gt;"Deleted",Requirements!L892&lt;&gt;"")</f>
        <v>1</v>
      </c>
      <c r="S890" s="87" t="b">
        <f>(VLOOKUP(Requirements!I892,Scope[[Role]:[Description]],2,FALSE)="In")</f>
        <v>1</v>
      </c>
      <c r="T890" s="87">
        <f t="shared" si="55"/>
        <v>0</v>
      </c>
    </row>
    <row r="891" spans="1:20">
      <c r="A891" s="44" t="str">
        <f>Requirements!A893</f>
        <v>MS-SMB_R119488</v>
      </c>
      <c r="B891" s="87"/>
      <c r="C891" s="87"/>
      <c r="D891" s="87"/>
      <c r="E891" s="87"/>
      <c r="F891" s="87"/>
      <c r="G891" s="87"/>
      <c r="H891" s="87"/>
      <c r="I891" s="87"/>
      <c r="J891" s="87"/>
      <c r="K891" s="87"/>
      <c r="L891" s="87"/>
      <c r="M891" s="87"/>
      <c r="N891" s="87">
        <f t="shared" si="52"/>
        <v>0</v>
      </c>
      <c r="O891" s="87">
        <f t="shared" si="53"/>
        <v>0</v>
      </c>
      <c r="P891" s="87" t="b">
        <f t="shared" si="54"/>
        <v>0</v>
      </c>
      <c r="Q891" s="87" t="b">
        <f>(Requirements!K893="Normative")</f>
        <v>1</v>
      </c>
      <c r="R891" s="87" t="b">
        <f>AND(Requirements!L893&lt;&gt;"Non-testable",Requirements!L893&lt;&gt;"Deleted",Requirements!L893&lt;&gt;"")</f>
        <v>0</v>
      </c>
      <c r="S891" s="87" t="b">
        <f>(VLOOKUP(Requirements!I893,Scope[[Role]:[Description]],2,FALSE)="In")</f>
        <v>1</v>
      </c>
      <c r="T891" s="87">
        <f t="shared" si="55"/>
        <v>0</v>
      </c>
    </row>
    <row r="892" spans="1:20">
      <c r="A892" s="44" t="str">
        <f>Requirements!A894</f>
        <v>MS-SMB_R1109488</v>
      </c>
      <c r="B892" s="87"/>
      <c r="C892" s="87"/>
      <c r="D892" s="87"/>
      <c r="E892" s="87"/>
      <c r="F892" s="87"/>
      <c r="G892" s="87"/>
      <c r="H892" s="87"/>
      <c r="I892" s="87"/>
      <c r="J892" s="87"/>
      <c r="K892" s="87"/>
      <c r="L892" s="87"/>
      <c r="M892" s="87"/>
      <c r="N892" s="87">
        <f t="shared" si="52"/>
        <v>0</v>
      </c>
      <c r="O892" s="87">
        <f t="shared" si="53"/>
        <v>0</v>
      </c>
      <c r="P892" s="87" t="b">
        <f t="shared" si="54"/>
        <v>0</v>
      </c>
      <c r="Q892" s="87" t="b">
        <f>(Requirements!K894="Normative")</f>
        <v>1</v>
      </c>
      <c r="R892" s="87" t="b">
        <f>AND(Requirements!L894&lt;&gt;"Non-testable",Requirements!L894&lt;&gt;"Deleted",Requirements!L894&lt;&gt;"")</f>
        <v>0</v>
      </c>
      <c r="S892" s="87" t="b">
        <f>(VLOOKUP(Requirements!I894,Scope[[Role]:[Description]],2,FALSE)="In")</f>
        <v>1</v>
      </c>
      <c r="T892" s="87">
        <f t="shared" si="55"/>
        <v>0</v>
      </c>
    </row>
    <row r="893" spans="1:20">
      <c r="A893" s="85" t="str">
        <f>Requirements!A895</f>
        <v>MS-SMB_R119489</v>
      </c>
      <c r="B893" s="87"/>
      <c r="C893" s="87"/>
      <c r="D893" s="87"/>
      <c r="E893" s="87"/>
      <c r="F893" s="87"/>
      <c r="G893" s="87"/>
      <c r="H893" s="87"/>
      <c r="I893" s="87"/>
      <c r="J893" s="87"/>
      <c r="K893" s="87"/>
      <c r="L893" s="87"/>
      <c r="M893" s="87"/>
      <c r="N893" s="87">
        <f t="shared" si="52"/>
        <v>0</v>
      </c>
      <c r="O893" s="61">
        <f t="shared" si="53"/>
        <v>0</v>
      </c>
      <c r="P893" s="61" t="b">
        <f t="shared" si="54"/>
        <v>1</v>
      </c>
      <c r="Q893" s="87" t="b">
        <f>(Requirements!K895="Normative")</f>
        <v>1</v>
      </c>
      <c r="R893" s="87" t="b">
        <f>AND(Requirements!L895&lt;&gt;"Non-testable",Requirements!L895&lt;&gt;"Deleted",Requirements!L895&lt;&gt;"")</f>
        <v>1</v>
      </c>
      <c r="S893" s="87" t="b">
        <f>(VLOOKUP(Requirements!I895,Scope[[Role]:[Description]],2,FALSE)="In")</f>
        <v>1</v>
      </c>
      <c r="T893" s="87">
        <f t="shared" si="55"/>
        <v>0</v>
      </c>
    </row>
    <row r="894" spans="1:20">
      <c r="A894" s="44" t="str">
        <f>Requirements!A896</f>
        <v>MS-SMB_R119490</v>
      </c>
      <c r="B894" s="87"/>
      <c r="C894" s="87"/>
      <c r="D894" s="87"/>
      <c r="E894" s="87"/>
      <c r="F894" s="87"/>
      <c r="G894" s="87"/>
      <c r="H894" s="87"/>
      <c r="I894" s="87"/>
      <c r="J894" s="87"/>
      <c r="K894" s="87"/>
      <c r="L894" s="87"/>
      <c r="M894" s="87"/>
      <c r="N894" s="87">
        <f t="shared" si="52"/>
        <v>0</v>
      </c>
      <c r="O894" s="87">
        <f t="shared" si="53"/>
        <v>0</v>
      </c>
      <c r="P894" s="87" t="b">
        <f t="shared" si="54"/>
        <v>0</v>
      </c>
      <c r="Q894" s="87" t="b">
        <f>(Requirements!K896="Normative")</f>
        <v>1</v>
      </c>
      <c r="R894" s="87" t="b">
        <f>AND(Requirements!L896&lt;&gt;"Non-testable",Requirements!L896&lt;&gt;"Deleted",Requirements!L896&lt;&gt;"")</f>
        <v>0</v>
      </c>
      <c r="S894" s="87" t="b">
        <f>(VLOOKUP(Requirements!I896,Scope[[Role]:[Description]],2,FALSE)="In")</f>
        <v>1</v>
      </c>
      <c r="T894" s="87">
        <f t="shared" si="55"/>
        <v>0</v>
      </c>
    </row>
    <row r="895" spans="1:20">
      <c r="A895" s="84" t="str">
        <f>Requirements!A897</f>
        <v>MS-SMB_R1109490</v>
      </c>
      <c r="B895" s="87"/>
      <c r="C895" s="87"/>
      <c r="D895" s="87"/>
      <c r="E895" s="87"/>
      <c r="F895" s="87"/>
      <c r="G895" s="87">
        <v>1</v>
      </c>
      <c r="H895" s="87"/>
      <c r="I895" s="87"/>
      <c r="J895" s="87"/>
      <c r="K895" s="87"/>
      <c r="L895" s="87"/>
      <c r="M895" s="87"/>
      <c r="N895" s="87">
        <f t="shared" si="52"/>
        <v>1</v>
      </c>
      <c r="O895" s="60">
        <f t="shared" si="53"/>
        <v>1</v>
      </c>
      <c r="P895" s="60" t="b">
        <f t="shared" si="54"/>
        <v>1</v>
      </c>
      <c r="Q895" s="87" t="b">
        <f>(Requirements!K897="Normative")</f>
        <v>1</v>
      </c>
      <c r="R895" s="87" t="b">
        <f>AND(Requirements!L897&lt;&gt;"Non-testable",Requirements!L897&lt;&gt;"Deleted",Requirements!L897&lt;&gt;"")</f>
        <v>1</v>
      </c>
      <c r="S895" s="87" t="b">
        <f>(VLOOKUP(Requirements!I897,Scope[[Role]:[Description]],2,FALSE)="In")</f>
        <v>1</v>
      </c>
      <c r="T895" s="87">
        <f t="shared" si="55"/>
        <v>1</v>
      </c>
    </row>
    <row r="896" spans="1:20">
      <c r="A896" s="85" t="str">
        <f>Requirements!A898</f>
        <v>MS-SMB_R119491</v>
      </c>
      <c r="B896" s="87"/>
      <c r="C896" s="87"/>
      <c r="D896" s="87"/>
      <c r="E896" s="87"/>
      <c r="F896" s="87"/>
      <c r="G896" s="87"/>
      <c r="H896" s="87"/>
      <c r="I896" s="87"/>
      <c r="J896" s="87"/>
      <c r="K896" s="87"/>
      <c r="L896" s="87"/>
      <c r="M896" s="87"/>
      <c r="N896" s="87">
        <f t="shared" si="52"/>
        <v>0</v>
      </c>
      <c r="O896" s="61">
        <f t="shared" si="53"/>
        <v>0</v>
      </c>
      <c r="P896" s="61" t="b">
        <f t="shared" si="54"/>
        <v>1</v>
      </c>
      <c r="Q896" s="87" t="b">
        <f>(Requirements!K898="Normative")</f>
        <v>1</v>
      </c>
      <c r="R896" s="87" t="b">
        <f>AND(Requirements!L898&lt;&gt;"Non-testable",Requirements!L898&lt;&gt;"Deleted",Requirements!L898&lt;&gt;"")</f>
        <v>1</v>
      </c>
      <c r="S896" s="87" t="b">
        <f>(VLOOKUP(Requirements!I898,Scope[[Role]:[Description]],2,FALSE)="In")</f>
        <v>1</v>
      </c>
      <c r="T896" s="87">
        <f t="shared" si="55"/>
        <v>0</v>
      </c>
    </row>
    <row r="897" spans="1:20">
      <c r="A897" s="44" t="str">
        <f>Requirements!A899</f>
        <v>MS-SMB_R9467</v>
      </c>
      <c r="B897" s="87"/>
      <c r="C897" s="87"/>
      <c r="D897" s="87"/>
      <c r="E897" s="87"/>
      <c r="F897" s="87"/>
      <c r="G897" s="87"/>
      <c r="H897" s="87"/>
      <c r="I897" s="87"/>
      <c r="J897" s="87"/>
      <c r="K897" s="87"/>
      <c r="L897" s="87"/>
      <c r="M897" s="87"/>
      <c r="N897" s="87">
        <f t="shared" si="52"/>
        <v>0</v>
      </c>
      <c r="O897" s="87">
        <f t="shared" si="53"/>
        <v>0</v>
      </c>
      <c r="P897" s="87" t="b">
        <f t="shared" si="54"/>
        <v>0</v>
      </c>
      <c r="Q897" s="87" t="b">
        <f>(Requirements!K899="Normative")</f>
        <v>0</v>
      </c>
      <c r="R897" s="87" t="b">
        <f>AND(Requirements!L899&lt;&gt;"Non-testable",Requirements!L899&lt;&gt;"Deleted",Requirements!L899&lt;&gt;"")</f>
        <v>1</v>
      </c>
      <c r="S897" s="87" t="b">
        <f>(VLOOKUP(Requirements!I899,Scope[[Role]:[Description]],2,FALSE)="In")</f>
        <v>1</v>
      </c>
      <c r="T897" s="87">
        <f t="shared" si="55"/>
        <v>0</v>
      </c>
    </row>
    <row r="898" spans="1:20">
      <c r="A898" s="84" t="str">
        <f>Requirements!A900</f>
        <v>MS-SMB_R1755</v>
      </c>
      <c r="B898" s="87">
        <v>1</v>
      </c>
      <c r="C898" s="87"/>
      <c r="D898" s="87">
        <v>1</v>
      </c>
      <c r="E898" s="87"/>
      <c r="F898" s="87"/>
      <c r="G898" s="87"/>
      <c r="H898" s="87"/>
      <c r="I898" s="87"/>
      <c r="J898" s="87"/>
      <c r="K898" s="87"/>
      <c r="L898" s="87"/>
      <c r="M898" s="87"/>
      <c r="N898" s="87">
        <f t="shared" si="52"/>
        <v>2</v>
      </c>
      <c r="O898" s="60">
        <f t="shared" si="53"/>
        <v>1</v>
      </c>
      <c r="P898" s="60" t="b">
        <f t="shared" si="54"/>
        <v>1</v>
      </c>
      <c r="Q898" s="87" t="b">
        <f>(Requirements!K900="Normative")</f>
        <v>1</v>
      </c>
      <c r="R898" s="87" t="b">
        <f>AND(Requirements!L900&lt;&gt;"Non-testable",Requirements!L900&lt;&gt;"Deleted",Requirements!L900&lt;&gt;"")</f>
        <v>1</v>
      </c>
      <c r="S898" s="87" t="b">
        <f>(VLOOKUP(Requirements!I900,Scope[[Role]:[Description]],2,FALSE)="In")</f>
        <v>1</v>
      </c>
      <c r="T898" s="87">
        <f t="shared" si="55"/>
        <v>1</v>
      </c>
    </row>
    <row r="899" spans="1:20">
      <c r="A899" s="85" t="str">
        <f>Requirements!A901</f>
        <v>MS-SMB_R3427</v>
      </c>
      <c r="B899" s="87"/>
      <c r="C899" s="87"/>
      <c r="D899" s="87"/>
      <c r="E899" s="87"/>
      <c r="F899" s="87"/>
      <c r="G899" s="87"/>
      <c r="H899" s="87"/>
      <c r="I899" s="87"/>
      <c r="J899" s="87"/>
      <c r="K899" s="87"/>
      <c r="L899" s="87"/>
      <c r="M899" s="87"/>
      <c r="N899" s="87">
        <f t="shared" si="52"/>
        <v>0</v>
      </c>
      <c r="O899" s="61">
        <f t="shared" si="53"/>
        <v>0</v>
      </c>
      <c r="P899" s="61" t="b">
        <f t="shared" si="54"/>
        <v>1</v>
      </c>
      <c r="Q899" s="87" t="b">
        <f>(Requirements!K901="Normative")</f>
        <v>1</v>
      </c>
      <c r="R899" s="87" t="b">
        <f>AND(Requirements!L901&lt;&gt;"Non-testable",Requirements!L901&lt;&gt;"Deleted",Requirements!L901&lt;&gt;"")</f>
        <v>1</v>
      </c>
      <c r="S899" s="87" t="b">
        <f>(VLOOKUP(Requirements!I901,Scope[[Role]:[Description]],2,FALSE)="In")</f>
        <v>1</v>
      </c>
      <c r="T899" s="87">
        <f t="shared" si="55"/>
        <v>0</v>
      </c>
    </row>
    <row r="900" spans="1:20">
      <c r="A900" s="44" t="str">
        <f>Requirements!A902</f>
        <v>MS-SMB_R3429</v>
      </c>
      <c r="B900" s="87"/>
      <c r="C900" s="87"/>
      <c r="D900" s="87"/>
      <c r="E900" s="87"/>
      <c r="F900" s="87"/>
      <c r="G900" s="87"/>
      <c r="H900" s="87"/>
      <c r="I900" s="87"/>
      <c r="J900" s="87"/>
      <c r="K900" s="87"/>
      <c r="L900" s="87"/>
      <c r="M900" s="87"/>
      <c r="N900" s="87">
        <f t="shared" si="52"/>
        <v>0</v>
      </c>
      <c r="O900" s="87">
        <f t="shared" si="53"/>
        <v>0</v>
      </c>
      <c r="P900" s="87" t="b">
        <f t="shared" si="54"/>
        <v>0</v>
      </c>
      <c r="Q900" s="87" t="b">
        <f>(Requirements!K902="Normative")</f>
        <v>0</v>
      </c>
      <c r="R900" s="87" t="b">
        <f>AND(Requirements!L902&lt;&gt;"Non-testable",Requirements!L902&lt;&gt;"Deleted",Requirements!L902&lt;&gt;"")</f>
        <v>1</v>
      </c>
      <c r="S900" s="87" t="b">
        <f>(VLOOKUP(Requirements!I902,Scope[[Role]:[Description]],2,FALSE)="In")</f>
        <v>1</v>
      </c>
      <c r="T900" s="87">
        <f t="shared" si="55"/>
        <v>0</v>
      </c>
    </row>
    <row r="901" spans="1:20">
      <c r="A901" s="44" t="str">
        <f>Requirements!A903</f>
        <v>MS-SMB_R3430</v>
      </c>
      <c r="B901" s="87"/>
      <c r="C901" s="87"/>
      <c r="D901" s="87"/>
      <c r="E901" s="87"/>
      <c r="F901" s="87"/>
      <c r="G901" s="87"/>
      <c r="H901" s="87"/>
      <c r="I901" s="87"/>
      <c r="J901" s="87"/>
      <c r="K901" s="87"/>
      <c r="L901" s="87"/>
      <c r="M901" s="87"/>
      <c r="N901" s="87">
        <f t="shared" si="52"/>
        <v>0</v>
      </c>
      <c r="O901" s="87">
        <f t="shared" si="53"/>
        <v>0</v>
      </c>
      <c r="P901" s="87" t="b">
        <f t="shared" si="54"/>
        <v>0</v>
      </c>
      <c r="Q901" s="87" t="b">
        <f>(Requirements!K903="Normative")</f>
        <v>0</v>
      </c>
      <c r="R901" s="87" t="b">
        <f>AND(Requirements!L903&lt;&gt;"Non-testable",Requirements!L903&lt;&gt;"Deleted",Requirements!L903&lt;&gt;"")</f>
        <v>1</v>
      </c>
      <c r="S901" s="87" t="b">
        <f>(VLOOKUP(Requirements!I903,Scope[[Role]:[Description]],2,FALSE)="In")</f>
        <v>1</v>
      </c>
      <c r="T901" s="87">
        <f t="shared" si="55"/>
        <v>0</v>
      </c>
    </row>
    <row r="902" spans="1:20">
      <c r="A902" s="44" t="str">
        <f>Requirements!A904</f>
        <v>MS-SMB_R3431</v>
      </c>
      <c r="B902" s="87"/>
      <c r="C902" s="87"/>
      <c r="D902" s="87"/>
      <c r="E902" s="87"/>
      <c r="F902" s="87"/>
      <c r="G902" s="87"/>
      <c r="H902" s="87"/>
      <c r="I902" s="87"/>
      <c r="J902" s="87"/>
      <c r="K902" s="87"/>
      <c r="L902" s="87"/>
      <c r="M902" s="87"/>
      <c r="N902" s="87">
        <f t="shared" si="52"/>
        <v>0</v>
      </c>
      <c r="O902" s="87">
        <f t="shared" si="53"/>
        <v>0</v>
      </c>
      <c r="P902" s="87" t="b">
        <f t="shared" si="54"/>
        <v>0</v>
      </c>
      <c r="Q902" s="87" t="b">
        <f>(Requirements!K904="Normative")</f>
        <v>0</v>
      </c>
      <c r="R902" s="87" t="b">
        <f>AND(Requirements!L904&lt;&gt;"Non-testable",Requirements!L904&lt;&gt;"Deleted",Requirements!L904&lt;&gt;"")</f>
        <v>1</v>
      </c>
      <c r="S902" s="87" t="b">
        <f>(VLOOKUP(Requirements!I904,Scope[[Role]:[Description]],2,FALSE)="In")</f>
        <v>1</v>
      </c>
      <c r="T902" s="87">
        <f t="shared" si="55"/>
        <v>0</v>
      </c>
    </row>
    <row r="903" spans="1:20">
      <c r="A903" s="44" t="str">
        <f>Requirements!A905</f>
        <v>MS-SMB_R3432</v>
      </c>
      <c r="B903" s="87"/>
      <c r="C903" s="87"/>
      <c r="D903" s="87"/>
      <c r="E903" s="87"/>
      <c r="F903" s="87"/>
      <c r="G903" s="87"/>
      <c r="H903" s="87"/>
      <c r="I903" s="87"/>
      <c r="J903" s="87"/>
      <c r="K903" s="87"/>
      <c r="L903" s="87"/>
      <c r="M903" s="87"/>
      <c r="N903" s="87">
        <f t="shared" si="52"/>
        <v>0</v>
      </c>
      <c r="O903" s="87">
        <f t="shared" si="53"/>
        <v>0</v>
      </c>
      <c r="P903" s="87" t="b">
        <f t="shared" si="54"/>
        <v>0</v>
      </c>
      <c r="Q903" s="87" t="b">
        <f>(Requirements!K905="Normative")</f>
        <v>0</v>
      </c>
      <c r="R903" s="87" t="b">
        <f>AND(Requirements!L905&lt;&gt;"Non-testable",Requirements!L905&lt;&gt;"Deleted",Requirements!L905&lt;&gt;"")</f>
        <v>1</v>
      </c>
      <c r="S903" s="87" t="b">
        <f>(VLOOKUP(Requirements!I905,Scope[[Role]:[Description]],2,FALSE)="In")</f>
        <v>1</v>
      </c>
      <c r="T903" s="87">
        <f t="shared" si="55"/>
        <v>0</v>
      </c>
    </row>
    <row r="904" spans="1:20">
      <c r="A904" s="84" t="str">
        <f>Requirements!A906</f>
        <v>MS-SMB_R1757</v>
      </c>
      <c r="B904" s="87">
        <v>1</v>
      </c>
      <c r="C904" s="87"/>
      <c r="D904" s="87">
        <v>1</v>
      </c>
      <c r="E904" s="87"/>
      <c r="F904" s="87"/>
      <c r="G904" s="87"/>
      <c r="H904" s="87"/>
      <c r="I904" s="87"/>
      <c r="J904" s="87"/>
      <c r="K904" s="87"/>
      <c r="L904" s="87"/>
      <c r="M904" s="87"/>
      <c r="N904" s="87">
        <f t="shared" si="52"/>
        <v>2</v>
      </c>
      <c r="O904" s="60">
        <f t="shared" si="53"/>
        <v>1</v>
      </c>
      <c r="P904" s="60" t="b">
        <f t="shared" si="54"/>
        <v>1</v>
      </c>
      <c r="Q904" s="87" t="b">
        <f>(Requirements!K906="Normative")</f>
        <v>1</v>
      </c>
      <c r="R904" s="87" t="b">
        <f>AND(Requirements!L906&lt;&gt;"Non-testable",Requirements!L906&lt;&gt;"Deleted",Requirements!L906&lt;&gt;"")</f>
        <v>1</v>
      </c>
      <c r="S904" s="87" t="b">
        <f>(VLOOKUP(Requirements!I906,Scope[[Role]:[Description]],2,FALSE)="In")</f>
        <v>1</v>
      </c>
      <c r="T904" s="87">
        <f t="shared" si="55"/>
        <v>1</v>
      </c>
    </row>
    <row r="905" spans="1:20">
      <c r="A905" s="85" t="str">
        <f>Requirements!A907</f>
        <v>MS-SMB_R3434</v>
      </c>
      <c r="B905" s="87"/>
      <c r="C905" s="87"/>
      <c r="D905" s="87"/>
      <c r="E905" s="87"/>
      <c r="F905" s="87"/>
      <c r="G905" s="87"/>
      <c r="H905" s="87"/>
      <c r="I905" s="87"/>
      <c r="J905" s="87"/>
      <c r="K905" s="87"/>
      <c r="L905" s="87"/>
      <c r="M905" s="87"/>
      <c r="N905" s="87">
        <f t="shared" si="52"/>
        <v>0</v>
      </c>
      <c r="O905" s="61">
        <f t="shared" si="53"/>
        <v>0</v>
      </c>
      <c r="P905" s="61" t="b">
        <f t="shared" si="54"/>
        <v>1</v>
      </c>
      <c r="Q905" s="87" t="b">
        <f>(Requirements!K907="Normative")</f>
        <v>1</v>
      </c>
      <c r="R905" s="87" t="b">
        <f>AND(Requirements!L907&lt;&gt;"Non-testable",Requirements!L907&lt;&gt;"Deleted",Requirements!L907&lt;&gt;"")</f>
        <v>1</v>
      </c>
      <c r="S905" s="87" t="b">
        <f>(VLOOKUP(Requirements!I907,Scope[[Role]:[Description]],2,FALSE)="In")</f>
        <v>1</v>
      </c>
      <c r="T905" s="87">
        <f t="shared" si="55"/>
        <v>0</v>
      </c>
    </row>
    <row r="906" spans="1:20">
      <c r="A906" s="84" t="str">
        <f>Requirements!A908</f>
        <v>MS-SMB_R1759</v>
      </c>
      <c r="B906" s="87">
        <v>1</v>
      </c>
      <c r="C906" s="87"/>
      <c r="D906" s="87">
        <v>1</v>
      </c>
      <c r="E906" s="87"/>
      <c r="F906" s="87"/>
      <c r="G906" s="87"/>
      <c r="H906" s="87"/>
      <c r="I906" s="87"/>
      <c r="J906" s="87"/>
      <c r="K906" s="87"/>
      <c r="L906" s="87"/>
      <c r="M906" s="87"/>
      <c r="N906" s="87">
        <f t="shared" si="52"/>
        <v>2</v>
      </c>
      <c r="O906" s="60">
        <f t="shared" si="53"/>
        <v>1</v>
      </c>
      <c r="P906" s="60" t="b">
        <f t="shared" si="54"/>
        <v>1</v>
      </c>
      <c r="Q906" s="87" t="b">
        <f>(Requirements!K908="Normative")</f>
        <v>1</v>
      </c>
      <c r="R906" s="87" t="b">
        <f>AND(Requirements!L908&lt;&gt;"Non-testable",Requirements!L908&lt;&gt;"Deleted",Requirements!L908&lt;&gt;"")</f>
        <v>1</v>
      </c>
      <c r="S906" s="87" t="b">
        <f>(VLOOKUP(Requirements!I908,Scope[[Role]:[Description]],2,FALSE)="In")</f>
        <v>1</v>
      </c>
      <c r="T906" s="87">
        <f t="shared" si="55"/>
        <v>1</v>
      </c>
    </row>
    <row r="907" spans="1:20">
      <c r="A907" s="85" t="str">
        <f>Requirements!A909</f>
        <v>MS-SMB_R3437</v>
      </c>
      <c r="B907" s="87"/>
      <c r="C907" s="87"/>
      <c r="D907" s="87"/>
      <c r="E907" s="87"/>
      <c r="F907" s="87"/>
      <c r="G907" s="87"/>
      <c r="H907" s="87"/>
      <c r="I907" s="87"/>
      <c r="J907" s="87"/>
      <c r="K907" s="87"/>
      <c r="L907" s="87"/>
      <c r="M907" s="87"/>
      <c r="N907" s="87">
        <f t="shared" si="52"/>
        <v>0</v>
      </c>
      <c r="O907" s="61">
        <f t="shared" si="53"/>
        <v>0</v>
      </c>
      <c r="P907" s="61" t="b">
        <f t="shared" si="54"/>
        <v>1</v>
      </c>
      <c r="Q907" s="87" t="b">
        <f>(Requirements!K909="Normative")</f>
        <v>1</v>
      </c>
      <c r="R907" s="87" t="b">
        <f>AND(Requirements!L909&lt;&gt;"Non-testable",Requirements!L909&lt;&gt;"Deleted",Requirements!L909&lt;&gt;"")</f>
        <v>1</v>
      </c>
      <c r="S907" s="87" t="b">
        <f>(VLOOKUP(Requirements!I909,Scope[[Role]:[Description]],2,FALSE)="In")</f>
        <v>1</v>
      </c>
      <c r="T907" s="87">
        <f t="shared" si="55"/>
        <v>0</v>
      </c>
    </row>
    <row r="908" spans="1:20">
      <c r="A908" s="85" t="str">
        <f>Requirements!A910</f>
        <v>MS-SMB_R3465</v>
      </c>
      <c r="B908" s="87"/>
      <c r="C908" s="87"/>
      <c r="D908" s="87"/>
      <c r="E908" s="87"/>
      <c r="F908" s="87"/>
      <c r="G908" s="87"/>
      <c r="H908" s="87"/>
      <c r="I908" s="87"/>
      <c r="J908" s="87"/>
      <c r="K908" s="87"/>
      <c r="L908" s="87"/>
      <c r="M908" s="87"/>
      <c r="N908" s="87">
        <f t="shared" si="52"/>
        <v>0</v>
      </c>
      <c r="O908" s="61">
        <f t="shared" si="53"/>
        <v>0</v>
      </c>
      <c r="P908" s="61" t="b">
        <f t="shared" si="54"/>
        <v>1</v>
      </c>
      <c r="Q908" s="87" t="b">
        <f>(Requirements!K910="Normative")</f>
        <v>1</v>
      </c>
      <c r="R908" s="87" t="b">
        <f>AND(Requirements!L910&lt;&gt;"Non-testable",Requirements!L910&lt;&gt;"Deleted",Requirements!L910&lt;&gt;"")</f>
        <v>1</v>
      </c>
      <c r="S908" s="87" t="b">
        <f>(VLOOKUP(Requirements!I910,Scope[[Role]:[Description]],2,FALSE)="In")</f>
        <v>1</v>
      </c>
      <c r="T908" s="87">
        <f t="shared" si="55"/>
        <v>0</v>
      </c>
    </row>
    <row r="909" spans="1:20">
      <c r="A909" s="84" t="str">
        <f>Requirements!A911</f>
        <v>MS-SMB_R1775</v>
      </c>
      <c r="B909" s="87">
        <v>1</v>
      </c>
      <c r="C909" s="87"/>
      <c r="D909" s="87">
        <v>1</v>
      </c>
      <c r="E909" s="87"/>
      <c r="F909" s="87"/>
      <c r="G909" s="87"/>
      <c r="H909" s="87"/>
      <c r="I909" s="87"/>
      <c r="J909" s="87"/>
      <c r="K909" s="87"/>
      <c r="L909" s="87"/>
      <c r="M909" s="87"/>
      <c r="N909" s="87">
        <f t="shared" si="52"/>
        <v>2</v>
      </c>
      <c r="O909" s="60">
        <f t="shared" si="53"/>
        <v>1</v>
      </c>
      <c r="P909" s="60" t="b">
        <f t="shared" si="54"/>
        <v>1</v>
      </c>
      <c r="Q909" s="87" t="b">
        <f>(Requirements!K911="Normative")</f>
        <v>1</v>
      </c>
      <c r="R909" s="87" t="b">
        <f>AND(Requirements!L911&lt;&gt;"Non-testable",Requirements!L911&lt;&gt;"Deleted",Requirements!L911&lt;&gt;"")</f>
        <v>1</v>
      </c>
      <c r="S909" s="87" t="b">
        <f>(VLOOKUP(Requirements!I911,Scope[[Role]:[Description]],2,FALSE)="In")</f>
        <v>1</v>
      </c>
      <c r="T909" s="87">
        <f t="shared" si="55"/>
        <v>1</v>
      </c>
    </row>
    <row r="910" spans="1:20">
      <c r="A910" s="44" t="str">
        <f>Requirements!A912</f>
        <v>MS-SMB_R3468</v>
      </c>
      <c r="B910" s="87"/>
      <c r="C910" s="87"/>
      <c r="D910" s="87"/>
      <c r="E910" s="87"/>
      <c r="F910" s="87"/>
      <c r="G910" s="87"/>
      <c r="H910" s="87"/>
      <c r="I910" s="87"/>
      <c r="J910" s="87"/>
      <c r="K910" s="87"/>
      <c r="L910" s="87"/>
      <c r="M910" s="87"/>
      <c r="N910" s="87">
        <f t="shared" si="52"/>
        <v>0</v>
      </c>
      <c r="O910" s="87">
        <f t="shared" si="53"/>
        <v>0</v>
      </c>
      <c r="P910" s="87" t="b">
        <f t="shared" si="54"/>
        <v>0</v>
      </c>
      <c r="Q910" s="87" t="b">
        <f>(Requirements!K912="Normative")</f>
        <v>0</v>
      </c>
      <c r="R910" s="87" t="b">
        <f>AND(Requirements!L912&lt;&gt;"Non-testable",Requirements!L912&lt;&gt;"Deleted",Requirements!L912&lt;&gt;"")</f>
        <v>1</v>
      </c>
      <c r="S910" s="87" t="b">
        <f>(VLOOKUP(Requirements!I912,Scope[[Role]:[Description]],2,FALSE)="In")</f>
        <v>1</v>
      </c>
      <c r="T910" s="87">
        <f t="shared" si="55"/>
        <v>0</v>
      </c>
    </row>
    <row r="911" spans="1:20">
      <c r="A911" s="84" t="str">
        <f>Requirements!A913</f>
        <v>MS-SMB_R1776</v>
      </c>
      <c r="B911" s="87">
        <v>1</v>
      </c>
      <c r="C911" s="87"/>
      <c r="D911" s="87">
        <v>1</v>
      </c>
      <c r="E911" s="87"/>
      <c r="F911" s="87"/>
      <c r="G911" s="87"/>
      <c r="H911" s="87"/>
      <c r="I911" s="87"/>
      <c r="J911" s="87"/>
      <c r="K911" s="87"/>
      <c r="L911" s="87"/>
      <c r="M911" s="87"/>
      <c r="N911" s="87">
        <f t="shared" si="52"/>
        <v>2</v>
      </c>
      <c r="O911" s="60">
        <f t="shared" si="53"/>
        <v>1</v>
      </c>
      <c r="P911" s="60" t="b">
        <f t="shared" si="54"/>
        <v>1</v>
      </c>
      <c r="Q911" s="87" t="b">
        <f>(Requirements!K913="Normative")</f>
        <v>1</v>
      </c>
      <c r="R911" s="87" t="b">
        <f>AND(Requirements!L913&lt;&gt;"Non-testable",Requirements!L913&lt;&gt;"Deleted",Requirements!L913&lt;&gt;"")</f>
        <v>1</v>
      </c>
      <c r="S911" s="87" t="b">
        <f>(VLOOKUP(Requirements!I913,Scope[[Role]:[Description]],2,FALSE)="In")</f>
        <v>1</v>
      </c>
      <c r="T911" s="87">
        <f t="shared" si="55"/>
        <v>1</v>
      </c>
    </row>
    <row r="912" spans="1:20">
      <c r="A912" s="85" t="str">
        <f>Requirements!A914</f>
        <v>MS-SMB_R3470</v>
      </c>
      <c r="B912" s="87"/>
      <c r="C912" s="87"/>
      <c r="D912" s="87"/>
      <c r="E912" s="87"/>
      <c r="F912" s="87"/>
      <c r="G912" s="87"/>
      <c r="H912" s="87"/>
      <c r="I912" s="87"/>
      <c r="J912" s="87"/>
      <c r="K912" s="87"/>
      <c r="L912" s="87"/>
      <c r="M912" s="87"/>
      <c r="N912" s="87">
        <f t="shared" si="52"/>
        <v>0</v>
      </c>
      <c r="O912" s="61">
        <f t="shared" si="53"/>
        <v>0</v>
      </c>
      <c r="P912" s="61" t="b">
        <f t="shared" si="54"/>
        <v>1</v>
      </c>
      <c r="Q912" s="87" t="b">
        <f>(Requirements!K914="Normative")</f>
        <v>1</v>
      </c>
      <c r="R912" s="87" t="b">
        <f>AND(Requirements!L914&lt;&gt;"Non-testable",Requirements!L914&lt;&gt;"Deleted",Requirements!L914&lt;&gt;"")</f>
        <v>1</v>
      </c>
      <c r="S912" s="87" t="b">
        <f>(VLOOKUP(Requirements!I914,Scope[[Role]:[Description]],2,FALSE)="In")</f>
        <v>1</v>
      </c>
      <c r="T912" s="87">
        <f t="shared" si="55"/>
        <v>0</v>
      </c>
    </row>
    <row r="913" spans="1:20">
      <c r="A913" s="44" t="str">
        <f>Requirements!A915</f>
        <v>MS-SMB_R3473</v>
      </c>
      <c r="B913" s="87"/>
      <c r="C913" s="87"/>
      <c r="D913" s="87"/>
      <c r="E913" s="87"/>
      <c r="F913" s="87"/>
      <c r="G913" s="87"/>
      <c r="H913" s="87"/>
      <c r="I913" s="87"/>
      <c r="J913" s="87"/>
      <c r="K913" s="87"/>
      <c r="L913" s="87"/>
      <c r="M913" s="87"/>
      <c r="N913" s="87">
        <f t="shared" si="52"/>
        <v>0</v>
      </c>
      <c r="O913" s="87">
        <f t="shared" si="53"/>
        <v>0</v>
      </c>
      <c r="P913" s="87" t="b">
        <f t="shared" si="54"/>
        <v>0</v>
      </c>
      <c r="Q913" s="87" t="b">
        <f>(Requirements!K915="Normative")</f>
        <v>0</v>
      </c>
      <c r="R913" s="87" t="b">
        <f>AND(Requirements!L915&lt;&gt;"Non-testable",Requirements!L915&lt;&gt;"Deleted",Requirements!L915&lt;&gt;"")</f>
        <v>1</v>
      </c>
      <c r="S913" s="87" t="b">
        <f>(VLOOKUP(Requirements!I915,Scope[[Role]:[Description]],2,FALSE)="In")</f>
        <v>1</v>
      </c>
      <c r="T913" s="87">
        <f t="shared" si="55"/>
        <v>0</v>
      </c>
    </row>
    <row r="914" spans="1:20">
      <c r="A914" s="84" t="str">
        <f>Requirements!A916</f>
        <v>MS-SMB_R3474</v>
      </c>
      <c r="B914" s="87">
        <v>1</v>
      </c>
      <c r="C914" s="87"/>
      <c r="D914" s="87">
        <v>1</v>
      </c>
      <c r="E914" s="87"/>
      <c r="F914" s="87"/>
      <c r="G914" s="87"/>
      <c r="H914" s="87"/>
      <c r="I914" s="87"/>
      <c r="J914" s="87"/>
      <c r="K914" s="87"/>
      <c r="L914" s="87"/>
      <c r="M914" s="87"/>
      <c r="N914" s="87">
        <f t="shared" si="52"/>
        <v>2</v>
      </c>
      <c r="O914" s="60">
        <f t="shared" si="53"/>
        <v>1</v>
      </c>
      <c r="P914" s="60" t="b">
        <f t="shared" si="54"/>
        <v>1</v>
      </c>
      <c r="Q914" s="87" t="b">
        <f>(Requirements!K916="Normative")</f>
        <v>1</v>
      </c>
      <c r="R914" s="87" t="b">
        <f>AND(Requirements!L916&lt;&gt;"Non-testable",Requirements!L916&lt;&gt;"Deleted",Requirements!L916&lt;&gt;"")</f>
        <v>1</v>
      </c>
      <c r="S914" s="87" t="b">
        <f>(VLOOKUP(Requirements!I916,Scope[[Role]:[Description]],2,FALSE)="In")</f>
        <v>1</v>
      </c>
      <c r="T914" s="87">
        <f t="shared" si="55"/>
        <v>1</v>
      </c>
    </row>
    <row r="915" spans="1:20">
      <c r="A915" s="44" t="str">
        <f>Requirements!A917</f>
        <v>MS-SMB_R103474</v>
      </c>
      <c r="B915" s="87"/>
      <c r="C915" s="87"/>
      <c r="D915" s="87"/>
      <c r="E915" s="87"/>
      <c r="F915" s="87"/>
      <c r="G915" s="87"/>
      <c r="H915" s="87"/>
      <c r="I915" s="87"/>
      <c r="J915" s="87"/>
      <c r="K915" s="87"/>
      <c r="L915" s="87"/>
      <c r="M915" s="87"/>
      <c r="N915" s="87">
        <f t="shared" si="52"/>
        <v>0</v>
      </c>
      <c r="O915" s="87">
        <f t="shared" si="53"/>
        <v>0</v>
      </c>
      <c r="P915" s="87" t="b">
        <f t="shared" si="54"/>
        <v>0</v>
      </c>
      <c r="Q915" s="87" t="b">
        <f>(Requirements!K917="Normative")</f>
        <v>0</v>
      </c>
      <c r="R915" s="87" t="b">
        <f>AND(Requirements!L917&lt;&gt;"Non-testable",Requirements!L917&lt;&gt;"Deleted",Requirements!L917&lt;&gt;"")</f>
        <v>1</v>
      </c>
      <c r="S915" s="87" t="b">
        <f>(VLOOKUP(Requirements!I917,Scope[[Role]:[Description]],2,FALSE)="In")</f>
        <v>1</v>
      </c>
      <c r="T915" s="87">
        <f t="shared" si="55"/>
        <v>0</v>
      </c>
    </row>
    <row r="916" spans="1:20">
      <c r="A916" s="84" t="str">
        <f>Requirements!A918</f>
        <v>MS-SMB_R3476</v>
      </c>
      <c r="B916" s="87">
        <v>1</v>
      </c>
      <c r="C916" s="87"/>
      <c r="D916" s="87">
        <v>1</v>
      </c>
      <c r="E916" s="87"/>
      <c r="F916" s="87"/>
      <c r="G916" s="87"/>
      <c r="H916" s="87"/>
      <c r="I916" s="87"/>
      <c r="J916" s="87"/>
      <c r="K916" s="87"/>
      <c r="L916" s="87"/>
      <c r="M916" s="87"/>
      <c r="N916" s="87">
        <f t="shared" ref="N916:N979" si="56">SUM(B916:M916)</f>
        <v>2</v>
      </c>
      <c r="O916" s="60">
        <f t="shared" ref="O916:O979" si="57">IF(N916=0,0,1)</f>
        <v>1</v>
      </c>
      <c r="P916" s="60" t="b">
        <f t="shared" ref="P916:P979" si="58">AND(Q916:S916)</f>
        <v>1</v>
      </c>
      <c r="Q916" s="87" t="b">
        <f>(Requirements!K918="Normative")</f>
        <v>1</v>
      </c>
      <c r="R916" s="87" t="b">
        <f>AND(Requirements!L918&lt;&gt;"Non-testable",Requirements!L918&lt;&gt;"Deleted",Requirements!L918&lt;&gt;"")</f>
        <v>1</v>
      </c>
      <c r="S916" s="87" t="b">
        <f>(VLOOKUP(Requirements!I918,Scope[[Role]:[Description]],2,FALSE)="In")</f>
        <v>1</v>
      </c>
      <c r="T916" s="87">
        <f t="shared" ref="T916:T979" si="59">IF(P916,O916, 0)</f>
        <v>1</v>
      </c>
    </row>
    <row r="917" spans="1:20">
      <c r="A917" s="84" t="str">
        <f>Requirements!A919</f>
        <v>MS-SMB_R103476</v>
      </c>
      <c r="B917" s="87">
        <v>1</v>
      </c>
      <c r="C917" s="87"/>
      <c r="D917" s="87">
        <v>1</v>
      </c>
      <c r="E917" s="87"/>
      <c r="F917" s="87"/>
      <c r="G917" s="87"/>
      <c r="H917" s="87"/>
      <c r="I917" s="87"/>
      <c r="J917" s="87"/>
      <c r="K917" s="87"/>
      <c r="L917" s="87"/>
      <c r="M917" s="87"/>
      <c r="N917" s="87">
        <f t="shared" si="56"/>
        <v>2</v>
      </c>
      <c r="O917" s="60">
        <f t="shared" si="57"/>
        <v>1</v>
      </c>
      <c r="P917" s="60" t="b">
        <f t="shared" si="58"/>
        <v>1</v>
      </c>
      <c r="Q917" s="87" t="b">
        <f>(Requirements!K919="Normative")</f>
        <v>1</v>
      </c>
      <c r="R917" s="87" t="b">
        <f>AND(Requirements!L919&lt;&gt;"Non-testable",Requirements!L919&lt;&gt;"Deleted",Requirements!L919&lt;&gt;"")</f>
        <v>1</v>
      </c>
      <c r="S917" s="87" t="b">
        <f>(VLOOKUP(Requirements!I919,Scope[[Role]:[Description]],2,FALSE)="In")</f>
        <v>1</v>
      </c>
      <c r="T917" s="87">
        <f t="shared" si="59"/>
        <v>1</v>
      </c>
    </row>
    <row r="918" spans="1:20">
      <c r="A918" s="44" t="str">
        <f>Requirements!A920</f>
        <v>MS-SMB_R203476</v>
      </c>
      <c r="B918" s="87"/>
      <c r="C918" s="87"/>
      <c r="D918" s="87"/>
      <c r="E918" s="87"/>
      <c r="F918" s="87"/>
      <c r="G918" s="87"/>
      <c r="H918" s="87"/>
      <c r="I918" s="87"/>
      <c r="J918" s="87"/>
      <c r="K918" s="87"/>
      <c r="L918" s="87"/>
      <c r="M918" s="87"/>
      <c r="N918" s="87">
        <f t="shared" si="56"/>
        <v>0</v>
      </c>
      <c r="O918" s="87">
        <f t="shared" si="57"/>
        <v>0</v>
      </c>
      <c r="P918" s="87" t="b">
        <f t="shared" si="58"/>
        <v>0</v>
      </c>
      <c r="Q918" s="87" t="b">
        <f>(Requirements!K920="Normative")</f>
        <v>0</v>
      </c>
      <c r="R918" s="87" t="b">
        <f>AND(Requirements!L920&lt;&gt;"Non-testable",Requirements!L920&lt;&gt;"Deleted",Requirements!L920&lt;&gt;"")</f>
        <v>1</v>
      </c>
      <c r="S918" s="87" t="b">
        <f>(VLOOKUP(Requirements!I920,Scope[[Role]:[Description]],2,FALSE)="In")</f>
        <v>1</v>
      </c>
      <c r="T918" s="87">
        <f t="shared" si="59"/>
        <v>0</v>
      </c>
    </row>
    <row r="919" spans="1:20">
      <c r="A919" s="44" t="str">
        <f>Requirements!A921</f>
        <v>MS-SMB_R9468</v>
      </c>
      <c r="B919" s="87"/>
      <c r="C919" s="87"/>
      <c r="D919" s="87"/>
      <c r="E919" s="87"/>
      <c r="F919" s="87"/>
      <c r="G919" s="87"/>
      <c r="H919" s="87"/>
      <c r="I919" s="87"/>
      <c r="J919" s="87"/>
      <c r="K919" s="87"/>
      <c r="L919" s="87"/>
      <c r="M919" s="87"/>
      <c r="N919" s="87">
        <f t="shared" si="56"/>
        <v>0</v>
      </c>
      <c r="O919" s="87">
        <f t="shared" si="57"/>
        <v>0</v>
      </c>
      <c r="P919" s="87" t="b">
        <f t="shared" si="58"/>
        <v>0</v>
      </c>
      <c r="Q919" s="87" t="b">
        <f>(Requirements!K921="Normative")</f>
        <v>0</v>
      </c>
      <c r="R919" s="87" t="b">
        <f>AND(Requirements!L921&lt;&gt;"Non-testable",Requirements!L921&lt;&gt;"Deleted",Requirements!L921&lt;&gt;"")</f>
        <v>1</v>
      </c>
      <c r="S919" s="87" t="b">
        <f>(VLOOKUP(Requirements!I921,Scope[[Role]:[Description]],2,FALSE)="In")</f>
        <v>1</v>
      </c>
      <c r="T919" s="87">
        <f t="shared" si="59"/>
        <v>0</v>
      </c>
    </row>
    <row r="920" spans="1:20">
      <c r="A920" s="84" t="str">
        <f>Requirements!A922</f>
        <v>MS-SMB_R9469</v>
      </c>
      <c r="B920" s="87">
        <v>1</v>
      </c>
      <c r="C920" s="87"/>
      <c r="D920" s="87">
        <v>1</v>
      </c>
      <c r="E920" s="87"/>
      <c r="F920" s="87"/>
      <c r="G920" s="87"/>
      <c r="H920" s="87"/>
      <c r="I920" s="87"/>
      <c r="J920" s="87"/>
      <c r="K920" s="87"/>
      <c r="L920" s="87"/>
      <c r="M920" s="87"/>
      <c r="N920" s="87">
        <f t="shared" si="56"/>
        <v>2</v>
      </c>
      <c r="O920" s="60">
        <f t="shared" si="57"/>
        <v>1</v>
      </c>
      <c r="P920" s="60" t="b">
        <f t="shared" si="58"/>
        <v>1</v>
      </c>
      <c r="Q920" s="87" t="b">
        <f>(Requirements!K922="Normative")</f>
        <v>1</v>
      </c>
      <c r="R920" s="87" t="b">
        <f>AND(Requirements!L922&lt;&gt;"Non-testable",Requirements!L922&lt;&gt;"Deleted",Requirements!L922&lt;&gt;"")</f>
        <v>1</v>
      </c>
      <c r="S920" s="87" t="b">
        <f>(VLOOKUP(Requirements!I922,Scope[[Role]:[Description]],2,FALSE)="In")</f>
        <v>1</v>
      </c>
      <c r="T920" s="87">
        <f t="shared" si="59"/>
        <v>1</v>
      </c>
    </row>
    <row r="921" spans="1:20">
      <c r="A921" s="85" t="str">
        <f>Requirements!A923</f>
        <v>MS-SMB_R9470</v>
      </c>
      <c r="B921" s="87"/>
      <c r="C921" s="87"/>
      <c r="D921" s="87"/>
      <c r="E921" s="87"/>
      <c r="F921" s="87"/>
      <c r="G921" s="87"/>
      <c r="H921" s="87"/>
      <c r="I921" s="87"/>
      <c r="J921" s="87"/>
      <c r="K921" s="87"/>
      <c r="L921" s="87"/>
      <c r="M921" s="87"/>
      <c r="N921" s="87">
        <f t="shared" si="56"/>
        <v>0</v>
      </c>
      <c r="O921" s="61">
        <f t="shared" si="57"/>
        <v>0</v>
      </c>
      <c r="P921" s="61" t="b">
        <f t="shared" si="58"/>
        <v>1</v>
      </c>
      <c r="Q921" s="87" t="b">
        <f>(Requirements!K923="Normative")</f>
        <v>1</v>
      </c>
      <c r="R921" s="87" t="b">
        <f>AND(Requirements!L923&lt;&gt;"Non-testable",Requirements!L923&lt;&gt;"Deleted",Requirements!L923&lt;&gt;"")</f>
        <v>1</v>
      </c>
      <c r="S921" s="87" t="b">
        <f>(VLOOKUP(Requirements!I923,Scope[[Role]:[Description]],2,FALSE)="In")</f>
        <v>1</v>
      </c>
      <c r="T921" s="87">
        <f t="shared" si="59"/>
        <v>0</v>
      </c>
    </row>
    <row r="922" spans="1:20">
      <c r="A922" s="84" t="str">
        <f>Requirements!A924</f>
        <v>MS-SMB_R9471</v>
      </c>
      <c r="B922" s="87">
        <v>1</v>
      </c>
      <c r="C922" s="87"/>
      <c r="D922" s="87">
        <v>1</v>
      </c>
      <c r="E922" s="87"/>
      <c r="F922" s="87"/>
      <c r="G922" s="87"/>
      <c r="H922" s="87"/>
      <c r="I922" s="87"/>
      <c r="J922" s="87"/>
      <c r="K922" s="87"/>
      <c r="L922" s="87"/>
      <c r="M922" s="87"/>
      <c r="N922" s="87">
        <f t="shared" si="56"/>
        <v>2</v>
      </c>
      <c r="O922" s="60">
        <f t="shared" si="57"/>
        <v>1</v>
      </c>
      <c r="P922" s="60" t="b">
        <f t="shared" si="58"/>
        <v>1</v>
      </c>
      <c r="Q922" s="87" t="b">
        <f>(Requirements!K924="Normative")</f>
        <v>1</v>
      </c>
      <c r="R922" s="87" t="b">
        <f>AND(Requirements!L924&lt;&gt;"Non-testable",Requirements!L924&lt;&gt;"Deleted",Requirements!L924&lt;&gt;"")</f>
        <v>1</v>
      </c>
      <c r="S922" s="87" t="b">
        <f>(VLOOKUP(Requirements!I924,Scope[[Role]:[Description]],2,FALSE)="In")</f>
        <v>1</v>
      </c>
      <c r="T922" s="87">
        <f t="shared" si="59"/>
        <v>1</v>
      </c>
    </row>
    <row r="923" spans="1:20">
      <c r="A923" s="85" t="str">
        <f>Requirements!A925</f>
        <v>MS-SMB_R9472</v>
      </c>
      <c r="B923" s="87"/>
      <c r="C923" s="87"/>
      <c r="D923" s="87"/>
      <c r="E923" s="87"/>
      <c r="F923" s="87"/>
      <c r="G923" s="87"/>
      <c r="H923" s="87"/>
      <c r="I923" s="87"/>
      <c r="J923" s="87"/>
      <c r="K923" s="87"/>
      <c r="L923" s="87"/>
      <c r="M923" s="87"/>
      <c r="N923" s="87">
        <f t="shared" si="56"/>
        <v>0</v>
      </c>
      <c r="O923" s="61">
        <f t="shared" si="57"/>
        <v>0</v>
      </c>
      <c r="P923" s="61" t="b">
        <f t="shared" si="58"/>
        <v>1</v>
      </c>
      <c r="Q923" s="87" t="b">
        <f>(Requirements!K925="Normative")</f>
        <v>1</v>
      </c>
      <c r="R923" s="87" t="b">
        <f>AND(Requirements!L925&lt;&gt;"Non-testable",Requirements!L925&lt;&gt;"Deleted",Requirements!L925&lt;&gt;"")</f>
        <v>1</v>
      </c>
      <c r="S923" s="87" t="b">
        <f>(VLOOKUP(Requirements!I925,Scope[[Role]:[Description]],2,FALSE)="In")</f>
        <v>1</v>
      </c>
      <c r="T923" s="87">
        <f t="shared" si="59"/>
        <v>0</v>
      </c>
    </row>
    <row r="924" spans="1:20">
      <c r="A924" s="84" t="str">
        <f>Requirements!A926</f>
        <v>MS-SMB_R9473</v>
      </c>
      <c r="B924" s="87">
        <v>1</v>
      </c>
      <c r="C924" s="87"/>
      <c r="D924" s="87">
        <v>1</v>
      </c>
      <c r="E924" s="87"/>
      <c r="F924" s="87"/>
      <c r="G924" s="87"/>
      <c r="H924" s="87"/>
      <c r="I924" s="87"/>
      <c r="J924" s="87"/>
      <c r="K924" s="87"/>
      <c r="L924" s="87"/>
      <c r="M924" s="87"/>
      <c r="N924" s="87">
        <f t="shared" si="56"/>
        <v>2</v>
      </c>
      <c r="O924" s="60">
        <f t="shared" si="57"/>
        <v>1</v>
      </c>
      <c r="P924" s="60" t="b">
        <f t="shared" si="58"/>
        <v>1</v>
      </c>
      <c r="Q924" s="87" t="b">
        <f>(Requirements!K926="Normative")</f>
        <v>1</v>
      </c>
      <c r="R924" s="87" t="b">
        <f>AND(Requirements!L926&lt;&gt;"Non-testable",Requirements!L926&lt;&gt;"Deleted",Requirements!L926&lt;&gt;"")</f>
        <v>1</v>
      </c>
      <c r="S924" s="87" t="b">
        <f>(VLOOKUP(Requirements!I926,Scope[[Role]:[Description]],2,FALSE)="In")</f>
        <v>1</v>
      </c>
      <c r="T924" s="87">
        <f t="shared" si="59"/>
        <v>1</v>
      </c>
    </row>
    <row r="925" spans="1:20">
      <c r="A925" s="85" t="str">
        <f>Requirements!A927</f>
        <v>MS-SMB_R9474</v>
      </c>
      <c r="B925" s="87"/>
      <c r="C925" s="87"/>
      <c r="D925" s="87"/>
      <c r="E925" s="87"/>
      <c r="F925" s="87"/>
      <c r="G925" s="87"/>
      <c r="H925" s="87"/>
      <c r="I925" s="87"/>
      <c r="J925" s="87"/>
      <c r="K925" s="87"/>
      <c r="L925" s="87"/>
      <c r="M925" s="87"/>
      <c r="N925" s="87">
        <f t="shared" si="56"/>
        <v>0</v>
      </c>
      <c r="O925" s="61">
        <f t="shared" si="57"/>
        <v>0</v>
      </c>
      <c r="P925" s="61" t="b">
        <f t="shared" si="58"/>
        <v>1</v>
      </c>
      <c r="Q925" s="87" t="b">
        <f>(Requirements!K927="Normative")</f>
        <v>1</v>
      </c>
      <c r="R925" s="87" t="b">
        <f>AND(Requirements!L927&lt;&gt;"Non-testable",Requirements!L927&lt;&gt;"Deleted",Requirements!L927&lt;&gt;"")</f>
        <v>1</v>
      </c>
      <c r="S925" s="87" t="b">
        <f>(VLOOKUP(Requirements!I927,Scope[[Role]:[Description]],2,FALSE)="In")</f>
        <v>1</v>
      </c>
      <c r="T925" s="87">
        <f t="shared" si="59"/>
        <v>0</v>
      </c>
    </row>
    <row r="926" spans="1:20">
      <c r="A926" s="84" t="str">
        <f>Requirements!A928</f>
        <v>MS-SMB_R9475</v>
      </c>
      <c r="B926" s="87">
        <v>1</v>
      </c>
      <c r="C926" s="87"/>
      <c r="D926" s="87">
        <v>1</v>
      </c>
      <c r="E926" s="87"/>
      <c r="F926" s="87"/>
      <c r="G926" s="87"/>
      <c r="H926" s="87"/>
      <c r="I926" s="87"/>
      <c r="J926" s="87"/>
      <c r="K926" s="87"/>
      <c r="L926" s="87"/>
      <c r="M926" s="87"/>
      <c r="N926" s="87">
        <f t="shared" si="56"/>
        <v>2</v>
      </c>
      <c r="O926" s="60">
        <f t="shared" si="57"/>
        <v>1</v>
      </c>
      <c r="P926" s="60" t="b">
        <f t="shared" si="58"/>
        <v>1</v>
      </c>
      <c r="Q926" s="87" t="b">
        <f>(Requirements!K928="Normative")</f>
        <v>1</v>
      </c>
      <c r="R926" s="87" t="b">
        <f>AND(Requirements!L928&lt;&gt;"Non-testable",Requirements!L928&lt;&gt;"Deleted",Requirements!L928&lt;&gt;"")</f>
        <v>1</v>
      </c>
      <c r="S926" s="87" t="b">
        <f>(VLOOKUP(Requirements!I928,Scope[[Role]:[Description]],2,FALSE)="In")</f>
        <v>1</v>
      </c>
      <c r="T926" s="87">
        <f t="shared" si="59"/>
        <v>1</v>
      </c>
    </row>
    <row r="927" spans="1:20">
      <c r="A927" s="44" t="str">
        <f>Requirements!A929</f>
        <v>MS-SMB_R9476</v>
      </c>
      <c r="B927" s="87"/>
      <c r="C927" s="87"/>
      <c r="D927" s="87"/>
      <c r="E927" s="87"/>
      <c r="F927" s="87"/>
      <c r="G927" s="87"/>
      <c r="H927" s="87"/>
      <c r="I927" s="87"/>
      <c r="J927" s="87"/>
      <c r="K927" s="87"/>
      <c r="L927" s="87"/>
      <c r="M927" s="87"/>
      <c r="N927" s="87">
        <f t="shared" si="56"/>
        <v>0</v>
      </c>
      <c r="O927" s="87">
        <f t="shared" si="57"/>
        <v>0</v>
      </c>
      <c r="P927" s="87" t="b">
        <f t="shared" si="58"/>
        <v>0</v>
      </c>
      <c r="Q927" s="87" t="b">
        <f>(Requirements!K929="Normative")</f>
        <v>0</v>
      </c>
      <c r="R927" s="87" t="b">
        <f>AND(Requirements!L929&lt;&gt;"Non-testable",Requirements!L929&lt;&gt;"Deleted",Requirements!L929&lt;&gt;"")</f>
        <v>1</v>
      </c>
      <c r="S927" s="87" t="b">
        <f>(VLOOKUP(Requirements!I929,Scope[[Role]:[Description]],2,FALSE)="In")</f>
        <v>1</v>
      </c>
      <c r="T927" s="87">
        <f t="shared" si="59"/>
        <v>0</v>
      </c>
    </row>
    <row r="928" spans="1:20">
      <c r="A928" s="84" t="str">
        <f>Requirements!A930</f>
        <v>MS-SMB_R9477</v>
      </c>
      <c r="B928" s="87">
        <v>1</v>
      </c>
      <c r="C928" s="87"/>
      <c r="D928" s="87">
        <v>1</v>
      </c>
      <c r="E928" s="87"/>
      <c r="F928" s="87"/>
      <c r="G928" s="87"/>
      <c r="H928" s="87"/>
      <c r="I928" s="87"/>
      <c r="J928" s="87"/>
      <c r="K928" s="87"/>
      <c r="L928" s="87"/>
      <c r="M928" s="87"/>
      <c r="N928" s="87">
        <f t="shared" si="56"/>
        <v>2</v>
      </c>
      <c r="O928" s="60">
        <f t="shared" si="57"/>
        <v>1</v>
      </c>
      <c r="P928" s="60" t="b">
        <f t="shared" si="58"/>
        <v>1</v>
      </c>
      <c r="Q928" s="87" t="b">
        <f>(Requirements!K930="Normative")</f>
        <v>1</v>
      </c>
      <c r="R928" s="87" t="b">
        <f>AND(Requirements!L930&lt;&gt;"Non-testable",Requirements!L930&lt;&gt;"Deleted",Requirements!L930&lt;&gt;"")</f>
        <v>1</v>
      </c>
      <c r="S928" s="87" t="b">
        <f>(VLOOKUP(Requirements!I930,Scope[[Role]:[Description]],2,FALSE)="In")</f>
        <v>1</v>
      </c>
      <c r="T928" s="87">
        <f t="shared" si="59"/>
        <v>1</v>
      </c>
    </row>
    <row r="929" spans="1:20">
      <c r="A929" s="85" t="str">
        <f>Requirements!A931</f>
        <v>MS-SMB_R9478</v>
      </c>
      <c r="B929" s="87"/>
      <c r="C929" s="87"/>
      <c r="D929" s="87"/>
      <c r="E929" s="87"/>
      <c r="F929" s="87"/>
      <c r="G929" s="87"/>
      <c r="H929" s="87"/>
      <c r="I929" s="87"/>
      <c r="J929" s="87"/>
      <c r="K929" s="87"/>
      <c r="L929" s="87"/>
      <c r="M929" s="87"/>
      <c r="N929" s="87">
        <f t="shared" si="56"/>
        <v>0</v>
      </c>
      <c r="O929" s="61">
        <f t="shared" si="57"/>
        <v>0</v>
      </c>
      <c r="P929" s="61" t="b">
        <f t="shared" si="58"/>
        <v>1</v>
      </c>
      <c r="Q929" s="87" t="b">
        <f>(Requirements!K931="Normative")</f>
        <v>1</v>
      </c>
      <c r="R929" s="87" t="b">
        <f>AND(Requirements!L931&lt;&gt;"Non-testable",Requirements!L931&lt;&gt;"Deleted",Requirements!L931&lt;&gt;"")</f>
        <v>1</v>
      </c>
      <c r="S929" s="87" t="b">
        <f>(VLOOKUP(Requirements!I931,Scope[[Role]:[Description]],2,FALSE)="In")</f>
        <v>1</v>
      </c>
      <c r="T929" s="87">
        <f t="shared" si="59"/>
        <v>0</v>
      </c>
    </row>
    <row r="930" spans="1:20">
      <c r="A930" s="44" t="str">
        <f>Requirements!A932</f>
        <v>MS-SMB_R9479</v>
      </c>
      <c r="B930" s="87"/>
      <c r="C930" s="87"/>
      <c r="D930" s="87"/>
      <c r="E930" s="87"/>
      <c r="F930" s="87"/>
      <c r="G930" s="87"/>
      <c r="H930" s="87"/>
      <c r="I930" s="87"/>
      <c r="J930" s="87"/>
      <c r="K930" s="87"/>
      <c r="L930" s="87"/>
      <c r="M930" s="87"/>
      <c r="N930" s="87">
        <f t="shared" si="56"/>
        <v>0</v>
      </c>
      <c r="O930" s="87">
        <f t="shared" si="57"/>
        <v>0</v>
      </c>
      <c r="P930" s="87" t="b">
        <f t="shared" si="58"/>
        <v>0</v>
      </c>
      <c r="Q930" s="87" t="b">
        <f>(Requirements!K932="Normative")</f>
        <v>0</v>
      </c>
      <c r="R930" s="87" t="b">
        <f>AND(Requirements!L932&lt;&gt;"Non-testable",Requirements!L932&lt;&gt;"Deleted",Requirements!L932&lt;&gt;"")</f>
        <v>1</v>
      </c>
      <c r="S930" s="87" t="b">
        <f>(VLOOKUP(Requirements!I932,Scope[[Role]:[Description]],2,FALSE)="In")</f>
        <v>1</v>
      </c>
      <c r="T930" s="87">
        <f t="shared" si="59"/>
        <v>0</v>
      </c>
    </row>
    <row r="931" spans="1:20">
      <c r="A931" s="84" t="str">
        <f>Requirements!A933</f>
        <v>MS-SMB_R9480</v>
      </c>
      <c r="B931" s="87">
        <v>1</v>
      </c>
      <c r="C931" s="87"/>
      <c r="D931" s="87">
        <v>1</v>
      </c>
      <c r="E931" s="87"/>
      <c r="F931" s="87"/>
      <c r="G931" s="87"/>
      <c r="H931" s="87"/>
      <c r="I931" s="87"/>
      <c r="J931" s="87"/>
      <c r="K931" s="87"/>
      <c r="L931" s="87"/>
      <c r="M931" s="87"/>
      <c r="N931" s="87">
        <f t="shared" si="56"/>
        <v>2</v>
      </c>
      <c r="O931" s="60">
        <f t="shared" si="57"/>
        <v>1</v>
      </c>
      <c r="P931" s="60" t="b">
        <f t="shared" si="58"/>
        <v>1</v>
      </c>
      <c r="Q931" s="87" t="b">
        <f>(Requirements!K933="Normative")</f>
        <v>1</v>
      </c>
      <c r="R931" s="87" t="b">
        <f>AND(Requirements!L933&lt;&gt;"Non-testable",Requirements!L933&lt;&gt;"Deleted",Requirements!L933&lt;&gt;"")</f>
        <v>1</v>
      </c>
      <c r="S931" s="87" t="b">
        <f>(VLOOKUP(Requirements!I933,Scope[[Role]:[Description]],2,FALSE)="In")</f>
        <v>1</v>
      </c>
      <c r="T931" s="87">
        <f t="shared" si="59"/>
        <v>1</v>
      </c>
    </row>
    <row r="932" spans="1:20">
      <c r="A932" s="84" t="str">
        <f>Requirements!A934</f>
        <v>MS-SMB_R9481</v>
      </c>
      <c r="B932" s="87">
        <v>1</v>
      </c>
      <c r="C932" s="87"/>
      <c r="D932" s="87">
        <v>1</v>
      </c>
      <c r="E932" s="87"/>
      <c r="F932" s="87"/>
      <c r="G932" s="87"/>
      <c r="H932" s="87"/>
      <c r="I932" s="87"/>
      <c r="J932" s="87"/>
      <c r="K932" s="87"/>
      <c r="L932" s="87"/>
      <c r="M932" s="87"/>
      <c r="N932" s="87">
        <f t="shared" si="56"/>
        <v>2</v>
      </c>
      <c r="O932" s="60">
        <f t="shared" si="57"/>
        <v>1</v>
      </c>
      <c r="P932" s="60" t="b">
        <f t="shared" si="58"/>
        <v>1</v>
      </c>
      <c r="Q932" s="87" t="b">
        <f>(Requirements!K934="Normative")</f>
        <v>1</v>
      </c>
      <c r="R932" s="87" t="b">
        <f>AND(Requirements!L934&lt;&gt;"Non-testable",Requirements!L934&lt;&gt;"Deleted",Requirements!L934&lt;&gt;"")</f>
        <v>1</v>
      </c>
      <c r="S932" s="87" t="b">
        <f>(VLOOKUP(Requirements!I934,Scope[[Role]:[Description]],2,FALSE)="In")</f>
        <v>1</v>
      </c>
      <c r="T932" s="87">
        <f t="shared" si="59"/>
        <v>1</v>
      </c>
    </row>
    <row r="933" spans="1:20">
      <c r="A933" s="44" t="str">
        <f>Requirements!A935</f>
        <v>MS-SMB_R9482</v>
      </c>
      <c r="B933" s="87"/>
      <c r="C933" s="87"/>
      <c r="D933" s="87"/>
      <c r="E933" s="87"/>
      <c r="F933" s="87"/>
      <c r="G933" s="87"/>
      <c r="H933" s="87"/>
      <c r="I933" s="87"/>
      <c r="J933" s="87"/>
      <c r="K933" s="87"/>
      <c r="L933" s="87"/>
      <c r="M933" s="87"/>
      <c r="N933" s="87">
        <f t="shared" si="56"/>
        <v>0</v>
      </c>
      <c r="O933" s="87">
        <f t="shared" si="57"/>
        <v>0</v>
      </c>
      <c r="P933" s="87" t="b">
        <f t="shared" si="58"/>
        <v>0</v>
      </c>
      <c r="Q933" s="87" t="b">
        <f>(Requirements!K935="Normative")</f>
        <v>0</v>
      </c>
      <c r="R933" s="87" t="b">
        <f>AND(Requirements!L935&lt;&gt;"Non-testable",Requirements!L935&lt;&gt;"Deleted",Requirements!L935&lt;&gt;"")</f>
        <v>1</v>
      </c>
      <c r="S933" s="87" t="b">
        <f>(VLOOKUP(Requirements!I935,Scope[[Role]:[Description]],2,FALSE)="In")</f>
        <v>1</v>
      </c>
      <c r="T933" s="87">
        <f t="shared" si="59"/>
        <v>0</v>
      </c>
    </row>
    <row r="934" spans="1:20">
      <c r="A934" s="84" t="str">
        <f>Requirements!A936</f>
        <v>MS-SMB_R9483</v>
      </c>
      <c r="B934" s="87">
        <v>1</v>
      </c>
      <c r="C934" s="87"/>
      <c r="D934" s="87">
        <v>1</v>
      </c>
      <c r="E934" s="87"/>
      <c r="F934" s="87"/>
      <c r="G934" s="87"/>
      <c r="H934" s="87"/>
      <c r="I934" s="87"/>
      <c r="J934" s="87"/>
      <c r="K934" s="87"/>
      <c r="L934" s="87"/>
      <c r="M934" s="87"/>
      <c r="N934" s="87">
        <f t="shared" si="56"/>
        <v>2</v>
      </c>
      <c r="O934" s="60">
        <f t="shared" si="57"/>
        <v>1</v>
      </c>
      <c r="P934" s="60" t="b">
        <f t="shared" si="58"/>
        <v>1</v>
      </c>
      <c r="Q934" s="87" t="b">
        <f>(Requirements!K936="Normative")</f>
        <v>1</v>
      </c>
      <c r="R934" s="87" t="b">
        <f>AND(Requirements!L936&lt;&gt;"Non-testable",Requirements!L936&lt;&gt;"Deleted",Requirements!L936&lt;&gt;"")</f>
        <v>1</v>
      </c>
      <c r="S934" s="87" t="b">
        <f>(VLOOKUP(Requirements!I936,Scope[[Role]:[Description]],2,FALSE)="In")</f>
        <v>1</v>
      </c>
      <c r="T934" s="87">
        <f t="shared" si="59"/>
        <v>1</v>
      </c>
    </row>
    <row r="935" spans="1:20">
      <c r="A935" s="85" t="str">
        <f>Requirements!A937</f>
        <v>MS-SMB_R9484</v>
      </c>
      <c r="B935" s="87"/>
      <c r="C935" s="87"/>
      <c r="D935" s="87"/>
      <c r="E935" s="87"/>
      <c r="F935" s="87"/>
      <c r="G935" s="87"/>
      <c r="H935" s="87"/>
      <c r="I935" s="87"/>
      <c r="J935" s="87"/>
      <c r="K935" s="87"/>
      <c r="L935" s="87"/>
      <c r="M935" s="87"/>
      <c r="N935" s="87">
        <f t="shared" si="56"/>
        <v>0</v>
      </c>
      <c r="O935" s="61">
        <f t="shared" si="57"/>
        <v>0</v>
      </c>
      <c r="P935" s="61" t="b">
        <f t="shared" si="58"/>
        <v>1</v>
      </c>
      <c r="Q935" s="87" t="b">
        <f>(Requirements!K937="Normative")</f>
        <v>1</v>
      </c>
      <c r="R935" s="87" t="b">
        <f>AND(Requirements!L937&lt;&gt;"Non-testable",Requirements!L937&lt;&gt;"Deleted",Requirements!L937&lt;&gt;"")</f>
        <v>1</v>
      </c>
      <c r="S935" s="87" t="b">
        <f>(VLOOKUP(Requirements!I937,Scope[[Role]:[Description]],2,FALSE)="In")</f>
        <v>1</v>
      </c>
      <c r="T935" s="87">
        <f t="shared" si="59"/>
        <v>0</v>
      </c>
    </row>
    <row r="936" spans="1:20">
      <c r="A936" s="84" t="str">
        <f>Requirements!A938</f>
        <v>MS-SMB_R9485</v>
      </c>
      <c r="B936" s="87">
        <v>1</v>
      </c>
      <c r="C936" s="87"/>
      <c r="D936" s="87">
        <v>1</v>
      </c>
      <c r="E936" s="87"/>
      <c r="F936" s="87"/>
      <c r="G936" s="87"/>
      <c r="H936" s="87"/>
      <c r="I936" s="87"/>
      <c r="J936" s="87"/>
      <c r="K936" s="87"/>
      <c r="L936" s="87"/>
      <c r="M936" s="87"/>
      <c r="N936" s="87">
        <f t="shared" si="56"/>
        <v>2</v>
      </c>
      <c r="O936" s="60">
        <f t="shared" si="57"/>
        <v>1</v>
      </c>
      <c r="P936" s="60" t="b">
        <f t="shared" si="58"/>
        <v>1</v>
      </c>
      <c r="Q936" s="87" t="b">
        <f>(Requirements!K938="Normative")</f>
        <v>1</v>
      </c>
      <c r="R936" s="87" t="b">
        <f>AND(Requirements!L938&lt;&gt;"Non-testable",Requirements!L938&lt;&gt;"Deleted",Requirements!L938&lt;&gt;"")</f>
        <v>1</v>
      </c>
      <c r="S936" s="87" t="b">
        <f>(VLOOKUP(Requirements!I938,Scope[[Role]:[Description]],2,FALSE)="In")</f>
        <v>1</v>
      </c>
      <c r="T936" s="87">
        <f t="shared" si="59"/>
        <v>1</v>
      </c>
    </row>
    <row r="937" spans="1:20">
      <c r="A937" s="85" t="str">
        <f>Requirements!A939</f>
        <v>MS-SMB_R9486</v>
      </c>
      <c r="B937" s="87"/>
      <c r="C937" s="87"/>
      <c r="D937" s="87"/>
      <c r="E937" s="87"/>
      <c r="F937" s="87"/>
      <c r="G937" s="87"/>
      <c r="H937" s="87"/>
      <c r="I937" s="87"/>
      <c r="J937" s="87"/>
      <c r="K937" s="87"/>
      <c r="L937" s="87"/>
      <c r="M937" s="87"/>
      <c r="N937" s="87">
        <f t="shared" si="56"/>
        <v>0</v>
      </c>
      <c r="O937" s="61">
        <f t="shared" si="57"/>
        <v>0</v>
      </c>
      <c r="P937" s="61" t="b">
        <f t="shared" si="58"/>
        <v>1</v>
      </c>
      <c r="Q937" s="87" t="b">
        <f>(Requirements!K939="Normative")</f>
        <v>1</v>
      </c>
      <c r="R937" s="87" t="b">
        <f>AND(Requirements!L939&lt;&gt;"Non-testable",Requirements!L939&lt;&gt;"Deleted",Requirements!L939&lt;&gt;"")</f>
        <v>1</v>
      </c>
      <c r="S937" s="87" t="b">
        <f>(VLOOKUP(Requirements!I939,Scope[[Role]:[Description]],2,FALSE)="In")</f>
        <v>1</v>
      </c>
      <c r="T937" s="87">
        <f t="shared" si="59"/>
        <v>0</v>
      </c>
    </row>
    <row r="938" spans="1:20">
      <c r="A938" s="84" t="str">
        <f>Requirements!A940</f>
        <v>MS-SMB_R9487</v>
      </c>
      <c r="B938" s="87">
        <v>1</v>
      </c>
      <c r="C938" s="87"/>
      <c r="D938" s="87">
        <v>1</v>
      </c>
      <c r="E938" s="87"/>
      <c r="F938" s="87"/>
      <c r="G938" s="87"/>
      <c r="H938" s="87"/>
      <c r="I938" s="87"/>
      <c r="J938" s="87"/>
      <c r="K938" s="87"/>
      <c r="L938" s="87"/>
      <c r="M938" s="87"/>
      <c r="N938" s="87">
        <f t="shared" si="56"/>
        <v>2</v>
      </c>
      <c r="O938" s="60">
        <f t="shared" si="57"/>
        <v>1</v>
      </c>
      <c r="P938" s="60" t="b">
        <f t="shared" si="58"/>
        <v>1</v>
      </c>
      <c r="Q938" s="87" t="b">
        <f>(Requirements!K940="Normative")</f>
        <v>1</v>
      </c>
      <c r="R938" s="87" t="b">
        <f>AND(Requirements!L940&lt;&gt;"Non-testable",Requirements!L940&lt;&gt;"Deleted",Requirements!L940&lt;&gt;"")</f>
        <v>1</v>
      </c>
      <c r="S938" s="87" t="b">
        <f>(VLOOKUP(Requirements!I940,Scope[[Role]:[Description]],2,FALSE)="In")</f>
        <v>1</v>
      </c>
      <c r="T938" s="87">
        <f t="shared" si="59"/>
        <v>1</v>
      </c>
    </row>
    <row r="939" spans="1:20">
      <c r="A939" s="84" t="str">
        <f>Requirements!A941</f>
        <v>MS-SMB_R9488</v>
      </c>
      <c r="B939" s="87">
        <v>1</v>
      </c>
      <c r="C939" s="87"/>
      <c r="D939" s="87">
        <v>1</v>
      </c>
      <c r="E939" s="87"/>
      <c r="F939" s="87"/>
      <c r="G939" s="87"/>
      <c r="H939" s="87"/>
      <c r="I939" s="87"/>
      <c r="J939" s="87"/>
      <c r="K939" s="87"/>
      <c r="L939" s="87"/>
      <c r="M939" s="87"/>
      <c r="N939" s="87">
        <f t="shared" si="56"/>
        <v>2</v>
      </c>
      <c r="O939" s="60">
        <f t="shared" si="57"/>
        <v>1</v>
      </c>
      <c r="P939" s="60" t="b">
        <f t="shared" si="58"/>
        <v>1</v>
      </c>
      <c r="Q939" s="87" t="b">
        <f>(Requirements!K941="Normative")</f>
        <v>1</v>
      </c>
      <c r="R939" s="87" t="b">
        <f>AND(Requirements!L941&lt;&gt;"Non-testable",Requirements!L941&lt;&gt;"Deleted",Requirements!L941&lt;&gt;"")</f>
        <v>1</v>
      </c>
      <c r="S939" s="87" t="b">
        <f>(VLOOKUP(Requirements!I941,Scope[[Role]:[Description]],2,FALSE)="In")</f>
        <v>1</v>
      </c>
      <c r="T939" s="87">
        <f t="shared" si="59"/>
        <v>1</v>
      </c>
    </row>
    <row r="940" spans="1:20">
      <c r="A940" s="85" t="str">
        <f>Requirements!A942</f>
        <v>MS-SMB_R9489</v>
      </c>
      <c r="B940" s="87"/>
      <c r="C940" s="87"/>
      <c r="D940" s="87"/>
      <c r="E940" s="87"/>
      <c r="F940" s="87"/>
      <c r="G940" s="87"/>
      <c r="H940" s="87"/>
      <c r="I940" s="87"/>
      <c r="J940" s="87"/>
      <c r="K940" s="87"/>
      <c r="L940" s="87"/>
      <c r="M940" s="87"/>
      <c r="N940" s="87">
        <f t="shared" si="56"/>
        <v>0</v>
      </c>
      <c r="O940" s="61">
        <f t="shared" si="57"/>
        <v>0</v>
      </c>
      <c r="P940" s="61" t="b">
        <f t="shared" si="58"/>
        <v>1</v>
      </c>
      <c r="Q940" s="87" t="b">
        <f>(Requirements!K942="Normative")</f>
        <v>1</v>
      </c>
      <c r="R940" s="87" t="b">
        <f>AND(Requirements!L942&lt;&gt;"Non-testable",Requirements!L942&lt;&gt;"Deleted",Requirements!L942&lt;&gt;"")</f>
        <v>1</v>
      </c>
      <c r="S940" s="87" t="b">
        <f>(VLOOKUP(Requirements!I942,Scope[[Role]:[Description]],2,FALSE)="In")</f>
        <v>1</v>
      </c>
      <c r="T940" s="87">
        <f t="shared" si="59"/>
        <v>0</v>
      </c>
    </row>
    <row r="941" spans="1:20">
      <c r="A941" s="44" t="str">
        <f>Requirements!A943</f>
        <v>MS-SMB_R9490</v>
      </c>
      <c r="B941" s="87"/>
      <c r="C941" s="87"/>
      <c r="D941" s="87"/>
      <c r="E941" s="87"/>
      <c r="F941" s="87"/>
      <c r="G941" s="87"/>
      <c r="H941" s="87"/>
      <c r="I941" s="87"/>
      <c r="J941" s="87"/>
      <c r="K941" s="87"/>
      <c r="L941" s="87"/>
      <c r="M941" s="87"/>
      <c r="N941" s="87">
        <f t="shared" si="56"/>
        <v>0</v>
      </c>
      <c r="O941" s="87">
        <f t="shared" si="57"/>
        <v>0</v>
      </c>
      <c r="P941" s="87" t="b">
        <f t="shared" si="58"/>
        <v>0</v>
      </c>
      <c r="Q941" s="87" t="b">
        <f>(Requirements!K943="Normative")</f>
        <v>0</v>
      </c>
      <c r="R941" s="87" t="b">
        <f>AND(Requirements!L943&lt;&gt;"Non-testable",Requirements!L943&lt;&gt;"Deleted",Requirements!L943&lt;&gt;"")</f>
        <v>1</v>
      </c>
      <c r="S941" s="87" t="b">
        <f>(VLOOKUP(Requirements!I943,Scope[[Role]:[Description]],2,FALSE)="In")</f>
        <v>1</v>
      </c>
      <c r="T941" s="87">
        <f t="shared" si="59"/>
        <v>0</v>
      </c>
    </row>
    <row r="942" spans="1:20">
      <c r="A942" s="84" t="str">
        <f>Requirements!A944</f>
        <v>MS-SMB_R9491</v>
      </c>
      <c r="B942" s="87">
        <v>1</v>
      </c>
      <c r="C942" s="87"/>
      <c r="D942" s="87">
        <v>1</v>
      </c>
      <c r="E942" s="87"/>
      <c r="F942" s="87"/>
      <c r="G942" s="87"/>
      <c r="H942" s="87"/>
      <c r="I942" s="87"/>
      <c r="J942" s="87"/>
      <c r="K942" s="87"/>
      <c r="L942" s="87"/>
      <c r="M942" s="87"/>
      <c r="N942" s="87">
        <f t="shared" si="56"/>
        <v>2</v>
      </c>
      <c r="O942" s="60">
        <f t="shared" si="57"/>
        <v>1</v>
      </c>
      <c r="P942" s="60" t="b">
        <f t="shared" si="58"/>
        <v>1</v>
      </c>
      <c r="Q942" s="87" t="b">
        <f>(Requirements!K944="Normative")</f>
        <v>1</v>
      </c>
      <c r="R942" s="87" t="b">
        <f>AND(Requirements!L944&lt;&gt;"Non-testable",Requirements!L944&lt;&gt;"Deleted",Requirements!L944&lt;&gt;"")</f>
        <v>1</v>
      </c>
      <c r="S942" s="87" t="b">
        <f>(VLOOKUP(Requirements!I944,Scope[[Role]:[Description]],2,FALSE)="In")</f>
        <v>1</v>
      </c>
      <c r="T942" s="87">
        <f t="shared" si="59"/>
        <v>1</v>
      </c>
    </row>
    <row r="943" spans="1:20">
      <c r="A943" s="44" t="str">
        <f>Requirements!A945</f>
        <v>MS-SMB_R9492</v>
      </c>
      <c r="B943" s="87"/>
      <c r="C943" s="87"/>
      <c r="D943" s="87"/>
      <c r="E943" s="87"/>
      <c r="F943" s="87"/>
      <c r="G943" s="87"/>
      <c r="H943" s="87"/>
      <c r="I943" s="87"/>
      <c r="J943" s="87"/>
      <c r="K943" s="87"/>
      <c r="L943" s="87"/>
      <c r="M943" s="87"/>
      <c r="N943" s="87">
        <f t="shared" si="56"/>
        <v>0</v>
      </c>
      <c r="O943" s="87">
        <f t="shared" si="57"/>
        <v>0</v>
      </c>
      <c r="P943" s="87" t="b">
        <f t="shared" si="58"/>
        <v>0</v>
      </c>
      <c r="Q943" s="87" t="b">
        <f>(Requirements!K945="Normative")</f>
        <v>0</v>
      </c>
      <c r="R943" s="87" t="b">
        <f>AND(Requirements!L945&lt;&gt;"Non-testable",Requirements!L945&lt;&gt;"Deleted",Requirements!L945&lt;&gt;"")</f>
        <v>1</v>
      </c>
      <c r="S943" s="87" t="b">
        <f>(VLOOKUP(Requirements!I945,Scope[[Role]:[Description]],2,FALSE)="In")</f>
        <v>1</v>
      </c>
      <c r="T943" s="87">
        <f t="shared" si="59"/>
        <v>0</v>
      </c>
    </row>
    <row r="944" spans="1:20">
      <c r="A944" s="84" t="str">
        <f>Requirements!A946</f>
        <v>MS-SMB_R9493</v>
      </c>
      <c r="B944" s="87">
        <v>1</v>
      </c>
      <c r="C944" s="87"/>
      <c r="D944" s="87">
        <v>1</v>
      </c>
      <c r="E944" s="87"/>
      <c r="F944" s="87"/>
      <c r="G944" s="87"/>
      <c r="H944" s="87"/>
      <c r="I944" s="87"/>
      <c r="J944" s="87"/>
      <c r="K944" s="87"/>
      <c r="L944" s="87"/>
      <c r="M944" s="87"/>
      <c r="N944" s="87">
        <f t="shared" si="56"/>
        <v>2</v>
      </c>
      <c r="O944" s="60">
        <f t="shared" si="57"/>
        <v>1</v>
      </c>
      <c r="P944" s="60" t="b">
        <f t="shared" si="58"/>
        <v>1</v>
      </c>
      <c r="Q944" s="87" t="b">
        <f>(Requirements!K946="Normative")</f>
        <v>1</v>
      </c>
      <c r="R944" s="87" t="b">
        <f>AND(Requirements!L946&lt;&gt;"Non-testable",Requirements!L946&lt;&gt;"Deleted",Requirements!L946&lt;&gt;"")</f>
        <v>1</v>
      </c>
      <c r="S944" s="87" t="b">
        <f>(VLOOKUP(Requirements!I946,Scope[[Role]:[Description]],2,FALSE)="In")</f>
        <v>1</v>
      </c>
      <c r="T944" s="87">
        <f t="shared" si="59"/>
        <v>1</v>
      </c>
    </row>
    <row r="945" spans="1:60">
      <c r="A945" s="44" t="str">
        <f>Requirements!A947</f>
        <v>MS-SMB_R9494</v>
      </c>
      <c r="B945" s="87"/>
      <c r="C945" s="87"/>
      <c r="D945" s="87"/>
      <c r="E945" s="87"/>
      <c r="F945" s="87"/>
      <c r="G945" s="87"/>
      <c r="H945" s="87"/>
      <c r="I945" s="87"/>
      <c r="J945" s="87"/>
      <c r="K945" s="87"/>
      <c r="L945" s="87"/>
      <c r="M945" s="87"/>
      <c r="N945" s="87">
        <f t="shared" si="56"/>
        <v>0</v>
      </c>
      <c r="O945" s="87">
        <f t="shared" si="57"/>
        <v>0</v>
      </c>
      <c r="P945" s="87" t="b">
        <f t="shared" si="58"/>
        <v>0</v>
      </c>
      <c r="Q945" s="87" t="b">
        <f>(Requirements!K947="Normative")</f>
        <v>0</v>
      </c>
      <c r="R945" s="87" t="b">
        <f>AND(Requirements!L947&lt;&gt;"Non-testable",Requirements!L947&lt;&gt;"Deleted",Requirements!L947&lt;&gt;"")</f>
        <v>1</v>
      </c>
      <c r="S945" s="87" t="b">
        <f>(VLOOKUP(Requirements!I947,Scope[[Role]:[Description]],2,FALSE)="In")</f>
        <v>1</v>
      </c>
      <c r="T945" s="87">
        <f t="shared" si="59"/>
        <v>0</v>
      </c>
    </row>
    <row r="946" spans="1:60">
      <c r="A946" s="84" t="str">
        <f>Requirements!A948</f>
        <v>MS-SMB_R9495</v>
      </c>
      <c r="B946" s="87">
        <v>1</v>
      </c>
      <c r="C946" s="87"/>
      <c r="D946" s="87">
        <v>1</v>
      </c>
      <c r="E946" s="87"/>
      <c r="F946" s="87"/>
      <c r="G946" s="87"/>
      <c r="H946" s="87"/>
      <c r="I946" s="87"/>
      <c r="J946" s="87"/>
      <c r="K946" s="87"/>
      <c r="L946" s="87"/>
      <c r="M946" s="87"/>
      <c r="N946" s="87">
        <f t="shared" si="56"/>
        <v>2</v>
      </c>
      <c r="O946" s="60">
        <f t="shared" si="57"/>
        <v>1</v>
      </c>
      <c r="P946" s="60" t="b">
        <f t="shared" si="58"/>
        <v>1</v>
      </c>
      <c r="Q946" s="87" t="b">
        <f>(Requirements!K948="Normative")</f>
        <v>1</v>
      </c>
      <c r="R946" s="87" t="b">
        <f>AND(Requirements!L948&lt;&gt;"Non-testable",Requirements!L948&lt;&gt;"Deleted",Requirements!L948&lt;&gt;"")</f>
        <v>1</v>
      </c>
      <c r="S946" s="87" t="b">
        <f>(VLOOKUP(Requirements!I948,Scope[[Role]:[Description]],2,FALSE)="In")</f>
        <v>1</v>
      </c>
      <c r="T946" s="87">
        <f t="shared" si="59"/>
        <v>1</v>
      </c>
    </row>
    <row r="947" spans="1:60">
      <c r="A947" s="85" t="str">
        <f>Requirements!A949</f>
        <v>MS-SMB_R9496</v>
      </c>
      <c r="B947" s="87"/>
      <c r="C947" s="87"/>
      <c r="D947" s="87"/>
      <c r="E947" s="87"/>
      <c r="F947" s="87"/>
      <c r="G947" s="87"/>
      <c r="H947" s="87"/>
      <c r="I947" s="87"/>
      <c r="J947" s="87"/>
      <c r="K947" s="87"/>
      <c r="L947" s="87"/>
      <c r="M947" s="87"/>
      <c r="N947" s="87">
        <f t="shared" si="56"/>
        <v>0</v>
      </c>
      <c r="O947" s="61">
        <f t="shared" si="57"/>
        <v>0</v>
      </c>
      <c r="P947" s="61" t="b">
        <f t="shared" si="58"/>
        <v>1</v>
      </c>
      <c r="Q947" s="87" t="b">
        <f>(Requirements!K949="Normative")</f>
        <v>1</v>
      </c>
      <c r="R947" s="87" t="b">
        <f>AND(Requirements!L949&lt;&gt;"Non-testable",Requirements!L949&lt;&gt;"Deleted",Requirements!L949&lt;&gt;"")</f>
        <v>1</v>
      </c>
      <c r="S947" s="87" t="b">
        <f>(VLOOKUP(Requirements!I949,Scope[[Role]:[Description]],2,FALSE)="In")</f>
        <v>1</v>
      </c>
      <c r="T947" s="87">
        <f t="shared" si="59"/>
        <v>0</v>
      </c>
    </row>
    <row r="948" spans="1:60">
      <c r="A948" s="44" t="str">
        <f>Requirements!A950</f>
        <v>MS-SMB_R3477</v>
      </c>
      <c r="B948" s="87"/>
      <c r="C948" s="87"/>
      <c r="D948" s="87"/>
      <c r="E948" s="87"/>
      <c r="F948" s="87"/>
      <c r="G948" s="87"/>
      <c r="H948" s="87"/>
      <c r="I948" s="87"/>
      <c r="J948" s="87"/>
      <c r="K948" s="87"/>
      <c r="L948" s="87"/>
      <c r="M948" s="87"/>
      <c r="N948" s="87">
        <f t="shared" si="56"/>
        <v>0</v>
      </c>
      <c r="O948" s="87">
        <f t="shared" si="57"/>
        <v>0</v>
      </c>
      <c r="P948" s="87" t="b">
        <f t="shared" si="58"/>
        <v>0</v>
      </c>
      <c r="Q948" s="87" t="b">
        <f>(Requirements!K950="Normative")</f>
        <v>0</v>
      </c>
      <c r="R948" s="87" t="b">
        <f>AND(Requirements!L950&lt;&gt;"Non-testable",Requirements!L950&lt;&gt;"Deleted",Requirements!L950&lt;&gt;"")</f>
        <v>1</v>
      </c>
      <c r="S948" s="87" t="b">
        <f>(VLOOKUP(Requirements!I950,Scope[[Role]:[Description]],2,FALSE)="In")</f>
        <v>1</v>
      </c>
      <c r="T948" s="87">
        <f t="shared" si="59"/>
        <v>0</v>
      </c>
    </row>
    <row r="949" spans="1:60">
      <c r="A949" s="84" t="str">
        <f>Requirements!A951</f>
        <v>MS-SMB_R3478</v>
      </c>
      <c r="B949" s="87">
        <v>1</v>
      </c>
      <c r="C949" s="87"/>
      <c r="D949" s="87">
        <v>1</v>
      </c>
      <c r="E949" s="87"/>
      <c r="F949" s="87"/>
      <c r="G949" s="87"/>
      <c r="H949" s="87"/>
      <c r="I949" s="87"/>
      <c r="J949" s="87"/>
      <c r="K949" s="87"/>
      <c r="L949" s="87"/>
      <c r="M949" s="87"/>
      <c r="N949" s="87">
        <f t="shared" si="56"/>
        <v>2</v>
      </c>
      <c r="O949" s="60">
        <f t="shared" si="57"/>
        <v>1</v>
      </c>
      <c r="P949" s="60" t="b">
        <f t="shared" si="58"/>
        <v>1</v>
      </c>
      <c r="Q949" s="87" t="b">
        <f>(Requirements!K951="Normative")</f>
        <v>1</v>
      </c>
      <c r="R949" s="87" t="b">
        <f>AND(Requirements!L951&lt;&gt;"Non-testable",Requirements!L951&lt;&gt;"Deleted",Requirements!L951&lt;&gt;"")</f>
        <v>1</v>
      </c>
      <c r="S949" s="87" t="b">
        <f>(VLOOKUP(Requirements!I951,Scope[[Role]:[Description]],2,FALSE)="In")</f>
        <v>1</v>
      </c>
      <c r="T949" s="87">
        <f t="shared" si="59"/>
        <v>1</v>
      </c>
    </row>
    <row r="950" spans="1:60">
      <c r="A950" s="44" t="str">
        <f>Requirements!A952</f>
        <v>MS-SMB_R3479</v>
      </c>
      <c r="B950" s="87"/>
      <c r="C950" s="87"/>
      <c r="D950" s="87"/>
      <c r="E950" s="87"/>
      <c r="F950" s="87"/>
      <c r="G950" s="87"/>
      <c r="H950" s="87"/>
      <c r="I950" s="87"/>
      <c r="J950" s="87"/>
      <c r="K950" s="87"/>
      <c r="L950" s="87"/>
      <c r="M950" s="87"/>
      <c r="N950" s="87">
        <f t="shared" si="56"/>
        <v>0</v>
      </c>
      <c r="O950" s="87">
        <f t="shared" si="57"/>
        <v>0</v>
      </c>
      <c r="P950" s="87" t="b">
        <f t="shared" si="58"/>
        <v>0</v>
      </c>
      <c r="Q950" s="87" t="b">
        <f>(Requirements!K952="Normative")</f>
        <v>0</v>
      </c>
      <c r="R950" s="87" t="b">
        <f>AND(Requirements!L952&lt;&gt;"Non-testable",Requirements!L952&lt;&gt;"Deleted",Requirements!L952&lt;&gt;"")</f>
        <v>1</v>
      </c>
      <c r="S950" s="87" t="b">
        <f>(VLOOKUP(Requirements!I952,Scope[[Role]:[Description]],2,FALSE)="In")</f>
        <v>1</v>
      </c>
      <c r="T950" s="87">
        <f t="shared" si="59"/>
        <v>0</v>
      </c>
    </row>
    <row r="951" spans="1:60">
      <c r="A951" s="84" t="str">
        <f>Requirements!A953</f>
        <v>MS-SMB_R3480</v>
      </c>
      <c r="B951" s="87">
        <v>1</v>
      </c>
      <c r="C951" s="87"/>
      <c r="D951" s="87">
        <v>1</v>
      </c>
      <c r="E951" s="87"/>
      <c r="F951" s="87"/>
      <c r="G951" s="87"/>
      <c r="H951" s="87"/>
      <c r="I951" s="87"/>
      <c r="J951" s="87"/>
      <c r="K951" s="87"/>
      <c r="L951" s="87"/>
      <c r="M951" s="87"/>
      <c r="N951" s="87">
        <f t="shared" si="56"/>
        <v>2</v>
      </c>
      <c r="O951" s="60">
        <f t="shared" si="57"/>
        <v>1</v>
      </c>
      <c r="P951" s="60" t="b">
        <f t="shared" si="58"/>
        <v>1</v>
      </c>
      <c r="Q951" s="87" t="b">
        <f>(Requirements!K953="Normative")</f>
        <v>1</v>
      </c>
      <c r="R951" s="87" t="b">
        <f>AND(Requirements!L953&lt;&gt;"Non-testable",Requirements!L953&lt;&gt;"Deleted",Requirements!L953&lt;&gt;"")</f>
        <v>1</v>
      </c>
      <c r="S951" s="87" t="b">
        <f>(VLOOKUP(Requirements!I953,Scope[[Role]:[Description]],2,FALSE)="In")</f>
        <v>1</v>
      </c>
      <c r="T951" s="87">
        <f t="shared" si="59"/>
        <v>1</v>
      </c>
    </row>
    <row r="952" spans="1:60">
      <c r="A952" s="85" t="str">
        <f>Requirements!A954</f>
        <v>MS-SMB_R3481</v>
      </c>
      <c r="B952" s="87"/>
      <c r="C952" s="87"/>
      <c r="D952" s="87"/>
      <c r="E952" s="87"/>
      <c r="F952" s="87"/>
      <c r="G952" s="87"/>
      <c r="H952" s="87"/>
      <c r="I952" s="87"/>
      <c r="J952" s="87"/>
      <c r="K952" s="87"/>
      <c r="L952" s="87"/>
      <c r="M952" s="87"/>
      <c r="N952" s="87">
        <f t="shared" si="56"/>
        <v>0</v>
      </c>
      <c r="O952" s="61">
        <f t="shared" si="57"/>
        <v>0</v>
      </c>
      <c r="P952" s="61" t="b">
        <f t="shared" si="58"/>
        <v>1</v>
      </c>
      <c r="Q952" s="87" t="b">
        <f>(Requirements!K954="Normative")</f>
        <v>1</v>
      </c>
      <c r="R952" s="87" t="b">
        <f>AND(Requirements!L954&lt;&gt;"Non-testable",Requirements!L954&lt;&gt;"Deleted",Requirements!L954&lt;&gt;"")</f>
        <v>1</v>
      </c>
      <c r="S952" s="87" t="b">
        <f>(VLOOKUP(Requirements!I954,Scope[[Role]:[Description]],2,FALSE)="In")</f>
        <v>1</v>
      </c>
      <c r="T952" s="87">
        <f t="shared" si="59"/>
        <v>0</v>
      </c>
    </row>
    <row r="953" spans="1:60">
      <c r="A953" s="44" t="str">
        <f>Requirements!A955</f>
        <v>MS-SMB_R9497</v>
      </c>
      <c r="B953" s="87"/>
      <c r="C953" s="87"/>
      <c r="D953" s="87"/>
      <c r="E953" s="87"/>
      <c r="F953" s="87"/>
      <c r="G953" s="87"/>
      <c r="H953" s="87"/>
      <c r="I953" s="87"/>
      <c r="J953" s="87"/>
      <c r="K953" s="87"/>
      <c r="L953" s="87"/>
      <c r="M953" s="87"/>
      <c r="N953" s="87">
        <f t="shared" si="56"/>
        <v>0</v>
      </c>
      <c r="O953" s="87">
        <f t="shared" si="57"/>
        <v>0</v>
      </c>
      <c r="P953" s="87" t="b">
        <f t="shared" si="58"/>
        <v>0</v>
      </c>
      <c r="Q953" s="87" t="b">
        <f>(Requirements!K955="Normative")</f>
        <v>1</v>
      </c>
      <c r="R953" s="87" t="b">
        <f>AND(Requirements!L955&lt;&gt;"Non-testable",Requirements!L955&lt;&gt;"Deleted",Requirements!L955&lt;&gt;"")</f>
        <v>0</v>
      </c>
      <c r="S953" s="87" t="b">
        <f>(VLOOKUP(Requirements!I955,Scope[[Role]:[Description]],2,FALSE)="In")</f>
        <v>1</v>
      </c>
      <c r="T953" s="87">
        <f t="shared" si="59"/>
        <v>0</v>
      </c>
    </row>
    <row r="954" spans="1:60">
      <c r="A954" s="83" t="str">
        <f>Requirements!A956</f>
        <v>MS-SMB_R109497</v>
      </c>
      <c r="B954" s="46"/>
      <c r="C954" s="46"/>
      <c r="D954" s="46"/>
      <c r="E954" s="46"/>
      <c r="F954" s="46"/>
      <c r="G954" s="46"/>
      <c r="H954" s="46"/>
      <c r="I954" s="46"/>
      <c r="J954" s="46"/>
      <c r="K954" s="46"/>
      <c r="L954" s="46"/>
      <c r="M954" s="46"/>
      <c r="N954" s="46">
        <f t="shared" si="56"/>
        <v>0</v>
      </c>
      <c r="O954" s="46">
        <f t="shared" si="57"/>
        <v>0</v>
      </c>
      <c r="P954" s="46" t="b">
        <f t="shared" si="58"/>
        <v>0</v>
      </c>
      <c r="Q954" s="46" t="b">
        <f>(Requirements!K956="Normative")</f>
        <v>0</v>
      </c>
      <c r="R954" s="46" t="b">
        <f>AND(Requirements!L956&lt;&gt;"Non-testable",Requirements!L956&lt;&gt;"Deleted",Requirements!L956&lt;&gt;"")</f>
        <v>0</v>
      </c>
      <c r="S954" s="46" t="b">
        <f>(VLOOKUP(Requirements!I956,Scope[[Role]:[Description]],2,FALSE)="In")</f>
        <v>1</v>
      </c>
      <c r="T954" s="46">
        <f t="shared" si="59"/>
        <v>0</v>
      </c>
      <c r="U954" s="45"/>
      <c r="V954" s="45"/>
      <c r="W954" s="45"/>
      <c r="X954" s="45"/>
      <c r="Y954" s="45"/>
      <c r="Z954" s="45"/>
      <c r="AA954" s="45"/>
      <c r="AB954" s="45"/>
      <c r="AC954" s="45"/>
      <c r="AD954" s="45"/>
      <c r="AE954" s="45"/>
      <c r="AF954" s="45"/>
      <c r="AG954" s="45"/>
      <c r="AH954" s="45"/>
      <c r="AI954" s="45"/>
      <c r="AJ954" s="45"/>
      <c r="AK954" s="45"/>
      <c r="AL954" s="45"/>
      <c r="AM954" s="45"/>
      <c r="AN954" s="45"/>
      <c r="AO954" s="45"/>
      <c r="AP954" s="45"/>
      <c r="AQ954" s="45"/>
      <c r="AR954" s="45"/>
      <c r="AS954" s="45"/>
      <c r="AT954" s="45"/>
      <c r="AU954" s="45"/>
      <c r="AV954" s="45"/>
      <c r="AW954" s="45"/>
      <c r="AX954" s="45"/>
      <c r="AY954" s="45"/>
      <c r="AZ954" s="45"/>
      <c r="BA954" s="45"/>
      <c r="BB954" s="45"/>
      <c r="BC954" s="45"/>
      <c r="BD954" s="45"/>
      <c r="BE954" s="45"/>
      <c r="BF954" s="45"/>
      <c r="BG954" s="45"/>
      <c r="BH954" s="45"/>
    </row>
    <row r="955" spans="1:60">
      <c r="A955" s="44" t="str">
        <f>Requirements!A957</f>
        <v>MS-SMB_R9498</v>
      </c>
      <c r="B955" s="87"/>
      <c r="C955" s="87"/>
      <c r="D955" s="87"/>
      <c r="E955" s="87"/>
      <c r="F955" s="87"/>
      <c r="G955" s="87"/>
      <c r="H955" s="87"/>
      <c r="I955" s="87"/>
      <c r="J955" s="87"/>
      <c r="K955" s="87"/>
      <c r="L955" s="87"/>
      <c r="M955" s="87"/>
      <c r="N955" s="87">
        <f t="shared" si="56"/>
        <v>0</v>
      </c>
      <c r="O955" s="87">
        <f t="shared" si="57"/>
        <v>0</v>
      </c>
      <c r="P955" s="87" t="b">
        <f t="shared" si="58"/>
        <v>0</v>
      </c>
      <c r="Q955" s="87" t="b">
        <f>(Requirements!K957="Normative")</f>
        <v>0</v>
      </c>
      <c r="R955" s="87" t="b">
        <f>AND(Requirements!L957&lt;&gt;"Non-testable",Requirements!L957&lt;&gt;"Deleted",Requirements!L957&lt;&gt;"")</f>
        <v>1</v>
      </c>
      <c r="S955" s="87" t="b">
        <f>(VLOOKUP(Requirements!I957,Scope[[Role]:[Description]],2,FALSE)="In")</f>
        <v>1</v>
      </c>
      <c r="T955" s="87">
        <f t="shared" si="59"/>
        <v>0</v>
      </c>
    </row>
    <row r="956" spans="1:60">
      <c r="A956" s="44" t="str">
        <f>Requirements!A958</f>
        <v>MS-SMB_R9499</v>
      </c>
      <c r="B956" s="87"/>
      <c r="C956" s="87"/>
      <c r="D956" s="87"/>
      <c r="E956" s="87"/>
      <c r="F956" s="87"/>
      <c r="G956" s="87"/>
      <c r="H956" s="87"/>
      <c r="I956" s="87"/>
      <c r="J956" s="87"/>
      <c r="K956" s="87"/>
      <c r="L956" s="87"/>
      <c r="M956" s="87"/>
      <c r="N956" s="87">
        <f t="shared" si="56"/>
        <v>0</v>
      </c>
      <c r="O956" s="87">
        <f t="shared" si="57"/>
        <v>0</v>
      </c>
      <c r="P956" s="87" t="b">
        <f t="shared" si="58"/>
        <v>0</v>
      </c>
      <c r="Q956" s="87" t="b">
        <f>(Requirements!K958="Normative")</f>
        <v>0</v>
      </c>
      <c r="R956" s="87" t="b">
        <f>AND(Requirements!L958&lt;&gt;"Non-testable",Requirements!L958&lt;&gt;"Deleted",Requirements!L958&lt;&gt;"")</f>
        <v>1</v>
      </c>
      <c r="S956" s="87" t="b">
        <f>(VLOOKUP(Requirements!I958,Scope[[Role]:[Description]],2,FALSE)="In")</f>
        <v>1</v>
      </c>
      <c r="T956" s="87">
        <f t="shared" si="59"/>
        <v>0</v>
      </c>
    </row>
    <row r="957" spans="1:60">
      <c r="A957" s="84" t="str">
        <f>Requirements!A959</f>
        <v>MS-SMB_R8300</v>
      </c>
      <c r="B957" s="87">
        <v>1</v>
      </c>
      <c r="C957" s="87"/>
      <c r="D957" s="87"/>
      <c r="E957" s="87"/>
      <c r="F957" s="87"/>
      <c r="G957" s="87"/>
      <c r="H957" s="87"/>
      <c r="I957" s="87"/>
      <c r="J957" s="87"/>
      <c r="K957" s="87"/>
      <c r="L957" s="87"/>
      <c r="M957" s="87"/>
      <c r="N957" s="87">
        <f t="shared" si="56"/>
        <v>1</v>
      </c>
      <c r="O957" s="60">
        <f t="shared" si="57"/>
        <v>1</v>
      </c>
      <c r="P957" s="60" t="b">
        <f t="shared" si="58"/>
        <v>1</v>
      </c>
      <c r="Q957" s="87" t="b">
        <f>(Requirements!K959="Normative")</f>
        <v>1</v>
      </c>
      <c r="R957" s="87" t="b">
        <f>AND(Requirements!L959&lt;&gt;"Non-testable",Requirements!L959&lt;&gt;"Deleted",Requirements!L959&lt;&gt;"")</f>
        <v>1</v>
      </c>
      <c r="S957" s="87" t="b">
        <f>(VLOOKUP(Requirements!I959,Scope[[Role]:[Description]],2,FALSE)="In")</f>
        <v>1</v>
      </c>
      <c r="T957" s="87">
        <f t="shared" si="59"/>
        <v>1</v>
      </c>
    </row>
    <row r="958" spans="1:60">
      <c r="A958" s="44" t="str">
        <f>Requirements!A960</f>
        <v>MS-SMB_R8301</v>
      </c>
      <c r="B958" s="87"/>
      <c r="C958" s="87"/>
      <c r="D958" s="87"/>
      <c r="E958" s="87"/>
      <c r="F958" s="87"/>
      <c r="G958" s="87"/>
      <c r="H958" s="87"/>
      <c r="I958" s="87"/>
      <c r="J958" s="87"/>
      <c r="K958" s="87"/>
      <c r="L958" s="87"/>
      <c r="M958" s="87"/>
      <c r="N958" s="87">
        <f t="shared" si="56"/>
        <v>0</v>
      </c>
      <c r="O958" s="87">
        <f t="shared" si="57"/>
        <v>0</v>
      </c>
      <c r="P958" s="87" t="b">
        <f t="shared" si="58"/>
        <v>0</v>
      </c>
      <c r="Q958" s="87" t="b">
        <f>(Requirements!K960="Normative")</f>
        <v>0</v>
      </c>
      <c r="R958" s="87" t="b">
        <f>AND(Requirements!L960&lt;&gt;"Non-testable",Requirements!L960&lt;&gt;"Deleted",Requirements!L960&lt;&gt;"")</f>
        <v>1</v>
      </c>
      <c r="S958" s="87" t="b">
        <f>(VLOOKUP(Requirements!I960,Scope[[Role]:[Description]],2,FALSE)="In")</f>
        <v>1</v>
      </c>
      <c r="T958" s="87">
        <f t="shared" si="59"/>
        <v>0</v>
      </c>
    </row>
    <row r="959" spans="1:60">
      <c r="A959" s="44" t="str">
        <f>Requirements!A961</f>
        <v>MS-SMB_R8302</v>
      </c>
      <c r="B959" s="87"/>
      <c r="C959" s="87"/>
      <c r="D959" s="87"/>
      <c r="E959" s="87"/>
      <c r="F959" s="87"/>
      <c r="G959" s="87"/>
      <c r="H959" s="87"/>
      <c r="I959" s="87"/>
      <c r="J959" s="87"/>
      <c r="K959" s="87"/>
      <c r="L959" s="87"/>
      <c r="M959" s="87"/>
      <c r="N959" s="87">
        <f t="shared" si="56"/>
        <v>0</v>
      </c>
      <c r="O959" s="87">
        <f t="shared" si="57"/>
        <v>0</v>
      </c>
      <c r="P959" s="87" t="b">
        <f t="shared" si="58"/>
        <v>0</v>
      </c>
      <c r="Q959" s="87" t="b">
        <f>(Requirements!K961="Normative")</f>
        <v>0</v>
      </c>
      <c r="R959" s="87" t="b">
        <f>AND(Requirements!L961&lt;&gt;"Non-testable",Requirements!L961&lt;&gt;"Deleted",Requirements!L961&lt;&gt;"")</f>
        <v>1</v>
      </c>
      <c r="S959" s="87" t="b">
        <f>(VLOOKUP(Requirements!I961,Scope[[Role]:[Description]],2,FALSE)="In")</f>
        <v>1</v>
      </c>
      <c r="T959" s="87">
        <f t="shared" si="59"/>
        <v>0</v>
      </c>
    </row>
    <row r="960" spans="1:60">
      <c r="A960" s="44" t="str">
        <f>Requirements!A962</f>
        <v>MS-SMB_R8303</v>
      </c>
      <c r="B960" s="87"/>
      <c r="C960" s="87"/>
      <c r="D960" s="87"/>
      <c r="E960" s="87"/>
      <c r="F960" s="87"/>
      <c r="G960" s="87"/>
      <c r="H960" s="87"/>
      <c r="I960" s="87"/>
      <c r="J960" s="87"/>
      <c r="K960" s="87"/>
      <c r="L960" s="87"/>
      <c r="M960" s="87"/>
      <c r="N960" s="87">
        <f t="shared" si="56"/>
        <v>0</v>
      </c>
      <c r="O960" s="87">
        <f t="shared" si="57"/>
        <v>0</v>
      </c>
      <c r="P960" s="87" t="b">
        <f t="shared" si="58"/>
        <v>0</v>
      </c>
      <c r="Q960" s="87" t="b">
        <f>(Requirements!K962="Normative")</f>
        <v>0</v>
      </c>
      <c r="R960" s="87" t="b">
        <f>AND(Requirements!L962&lt;&gt;"Non-testable",Requirements!L962&lt;&gt;"Deleted",Requirements!L962&lt;&gt;"")</f>
        <v>1</v>
      </c>
      <c r="S960" s="87" t="b">
        <f>(VLOOKUP(Requirements!I962,Scope[[Role]:[Description]],2,FALSE)="In")</f>
        <v>1</v>
      </c>
      <c r="T960" s="87">
        <f t="shared" si="59"/>
        <v>0</v>
      </c>
    </row>
    <row r="961" spans="1:60">
      <c r="A961" s="44" t="str">
        <f>Requirements!A963</f>
        <v>MS-SMB_R8304</v>
      </c>
      <c r="B961" s="87"/>
      <c r="C961" s="87"/>
      <c r="D961" s="87"/>
      <c r="E961" s="87"/>
      <c r="F961" s="87"/>
      <c r="G961" s="87"/>
      <c r="H961" s="87"/>
      <c r="I961" s="87"/>
      <c r="J961" s="87"/>
      <c r="K961" s="87"/>
      <c r="L961" s="87"/>
      <c r="M961" s="87"/>
      <c r="N961" s="87">
        <f t="shared" si="56"/>
        <v>0</v>
      </c>
      <c r="O961" s="87">
        <f t="shared" si="57"/>
        <v>0</v>
      </c>
      <c r="P961" s="87" t="b">
        <f t="shared" si="58"/>
        <v>0</v>
      </c>
      <c r="Q961" s="87" t="b">
        <f>(Requirements!K963="Normative")</f>
        <v>0</v>
      </c>
      <c r="R961" s="87" t="b">
        <f>AND(Requirements!L963&lt;&gt;"Non-testable",Requirements!L963&lt;&gt;"Deleted",Requirements!L963&lt;&gt;"")</f>
        <v>1</v>
      </c>
      <c r="S961" s="87" t="b">
        <f>(VLOOKUP(Requirements!I963,Scope[[Role]:[Description]],2,FALSE)="In")</f>
        <v>1</v>
      </c>
      <c r="T961" s="87">
        <f t="shared" si="59"/>
        <v>0</v>
      </c>
    </row>
    <row r="962" spans="1:60">
      <c r="A962" s="44" t="str">
        <f>Requirements!A964</f>
        <v>MS-SMB_R8305</v>
      </c>
      <c r="B962" s="87"/>
      <c r="C962" s="87"/>
      <c r="D962" s="87"/>
      <c r="E962" s="87"/>
      <c r="F962" s="87"/>
      <c r="G962" s="87"/>
      <c r="H962" s="87"/>
      <c r="I962" s="87"/>
      <c r="J962" s="87"/>
      <c r="K962" s="87"/>
      <c r="L962" s="87"/>
      <c r="M962" s="87"/>
      <c r="N962" s="87">
        <f t="shared" si="56"/>
        <v>0</v>
      </c>
      <c r="O962" s="87">
        <f t="shared" si="57"/>
        <v>0</v>
      </c>
      <c r="P962" s="87" t="b">
        <f t="shared" si="58"/>
        <v>0</v>
      </c>
      <c r="Q962" s="87" t="b">
        <f>(Requirements!K964="Normative")</f>
        <v>0</v>
      </c>
      <c r="R962" s="87" t="b">
        <f>AND(Requirements!L964&lt;&gt;"Non-testable",Requirements!L964&lt;&gt;"Deleted",Requirements!L964&lt;&gt;"")</f>
        <v>1</v>
      </c>
      <c r="S962" s="87" t="b">
        <f>(VLOOKUP(Requirements!I964,Scope[[Role]:[Description]],2,FALSE)="In")</f>
        <v>1</v>
      </c>
      <c r="T962" s="87">
        <f t="shared" si="59"/>
        <v>0</v>
      </c>
    </row>
    <row r="963" spans="1:60">
      <c r="A963" s="44" t="str">
        <f>Requirements!A965</f>
        <v>MS-SMB_R1941</v>
      </c>
      <c r="B963" s="87"/>
      <c r="C963" s="87"/>
      <c r="D963" s="87"/>
      <c r="E963" s="87"/>
      <c r="F963" s="87"/>
      <c r="G963" s="87"/>
      <c r="H963" s="87"/>
      <c r="I963" s="87"/>
      <c r="J963" s="87"/>
      <c r="K963" s="87"/>
      <c r="L963" s="87"/>
      <c r="M963" s="87"/>
      <c r="N963" s="87">
        <f t="shared" si="56"/>
        <v>0</v>
      </c>
      <c r="O963" s="87">
        <f t="shared" si="57"/>
        <v>0</v>
      </c>
      <c r="P963" s="87" t="b">
        <f t="shared" si="58"/>
        <v>0</v>
      </c>
      <c r="Q963" s="87" t="b">
        <f>(Requirements!K965="Normative")</f>
        <v>1</v>
      </c>
      <c r="R963" s="87" t="b">
        <f>AND(Requirements!L965&lt;&gt;"Non-testable",Requirements!L965&lt;&gt;"Deleted",Requirements!L965&lt;&gt;"")</f>
        <v>0</v>
      </c>
      <c r="S963" s="87" t="b">
        <f>(VLOOKUP(Requirements!I965,Scope[[Role]:[Description]],2,FALSE)="In")</f>
        <v>1</v>
      </c>
      <c r="T963" s="87">
        <f t="shared" si="59"/>
        <v>0</v>
      </c>
    </row>
    <row r="964" spans="1:60">
      <c r="A964" s="44" t="str">
        <f>Requirements!A966</f>
        <v>MS-SMB_R3977</v>
      </c>
      <c r="B964" s="87"/>
      <c r="C964" s="87"/>
      <c r="D964" s="87"/>
      <c r="E964" s="87"/>
      <c r="F964" s="87"/>
      <c r="G964" s="87"/>
      <c r="H964" s="87"/>
      <c r="I964" s="87"/>
      <c r="J964" s="87"/>
      <c r="K964" s="87"/>
      <c r="L964" s="87"/>
      <c r="M964" s="87"/>
      <c r="N964" s="87">
        <f t="shared" si="56"/>
        <v>0</v>
      </c>
      <c r="O964" s="87">
        <f t="shared" si="57"/>
        <v>0</v>
      </c>
      <c r="P964" s="87" t="b">
        <f t="shared" si="58"/>
        <v>0</v>
      </c>
      <c r="Q964" s="87" t="b">
        <f>(Requirements!K966="Normative")</f>
        <v>1</v>
      </c>
      <c r="R964" s="87" t="b">
        <f>AND(Requirements!L966&lt;&gt;"Non-testable",Requirements!L966&lt;&gt;"Deleted",Requirements!L966&lt;&gt;"")</f>
        <v>0</v>
      </c>
      <c r="S964" s="87" t="b">
        <f>(VLOOKUP(Requirements!I966,Scope[[Role]:[Description]],2,FALSE)="In")</f>
        <v>1</v>
      </c>
      <c r="T964" s="87">
        <f t="shared" si="59"/>
        <v>0</v>
      </c>
    </row>
    <row r="965" spans="1:60">
      <c r="A965" s="44" t="str">
        <f>Requirements!A967</f>
        <v>MS-SMB_R3987</v>
      </c>
      <c r="B965" s="87"/>
      <c r="C965" s="87"/>
      <c r="D965" s="87"/>
      <c r="E965" s="87"/>
      <c r="F965" s="87"/>
      <c r="G965" s="87"/>
      <c r="H965" s="87"/>
      <c r="I965" s="87"/>
      <c r="J965" s="87"/>
      <c r="K965" s="87"/>
      <c r="L965" s="87"/>
      <c r="M965" s="87"/>
      <c r="N965" s="87">
        <f t="shared" si="56"/>
        <v>0</v>
      </c>
      <c r="O965" s="87">
        <f t="shared" si="57"/>
        <v>0</v>
      </c>
      <c r="P965" s="87" t="b">
        <f t="shared" si="58"/>
        <v>0</v>
      </c>
      <c r="Q965" s="87" t="b">
        <f>(Requirements!K967="Normative")</f>
        <v>1</v>
      </c>
      <c r="R965" s="87" t="b">
        <f>AND(Requirements!L967&lt;&gt;"Non-testable",Requirements!L967&lt;&gt;"Deleted",Requirements!L967&lt;&gt;"")</f>
        <v>0</v>
      </c>
      <c r="S965" s="87" t="b">
        <f>(VLOOKUP(Requirements!I967,Scope[[Role]:[Description]],2,FALSE)="In")</f>
        <v>1</v>
      </c>
      <c r="T965" s="87">
        <f t="shared" si="59"/>
        <v>0</v>
      </c>
    </row>
    <row r="966" spans="1:60">
      <c r="A966" s="44" t="str">
        <f>Requirements!A968</f>
        <v>MS-SMB_R3988</v>
      </c>
      <c r="B966" s="87"/>
      <c r="C966" s="87"/>
      <c r="D966" s="87"/>
      <c r="E966" s="87"/>
      <c r="F966" s="87"/>
      <c r="G966" s="87"/>
      <c r="H966" s="87"/>
      <c r="I966" s="87"/>
      <c r="J966" s="87"/>
      <c r="K966" s="87"/>
      <c r="L966" s="87"/>
      <c r="M966" s="87"/>
      <c r="N966" s="87">
        <f t="shared" si="56"/>
        <v>0</v>
      </c>
      <c r="O966" s="87">
        <f t="shared" si="57"/>
        <v>0</v>
      </c>
      <c r="P966" s="87" t="b">
        <f t="shared" si="58"/>
        <v>0</v>
      </c>
      <c r="Q966" s="87" t="b">
        <f>(Requirements!K968="Normative")</f>
        <v>1</v>
      </c>
      <c r="R966" s="87" t="b">
        <f>AND(Requirements!L968&lt;&gt;"Non-testable",Requirements!L968&lt;&gt;"Deleted",Requirements!L968&lt;&gt;"")</f>
        <v>0</v>
      </c>
      <c r="S966" s="87" t="b">
        <f>(VLOOKUP(Requirements!I968,Scope[[Role]:[Description]],2,FALSE)="In")</f>
        <v>1</v>
      </c>
      <c r="T966" s="87">
        <f t="shared" si="59"/>
        <v>0</v>
      </c>
    </row>
    <row r="967" spans="1:60">
      <c r="A967" s="44" t="str">
        <f>Requirements!A969</f>
        <v>MS-SMB_R3989</v>
      </c>
      <c r="B967" s="87"/>
      <c r="C967" s="87"/>
      <c r="D967" s="87"/>
      <c r="E967" s="87"/>
      <c r="F967" s="87"/>
      <c r="G967" s="87"/>
      <c r="H967" s="87"/>
      <c r="I967" s="87"/>
      <c r="J967" s="87"/>
      <c r="K967" s="87"/>
      <c r="L967" s="87"/>
      <c r="M967" s="87"/>
      <c r="N967" s="87">
        <f t="shared" si="56"/>
        <v>0</v>
      </c>
      <c r="O967" s="87">
        <f t="shared" si="57"/>
        <v>0</v>
      </c>
      <c r="P967" s="87" t="b">
        <f t="shared" si="58"/>
        <v>0</v>
      </c>
      <c r="Q967" s="87" t="b">
        <f>(Requirements!K969="Normative")</f>
        <v>1</v>
      </c>
      <c r="R967" s="87" t="b">
        <f>AND(Requirements!L969&lt;&gt;"Non-testable",Requirements!L969&lt;&gt;"Deleted",Requirements!L969&lt;&gt;"")</f>
        <v>0</v>
      </c>
      <c r="S967" s="87" t="b">
        <f>(VLOOKUP(Requirements!I969,Scope[[Role]:[Description]],2,FALSE)="In")</f>
        <v>1</v>
      </c>
      <c r="T967" s="87">
        <f t="shared" si="59"/>
        <v>0</v>
      </c>
    </row>
    <row r="968" spans="1:60">
      <c r="A968" s="44" t="str">
        <f>Requirements!A970</f>
        <v>MS-SMB_R3990</v>
      </c>
      <c r="B968" s="87"/>
      <c r="C968" s="87"/>
      <c r="D968" s="87"/>
      <c r="E968" s="87"/>
      <c r="F968" s="87"/>
      <c r="G968" s="87"/>
      <c r="H968" s="87"/>
      <c r="I968" s="87"/>
      <c r="J968" s="87"/>
      <c r="K968" s="87"/>
      <c r="L968" s="87"/>
      <c r="M968" s="87"/>
      <c r="N968" s="87">
        <f t="shared" si="56"/>
        <v>0</v>
      </c>
      <c r="O968" s="87">
        <f t="shared" si="57"/>
        <v>0</v>
      </c>
      <c r="P968" s="87" t="b">
        <f t="shared" si="58"/>
        <v>0</v>
      </c>
      <c r="Q968" s="87" t="b">
        <f>(Requirements!K970="Normative")</f>
        <v>0</v>
      </c>
      <c r="R968" s="87" t="b">
        <f>AND(Requirements!L970&lt;&gt;"Non-testable",Requirements!L970&lt;&gt;"Deleted",Requirements!L970&lt;&gt;"")</f>
        <v>1</v>
      </c>
      <c r="S968" s="87" t="b">
        <f>(VLOOKUP(Requirements!I970,Scope[[Role]:[Description]],2,FALSE)="In")</f>
        <v>1</v>
      </c>
      <c r="T968" s="87">
        <f t="shared" si="59"/>
        <v>0</v>
      </c>
    </row>
    <row r="969" spans="1:60">
      <c r="A969" s="44" t="str">
        <f>Requirements!A971</f>
        <v>MS-SMB_R3991</v>
      </c>
      <c r="B969" s="87"/>
      <c r="C969" s="87"/>
      <c r="D969" s="87"/>
      <c r="E969" s="87"/>
      <c r="F969" s="87"/>
      <c r="G969" s="87"/>
      <c r="H969" s="87"/>
      <c r="I969" s="87"/>
      <c r="J969" s="87"/>
      <c r="K969" s="87"/>
      <c r="L969" s="87"/>
      <c r="M969" s="87"/>
      <c r="N969" s="87">
        <f t="shared" si="56"/>
        <v>0</v>
      </c>
      <c r="O969" s="87">
        <f t="shared" si="57"/>
        <v>0</v>
      </c>
      <c r="P969" s="87" t="b">
        <f t="shared" si="58"/>
        <v>0</v>
      </c>
      <c r="Q969" s="87" t="b">
        <f>(Requirements!K971="Normative")</f>
        <v>1</v>
      </c>
      <c r="R969" s="87" t="b">
        <f>AND(Requirements!L971&lt;&gt;"Non-testable",Requirements!L971&lt;&gt;"Deleted",Requirements!L971&lt;&gt;"")</f>
        <v>0</v>
      </c>
      <c r="S969" s="87" t="b">
        <f>(VLOOKUP(Requirements!I971,Scope[[Role]:[Description]],2,FALSE)="In")</f>
        <v>1</v>
      </c>
      <c r="T969" s="87">
        <f t="shared" si="59"/>
        <v>0</v>
      </c>
    </row>
    <row r="970" spans="1:60">
      <c r="A970" s="83" t="str">
        <f>Requirements!A972</f>
        <v>MS-SMB_R103991</v>
      </c>
      <c r="B970" s="46"/>
      <c r="C970" s="46"/>
      <c r="D970" s="46"/>
      <c r="E970" s="46"/>
      <c r="F970" s="46"/>
      <c r="G970" s="46"/>
      <c r="H970" s="46"/>
      <c r="I970" s="46"/>
      <c r="J970" s="46"/>
      <c r="K970" s="46"/>
      <c r="L970" s="46"/>
      <c r="M970" s="46"/>
      <c r="N970" s="46">
        <f t="shared" si="56"/>
        <v>0</v>
      </c>
      <c r="O970" s="46">
        <f t="shared" si="57"/>
        <v>0</v>
      </c>
      <c r="P970" s="46" t="b">
        <f t="shared" si="58"/>
        <v>0</v>
      </c>
      <c r="Q970" s="46" t="b">
        <f>(Requirements!K972="Normative")</f>
        <v>1</v>
      </c>
      <c r="R970" s="46" t="b">
        <f>AND(Requirements!L972&lt;&gt;"Non-testable",Requirements!L972&lt;&gt;"Deleted",Requirements!L972&lt;&gt;"")</f>
        <v>0</v>
      </c>
      <c r="S970" s="46" t="b">
        <f>(VLOOKUP(Requirements!I972,Scope[[Role]:[Description]],2,FALSE)="In")</f>
        <v>1</v>
      </c>
      <c r="T970" s="46">
        <f t="shared" si="59"/>
        <v>0</v>
      </c>
      <c r="U970" s="45"/>
      <c r="V970" s="45"/>
      <c r="W970" s="45"/>
      <c r="X970" s="45"/>
      <c r="Y970" s="45"/>
      <c r="Z970" s="45"/>
      <c r="AA970" s="45"/>
      <c r="AB970" s="45"/>
      <c r="AC970" s="45"/>
      <c r="AD970" s="45"/>
      <c r="AE970" s="45"/>
      <c r="AF970" s="45"/>
      <c r="AG970" s="45"/>
      <c r="AH970" s="45"/>
      <c r="AI970" s="45"/>
      <c r="AJ970" s="45"/>
      <c r="AK970" s="45"/>
      <c r="AL970" s="45"/>
      <c r="AM970" s="45"/>
      <c r="AN970" s="45"/>
      <c r="AO970" s="45"/>
      <c r="AP970" s="45"/>
      <c r="AQ970" s="45"/>
      <c r="AR970" s="45"/>
      <c r="AS970" s="45"/>
      <c r="AT970" s="45"/>
      <c r="AU970" s="45"/>
      <c r="AV970" s="45"/>
      <c r="AW970" s="45"/>
      <c r="AX970" s="45"/>
      <c r="AY970" s="45"/>
      <c r="AZ970" s="45"/>
      <c r="BA970" s="45"/>
      <c r="BB970" s="45"/>
      <c r="BC970" s="45"/>
      <c r="BD970" s="45"/>
      <c r="BE970" s="45"/>
      <c r="BF970" s="45"/>
      <c r="BG970" s="45"/>
      <c r="BH970" s="45"/>
    </row>
    <row r="971" spans="1:60">
      <c r="A971" s="44" t="str">
        <f>Requirements!A973</f>
        <v>MS-SMB_R3995</v>
      </c>
      <c r="B971" s="87"/>
      <c r="C971" s="87"/>
      <c r="D971" s="87"/>
      <c r="E971" s="87"/>
      <c r="F971" s="87"/>
      <c r="G971" s="87"/>
      <c r="H971" s="87"/>
      <c r="I971" s="87"/>
      <c r="J971" s="87"/>
      <c r="K971" s="87"/>
      <c r="L971" s="87"/>
      <c r="M971" s="87"/>
      <c r="N971" s="87">
        <f t="shared" si="56"/>
        <v>0</v>
      </c>
      <c r="O971" s="87">
        <f t="shared" si="57"/>
        <v>0</v>
      </c>
      <c r="P971" s="87" t="b">
        <f t="shared" si="58"/>
        <v>0</v>
      </c>
      <c r="Q971" s="87" t="b">
        <f>(Requirements!K973="Normative")</f>
        <v>0</v>
      </c>
      <c r="R971" s="87" t="b">
        <f>AND(Requirements!L973&lt;&gt;"Non-testable",Requirements!L973&lt;&gt;"Deleted",Requirements!L973&lt;&gt;"")</f>
        <v>1</v>
      </c>
      <c r="S971" s="87" t="b">
        <f>(VLOOKUP(Requirements!I973,Scope[[Role]:[Description]],2,FALSE)="In")</f>
        <v>1</v>
      </c>
      <c r="T971" s="87">
        <f t="shared" si="59"/>
        <v>0</v>
      </c>
    </row>
    <row r="972" spans="1:60">
      <c r="A972" s="44" t="str">
        <f>Requirements!A974</f>
        <v>MS-SMB_R3996</v>
      </c>
      <c r="B972" s="87"/>
      <c r="C972" s="87"/>
      <c r="D972" s="87"/>
      <c r="E972" s="87"/>
      <c r="F972" s="87"/>
      <c r="G972" s="87"/>
      <c r="H972" s="87"/>
      <c r="I972" s="87"/>
      <c r="J972" s="87"/>
      <c r="K972" s="87"/>
      <c r="L972" s="87"/>
      <c r="M972" s="87"/>
      <c r="N972" s="87">
        <f t="shared" si="56"/>
        <v>0</v>
      </c>
      <c r="O972" s="87">
        <f t="shared" si="57"/>
        <v>0</v>
      </c>
      <c r="P972" s="87" t="b">
        <f t="shared" si="58"/>
        <v>0</v>
      </c>
      <c r="Q972" s="87" t="b">
        <f>(Requirements!K974="Normative")</f>
        <v>0</v>
      </c>
      <c r="R972" s="87" t="b">
        <f>AND(Requirements!L974&lt;&gt;"Non-testable",Requirements!L974&lt;&gt;"Deleted",Requirements!L974&lt;&gt;"")</f>
        <v>1</v>
      </c>
      <c r="S972" s="87" t="b">
        <f>(VLOOKUP(Requirements!I974,Scope[[Role]:[Description]],2,FALSE)="In")</f>
        <v>1</v>
      </c>
      <c r="T972" s="87">
        <f t="shared" si="59"/>
        <v>0</v>
      </c>
    </row>
    <row r="973" spans="1:60">
      <c r="A973" s="44" t="str">
        <f>Requirements!A975</f>
        <v>MS-SMB_R8306</v>
      </c>
      <c r="B973" s="87"/>
      <c r="C973" s="87"/>
      <c r="D973" s="87"/>
      <c r="E973" s="87"/>
      <c r="F973" s="87"/>
      <c r="G973" s="87"/>
      <c r="H973" s="87"/>
      <c r="I973" s="87"/>
      <c r="J973" s="87"/>
      <c r="K973" s="87"/>
      <c r="L973" s="87"/>
      <c r="M973" s="87"/>
      <c r="N973" s="87">
        <f t="shared" si="56"/>
        <v>0</v>
      </c>
      <c r="O973" s="87">
        <f t="shared" si="57"/>
        <v>0</v>
      </c>
      <c r="P973" s="87" t="b">
        <f t="shared" si="58"/>
        <v>0</v>
      </c>
      <c r="Q973" s="87" t="b">
        <f>(Requirements!K975="Normative")</f>
        <v>0</v>
      </c>
      <c r="R973" s="87" t="b">
        <f>AND(Requirements!L975&lt;&gt;"Non-testable",Requirements!L975&lt;&gt;"Deleted",Requirements!L975&lt;&gt;"")</f>
        <v>1</v>
      </c>
      <c r="S973" s="87" t="b">
        <f>(VLOOKUP(Requirements!I975,Scope[[Role]:[Description]],2,FALSE)="In")</f>
        <v>1</v>
      </c>
      <c r="T973" s="87">
        <f t="shared" si="59"/>
        <v>0</v>
      </c>
    </row>
    <row r="974" spans="1:60">
      <c r="A974" s="44" t="str">
        <f>Requirements!A976</f>
        <v>MS-SMB_R8307</v>
      </c>
      <c r="B974" s="87"/>
      <c r="C974" s="87"/>
      <c r="D974" s="87"/>
      <c r="E974" s="87"/>
      <c r="F974" s="87"/>
      <c r="G974" s="87"/>
      <c r="H974" s="87"/>
      <c r="I974" s="87"/>
      <c r="J974" s="87"/>
      <c r="K974" s="87"/>
      <c r="L974" s="87"/>
      <c r="M974" s="87"/>
      <c r="N974" s="87">
        <f t="shared" si="56"/>
        <v>0</v>
      </c>
      <c r="O974" s="87">
        <f t="shared" si="57"/>
        <v>0</v>
      </c>
      <c r="P974" s="87" t="b">
        <f t="shared" si="58"/>
        <v>0</v>
      </c>
      <c r="Q974" s="87" t="b">
        <f>(Requirements!K976="Normative")</f>
        <v>0</v>
      </c>
      <c r="R974" s="87" t="b">
        <f>AND(Requirements!L976&lt;&gt;"Non-testable",Requirements!L976&lt;&gt;"Deleted",Requirements!L976&lt;&gt;"")</f>
        <v>1</v>
      </c>
      <c r="S974" s="87" t="b">
        <f>(VLOOKUP(Requirements!I976,Scope[[Role]:[Description]],2,FALSE)="In")</f>
        <v>1</v>
      </c>
      <c r="T974" s="87">
        <f t="shared" si="59"/>
        <v>0</v>
      </c>
    </row>
    <row r="975" spans="1:60">
      <c r="A975" s="44" t="str">
        <f>Requirements!A977</f>
        <v>MS-SMB_R8308</v>
      </c>
      <c r="B975" s="87"/>
      <c r="C975" s="87"/>
      <c r="D975" s="87"/>
      <c r="E975" s="87"/>
      <c r="F975" s="87"/>
      <c r="G975" s="87"/>
      <c r="H975" s="87"/>
      <c r="I975" s="87"/>
      <c r="J975" s="87"/>
      <c r="K975" s="87"/>
      <c r="L975" s="87"/>
      <c r="M975" s="87"/>
      <c r="N975" s="87">
        <f t="shared" si="56"/>
        <v>0</v>
      </c>
      <c r="O975" s="87">
        <f t="shared" si="57"/>
        <v>0</v>
      </c>
      <c r="P975" s="87" t="b">
        <f t="shared" si="58"/>
        <v>0</v>
      </c>
      <c r="Q975" s="87" t="b">
        <f>(Requirements!K977="Normative")</f>
        <v>0</v>
      </c>
      <c r="R975" s="87" t="b">
        <f>AND(Requirements!L977&lt;&gt;"Non-testable",Requirements!L977&lt;&gt;"Deleted",Requirements!L977&lt;&gt;"")</f>
        <v>1</v>
      </c>
      <c r="S975" s="87" t="b">
        <f>(VLOOKUP(Requirements!I977,Scope[[Role]:[Description]],2,FALSE)="In")</f>
        <v>1</v>
      </c>
      <c r="T975" s="87">
        <f t="shared" si="59"/>
        <v>0</v>
      </c>
    </row>
    <row r="976" spans="1:60">
      <c r="A976" s="44" t="str">
        <f>Requirements!A978</f>
        <v>MS-SMB_R8309</v>
      </c>
      <c r="B976" s="87"/>
      <c r="C976" s="87"/>
      <c r="D976" s="87"/>
      <c r="E976" s="87"/>
      <c r="F976" s="87"/>
      <c r="G976" s="87"/>
      <c r="H976" s="87"/>
      <c r="I976" s="87"/>
      <c r="J976" s="87"/>
      <c r="K976" s="87"/>
      <c r="L976" s="87"/>
      <c r="M976" s="87"/>
      <c r="N976" s="87">
        <f t="shared" si="56"/>
        <v>0</v>
      </c>
      <c r="O976" s="87">
        <f t="shared" si="57"/>
        <v>0</v>
      </c>
      <c r="P976" s="87" t="b">
        <f t="shared" si="58"/>
        <v>0</v>
      </c>
      <c r="Q976" s="87" t="b">
        <f>(Requirements!K978="Normative")</f>
        <v>0</v>
      </c>
      <c r="R976" s="87" t="b">
        <f>AND(Requirements!L978&lt;&gt;"Non-testable",Requirements!L978&lt;&gt;"Deleted",Requirements!L978&lt;&gt;"")</f>
        <v>1</v>
      </c>
      <c r="S976" s="87" t="b">
        <f>(VLOOKUP(Requirements!I978,Scope[[Role]:[Description]],2,FALSE)="In")</f>
        <v>1</v>
      </c>
      <c r="T976" s="87">
        <f t="shared" si="59"/>
        <v>0</v>
      </c>
    </row>
    <row r="977" spans="1:20">
      <c r="A977" s="44" t="str">
        <f>Requirements!A979</f>
        <v>MS-SMB_R8310</v>
      </c>
      <c r="B977" s="87"/>
      <c r="C977" s="87"/>
      <c r="D977" s="87"/>
      <c r="E977" s="87"/>
      <c r="F977" s="87"/>
      <c r="G977" s="87"/>
      <c r="H977" s="87"/>
      <c r="I977" s="87"/>
      <c r="J977" s="87"/>
      <c r="K977" s="87"/>
      <c r="L977" s="87"/>
      <c r="M977" s="87"/>
      <c r="N977" s="87">
        <f t="shared" si="56"/>
        <v>0</v>
      </c>
      <c r="O977" s="87">
        <f t="shared" si="57"/>
        <v>0</v>
      </c>
      <c r="P977" s="87" t="b">
        <f t="shared" si="58"/>
        <v>0</v>
      </c>
      <c r="Q977" s="87" t="b">
        <f>(Requirements!K979="Normative")</f>
        <v>0</v>
      </c>
      <c r="R977" s="87" t="b">
        <f>AND(Requirements!L979&lt;&gt;"Non-testable",Requirements!L979&lt;&gt;"Deleted",Requirements!L979&lt;&gt;"")</f>
        <v>1</v>
      </c>
      <c r="S977" s="87" t="b">
        <f>(VLOOKUP(Requirements!I979,Scope[[Role]:[Description]],2,FALSE)="In")</f>
        <v>1</v>
      </c>
      <c r="T977" s="87">
        <f t="shared" si="59"/>
        <v>0</v>
      </c>
    </row>
    <row r="978" spans="1:20">
      <c r="A978" s="85" t="str">
        <f>Requirements!A980</f>
        <v>MS-SMB_R8311</v>
      </c>
      <c r="B978" s="87"/>
      <c r="C978" s="87"/>
      <c r="D978" s="87"/>
      <c r="E978" s="87"/>
      <c r="F978" s="87"/>
      <c r="G978" s="87"/>
      <c r="H978" s="87"/>
      <c r="I978" s="87"/>
      <c r="J978" s="87"/>
      <c r="K978" s="87"/>
      <c r="L978" s="87"/>
      <c r="M978" s="87"/>
      <c r="N978" s="87">
        <f t="shared" si="56"/>
        <v>0</v>
      </c>
      <c r="O978" s="61">
        <f t="shared" si="57"/>
        <v>0</v>
      </c>
      <c r="P978" s="61" t="b">
        <f t="shared" si="58"/>
        <v>1</v>
      </c>
      <c r="Q978" s="87" t="b">
        <f>(Requirements!K980="Normative")</f>
        <v>1</v>
      </c>
      <c r="R978" s="87" t="b">
        <f>AND(Requirements!L980&lt;&gt;"Non-testable",Requirements!L980&lt;&gt;"Deleted",Requirements!L980&lt;&gt;"")</f>
        <v>1</v>
      </c>
      <c r="S978" s="87" t="b">
        <f>(VLOOKUP(Requirements!I980,Scope[[Role]:[Description]],2,FALSE)="In")</f>
        <v>1</v>
      </c>
      <c r="T978" s="87">
        <f t="shared" si="59"/>
        <v>0</v>
      </c>
    </row>
    <row r="979" spans="1:20">
      <c r="A979" s="44" t="str">
        <f>Requirements!A981</f>
        <v>MS-SMB_R8312</v>
      </c>
      <c r="B979" s="87"/>
      <c r="C979" s="87"/>
      <c r="D979" s="87"/>
      <c r="E979" s="87"/>
      <c r="F979" s="87"/>
      <c r="G979" s="87"/>
      <c r="H979" s="87"/>
      <c r="I979" s="87"/>
      <c r="J979" s="87"/>
      <c r="K979" s="87"/>
      <c r="L979" s="87"/>
      <c r="M979" s="87"/>
      <c r="N979" s="87">
        <f t="shared" si="56"/>
        <v>0</v>
      </c>
      <c r="O979" s="87">
        <f t="shared" si="57"/>
        <v>0</v>
      </c>
      <c r="P979" s="87" t="b">
        <f t="shared" si="58"/>
        <v>0</v>
      </c>
      <c r="Q979" s="87" t="b">
        <f>(Requirements!K981="Normative")</f>
        <v>0</v>
      </c>
      <c r="R979" s="87" t="b">
        <f>AND(Requirements!L981&lt;&gt;"Non-testable",Requirements!L981&lt;&gt;"Deleted",Requirements!L981&lt;&gt;"")</f>
        <v>1</v>
      </c>
      <c r="S979" s="87" t="b">
        <f>(VLOOKUP(Requirements!I981,Scope[[Role]:[Description]],2,FALSE)="In")</f>
        <v>1</v>
      </c>
      <c r="T979" s="87">
        <f t="shared" si="59"/>
        <v>0</v>
      </c>
    </row>
    <row r="980" spans="1:20">
      <c r="A980" s="85" t="str">
        <f>Requirements!A982</f>
        <v>MS-SMB_R8313</v>
      </c>
      <c r="B980" s="87"/>
      <c r="C980" s="87"/>
      <c r="D980" s="87"/>
      <c r="E980" s="87"/>
      <c r="F980" s="87"/>
      <c r="G980" s="87"/>
      <c r="H980" s="87"/>
      <c r="I980" s="87"/>
      <c r="J980" s="87"/>
      <c r="K980" s="87"/>
      <c r="L980" s="87"/>
      <c r="M980" s="87"/>
      <c r="N980" s="87">
        <f t="shared" ref="N980:N1043" si="60">SUM(B980:M980)</f>
        <v>0</v>
      </c>
      <c r="O980" s="61">
        <f t="shared" ref="O980:O1043" si="61">IF(N980=0,0,1)</f>
        <v>0</v>
      </c>
      <c r="P980" s="61" t="b">
        <f t="shared" ref="P980:P1043" si="62">AND(Q980:S980)</f>
        <v>1</v>
      </c>
      <c r="Q980" s="87" t="b">
        <f>(Requirements!K982="Normative")</f>
        <v>1</v>
      </c>
      <c r="R980" s="87" t="b">
        <f>AND(Requirements!L982&lt;&gt;"Non-testable",Requirements!L982&lt;&gt;"Deleted",Requirements!L982&lt;&gt;"")</f>
        <v>1</v>
      </c>
      <c r="S980" s="87" t="b">
        <f>(VLOOKUP(Requirements!I982,Scope[[Role]:[Description]],2,FALSE)="In")</f>
        <v>1</v>
      </c>
      <c r="T980" s="87">
        <f t="shared" ref="T980:T1043" si="63">IF(P980,O980, 0)</f>
        <v>0</v>
      </c>
    </row>
    <row r="981" spans="1:20">
      <c r="A981" s="44" t="str">
        <f>Requirements!A983</f>
        <v>MS-SMB_R8314</v>
      </c>
      <c r="B981" s="87"/>
      <c r="C981" s="87"/>
      <c r="D981" s="87"/>
      <c r="E981" s="87"/>
      <c r="F981" s="87"/>
      <c r="G981" s="87"/>
      <c r="H981" s="87"/>
      <c r="I981" s="87"/>
      <c r="J981" s="87"/>
      <c r="K981" s="87"/>
      <c r="L981" s="87"/>
      <c r="M981" s="87"/>
      <c r="N981" s="87">
        <f t="shared" si="60"/>
        <v>0</v>
      </c>
      <c r="O981" s="87">
        <f t="shared" si="61"/>
        <v>0</v>
      </c>
      <c r="P981" s="87" t="b">
        <f t="shared" si="62"/>
        <v>0</v>
      </c>
      <c r="Q981" s="87" t="b">
        <f>(Requirements!K983="Normative")</f>
        <v>0</v>
      </c>
      <c r="R981" s="87" t="b">
        <f>AND(Requirements!L983&lt;&gt;"Non-testable",Requirements!L983&lt;&gt;"Deleted",Requirements!L983&lt;&gt;"")</f>
        <v>1</v>
      </c>
      <c r="S981" s="87" t="b">
        <f>(VLOOKUP(Requirements!I983,Scope[[Role]:[Description]],2,FALSE)="In")</f>
        <v>1</v>
      </c>
      <c r="T981" s="87">
        <f t="shared" si="63"/>
        <v>0</v>
      </c>
    </row>
    <row r="982" spans="1:20">
      <c r="A982" s="85" t="str">
        <f>Requirements!A984</f>
        <v>MS-SMB_R8315</v>
      </c>
      <c r="B982" s="87"/>
      <c r="C982" s="87"/>
      <c r="D982" s="87"/>
      <c r="E982" s="87"/>
      <c r="F982" s="87"/>
      <c r="G982" s="87"/>
      <c r="H982" s="87"/>
      <c r="I982" s="87"/>
      <c r="J982" s="87"/>
      <c r="K982" s="87"/>
      <c r="L982" s="87"/>
      <c r="M982" s="87"/>
      <c r="N982" s="87">
        <f t="shared" si="60"/>
        <v>0</v>
      </c>
      <c r="O982" s="61">
        <f t="shared" si="61"/>
        <v>0</v>
      </c>
      <c r="P982" s="61" t="b">
        <f t="shared" si="62"/>
        <v>1</v>
      </c>
      <c r="Q982" s="87" t="b">
        <f>(Requirements!K984="Normative")</f>
        <v>1</v>
      </c>
      <c r="R982" s="87" t="b">
        <f>AND(Requirements!L984&lt;&gt;"Non-testable",Requirements!L984&lt;&gt;"Deleted",Requirements!L984&lt;&gt;"")</f>
        <v>1</v>
      </c>
      <c r="S982" s="87" t="b">
        <f>(VLOOKUP(Requirements!I984,Scope[[Role]:[Description]],2,FALSE)="In")</f>
        <v>1</v>
      </c>
      <c r="T982" s="87">
        <f t="shared" si="63"/>
        <v>0</v>
      </c>
    </row>
    <row r="983" spans="1:20">
      <c r="A983" s="85" t="str">
        <f>Requirements!A985</f>
        <v>MS-SMB_R8316</v>
      </c>
      <c r="B983" s="87"/>
      <c r="C983" s="87"/>
      <c r="D983" s="87"/>
      <c r="E983" s="87"/>
      <c r="F983" s="87"/>
      <c r="G983" s="87"/>
      <c r="H983" s="87"/>
      <c r="I983" s="87"/>
      <c r="J983" s="87"/>
      <c r="K983" s="87"/>
      <c r="L983" s="87"/>
      <c r="M983" s="87"/>
      <c r="N983" s="87">
        <f t="shared" si="60"/>
        <v>0</v>
      </c>
      <c r="O983" s="61">
        <f t="shared" si="61"/>
        <v>0</v>
      </c>
      <c r="P983" s="61" t="b">
        <f t="shared" si="62"/>
        <v>1</v>
      </c>
      <c r="Q983" s="87" t="b">
        <f>(Requirements!K985="Normative")</f>
        <v>1</v>
      </c>
      <c r="R983" s="87" t="b">
        <f>AND(Requirements!L985&lt;&gt;"Non-testable",Requirements!L985&lt;&gt;"Deleted",Requirements!L985&lt;&gt;"")</f>
        <v>1</v>
      </c>
      <c r="S983" s="87" t="b">
        <f>(VLOOKUP(Requirements!I985,Scope[[Role]:[Description]],2,FALSE)="In")</f>
        <v>1</v>
      </c>
      <c r="T983" s="87">
        <f t="shared" si="63"/>
        <v>0</v>
      </c>
    </row>
    <row r="984" spans="1:20">
      <c r="A984" s="44" t="str">
        <f>Requirements!A986</f>
        <v>MS-SMB_R8317</v>
      </c>
      <c r="B984" s="87"/>
      <c r="C984" s="87"/>
      <c r="D984" s="87"/>
      <c r="E984" s="87"/>
      <c r="F984" s="87"/>
      <c r="G984" s="87"/>
      <c r="H984" s="87"/>
      <c r="I984" s="87"/>
      <c r="J984" s="87"/>
      <c r="K984" s="87"/>
      <c r="L984" s="87"/>
      <c r="M984" s="87"/>
      <c r="N984" s="87">
        <f t="shared" si="60"/>
        <v>0</v>
      </c>
      <c r="O984" s="87">
        <f t="shared" si="61"/>
        <v>0</v>
      </c>
      <c r="P984" s="87" t="b">
        <f t="shared" si="62"/>
        <v>0</v>
      </c>
      <c r="Q984" s="87" t="b">
        <f>(Requirements!K986="Normative")</f>
        <v>0</v>
      </c>
      <c r="R984" s="87" t="b">
        <f>AND(Requirements!L986&lt;&gt;"Non-testable",Requirements!L986&lt;&gt;"Deleted",Requirements!L986&lt;&gt;"")</f>
        <v>1</v>
      </c>
      <c r="S984" s="87" t="b">
        <f>(VLOOKUP(Requirements!I986,Scope[[Role]:[Description]],2,FALSE)="In")</f>
        <v>1</v>
      </c>
      <c r="T984" s="87">
        <f t="shared" si="63"/>
        <v>0</v>
      </c>
    </row>
    <row r="985" spans="1:20">
      <c r="A985" s="85" t="str">
        <f>Requirements!A987</f>
        <v>MS-SMB_R8318</v>
      </c>
      <c r="B985" s="87"/>
      <c r="C985" s="87"/>
      <c r="D985" s="87"/>
      <c r="E985" s="87"/>
      <c r="F985" s="87"/>
      <c r="G985" s="87"/>
      <c r="H985" s="87"/>
      <c r="I985" s="87"/>
      <c r="J985" s="87"/>
      <c r="K985" s="87"/>
      <c r="L985" s="87"/>
      <c r="M985" s="87"/>
      <c r="N985" s="87">
        <f t="shared" si="60"/>
        <v>0</v>
      </c>
      <c r="O985" s="61">
        <f t="shared" si="61"/>
        <v>0</v>
      </c>
      <c r="P985" s="61" t="b">
        <f t="shared" si="62"/>
        <v>1</v>
      </c>
      <c r="Q985" s="87" t="b">
        <f>(Requirements!K987="Normative")</f>
        <v>1</v>
      </c>
      <c r="R985" s="87" t="b">
        <f>AND(Requirements!L987&lt;&gt;"Non-testable",Requirements!L987&lt;&gt;"Deleted",Requirements!L987&lt;&gt;"")</f>
        <v>1</v>
      </c>
      <c r="S985" s="87" t="b">
        <f>(VLOOKUP(Requirements!I987,Scope[[Role]:[Description]],2,FALSE)="In")</f>
        <v>1</v>
      </c>
      <c r="T985" s="87">
        <f t="shared" si="63"/>
        <v>0</v>
      </c>
    </row>
    <row r="986" spans="1:20">
      <c r="A986" s="85" t="str">
        <f>Requirements!A988</f>
        <v>MS-SMB_R8319</v>
      </c>
      <c r="B986" s="87"/>
      <c r="C986" s="87"/>
      <c r="D986" s="87"/>
      <c r="E986" s="87"/>
      <c r="F986" s="87"/>
      <c r="G986" s="87"/>
      <c r="H986" s="87"/>
      <c r="I986" s="87"/>
      <c r="J986" s="87"/>
      <c r="K986" s="87"/>
      <c r="L986" s="87"/>
      <c r="M986" s="87"/>
      <c r="N986" s="87">
        <f t="shared" si="60"/>
        <v>0</v>
      </c>
      <c r="O986" s="61">
        <f t="shared" si="61"/>
        <v>0</v>
      </c>
      <c r="P986" s="61" t="b">
        <f t="shared" si="62"/>
        <v>1</v>
      </c>
      <c r="Q986" s="87" t="b">
        <f>(Requirements!K988="Normative")</f>
        <v>1</v>
      </c>
      <c r="R986" s="87" t="b">
        <f>AND(Requirements!L988&lt;&gt;"Non-testable",Requirements!L988&lt;&gt;"Deleted",Requirements!L988&lt;&gt;"")</f>
        <v>1</v>
      </c>
      <c r="S986" s="87" t="b">
        <f>(VLOOKUP(Requirements!I988,Scope[[Role]:[Description]],2,FALSE)="In")</f>
        <v>1</v>
      </c>
      <c r="T986" s="87">
        <f t="shared" si="63"/>
        <v>0</v>
      </c>
    </row>
    <row r="987" spans="1:20">
      <c r="A987" s="44" t="str">
        <f>Requirements!A989</f>
        <v>MS-SMB_R8320</v>
      </c>
      <c r="B987" s="87"/>
      <c r="C987" s="87"/>
      <c r="D987" s="87"/>
      <c r="E987" s="87"/>
      <c r="F987" s="87"/>
      <c r="G987" s="87"/>
      <c r="H987" s="87"/>
      <c r="I987" s="87"/>
      <c r="J987" s="87"/>
      <c r="K987" s="87"/>
      <c r="L987" s="87"/>
      <c r="M987" s="87"/>
      <c r="N987" s="87">
        <f t="shared" si="60"/>
        <v>0</v>
      </c>
      <c r="O987" s="87">
        <f t="shared" si="61"/>
        <v>0</v>
      </c>
      <c r="P987" s="87" t="b">
        <f t="shared" si="62"/>
        <v>0</v>
      </c>
      <c r="Q987" s="87" t="b">
        <f>(Requirements!K989="Normative")</f>
        <v>0</v>
      </c>
      <c r="R987" s="87" t="b">
        <f>AND(Requirements!L989&lt;&gt;"Non-testable",Requirements!L989&lt;&gt;"Deleted",Requirements!L989&lt;&gt;"")</f>
        <v>1</v>
      </c>
      <c r="S987" s="87" t="b">
        <f>(VLOOKUP(Requirements!I989,Scope[[Role]:[Description]],2,FALSE)="In")</f>
        <v>1</v>
      </c>
      <c r="T987" s="87">
        <f t="shared" si="63"/>
        <v>0</v>
      </c>
    </row>
    <row r="988" spans="1:20">
      <c r="A988" s="85" t="str">
        <f>Requirements!A990</f>
        <v>MS-SMB_R8321</v>
      </c>
      <c r="B988" s="87"/>
      <c r="C988" s="87"/>
      <c r="D988" s="87"/>
      <c r="E988" s="87"/>
      <c r="F988" s="87"/>
      <c r="G988" s="87"/>
      <c r="H988" s="87"/>
      <c r="I988" s="87"/>
      <c r="J988" s="87"/>
      <c r="K988" s="87"/>
      <c r="L988" s="87"/>
      <c r="M988" s="87"/>
      <c r="N988" s="87">
        <f t="shared" si="60"/>
        <v>0</v>
      </c>
      <c r="O988" s="61">
        <f t="shared" si="61"/>
        <v>0</v>
      </c>
      <c r="P988" s="61" t="b">
        <f t="shared" si="62"/>
        <v>1</v>
      </c>
      <c r="Q988" s="87" t="b">
        <f>(Requirements!K990="Normative")</f>
        <v>1</v>
      </c>
      <c r="R988" s="87" t="b">
        <f>AND(Requirements!L990&lt;&gt;"Non-testable",Requirements!L990&lt;&gt;"Deleted",Requirements!L990&lt;&gt;"")</f>
        <v>1</v>
      </c>
      <c r="S988" s="87" t="b">
        <f>(VLOOKUP(Requirements!I990,Scope[[Role]:[Description]],2,FALSE)="In")</f>
        <v>1</v>
      </c>
      <c r="T988" s="87">
        <f t="shared" si="63"/>
        <v>0</v>
      </c>
    </row>
    <row r="989" spans="1:20">
      <c r="A989" s="44" t="str">
        <f>Requirements!A991</f>
        <v>MS-SMB_R8322</v>
      </c>
      <c r="B989" s="87"/>
      <c r="C989" s="87"/>
      <c r="D989" s="87"/>
      <c r="E989" s="87"/>
      <c r="F989" s="87"/>
      <c r="G989" s="87"/>
      <c r="H989" s="87"/>
      <c r="I989" s="87"/>
      <c r="J989" s="87"/>
      <c r="K989" s="87"/>
      <c r="L989" s="87"/>
      <c r="M989" s="87"/>
      <c r="N989" s="87">
        <f t="shared" si="60"/>
        <v>0</v>
      </c>
      <c r="O989" s="87">
        <f t="shared" si="61"/>
        <v>0</v>
      </c>
      <c r="P989" s="87" t="b">
        <f t="shared" si="62"/>
        <v>0</v>
      </c>
      <c r="Q989" s="87" t="b">
        <f>(Requirements!K991="Normative")</f>
        <v>0</v>
      </c>
      <c r="R989" s="87" t="b">
        <f>AND(Requirements!L991&lt;&gt;"Non-testable",Requirements!L991&lt;&gt;"Deleted",Requirements!L991&lt;&gt;"")</f>
        <v>1</v>
      </c>
      <c r="S989" s="87" t="b">
        <f>(VLOOKUP(Requirements!I991,Scope[[Role]:[Description]],2,FALSE)="In")</f>
        <v>1</v>
      </c>
      <c r="T989" s="87">
        <f t="shared" si="63"/>
        <v>0</v>
      </c>
    </row>
    <row r="990" spans="1:20">
      <c r="A990" s="44" t="str">
        <f>Requirements!A992</f>
        <v>MS-SMB_R4006</v>
      </c>
      <c r="B990" s="87"/>
      <c r="C990" s="87"/>
      <c r="D990" s="87"/>
      <c r="E990" s="87"/>
      <c r="F990" s="87"/>
      <c r="G990" s="87"/>
      <c r="H990" s="87"/>
      <c r="I990" s="87"/>
      <c r="J990" s="87"/>
      <c r="K990" s="87"/>
      <c r="L990" s="87"/>
      <c r="M990" s="87"/>
      <c r="N990" s="87">
        <f t="shared" si="60"/>
        <v>0</v>
      </c>
      <c r="O990" s="87">
        <f t="shared" si="61"/>
        <v>0</v>
      </c>
      <c r="P990" s="87" t="b">
        <f t="shared" si="62"/>
        <v>0</v>
      </c>
      <c r="Q990" s="87" t="b">
        <f>(Requirements!K992="Normative")</f>
        <v>0</v>
      </c>
      <c r="R990" s="87" t="b">
        <f>AND(Requirements!L992&lt;&gt;"Non-testable",Requirements!L992&lt;&gt;"Deleted",Requirements!L992&lt;&gt;"")</f>
        <v>1</v>
      </c>
      <c r="S990" s="87" t="b">
        <f>(VLOOKUP(Requirements!I992,Scope[[Role]:[Description]],2,FALSE)="In")</f>
        <v>1</v>
      </c>
      <c r="T990" s="87">
        <f t="shared" si="63"/>
        <v>0</v>
      </c>
    </row>
    <row r="991" spans="1:20">
      <c r="A991" s="44" t="str">
        <f>Requirements!A993</f>
        <v>MS-SMB_R3999</v>
      </c>
      <c r="B991" s="87"/>
      <c r="C991" s="87"/>
      <c r="D991" s="87"/>
      <c r="E991" s="87"/>
      <c r="F991" s="87"/>
      <c r="G991" s="87"/>
      <c r="H991" s="87"/>
      <c r="I991" s="87"/>
      <c r="J991" s="87"/>
      <c r="K991" s="87"/>
      <c r="L991" s="87"/>
      <c r="M991" s="87"/>
      <c r="N991" s="87">
        <f t="shared" si="60"/>
        <v>0</v>
      </c>
      <c r="O991" s="87">
        <f t="shared" si="61"/>
        <v>0</v>
      </c>
      <c r="P991" s="87" t="b">
        <f t="shared" si="62"/>
        <v>0</v>
      </c>
      <c r="Q991" s="87" t="b">
        <f>(Requirements!K993="Normative")</f>
        <v>0</v>
      </c>
      <c r="R991" s="87" t="b">
        <f>AND(Requirements!L993&lt;&gt;"Non-testable",Requirements!L993&lt;&gt;"Deleted",Requirements!L993&lt;&gt;"")</f>
        <v>1</v>
      </c>
      <c r="S991" s="87" t="b">
        <f>(VLOOKUP(Requirements!I993,Scope[[Role]:[Description]],2,FALSE)="In")</f>
        <v>1</v>
      </c>
      <c r="T991" s="87">
        <f t="shared" si="63"/>
        <v>0</v>
      </c>
    </row>
    <row r="992" spans="1:20">
      <c r="A992" s="44" t="str">
        <f>Requirements!A994</f>
        <v>MS-SMB_R4017</v>
      </c>
      <c r="B992" s="87"/>
      <c r="C992" s="87"/>
      <c r="D992" s="87"/>
      <c r="E992" s="87"/>
      <c r="F992" s="87"/>
      <c r="G992" s="87"/>
      <c r="H992" s="87"/>
      <c r="I992" s="87"/>
      <c r="J992" s="87"/>
      <c r="K992" s="87"/>
      <c r="L992" s="87"/>
      <c r="M992" s="87"/>
      <c r="N992" s="87">
        <f t="shared" si="60"/>
        <v>0</v>
      </c>
      <c r="O992" s="87">
        <f t="shared" si="61"/>
        <v>0</v>
      </c>
      <c r="P992" s="87" t="b">
        <f t="shared" si="62"/>
        <v>0</v>
      </c>
      <c r="Q992" s="87" t="b">
        <f>(Requirements!K994="Normative")</f>
        <v>0</v>
      </c>
      <c r="R992" s="87" t="b">
        <f>AND(Requirements!L994&lt;&gt;"Non-testable",Requirements!L994&lt;&gt;"Deleted",Requirements!L994&lt;&gt;"")</f>
        <v>1</v>
      </c>
      <c r="S992" s="87" t="b">
        <f>(VLOOKUP(Requirements!I994,Scope[[Role]:[Description]],2,FALSE)="In")</f>
        <v>1</v>
      </c>
      <c r="T992" s="87">
        <f t="shared" si="63"/>
        <v>0</v>
      </c>
    </row>
    <row r="993" spans="1:20">
      <c r="A993" s="44" t="str">
        <f>Requirements!A995</f>
        <v>MS-SMB_R4018</v>
      </c>
      <c r="B993" s="87"/>
      <c r="C993" s="87"/>
      <c r="D993" s="87"/>
      <c r="E993" s="87"/>
      <c r="F993" s="87"/>
      <c r="G993" s="87"/>
      <c r="H993" s="87"/>
      <c r="I993" s="87"/>
      <c r="J993" s="87"/>
      <c r="K993" s="87"/>
      <c r="L993" s="87"/>
      <c r="M993" s="87"/>
      <c r="N993" s="87">
        <f t="shared" si="60"/>
        <v>0</v>
      </c>
      <c r="O993" s="87">
        <f t="shared" si="61"/>
        <v>0</v>
      </c>
      <c r="P993" s="87" t="b">
        <f t="shared" si="62"/>
        <v>0</v>
      </c>
      <c r="Q993" s="87" t="b">
        <f>(Requirements!K995="Normative")</f>
        <v>0</v>
      </c>
      <c r="R993" s="87" t="b">
        <f>AND(Requirements!L995&lt;&gt;"Non-testable",Requirements!L995&lt;&gt;"Deleted",Requirements!L995&lt;&gt;"")</f>
        <v>1</v>
      </c>
      <c r="S993" s="87" t="b">
        <f>(VLOOKUP(Requirements!I995,Scope[[Role]:[Description]],2,FALSE)="In")</f>
        <v>1</v>
      </c>
      <c r="T993" s="87">
        <f t="shared" si="63"/>
        <v>0</v>
      </c>
    </row>
    <row r="994" spans="1:20">
      <c r="A994" s="44" t="str">
        <f>Requirements!A996</f>
        <v>MS-SMB_R4019</v>
      </c>
      <c r="B994" s="87"/>
      <c r="C994" s="87"/>
      <c r="D994" s="87"/>
      <c r="E994" s="87"/>
      <c r="F994" s="87"/>
      <c r="G994" s="87"/>
      <c r="H994" s="87"/>
      <c r="I994" s="87"/>
      <c r="J994" s="87"/>
      <c r="K994" s="87"/>
      <c r="L994" s="87"/>
      <c r="M994" s="87"/>
      <c r="N994" s="87">
        <f t="shared" si="60"/>
        <v>0</v>
      </c>
      <c r="O994" s="87">
        <f t="shared" si="61"/>
        <v>0</v>
      </c>
      <c r="P994" s="87" t="b">
        <f t="shared" si="62"/>
        <v>0</v>
      </c>
      <c r="Q994" s="87" t="b">
        <f>(Requirements!K996="Normative")</f>
        <v>0</v>
      </c>
      <c r="R994" s="87" t="b">
        <f>AND(Requirements!L996&lt;&gt;"Non-testable",Requirements!L996&lt;&gt;"Deleted",Requirements!L996&lt;&gt;"")</f>
        <v>1</v>
      </c>
      <c r="S994" s="87" t="b">
        <f>(VLOOKUP(Requirements!I996,Scope[[Role]:[Description]],2,FALSE)="In")</f>
        <v>1</v>
      </c>
      <c r="T994" s="87">
        <f t="shared" si="63"/>
        <v>0</v>
      </c>
    </row>
    <row r="995" spans="1:20">
      <c r="A995" s="44" t="str">
        <f>Requirements!A997</f>
        <v>MS-SMB_R4020</v>
      </c>
      <c r="B995" s="87"/>
      <c r="C995" s="87"/>
      <c r="D995" s="87"/>
      <c r="E995" s="87"/>
      <c r="F995" s="87"/>
      <c r="G995" s="87"/>
      <c r="H995" s="87"/>
      <c r="I995" s="87"/>
      <c r="J995" s="87"/>
      <c r="K995" s="87"/>
      <c r="L995" s="87"/>
      <c r="M995" s="87"/>
      <c r="N995" s="87">
        <f t="shared" si="60"/>
        <v>0</v>
      </c>
      <c r="O995" s="87">
        <f t="shared" si="61"/>
        <v>0</v>
      </c>
      <c r="P995" s="87" t="b">
        <f t="shared" si="62"/>
        <v>0</v>
      </c>
      <c r="Q995" s="87" t="b">
        <f>(Requirements!K997="Normative")</f>
        <v>0</v>
      </c>
      <c r="R995" s="87" t="b">
        <f>AND(Requirements!L997&lt;&gt;"Non-testable",Requirements!L997&lt;&gt;"Deleted",Requirements!L997&lt;&gt;"")</f>
        <v>1</v>
      </c>
      <c r="S995" s="87" t="b">
        <f>(VLOOKUP(Requirements!I997,Scope[[Role]:[Description]],2,FALSE)="In")</f>
        <v>1</v>
      </c>
      <c r="T995" s="87">
        <f t="shared" si="63"/>
        <v>0</v>
      </c>
    </row>
    <row r="996" spans="1:20">
      <c r="A996" s="44" t="str">
        <f>Requirements!A998</f>
        <v>MS-SMB_R8323</v>
      </c>
      <c r="B996" s="87"/>
      <c r="C996" s="87"/>
      <c r="D996" s="87"/>
      <c r="E996" s="87"/>
      <c r="F996" s="87"/>
      <c r="G996" s="87"/>
      <c r="H996" s="87"/>
      <c r="I996" s="87"/>
      <c r="J996" s="87"/>
      <c r="K996" s="87"/>
      <c r="L996" s="87"/>
      <c r="M996" s="87"/>
      <c r="N996" s="87">
        <f t="shared" si="60"/>
        <v>0</v>
      </c>
      <c r="O996" s="87">
        <f t="shared" si="61"/>
        <v>0</v>
      </c>
      <c r="P996" s="87" t="b">
        <f t="shared" si="62"/>
        <v>0</v>
      </c>
      <c r="Q996" s="87" t="b">
        <f>(Requirements!K998="Normative")</f>
        <v>0</v>
      </c>
      <c r="R996" s="87" t="b">
        <f>AND(Requirements!L998&lt;&gt;"Non-testable",Requirements!L998&lt;&gt;"Deleted",Requirements!L998&lt;&gt;"")</f>
        <v>1</v>
      </c>
      <c r="S996" s="87" t="b">
        <f>(VLOOKUP(Requirements!I998,Scope[[Role]:[Description]],2,FALSE)="In")</f>
        <v>1</v>
      </c>
      <c r="T996" s="87">
        <f t="shared" si="63"/>
        <v>0</v>
      </c>
    </row>
    <row r="997" spans="1:20">
      <c r="A997" s="44" t="str">
        <f>Requirements!A999</f>
        <v>MS-SMB_R8324</v>
      </c>
      <c r="B997" s="87"/>
      <c r="C997" s="87"/>
      <c r="D997" s="87"/>
      <c r="E997" s="87"/>
      <c r="F997" s="87"/>
      <c r="G997" s="87"/>
      <c r="H997" s="87"/>
      <c r="I997" s="87"/>
      <c r="J997" s="87"/>
      <c r="K997" s="87"/>
      <c r="L997" s="87"/>
      <c r="M997" s="87"/>
      <c r="N997" s="87">
        <f t="shared" si="60"/>
        <v>0</v>
      </c>
      <c r="O997" s="87">
        <f t="shared" si="61"/>
        <v>0</v>
      </c>
      <c r="P997" s="87" t="b">
        <f t="shared" si="62"/>
        <v>0</v>
      </c>
      <c r="Q997" s="87" t="b">
        <f>(Requirements!K999="Normative")</f>
        <v>0</v>
      </c>
      <c r="R997" s="87" t="b">
        <f>AND(Requirements!L999&lt;&gt;"Non-testable",Requirements!L999&lt;&gt;"Deleted",Requirements!L999&lt;&gt;"")</f>
        <v>1</v>
      </c>
      <c r="S997" s="87" t="b">
        <f>(VLOOKUP(Requirements!I999,Scope[[Role]:[Description]],2,FALSE)="In")</f>
        <v>1</v>
      </c>
      <c r="T997" s="87">
        <f t="shared" si="63"/>
        <v>0</v>
      </c>
    </row>
    <row r="998" spans="1:20">
      <c r="A998" s="44" t="str">
        <f>Requirements!A1000</f>
        <v>MS-SMB_R8068</v>
      </c>
      <c r="B998" s="87"/>
      <c r="C998" s="87"/>
      <c r="D998" s="87"/>
      <c r="E998" s="87"/>
      <c r="F998" s="87"/>
      <c r="G998" s="87"/>
      <c r="H998" s="87"/>
      <c r="I998" s="87"/>
      <c r="J998" s="87"/>
      <c r="K998" s="87"/>
      <c r="L998" s="87"/>
      <c r="M998" s="87"/>
      <c r="N998" s="87">
        <f t="shared" si="60"/>
        <v>0</v>
      </c>
      <c r="O998" s="87">
        <f t="shared" si="61"/>
        <v>0</v>
      </c>
      <c r="P998" s="87" t="b">
        <f t="shared" si="62"/>
        <v>0</v>
      </c>
      <c r="Q998" s="87" t="b">
        <f>(Requirements!K1000="Normative")</f>
        <v>0</v>
      </c>
      <c r="R998" s="87" t="b">
        <f>AND(Requirements!L1000&lt;&gt;"Non-testable",Requirements!L1000&lt;&gt;"Deleted",Requirements!L1000&lt;&gt;"")</f>
        <v>1</v>
      </c>
      <c r="S998" s="87" t="b">
        <f>(VLOOKUP(Requirements!I1000,Scope[[Role]:[Description]],2,FALSE)="In")</f>
        <v>1</v>
      </c>
      <c r="T998" s="87">
        <f t="shared" si="63"/>
        <v>0</v>
      </c>
    </row>
    <row r="999" spans="1:20">
      <c r="A999" s="44" t="str">
        <f>Requirements!A1001</f>
        <v>MS-SMB_R4030</v>
      </c>
      <c r="B999" s="87"/>
      <c r="C999" s="87"/>
      <c r="D999" s="87"/>
      <c r="E999" s="87"/>
      <c r="F999" s="87"/>
      <c r="G999" s="87"/>
      <c r="H999" s="87"/>
      <c r="I999" s="87"/>
      <c r="J999" s="87"/>
      <c r="K999" s="87"/>
      <c r="L999" s="87"/>
      <c r="M999" s="87"/>
      <c r="N999" s="87">
        <f t="shared" si="60"/>
        <v>0</v>
      </c>
      <c r="O999" s="87">
        <f t="shared" si="61"/>
        <v>0</v>
      </c>
      <c r="P999" s="87" t="b">
        <f t="shared" si="62"/>
        <v>0</v>
      </c>
      <c r="Q999" s="87" t="b">
        <f>(Requirements!K1001="Normative")</f>
        <v>0</v>
      </c>
      <c r="R999" s="87" t="b">
        <f>AND(Requirements!L1001&lt;&gt;"Non-testable",Requirements!L1001&lt;&gt;"Deleted",Requirements!L1001&lt;&gt;"")</f>
        <v>1</v>
      </c>
      <c r="S999" s="87" t="b">
        <f>(VLOOKUP(Requirements!I1001,Scope[[Role]:[Description]],2,FALSE)="In")</f>
        <v>1</v>
      </c>
      <c r="T999" s="87">
        <f t="shared" si="63"/>
        <v>0</v>
      </c>
    </row>
    <row r="1000" spans="1:20">
      <c r="A1000" s="44" t="str">
        <f>Requirements!A1002</f>
        <v>MS-SMB_R4029</v>
      </c>
      <c r="B1000" s="87"/>
      <c r="C1000" s="87"/>
      <c r="D1000" s="87"/>
      <c r="E1000" s="87"/>
      <c r="F1000" s="87"/>
      <c r="G1000" s="87"/>
      <c r="H1000" s="87"/>
      <c r="I1000" s="87"/>
      <c r="J1000" s="87"/>
      <c r="K1000" s="87"/>
      <c r="L1000" s="87"/>
      <c r="M1000" s="87"/>
      <c r="N1000" s="87">
        <f t="shared" si="60"/>
        <v>0</v>
      </c>
      <c r="O1000" s="87">
        <f t="shared" si="61"/>
        <v>0</v>
      </c>
      <c r="P1000" s="87" t="b">
        <f t="shared" si="62"/>
        <v>0</v>
      </c>
      <c r="Q1000" s="87" t="b">
        <f>(Requirements!K1002="Normative")</f>
        <v>0</v>
      </c>
      <c r="R1000" s="87" t="b">
        <f>AND(Requirements!L1002&lt;&gt;"Non-testable",Requirements!L1002&lt;&gt;"Deleted",Requirements!L1002&lt;&gt;"")</f>
        <v>1</v>
      </c>
      <c r="S1000" s="87" t="b">
        <f>(VLOOKUP(Requirements!I1002,Scope[[Role]:[Description]],2,FALSE)="In")</f>
        <v>1</v>
      </c>
      <c r="T1000" s="87">
        <f t="shared" si="63"/>
        <v>0</v>
      </c>
    </row>
    <row r="1001" spans="1:20">
      <c r="A1001" s="44" t="str">
        <f>Requirements!A1003</f>
        <v>MS-SMB_R4031</v>
      </c>
      <c r="B1001" s="87"/>
      <c r="C1001" s="87"/>
      <c r="D1001" s="87"/>
      <c r="E1001" s="87"/>
      <c r="F1001" s="87"/>
      <c r="G1001" s="87"/>
      <c r="H1001" s="87"/>
      <c r="I1001" s="87"/>
      <c r="J1001" s="87"/>
      <c r="K1001" s="87"/>
      <c r="L1001" s="87"/>
      <c r="M1001" s="87"/>
      <c r="N1001" s="87">
        <f t="shared" si="60"/>
        <v>0</v>
      </c>
      <c r="O1001" s="87">
        <f t="shared" si="61"/>
        <v>0</v>
      </c>
      <c r="P1001" s="87" t="b">
        <f t="shared" si="62"/>
        <v>0</v>
      </c>
      <c r="Q1001" s="87" t="b">
        <f>(Requirements!K1003="Normative")</f>
        <v>0</v>
      </c>
      <c r="R1001" s="87" t="b">
        <f>AND(Requirements!L1003&lt;&gt;"Non-testable",Requirements!L1003&lt;&gt;"Deleted",Requirements!L1003&lt;&gt;"")</f>
        <v>1</v>
      </c>
      <c r="S1001" s="87" t="b">
        <f>(VLOOKUP(Requirements!I1003,Scope[[Role]:[Description]],2,FALSE)="In")</f>
        <v>1</v>
      </c>
      <c r="T1001" s="87">
        <f t="shared" si="63"/>
        <v>0</v>
      </c>
    </row>
    <row r="1002" spans="1:20">
      <c r="A1002" s="44" t="str">
        <f>Requirements!A1004</f>
        <v>MS-SMB_R4032</v>
      </c>
      <c r="B1002" s="87"/>
      <c r="C1002" s="87"/>
      <c r="D1002" s="87"/>
      <c r="E1002" s="87"/>
      <c r="F1002" s="87"/>
      <c r="G1002" s="87"/>
      <c r="H1002" s="87"/>
      <c r="I1002" s="87"/>
      <c r="J1002" s="87"/>
      <c r="K1002" s="87"/>
      <c r="L1002" s="87"/>
      <c r="M1002" s="87"/>
      <c r="N1002" s="87">
        <f t="shared" si="60"/>
        <v>0</v>
      </c>
      <c r="O1002" s="87">
        <f t="shared" si="61"/>
        <v>0</v>
      </c>
      <c r="P1002" s="87" t="b">
        <f t="shared" si="62"/>
        <v>0</v>
      </c>
      <c r="Q1002" s="87" t="b">
        <f>(Requirements!K1004="Normative")</f>
        <v>0</v>
      </c>
      <c r="R1002" s="87" t="b">
        <f>AND(Requirements!L1004&lt;&gt;"Non-testable",Requirements!L1004&lt;&gt;"Deleted",Requirements!L1004&lt;&gt;"")</f>
        <v>1</v>
      </c>
      <c r="S1002" s="87" t="b">
        <f>(VLOOKUP(Requirements!I1004,Scope[[Role]:[Description]],2,FALSE)="In")</f>
        <v>1</v>
      </c>
      <c r="T1002" s="87">
        <f t="shared" si="63"/>
        <v>0</v>
      </c>
    </row>
    <row r="1003" spans="1:20">
      <c r="A1003" s="85" t="str">
        <f>Requirements!A1005</f>
        <v>MS-SMB_R8325</v>
      </c>
      <c r="B1003" s="87"/>
      <c r="C1003" s="87"/>
      <c r="D1003" s="87"/>
      <c r="E1003" s="87"/>
      <c r="F1003" s="87"/>
      <c r="G1003" s="87"/>
      <c r="H1003" s="87"/>
      <c r="I1003" s="87"/>
      <c r="J1003" s="87"/>
      <c r="K1003" s="87"/>
      <c r="L1003" s="87"/>
      <c r="M1003" s="87"/>
      <c r="N1003" s="87">
        <f t="shared" si="60"/>
        <v>0</v>
      </c>
      <c r="O1003" s="61">
        <f t="shared" si="61"/>
        <v>0</v>
      </c>
      <c r="P1003" s="61" t="b">
        <f t="shared" si="62"/>
        <v>1</v>
      </c>
      <c r="Q1003" s="87" t="b">
        <f>(Requirements!K1005="Normative")</f>
        <v>1</v>
      </c>
      <c r="R1003" s="87" t="b">
        <f>AND(Requirements!L1005&lt;&gt;"Non-testable",Requirements!L1005&lt;&gt;"Deleted",Requirements!L1005&lt;&gt;"")</f>
        <v>1</v>
      </c>
      <c r="S1003" s="87" t="b">
        <f>(VLOOKUP(Requirements!I1005,Scope[[Role]:[Description]],2,FALSE)="In")</f>
        <v>1</v>
      </c>
      <c r="T1003" s="87">
        <f t="shared" si="63"/>
        <v>0</v>
      </c>
    </row>
    <row r="1004" spans="1:20">
      <c r="A1004" s="44" t="str">
        <f>Requirements!A1006</f>
        <v>MS-SMB_R8326</v>
      </c>
      <c r="B1004" s="87"/>
      <c r="C1004" s="87"/>
      <c r="D1004" s="87"/>
      <c r="E1004" s="87"/>
      <c r="F1004" s="87"/>
      <c r="G1004" s="87"/>
      <c r="H1004" s="87"/>
      <c r="I1004" s="87"/>
      <c r="J1004" s="87"/>
      <c r="K1004" s="87"/>
      <c r="L1004" s="87"/>
      <c r="M1004" s="87"/>
      <c r="N1004" s="87">
        <f t="shared" si="60"/>
        <v>0</v>
      </c>
      <c r="O1004" s="87">
        <f t="shared" si="61"/>
        <v>0</v>
      </c>
      <c r="P1004" s="87" t="b">
        <f t="shared" si="62"/>
        <v>0</v>
      </c>
      <c r="Q1004" s="87" t="b">
        <f>(Requirements!K1006="Normative")</f>
        <v>0</v>
      </c>
      <c r="R1004" s="87" t="b">
        <f>AND(Requirements!L1006&lt;&gt;"Non-testable",Requirements!L1006&lt;&gt;"Deleted",Requirements!L1006&lt;&gt;"")</f>
        <v>1</v>
      </c>
      <c r="S1004" s="87" t="b">
        <f>(VLOOKUP(Requirements!I1006,Scope[[Role]:[Description]],2,FALSE)="In")</f>
        <v>1</v>
      </c>
      <c r="T1004" s="87">
        <f t="shared" si="63"/>
        <v>0</v>
      </c>
    </row>
    <row r="1005" spans="1:20">
      <c r="A1005" s="85" t="str">
        <f>Requirements!A1007</f>
        <v>MS-SMB_R4039</v>
      </c>
      <c r="B1005" s="87"/>
      <c r="C1005" s="87"/>
      <c r="D1005" s="87"/>
      <c r="E1005" s="87"/>
      <c r="F1005" s="87"/>
      <c r="G1005" s="87"/>
      <c r="H1005" s="87"/>
      <c r="I1005" s="87"/>
      <c r="J1005" s="87"/>
      <c r="K1005" s="87"/>
      <c r="L1005" s="87"/>
      <c r="M1005" s="87"/>
      <c r="N1005" s="87">
        <f t="shared" si="60"/>
        <v>0</v>
      </c>
      <c r="O1005" s="61">
        <f t="shared" si="61"/>
        <v>0</v>
      </c>
      <c r="P1005" s="61" t="b">
        <f t="shared" si="62"/>
        <v>1</v>
      </c>
      <c r="Q1005" s="87" t="b">
        <f>(Requirements!K1007="Normative")</f>
        <v>1</v>
      </c>
      <c r="R1005" s="87" t="b">
        <f>AND(Requirements!L1007&lt;&gt;"Non-testable",Requirements!L1007&lt;&gt;"Deleted",Requirements!L1007&lt;&gt;"")</f>
        <v>1</v>
      </c>
      <c r="S1005" s="87" t="b">
        <f>(VLOOKUP(Requirements!I1007,Scope[[Role]:[Description]],2,FALSE)="In")</f>
        <v>1</v>
      </c>
      <c r="T1005" s="87">
        <f t="shared" si="63"/>
        <v>0</v>
      </c>
    </row>
    <row r="1006" spans="1:20">
      <c r="A1006" s="85" t="str">
        <f>Requirements!A1008</f>
        <v>MS-SMB_R8327</v>
      </c>
      <c r="B1006" s="87"/>
      <c r="C1006" s="87"/>
      <c r="D1006" s="87"/>
      <c r="E1006" s="87"/>
      <c r="F1006" s="87"/>
      <c r="G1006" s="87"/>
      <c r="H1006" s="87"/>
      <c r="I1006" s="87"/>
      <c r="J1006" s="87"/>
      <c r="K1006" s="87"/>
      <c r="L1006" s="87"/>
      <c r="M1006" s="87"/>
      <c r="N1006" s="87">
        <f t="shared" si="60"/>
        <v>0</v>
      </c>
      <c r="O1006" s="61">
        <f t="shared" si="61"/>
        <v>0</v>
      </c>
      <c r="P1006" s="61" t="b">
        <f t="shared" si="62"/>
        <v>1</v>
      </c>
      <c r="Q1006" s="87" t="b">
        <f>(Requirements!K1008="Normative")</f>
        <v>1</v>
      </c>
      <c r="R1006" s="87" t="b">
        <f>AND(Requirements!L1008&lt;&gt;"Non-testable",Requirements!L1008&lt;&gt;"Deleted",Requirements!L1008&lt;&gt;"")</f>
        <v>1</v>
      </c>
      <c r="S1006" s="87" t="b">
        <f>(VLOOKUP(Requirements!I1008,Scope[[Role]:[Description]],2,FALSE)="In")</f>
        <v>1</v>
      </c>
      <c r="T1006" s="87">
        <f t="shared" si="63"/>
        <v>0</v>
      </c>
    </row>
    <row r="1007" spans="1:20">
      <c r="A1007" s="85" t="str">
        <f>Requirements!A1009</f>
        <v>MS-SMB_R8328</v>
      </c>
      <c r="B1007" s="87"/>
      <c r="C1007" s="87"/>
      <c r="D1007" s="87"/>
      <c r="E1007" s="87"/>
      <c r="F1007" s="87"/>
      <c r="G1007" s="87"/>
      <c r="H1007" s="87"/>
      <c r="I1007" s="87"/>
      <c r="J1007" s="87"/>
      <c r="K1007" s="87"/>
      <c r="L1007" s="87"/>
      <c r="M1007" s="87"/>
      <c r="N1007" s="87">
        <f t="shared" si="60"/>
        <v>0</v>
      </c>
      <c r="O1007" s="61">
        <f t="shared" si="61"/>
        <v>0</v>
      </c>
      <c r="P1007" s="61" t="b">
        <f t="shared" si="62"/>
        <v>1</v>
      </c>
      <c r="Q1007" s="87" t="b">
        <f>(Requirements!K1009="Normative")</f>
        <v>1</v>
      </c>
      <c r="R1007" s="87" t="b">
        <f>AND(Requirements!L1009&lt;&gt;"Non-testable",Requirements!L1009&lt;&gt;"Deleted",Requirements!L1009&lt;&gt;"")</f>
        <v>1</v>
      </c>
      <c r="S1007" s="87" t="b">
        <f>(VLOOKUP(Requirements!I1009,Scope[[Role]:[Description]],2,FALSE)="In")</f>
        <v>1</v>
      </c>
      <c r="T1007" s="87">
        <f t="shared" si="63"/>
        <v>0</v>
      </c>
    </row>
    <row r="1008" spans="1:20">
      <c r="A1008" s="85" t="str">
        <f>Requirements!A1010</f>
        <v>MS-SMB_R8329</v>
      </c>
      <c r="B1008" s="87"/>
      <c r="C1008" s="87"/>
      <c r="D1008" s="87"/>
      <c r="E1008" s="87"/>
      <c r="F1008" s="87"/>
      <c r="G1008" s="87"/>
      <c r="H1008" s="87"/>
      <c r="I1008" s="87"/>
      <c r="J1008" s="87"/>
      <c r="K1008" s="87"/>
      <c r="L1008" s="87"/>
      <c r="M1008" s="87"/>
      <c r="N1008" s="87">
        <f t="shared" si="60"/>
        <v>0</v>
      </c>
      <c r="O1008" s="61">
        <f t="shared" si="61"/>
        <v>0</v>
      </c>
      <c r="P1008" s="61" t="b">
        <f t="shared" si="62"/>
        <v>1</v>
      </c>
      <c r="Q1008" s="87" t="b">
        <f>(Requirements!K1010="Normative")</f>
        <v>1</v>
      </c>
      <c r="R1008" s="87" t="b">
        <f>AND(Requirements!L1010&lt;&gt;"Non-testable",Requirements!L1010&lt;&gt;"Deleted",Requirements!L1010&lt;&gt;"")</f>
        <v>1</v>
      </c>
      <c r="S1008" s="87" t="b">
        <f>(VLOOKUP(Requirements!I1010,Scope[[Role]:[Description]],2,FALSE)="In")</f>
        <v>1</v>
      </c>
      <c r="T1008" s="87">
        <f t="shared" si="63"/>
        <v>0</v>
      </c>
    </row>
    <row r="1009" spans="1:20">
      <c r="A1009" s="85" t="str">
        <f>Requirements!A1011</f>
        <v>MS-SMB_R8330</v>
      </c>
      <c r="B1009" s="87"/>
      <c r="C1009" s="87"/>
      <c r="D1009" s="87"/>
      <c r="E1009" s="87"/>
      <c r="F1009" s="87"/>
      <c r="G1009" s="87"/>
      <c r="H1009" s="87"/>
      <c r="I1009" s="87"/>
      <c r="J1009" s="87"/>
      <c r="K1009" s="87"/>
      <c r="L1009" s="87"/>
      <c r="M1009" s="87"/>
      <c r="N1009" s="87">
        <f t="shared" si="60"/>
        <v>0</v>
      </c>
      <c r="O1009" s="61">
        <f t="shared" si="61"/>
        <v>0</v>
      </c>
      <c r="P1009" s="61" t="b">
        <f t="shared" si="62"/>
        <v>1</v>
      </c>
      <c r="Q1009" s="87" t="b">
        <f>(Requirements!K1011="Normative")</f>
        <v>1</v>
      </c>
      <c r="R1009" s="87" t="b">
        <f>AND(Requirements!L1011&lt;&gt;"Non-testable",Requirements!L1011&lt;&gt;"Deleted",Requirements!L1011&lt;&gt;"")</f>
        <v>1</v>
      </c>
      <c r="S1009" s="87" t="b">
        <f>(VLOOKUP(Requirements!I1011,Scope[[Role]:[Description]],2,FALSE)="In")</f>
        <v>1</v>
      </c>
      <c r="T1009" s="87">
        <f t="shared" si="63"/>
        <v>0</v>
      </c>
    </row>
    <row r="1010" spans="1:20">
      <c r="A1010" s="85" t="str">
        <f>Requirements!A1012</f>
        <v>MS-SMB_R8331</v>
      </c>
      <c r="B1010" s="87"/>
      <c r="C1010" s="87"/>
      <c r="D1010" s="87"/>
      <c r="E1010" s="87"/>
      <c r="F1010" s="87"/>
      <c r="G1010" s="87"/>
      <c r="H1010" s="87"/>
      <c r="I1010" s="87"/>
      <c r="J1010" s="87"/>
      <c r="K1010" s="87"/>
      <c r="L1010" s="87"/>
      <c r="M1010" s="87"/>
      <c r="N1010" s="87">
        <f t="shared" si="60"/>
        <v>0</v>
      </c>
      <c r="O1010" s="61">
        <f t="shared" si="61"/>
        <v>0</v>
      </c>
      <c r="P1010" s="61" t="b">
        <f t="shared" si="62"/>
        <v>1</v>
      </c>
      <c r="Q1010" s="87" t="b">
        <f>(Requirements!K1012="Normative")</f>
        <v>1</v>
      </c>
      <c r="R1010" s="87" t="b">
        <f>AND(Requirements!L1012&lt;&gt;"Non-testable",Requirements!L1012&lt;&gt;"Deleted",Requirements!L1012&lt;&gt;"")</f>
        <v>1</v>
      </c>
      <c r="S1010" s="87" t="b">
        <f>(VLOOKUP(Requirements!I1012,Scope[[Role]:[Description]],2,FALSE)="In")</f>
        <v>1</v>
      </c>
      <c r="T1010" s="87">
        <f t="shared" si="63"/>
        <v>0</v>
      </c>
    </row>
    <row r="1011" spans="1:20">
      <c r="A1011" s="85" t="str">
        <f>Requirements!A1013</f>
        <v>MS-SMB_R8332</v>
      </c>
      <c r="B1011" s="87"/>
      <c r="C1011" s="87"/>
      <c r="D1011" s="87"/>
      <c r="E1011" s="87"/>
      <c r="F1011" s="87"/>
      <c r="G1011" s="87"/>
      <c r="H1011" s="87"/>
      <c r="I1011" s="87"/>
      <c r="J1011" s="87"/>
      <c r="K1011" s="87"/>
      <c r="L1011" s="87"/>
      <c r="M1011" s="87"/>
      <c r="N1011" s="87">
        <f t="shared" si="60"/>
        <v>0</v>
      </c>
      <c r="O1011" s="61">
        <f t="shared" si="61"/>
        <v>0</v>
      </c>
      <c r="P1011" s="61" t="b">
        <f t="shared" si="62"/>
        <v>1</v>
      </c>
      <c r="Q1011" s="87" t="b">
        <f>(Requirements!K1013="Normative")</f>
        <v>1</v>
      </c>
      <c r="R1011" s="87" t="b">
        <f>AND(Requirements!L1013&lt;&gt;"Non-testable",Requirements!L1013&lt;&gt;"Deleted",Requirements!L1013&lt;&gt;"")</f>
        <v>1</v>
      </c>
      <c r="S1011" s="87" t="b">
        <f>(VLOOKUP(Requirements!I1013,Scope[[Role]:[Description]],2,FALSE)="In")</f>
        <v>1</v>
      </c>
      <c r="T1011" s="87">
        <f t="shared" si="63"/>
        <v>0</v>
      </c>
    </row>
    <row r="1012" spans="1:20">
      <c r="A1012" s="44" t="str">
        <f>Requirements!A1014</f>
        <v>MS-SMB_R8333</v>
      </c>
      <c r="B1012" s="87"/>
      <c r="C1012" s="87"/>
      <c r="D1012" s="87"/>
      <c r="E1012" s="87"/>
      <c r="F1012" s="87"/>
      <c r="G1012" s="87"/>
      <c r="H1012" s="87"/>
      <c r="I1012" s="87"/>
      <c r="J1012" s="87"/>
      <c r="K1012" s="87"/>
      <c r="L1012" s="87"/>
      <c r="M1012" s="87"/>
      <c r="N1012" s="87">
        <f t="shared" si="60"/>
        <v>0</v>
      </c>
      <c r="O1012" s="87">
        <f t="shared" si="61"/>
        <v>0</v>
      </c>
      <c r="P1012" s="87" t="b">
        <f t="shared" si="62"/>
        <v>0</v>
      </c>
      <c r="Q1012" s="87" t="b">
        <f>(Requirements!K1014="Normative")</f>
        <v>0</v>
      </c>
      <c r="R1012" s="87" t="b">
        <f>AND(Requirements!L1014&lt;&gt;"Non-testable",Requirements!L1014&lt;&gt;"Deleted",Requirements!L1014&lt;&gt;"")</f>
        <v>1</v>
      </c>
      <c r="S1012" s="87" t="b">
        <f>(VLOOKUP(Requirements!I1014,Scope[[Role]:[Description]],2,FALSE)="In")</f>
        <v>1</v>
      </c>
      <c r="T1012" s="87">
        <f t="shared" si="63"/>
        <v>0</v>
      </c>
    </row>
    <row r="1013" spans="1:20">
      <c r="A1013" s="85" t="str">
        <f>Requirements!A1015</f>
        <v>MS-SMB_R8334</v>
      </c>
      <c r="B1013" s="87"/>
      <c r="C1013" s="87"/>
      <c r="D1013" s="87"/>
      <c r="E1013" s="87"/>
      <c r="F1013" s="87"/>
      <c r="G1013" s="87"/>
      <c r="H1013" s="87"/>
      <c r="I1013" s="87"/>
      <c r="J1013" s="87"/>
      <c r="K1013" s="87"/>
      <c r="L1013" s="87"/>
      <c r="M1013" s="87"/>
      <c r="N1013" s="87">
        <f t="shared" si="60"/>
        <v>0</v>
      </c>
      <c r="O1013" s="61">
        <f t="shared" si="61"/>
        <v>0</v>
      </c>
      <c r="P1013" s="61" t="b">
        <f t="shared" si="62"/>
        <v>1</v>
      </c>
      <c r="Q1013" s="87" t="b">
        <f>(Requirements!K1015="Normative")</f>
        <v>1</v>
      </c>
      <c r="R1013" s="87" t="b">
        <f>AND(Requirements!L1015&lt;&gt;"Non-testable",Requirements!L1015&lt;&gt;"Deleted",Requirements!L1015&lt;&gt;"")</f>
        <v>1</v>
      </c>
      <c r="S1013" s="87" t="b">
        <f>(VLOOKUP(Requirements!I1015,Scope[[Role]:[Description]],2,FALSE)="In")</f>
        <v>1</v>
      </c>
      <c r="T1013" s="87">
        <f t="shared" si="63"/>
        <v>0</v>
      </c>
    </row>
    <row r="1014" spans="1:20">
      <c r="A1014" s="85" t="str">
        <f>Requirements!A1016</f>
        <v>MS-SMB_R8335</v>
      </c>
      <c r="B1014" s="87"/>
      <c r="C1014" s="87"/>
      <c r="D1014" s="87"/>
      <c r="E1014" s="87"/>
      <c r="F1014" s="87"/>
      <c r="G1014" s="87"/>
      <c r="H1014" s="87"/>
      <c r="I1014" s="87"/>
      <c r="J1014" s="87"/>
      <c r="K1014" s="87"/>
      <c r="L1014" s="87"/>
      <c r="M1014" s="87"/>
      <c r="N1014" s="87">
        <f t="shared" si="60"/>
        <v>0</v>
      </c>
      <c r="O1014" s="61">
        <f t="shared" si="61"/>
        <v>0</v>
      </c>
      <c r="P1014" s="61" t="b">
        <f t="shared" si="62"/>
        <v>1</v>
      </c>
      <c r="Q1014" s="87" t="b">
        <f>(Requirements!K1016="Normative")</f>
        <v>1</v>
      </c>
      <c r="R1014" s="87" t="b">
        <f>AND(Requirements!L1016&lt;&gt;"Non-testable",Requirements!L1016&lt;&gt;"Deleted",Requirements!L1016&lt;&gt;"")</f>
        <v>1</v>
      </c>
      <c r="S1014" s="87" t="b">
        <f>(VLOOKUP(Requirements!I1016,Scope[[Role]:[Description]],2,FALSE)="In")</f>
        <v>1</v>
      </c>
      <c r="T1014" s="87">
        <f t="shared" si="63"/>
        <v>0</v>
      </c>
    </row>
    <row r="1015" spans="1:20">
      <c r="A1015" s="85" t="str">
        <f>Requirements!A1017</f>
        <v>MS-SMB_R8336</v>
      </c>
      <c r="B1015" s="87"/>
      <c r="C1015" s="87"/>
      <c r="D1015" s="87"/>
      <c r="E1015" s="87"/>
      <c r="F1015" s="87"/>
      <c r="G1015" s="87"/>
      <c r="H1015" s="87"/>
      <c r="I1015" s="87"/>
      <c r="J1015" s="87"/>
      <c r="K1015" s="87"/>
      <c r="L1015" s="87"/>
      <c r="M1015" s="87"/>
      <c r="N1015" s="87">
        <f t="shared" si="60"/>
        <v>0</v>
      </c>
      <c r="O1015" s="61">
        <f t="shared" si="61"/>
        <v>0</v>
      </c>
      <c r="P1015" s="61" t="b">
        <f t="shared" si="62"/>
        <v>1</v>
      </c>
      <c r="Q1015" s="87" t="b">
        <f>(Requirements!K1017="Normative")</f>
        <v>1</v>
      </c>
      <c r="R1015" s="87" t="b">
        <f>AND(Requirements!L1017&lt;&gt;"Non-testable",Requirements!L1017&lt;&gt;"Deleted",Requirements!L1017&lt;&gt;"")</f>
        <v>1</v>
      </c>
      <c r="S1015" s="87" t="b">
        <f>(VLOOKUP(Requirements!I1017,Scope[[Role]:[Description]],2,FALSE)="In")</f>
        <v>1</v>
      </c>
      <c r="T1015" s="87">
        <f t="shared" si="63"/>
        <v>0</v>
      </c>
    </row>
    <row r="1016" spans="1:20">
      <c r="A1016" s="85" t="str">
        <f>Requirements!A1018</f>
        <v>MS-SMB_R4078</v>
      </c>
      <c r="B1016" s="87"/>
      <c r="C1016" s="87"/>
      <c r="D1016" s="87"/>
      <c r="E1016" s="87"/>
      <c r="F1016" s="87"/>
      <c r="G1016" s="87"/>
      <c r="H1016" s="87"/>
      <c r="I1016" s="87"/>
      <c r="J1016" s="87"/>
      <c r="K1016" s="87"/>
      <c r="L1016" s="87"/>
      <c r="M1016" s="87"/>
      <c r="N1016" s="87">
        <f t="shared" si="60"/>
        <v>0</v>
      </c>
      <c r="O1016" s="61">
        <f t="shared" si="61"/>
        <v>0</v>
      </c>
      <c r="P1016" s="61" t="b">
        <f t="shared" si="62"/>
        <v>1</v>
      </c>
      <c r="Q1016" s="87" t="b">
        <f>(Requirements!K1018="Normative")</f>
        <v>1</v>
      </c>
      <c r="R1016" s="87" t="b">
        <f>AND(Requirements!L1018&lt;&gt;"Non-testable",Requirements!L1018&lt;&gt;"Deleted",Requirements!L1018&lt;&gt;"")</f>
        <v>1</v>
      </c>
      <c r="S1016" s="87" t="b">
        <f>(VLOOKUP(Requirements!I1018,Scope[[Role]:[Description]],2,FALSE)="In")</f>
        <v>1</v>
      </c>
      <c r="T1016" s="87">
        <f t="shared" si="63"/>
        <v>0</v>
      </c>
    </row>
    <row r="1017" spans="1:20">
      <c r="A1017" s="85" t="str">
        <f>Requirements!A1019</f>
        <v>MS-SMB_R8337</v>
      </c>
      <c r="B1017" s="87"/>
      <c r="C1017" s="87"/>
      <c r="D1017" s="87"/>
      <c r="E1017" s="87"/>
      <c r="F1017" s="87"/>
      <c r="G1017" s="87"/>
      <c r="H1017" s="87"/>
      <c r="I1017" s="87"/>
      <c r="J1017" s="87"/>
      <c r="K1017" s="87"/>
      <c r="L1017" s="87"/>
      <c r="M1017" s="87"/>
      <c r="N1017" s="87">
        <f t="shared" si="60"/>
        <v>0</v>
      </c>
      <c r="O1017" s="61">
        <f t="shared" si="61"/>
        <v>0</v>
      </c>
      <c r="P1017" s="61" t="b">
        <f t="shared" si="62"/>
        <v>1</v>
      </c>
      <c r="Q1017" s="87" t="b">
        <f>(Requirements!K1019="Normative")</f>
        <v>1</v>
      </c>
      <c r="R1017" s="87" t="b">
        <f>AND(Requirements!L1019&lt;&gt;"Non-testable",Requirements!L1019&lt;&gt;"Deleted",Requirements!L1019&lt;&gt;"")</f>
        <v>1</v>
      </c>
      <c r="S1017" s="87" t="b">
        <f>(VLOOKUP(Requirements!I1019,Scope[[Role]:[Description]],2,FALSE)="In")</f>
        <v>1</v>
      </c>
      <c r="T1017" s="87">
        <f t="shared" si="63"/>
        <v>0</v>
      </c>
    </row>
    <row r="1018" spans="1:20">
      <c r="A1018" s="85" t="str">
        <f>Requirements!A1020</f>
        <v>MS-SMB_R8338</v>
      </c>
      <c r="B1018" s="87"/>
      <c r="C1018" s="87"/>
      <c r="D1018" s="87"/>
      <c r="E1018" s="87"/>
      <c r="F1018" s="87"/>
      <c r="G1018" s="87"/>
      <c r="H1018" s="87"/>
      <c r="I1018" s="87"/>
      <c r="J1018" s="87"/>
      <c r="K1018" s="87"/>
      <c r="L1018" s="87"/>
      <c r="M1018" s="87"/>
      <c r="N1018" s="87">
        <f t="shared" si="60"/>
        <v>0</v>
      </c>
      <c r="O1018" s="61">
        <f t="shared" si="61"/>
        <v>0</v>
      </c>
      <c r="P1018" s="61" t="b">
        <f t="shared" si="62"/>
        <v>1</v>
      </c>
      <c r="Q1018" s="87" t="b">
        <f>(Requirements!K1020="Normative")</f>
        <v>1</v>
      </c>
      <c r="R1018" s="87" t="b">
        <f>AND(Requirements!L1020&lt;&gt;"Non-testable",Requirements!L1020&lt;&gt;"Deleted",Requirements!L1020&lt;&gt;"")</f>
        <v>1</v>
      </c>
      <c r="S1018" s="87" t="b">
        <f>(VLOOKUP(Requirements!I1020,Scope[[Role]:[Description]],2,FALSE)="In")</f>
        <v>1</v>
      </c>
      <c r="T1018" s="87">
        <f t="shared" si="63"/>
        <v>0</v>
      </c>
    </row>
    <row r="1019" spans="1:20">
      <c r="A1019" s="85" t="str">
        <f>Requirements!A1021</f>
        <v>MS-SMB_R8339</v>
      </c>
      <c r="B1019" s="87"/>
      <c r="C1019" s="87"/>
      <c r="D1019" s="87"/>
      <c r="E1019" s="87"/>
      <c r="F1019" s="87"/>
      <c r="G1019" s="87"/>
      <c r="H1019" s="87"/>
      <c r="I1019" s="87"/>
      <c r="J1019" s="87"/>
      <c r="K1019" s="87"/>
      <c r="L1019" s="87"/>
      <c r="M1019" s="87"/>
      <c r="N1019" s="87">
        <f t="shared" si="60"/>
        <v>0</v>
      </c>
      <c r="O1019" s="61">
        <f t="shared" si="61"/>
        <v>0</v>
      </c>
      <c r="P1019" s="61" t="b">
        <f t="shared" si="62"/>
        <v>1</v>
      </c>
      <c r="Q1019" s="87" t="b">
        <f>(Requirements!K1021="Normative")</f>
        <v>1</v>
      </c>
      <c r="R1019" s="87" t="b">
        <f>AND(Requirements!L1021&lt;&gt;"Non-testable",Requirements!L1021&lt;&gt;"Deleted",Requirements!L1021&lt;&gt;"")</f>
        <v>1</v>
      </c>
      <c r="S1019" s="87" t="b">
        <f>(VLOOKUP(Requirements!I1021,Scope[[Role]:[Description]],2,FALSE)="In")</f>
        <v>1</v>
      </c>
      <c r="T1019" s="87">
        <f t="shared" si="63"/>
        <v>0</v>
      </c>
    </row>
    <row r="1020" spans="1:20">
      <c r="A1020" s="85" t="str">
        <f>Requirements!A1022</f>
        <v>MS-SMB_R8340</v>
      </c>
      <c r="B1020" s="87"/>
      <c r="C1020" s="87"/>
      <c r="D1020" s="87"/>
      <c r="E1020" s="87"/>
      <c r="F1020" s="87"/>
      <c r="G1020" s="87"/>
      <c r="H1020" s="87"/>
      <c r="I1020" s="87"/>
      <c r="J1020" s="87"/>
      <c r="K1020" s="87"/>
      <c r="L1020" s="87"/>
      <c r="M1020" s="87"/>
      <c r="N1020" s="87">
        <f t="shared" si="60"/>
        <v>0</v>
      </c>
      <c r="O1020" s="61">
        <f t="shared" si="61"/>
        <v>0</v>
      </c>
      <c r="P1020" s="61" t="b">
        <f t="shared" si="62"/>
        <v>1</v>
      </c>
      <c r="Q1020" s="87" t="b">
        <f>(Requirements!K1022="Normative")</f>
        <v>1</v>
      </c>
      <c r="R1020" s="87" t="b">
        <f>AND(Requirements!L1022&lt;&gt;"Non-testable",Requirements!L1022&lt;&gt;"Deleted",Requirements!L1022&lt;&gt;"")</f>
        <v>1</v>
      </c>
      <c r="S1020" s="87" t="b">
        <f>(VLOOKUP(Requirements!I1022,Scope[[Role]:[Description]],2,FALSE)="In")</f>
        <v>1</v>
      </c>
      <c r="T1020" s="87">
        <f t="shared" si="63"/>
        <v>0</v>
      </c>
    </row>
    <row r="1021" spans="1:20">
      <c r="A1021" s="85" t="str">
        <f>Requirements!A1023</f>
        <v>MS-SMB_R8341</v>
      </c>
      <c r="B1021" s="87"/>
      <c r="C1021" s="87"/>
      <c r="D1021" s="87"/>
      <c r="E1021" s="87"/>
      <c r="F1021" s="87"/>
      <c r="G1021" s="87"/>
      <c r="H1021" s="87"/>
      <c r="I1021" s="87"/>
      <c r="J1021" s="87"/>
      <c r="K1021" s="87"/>
      <c r="L1021" s="87"/>
      <c r="M1021" s="87"/>
      <c r="N1021" s="87">
        <f t="shared" si="60"/>
        <v>0</v>
      </c>
      <c r="O1021" s="61">
        <f t="shared" si="61"/>
        <v>0</v>
      </c>
      <c r="P1021" s="61" t="b">
        <f t="shared" si="62"/>
        <v>1</v>
      </c>
      <c r="Q1021" s="87" t="b">
        <f>(Requirements!K1023="Normative")</f>
        <v>1</v>
      </c>
      <c r="R1021" s="87" t="b">
        <f>AND(Requirements!L1023&lt;&gt;"Non-testable",Requirements!L1023&lt;&gt;"Deleted",Requirements!L1023&lt;&gt;"")</f>
        <v>1</v>
      </c>
      <c r="S1021" s="87" t="b">
        <f>(VLOOKUP(Requirements!I1023,Scope[[Role]:[Description]],2,FALSE)="In")</f>
        <v>1</v>
      </c>
      <c r="T1021" s="87">
        <f t="shared" si="63"/>
        <v>0</v>
      </c>
    </row>
    <row r="1022" spans="1:20">
      <c r="A1022" s="85" t="str">
        <f>Requirements!A1024</f>
        <v>MS-SMB_R8342</v>
      </c>
      <c r="B1022" s="87"/>
      <c r="C1022" s="87"/>
      <c r="D1022" s="87"/>
      <c r="E1022" s="87"/>
      <c r="F1022" s="87"/>
      <c r="G1022" s="87"/>
      <c r="H1022" s="87"/>
      <c r="I1022" s="87"/>
      <c r="J1022" s="87"/>
      <c r="K1022" s="87"/>
      <c r="L1022" s="87"/>
      <c r="M1022" s="87"/>
      <c r="N1022" s="87">
        <f t="shared" si="60"/>
        <v>0</v>
      </c>
      <c r="O1022" s="61">
        <f t="shared" si="61"/>
        <v>0</v>
      </c>
      <c r="P1022" s="61" t="b">
        <f t="shared" si="62"/>
        <v>1</v>
      </c>
      <c r="Q1022" s="87" t="b">
        <f>(Requirements!K1024="Normative")</f>
        <v>1</v>
      </c>
      <c r="R1022" s="87" t="b">
        <f>AND(Requirements!L1024&lt;&gt;"Non-testable",Requirements!L1024&lt;&gt;"Deleted",Requirements!L1024&lt;&gt;"")</f>
        <v>1</v>
      </c>
      <c r="S1022" s="87" t="b">
        <f>(VLOOKUP(Requirements!I1024,Scope[[Role]:[Description]],2,FALSE)="In")</f>
        <v>1</v>
      </c>
      <c r="T1022" s="87">
        <f t="shared" si="63"/>
        <v>0</v>
      </c>
    </row>
    <row r="1023" spans="1:20">
      <c r="A1023" s="85" t="str">
        <f>Requirements!A1025</f>
        <v>MS-SMB_R8343</v>
      </c>
      <c r="B1023" s="87"/>
      <c r="C1023" s="87"/>
      <c r="D1023" s="87"/>
      <c r="E1023" s="87"/>
      <c r="F1023" s="87"/>
      <c r="G1023" s="87"/>
      <c r="H1023" s="87"/>
      <c r="I1023" s="87"/>
      <c r="J1023" s="87"/>
      <c r="K1023" s="87"/>
      <c r="L1023" s="87"/>
      <c r="M1023" s="87"/>
      <c r="N1023" s="87">
        <f t="shared" si="60"/>
        <v>0</v>
      </c>
      <c r="O1023" s="61">
        <f t="shared" si="61"/>
        <v>0</v>
      </c>
      <c r="P1023" s="61" t="b">
        <f t="shared" si="62"/>
        <v>1</v>
      </c>
      <c r="Q1023" s="87" t="b">
        <f>(Requirements!K1025="Normative")</f>
        <v>1</v>
      </c>
      <c r="R1023" s="87" t="b">
        <f>AND(Requirements!L1025&lt;&gt;"Non-testable",Requirements!L1025&lt;&gt;"Deleted",Requirements!L1025&lt;&gt;"")</f>
        <v>1</v>
      </c>
      <c r="S1023" s="87" t="b">
        <f>(VLOOKUP(Requirements!I1025,Scope[[Role]:[Description]],2,FALSE)="In")</f>
        <v>1</v>
      </c>
      <c r="T1023" s="87">
        <f t="shared" si="63"/>
        <v>0</v>
      </c>
    </row>
    <row r="1024" spans="1:20">
      <c r="A1024" s="85" t="str">
        <f>Requirements!A1026</f>
        <v>MS-SMB_R8344</v>
      </c>
      <c r="B1024" s="87"/>
      <c r="C1024" s="87"/>
      <c r="D1024" s="87"/>
      <c r="E1024" s="87"/>
      <c r="F1024" s="87"/>
      <c r="G1024" s="87"/>
      <c r="H1024" s="87"/>
      <c r="I1024" s="87"/>
      <c r="J1024" s="87"/>
      <c r="K1024" s="87"/>
      <c r="L1024" s="87"/>
      <c r="M1024" s="87"/>
      <c r="N1024" s="87">
        <f t="shared" si="60"/>
        <v>0</v>
      </c>
      <c r="O1024" s="61">
        <f t="shared" si="61"/>
        <v>0</v>
      </c>
      <c r="P1024" s="61" t="b">
        <f t="shared" si="62"/>
        <v>1</v>
      </c>
      <c r="Q1024" s="87" t="b">
        <f>(Requirements!K1026="Normative")</f>
        <v>1</v>
      </c>
      <c r="R1024" s="87" t="b">
        <f>AND(Requirements!L1026&lt;&gt;"Non-testable",Requirements!L1026&lt;&gt;"Deleted",Requirements!L1026&lt;&gt;"")</f>
        <v>1</v>
      </c>
      <c r="S1024" s="87" t="b">
        <f>(VLOOKUP(Requirements!I1026,Scope[[Role]:[Description]],2,FALSE)="In")</f>
        <v>1</v>
      </c>
      <c r="T1024" s="87">
        <f t="shared" si="63"/>
        <v>0</v>
      </c>
    </row>
    <row r="1025" spans="1:20">
      <c r="A1025" s="85" t="str">
        <f>Requirements!A1027</f>
        <v>MS-SMB_R8345</v>
      </c>
      <c r="B1025" s="87"/>
      <c r="C1025" s="87"/>
      <c r="D1025" s="87"/>
      <c r="E1025" s="87"/>
      <c r="F1025" s="87"/>
      <c r="G1025" s="87"/>
      <c r="H1025" s="87"/>
      <c r="I1025" s="87"/>
      <c r="J1025" s="87"/>
      <c r="K1025" s="87"/>
      <c r="L1025" s="87"/>
      <c r="M1025" s="87"/>
      <c r="N1025" s="87">
        <f t="shared" si="60"/>
        <v>0</v>
      </c>
      <c r="O1025" s="61">
        <f t="shared" si="61"/>
        <v>0</v>
      </c>
      <c r="P1025" s="61" t="b">
        <f t="shared" si="62"/>
        <v>1</v>
      </c>
      <c r="Q1025" s="87" t="b">
        <f>(Requirements!K1027="Normative")</f>
        <v>1</v>
      </c>
      <c r="R1025" s="87" t="b">
        <f>AND(Requirements!L1027&lt;&gt;"Non-testable",Requirements!L1027&lt;&gt;"Deleted",Requirements!L1027&lt;&gt;"")</f>
        <v>1</v>
      </c>
      <c r="S1025" s="87" t="b">
        <f>(VLOOKUP(Requirements!I1027,Scope[[Role]:[Description]],2,FALSE)="In")</f>
        <v>1</v>
      </c>
      <c r="T1025" s="87">
        <f t="shared" si="63"/>
        <v>0</v>
      </c>
    </row>
    <row r="1026" spans="1:20">
      <c r="A1026" s="85" t="str">
        <f>Requirements!A1028</f>
        <v>MS-SMB_R8346</v>
      </c>
      <c r="B1026" s="87"/>
      <c r="C1026" s="87"/>
      <c r="D1026" s="87"/>
      <c r="E1026" s="87"/>
      <c r="F1026" s="87"/>
      <c r="G1026" s="87"/>
      <c r="H1026" s="87"/>
      <c r="I1026" s="87"/>
      <c r="J1026" s="87"/>
      <c r="K1026" s="87"/>
      <c r="L1026" s="87"/>
      <c r="M1026" s="87"/>
      <c r="N1026" s="87">
        <f t="shared" si="60"/>
        <v>0</v>
      </c>
      <c r="O1026" s="61">
        <f t="shared" si="61"/>
        <v>0</v>
      </c>
      <c r="P1026" s="61" t="b">
        <f t="shared" si="62"/>
        <v>1</v>
      </c>
      <c r="Q1026" s="87" t="b">
        <f>(Requirements!K1028="Normative")</f>
        <v>1</v>
      </c>
      <c r="R1026" s="87" t="b">
        <f>AND(Requirements!L1028&lt;&gt;"Non-testable",Requirements!L1028&lt;&gt;"Deleted",Requirements!L1028&lt;&gt;"")</f>
        <v>1</v>
      </c>
      <c r="S1026" s="87" t="b">
        <f>(VLOOKUP(Requirements!I1028,Scope[[Role]:[Description]],2,FALSE)="In")</f>
        <v>1</v>
      </c>
      <c r="T1026" s="87">
        <f t="shared" si="63"/>
        <v>0</v>
      </c>
    </row>
    <row r="1027" spans="1:20">
      <c r="A1027" s="85" t="str">
        <f>Requirements!A1029</f>
        <v>MS-SMB_R8347</v>
      </c>
      <c r="B1027" s="87"/>
      <c r="C1027" s="87"/>
      <c r="D1027" s="87"/>
      <c r="E1027" s="87"/>
      <c r="F1027" s="87"/>
      <c r="G1027" s="87"/>
      <c r="H1027" s="87"/>
      <c r="I1027" s="87"/>
      <c r="J1027" s="87"/>
      <c r="K1027" s="87"/>
      <c r="L1027" s="87"/>
      <c r="M1027" s="87"/>
      <c r="N1027" s="87">
        <f t="shared" si="60"/>
        <v>0</v>
      </c>
      <c r="O1027" s="61">
        <f t="shared" si="61"/>
        <v>0</v>
      </c>
      <c r="P1027" s="61" t="b">
        <f t="shared" si="62"/>
        <v>1</v>
      </c>
      <c r="Q1027" s="87" t="b">
        <f>(Requirements!K1029="Normative")</f>
        <v>1</v>
      </c>
      <c r="R1027" s="87" t="b">
        <f>AND(Requirements!L1029&lt;&gt;"Non-testable",Requirements!L1029&lt;&gt;"Deleted",Requirements!L1029&lt;&gt;"")</f>
        <v>1</v>
      </c>
      <c r="S1027" s="87" t="b">
        <f>(VLOOKUP(Requirements!I1029,Scope[[Role]:[Description]],2,FALSE)="In")</f>
        <v>1</v>
      </c>
      <c r="T1027" s="87">
        <f t="shared" si="63"/>
        <v>0</v>
      </c>
    </row>
    <row r="1028" spans="1:20">
      <c r="A1028" s="85" t="str">
        <f>Requirements!A1030</f>
        <v>MS-SMB_R8348</v>
      </c>
      <c r="B1028" s="87"/>
      <c r="C1028" s="87"/>
      <c r="D1028" s="87"/>
      <c r="E1028" s="87"/>
      <c r="F1028" s="87"/>
      <c r="G1028" s="87"/>
      <c r="H1028" s="87"/>
      <c r="I1028" s="87"/>
      <c r="J1028" s="87"/>
      <c r="K1028" s="87"/>
      <c r="L1028" s="87"/>
      <c r="M1028" s="87"/>
      <c r="N1028" s="87">
        <f t="shared" si="60"/>
        <v>0</v>
      </c>
      <c r="O1028" s="61">
        <f t="shared" si="61"/>
        <v>0</v>
      </c>
      <c r="P1028" s="61" t="b">
        <f t="shared" si="62"/>
        <v>1</v>
      </c>
      <c r="Q1028" s="87" t="b">
        <f>(Requirements!K1030="Normative")</f>
        <v>1</v>
      </c>
      <c r="R1028" s="87" t="b">
        <f>AND(Requirements!L1030&lt;&gt;"Non-testable",Requirements!L1030&lt;&gt;"Deleted",Requirements!L1030&lt;&gt;"")</f>
        <v>1</v>
      </c>
      <c r="S1028" s="87" t="b">
        <f>(VLOOKUP(Requirements!I1030,Scope[[Role]:[Description]],2,FALSE)="In")</f>
        <v>1</v>
      </c>
      <c r="T1028" s="87">
        <f t="shared" si="63"/>
        <v>0</v>
      </c>
    </row>
    <row r="1029" spans="1:20">
      <c r="A1029" s="85" t="str">
        <f>Requirements!A1031</f>
        <v>MS-SMB_R4098</v>
      </c>
      <c r="B1029" s="87"/>
      <c r="C1029" s="87"/>
      <c r="D1029" s="87"/>
      <c r="E1029" s="87"/>
      <c r="F1029" s="87"/>
      <c r="G1029" s="87"/>
      <c r="H1029" s="87"/>
      <c r="I1029" s="87"/>
      <c r="J1029" s="87"/>
      <c r="K1029" s="87"/>
      <c r="L1029" s="87"/>
      <c r="M1029" s="87"/>
      <c r="N1029" s="87">
        <f t="shared" si="60"/>
        <v>0</v>
      </c>
      <c r="O1029" s="61">
        <f t="shared" si="61"/>
        <v>0</v>
      </c>
      <c r="P1029" s="61" t="b">
        <f t="shared" si="62"/>
        <v>1</v>
      </c>
      <c r="Q1029" s="87" t="b">
        <f>(Requirements!K1031="Normative")</f>
        <v>1</v>
      </c>
      <c r="R1029" s="87" t="b">
        <f>AND(Requirements!L1031&lt;&gt;"Non-testable",Requirements!L1031&lt;&gt;"Deleted",Requirements!L1031&lt;&gt;"")</f>
        <v>1</v>
      </c>
      <c r="S1029" s="87" t="b">
        <f>(VLOOKUP(Requirements!I1031,Scope[[Role]:[Description]],2,FALSE)="In")</f>
        <v>1</v>
      </c>
      <c r="T1029" s="87">
        <f t="shared" si="63"/>
        <v>0</v>
      </c>
    </row>
    <row r="1030" spans="1:20">
      <c r="A1030" s="85" t="str">
        <f>Requirements!A1032</f>
        <v>MS-SMB_R4103</v>
      </c>
      <c r="B1030" s="87"/>
      <c r="C1030" s="87"/>
      <c r="D1030" s="87"/>
      <c r="E1030" s="87"/>
      <c r="F1030" s="87"/>
      <c r="G1030" s="87"/>
      <c r="H1030" s="87"/>
      <c r="I1030" s="87"/>
      <c r="J1030" s="87"/>
      <c r="K1030" s="87"/>
      <c r="L1030" s="87"/>
      <c r="M1030" s="87"/>
      <c r="N1030" s="87">
        <f t="shared" si="60"/>
        <v>0</v>
      </c>
      <c r="O1030" s="61">
        <f t="shared" si="61"/>
        <v>0</v>
      </c>
      <c r="P1030" s="61" t="b">
        <f t="shared" si="62"/>
        <v>1</v>
      </c>
      <c r="Q1030" s="87" t="b">
        <f>(Requirements!K1032="Normative")</f>
        <v>1</v>
      </c>
      <c r="R1030" s="87" t="b">
        <f>AND(Requirements!L1032&lt;&gt;"Non-testable",Requirements!L1032&lt;&gt;"Deleted",Requirements!L1032&lt;&gt;"")</f>
        <v>1</v>
      </c>
      <c r="S1030" s="87" t="b">
        <f>(VLOOKUP(Requirements!I1032,Scope[[Role]:[Description]],2,FALSE)="In")</f>
        <v>1</v>
      </c>
      <c r="T1030" s="87">
        <f t="shared" si="63"/>
        <v>0</v>
      </c>
    </row>
    <row r="1031" spans="1:20">
      <c r="A1031" s="85" t="str">
        <f>Requirements!A1033</f>
        <v>MS-SMB_R4105</v>
      </c>
      <c r="B1031" s="87"/>
      <c r="C1031" s="87"/>
      <c r="D1031" s="87"/>
      <c r="E1031" s="87"/>
      <c r="F1031" s="87"/>
      <c r="G1031" s="87"/>
      <c r="H1031" s="87"/>
      <c r="I1031" s="87"/>
      <c r="J1031" s="87"/>
      <c r="K1031" s="87"/>
      <c r="L1031" s="87"/>
      <c r="M1031" s="87"/>
      <c r="N1031" s="87">
        <f t="shared" si="60"/>
        <v>0</v>
      </c>
      <c r="O1031" s="61">
        <f t="shared" si="61"/>
        <v>0</v>
      </c>
      <c r="P1031" s="61" t="b">
        <f t="shared" si="62"/>
        <v>1</v>
      </c>
      <c r="Q1031" s="87" t="b">
        <f>(Requirements!K1033="Normative")</f>
        <v>1</v>
      </c>
      <c r="R1031" s="87" t="b">
        <f>AND(Requirements!L1033&lt;&gt;"Non-testable",Requirements!L1033&lt;&gt;"Deleted",Requirements!L1033&lt;&gt;"")</f>
        <v>1</v>
      </c>
      <c r="S1031" s="87" t="b">
        <f>(VLOOKUP(Requirements!I1033,Scope[[Role]:[Description]],2,FALSE)="In")</f>
        <v>1</v>
      </c>
      <c r="T1031" s="87">
        <f t="shared" si="63"/>
        <v>0</v>
      </c>
    </row>
    <row r="1032" spans="1:20">
      <c r="A1032" s="85" t="str">
        <f>Requirements!A1034</f>
        <v>MS-SMB_R4106</v>
      </c>
      <c r="B1032" s="87"/>
      <c r="C1032" s="87"/>
      <c r="D1032" s="87"/>
      <c r="E1032" s="87"/>
      <c r="F1032" s="87"/>
      <c r="G1032" s="87"/>
      <c r="H1032" s="87"/>
      <c r="I1032" s="87"/>
      <c r="J1032" s="87"/>
      <c r="K1032" s="87"/>
      <c r="L1032" s="87"/>
      <c r="M1032" s="87"/>
      <c r="N1032" s="87">
        <f t="shared" si="60"/>
        <v>0</v>
      </c>
      <c r="O1032" s="61">
        <f t="shared" si="61"/>
        <v>0</v>
      </c>
      <c r="P1032" s="61" t="b">
        <f t="shared" si="62"/>
        <v>1</v>
      </c>
      <c r="Q1032" s="87" t="b">
        <f>(Requirements!K1034="Normative")</f>
        <v>1</v>
      </c>
      <c r="R1032" s="87" t="b">
        <f>AND(Requirements!L1034&lt;&gt;"Non-testable",Requirements!L1034&lt;&gt;"Deleted",Requirements!L1034&lt;&gt;"")</f>
        <v>1</v>
      </c>
      <c r="S1032" s="87" t="b">
        <f>(VLOOKUP(Requirements!I1034,Scope[[Role]:[Description]],2,FALSE)="In")</f>
        <v>1</v>
      </c>
      <c r="T1032" s="87">
        <f t="shared" si="63"/>
        <v>0</v>
      </c>
    </row>
    <row r="1033" spans="1:20">
      <c r="A1033" s="85" t="str">
        <f>Requirements!A1035</f>
        <v>MS-SMB_R8099</v>
      </c>
      <c r="B1033" s="87"/>
      <c r="C1033" s="87"/>
      <c r="D1033" s="87"/>
      <c r="E1033" s="87"/>
      <c r="F1033" s="87"/>
      <c r="G1033" s="87"/>
      <c r="H1033" s="87"/>
      <c r="I1033" s="87"/>
      <c r="J1033" s="87"/>
      <c r="K1033" s="87"/>
      <c r="L1033" s="87"/>
      <c r="M1033" s="87"/>
      <c r="N1033" s="87">
        <f t="shared" si="60"/>
        <v>0</v>
      </c>
      <c r="O1033" s="61">
        <f t="shared" si="61"/>
        <v>0</v>
      </c>
      <c r="P1033" s="61" t="b">
        <f t="shared" si="62"/>
        <v>1</v>
      </c>
      <c r="Q1033" s="87" t="b">
        <f>(Requirements!K1035="Normative")</f>
        <v>1</v>
      </c>
      <c r="R1033" s="87" t="b">
        <f>AND(Requirements!L1035&lt;&gt;"Non-testable",Requirements!L1035&lt;&gt;"Deleted",Requirements!L1035&lt;&gt;"")</f>
        <v>1</v>
      </c>
      <c r="S1033" s="87" t="b">
        <f>(VLOOKUP(Requirements!I1035,Scope[[Role]:[Description]],2,FALSE)="In")</f>
        <v>1</v>
      </c>
      <c r="T1033" s="87">
        <f t="shared" si="63"/>
        <v>0</v>
      </c>
    </row>
    <row r="1034" spans="1:20">
      <c r="A1034" s="85" t="str">
        <f>Requirements!A1036</f>
        <v>MS-SMB_R4108</v>
      </c>
      <c r="B1034" s="87"/>
      <c r="C1034" s="87"/>
      <c r="D1034" s="87"/>
      <c r="E1034" s="87"/>
      <c r="F1034" s="87"/>
      <c r="G1034" s="87"/>
      <c r="H1034" s="87"/>
      <c r="I1034" s="87"/>
      <c r="J1034" s="87"/>
      <c r="K1034" s="87"/>
      <c r="L1034" s="87"/>
      <c r="M1034" s="87"/>
      <c r="N1034" s="87">
        <f t="shared" si="60"/>
        <v>0</v>
      </c>
      <c r="O1034" s="61">
        <f t="shared" si="61"/>
        <v>0</v>
      </c>
      <c r="P1034" s="61" t="b">
        <f t="shared" si="62"/>
        <v>1</v>
      </c>
      <c r="Q1034" s="87" t="b">
        <f>(Requirements!K1036="Normative")</f>
        <v>1</v>
      </c>
      <c r="R1034" s="87" t="b">
        <f>AND(Requirements!L1036&lt;&gt;"Non-testable",Requirements!L1036&lt;&gt;"Deleted",Requirements!L1036&lt;&gt;"")</f>
        <v>1</v>
      </c>
      <c r="S1034" s="87" t="b">
        <f>(VLOOKUP(Requirements!I1036,Scope[[Role]:[Description]],2,FALSE)="In")</f>
        <v>1</v>
      </c>
      <c r="T1034" s="87">
        <f t="shared" si="63"/>
        <v>0</v>
      </c>
    </row>
    <row r="1035" spans="1:20">
      <c r="A1035" s="85" t="str">
        <f>Requirements!A1037</f>
        <v>MS-SMB_R4109</v>
      </c>
      <c r="B1035" s="87"/>
      <c r="C1035" s="87"/>
      <c r="D1035" s="87"/>
      <c r="E1035" s="87"/>
      <c r="F1035" s="87"/>
      <c r="G1035" s="87"/>
      <c r="H1035" s="87"/>
      <c r="I1035" s="87"/>
      <c r="J1035" s="87"/>
      <c r="K1035" s="87"/>
      <c r="L1035" s="87"/>
      <c r="M1035" s="87"/>
      <c r="N1035" s="87">
        <f t="shared" si="60"/>
        <v>0</v>
      </c>
      <c r="O1035" s="61">
        <f t="shared" si="61"/>
        <v>0</v>
      </c>
      <c r="P1035" s="61" t="b">
        <f t="shared" si="62"/>
        <v>1</v>
      </c>
      <c r="Q1035" s="87" t="b">
        <f>(Requirements!K1037="Normative")</f>
        <v>1</v>
      </c>
      <c r="R1035" s="87" t="b">
        <f>AND(Requirements!L1037&lt;&gt;"Non-testable",Requirements!L1037&lt;&gt;"Deleted",Requirements!L1037&lt;&gt;"")</f>
        <v>1</v>
      </c>
      <c r="S1035" s="87" t="b">
        <f>(VLOOKUP(Requirements!I1037,Scope[[Role]:[Description]],2,FALSE)="In")</f>
        <v>1</v>
      </c>
      <c r="T1035" s="87">
        <f t="shared" si="63"/>
        <v>0</v>
      </c>
    </row>
    <row r="1036" spans="1:20">
      <c r="A1036" s="85" t="str">
        <f>Requirements!A1038</f>
        <v>MS-SMB_R4110</v>
      </c>
      <c r="B1036" s="87"/>
      <c r="C1036" s="87"/>
      <c r="D1036" s="87"/>
      <c r="E1036" s="87"/>
      <c r="F1036" s="87"/>
      <c r="G1036" s="87"/>
      <c r="H1036" s="87"/>
      <c r="I1036" s="87"/>
      <c r="J1036" s="87"/>
      <c r="K1036" s="87"/>
      <c r="L1036" s="87"/>
      <c r="M1036" s="87"/>
      <c r="N1036" s="87">
        <f t="shared" si="60"/>
        <v>0</v>
      </c>
      <c r="O1036" s="61">
        <f t="shared" si="61"/>
        <v>0</v>
      </c>
      <c r="P1036" s="61" t="b">
        <f t="shared" si="62"/>
        <v>1</v>
      </c>
      <c r="Q1036" s="87" t="b">
        <f>(Requirements!K1038="Normative")</f>
        <v>1</v>
      </c>
      <c r="R1036" s="87" t="b">
        <f>AND(Requirements!L1038&lt;&gt;"Non-testable",Requirements!L1038&lt;&gt;"Deleted",Requirements!L1038&lt;&gt;"")</f>
        <v>1</v>
      </c>
      <c r="S1036" s="87" t="b">
        <f>(VLOOKUP(Requirements!I1038,Scope[[Role]:[Description]],2,FALSE)="In")</f>
        <v>1</v>
      </c>
      <c r="T1036" s="87">
        <f t="shared" si="63"/>
        <v>0</v>
      </c>
    </row>
    <row r="1037" spans="1:20">
      <c r="A1037" s="85" t="str">
        <f>Requirements!A1039</f>
        <v>MS-SMB_R4111</v>
      </c>
      <c r="B1037" s="87"/>
      <c r="C1037" s="87"/>
      <c r="D1037" s="87"/>
      <c r="E1037" s="87"/>
      <c r="F1037" s="87"/>
      <c r="G1037" s="87"/>
      <c r="H1037" s="87"/>
      <c r="I1037" s="87"/>
      <c r="J1037" s="87"/>
      <c r="K1037" s="87"/>
      <c r="L1037" s="87"/>
      <c r="M1037" s="87"/>
      <c r="N1037" s="87">
        <f t="shared" si="60"/>
        <v>0</v>
      </c>
      <c r="O1037" s="61">
        <f t="shared" si="61"/>
        <v>0</v>
      </c>
      <c r="P1037" s="61" t="b">
        <f t="shared" si="62"/>
        <v>1</v>
      </c>
      <c r="Q1037" s="87" t="b">
        <f>(Requirements!K1039="Normative")</f>
        <v>1</v>
      </c>
      <c r="R1037" s="87" t="b">
        <f>AND(Requirements!L1039&lt;&gt;"Non-testable",Requirements!L1039&lt;&gt;"Deleted",Requirements!L1039&lt;&gt;"")</f>
        <v>1</v>
      </c>
      <c r="S1037" s="87" t="b">
        <f>(VLOOKUP(Requirements!I1039,Scope[[Role]:[Description]],2,FALSE)="In")</f>
        <v>1</v>
      </c>
      <c r="T1037" s="87">
        <f t="shared" si="63"/>
        <v>0</v>
      </c>
    </row>
    <row r="1038" spans="1:20">
      <c r="A1038" s="85" t="str">
        <f>Requirements!A1040</f>
        <v>MS-SMB_R4112</v>
      </c>
      <c r="B1038" s="87"/>
      <c r="C1038" s="87"/>
      <c r="D1038" s="87"/>
      <c r="E1038" s="87"/>
      <c r="F1038" s="87"/>
      <c r="G1038" s="87"/>
      <c r="H1038" s="87"/>
      <c r="I1038" s="87"/>
      <c r="J1038" s="87"/>
      <c r="K1038" s="87"/>
      <c r="L1038" s="87"/>
      <c r="M1038" s="87"/>
      <c r="N1038" s="87">
        <f t="shared" si="60"/>
        <v>0</v>
      </c>
      <c r="O1038" s="61">
        <f t="shared" si="61"/>
        <v>0</v>
      </c>
      <c r="P1038" s="61" t="b">
        <f t="shared" si="62"/>
        <v>1</v>
      </c>
      <c r="Q1038" s="87" t="b">
        <f>(Requirements!K1040="Normative")</f>
        <v>1</v>
      </c>
      <c r="R1038" s="87" t="b">
        <f>AND(Requirements!L1040&lt;&gt;"Non-testable",Requirements!L1040&lt;&gt;"Deleted",Requirements!L1040&lt;&gt;"")</f>
        <v>1</v>
      </c>
      <c r="S1038" s="87" t="b">
        <f>(VLOOKUP(Requirements!I1040,Scope[[Role]:[Description]],2,FALSE)="In")</f>
        <v>1</v>
      </c>
      <c r="T1038" s="87">
        <f t="shared" si="63"/>
        <v>0</v>
      </c>
    </row>
    <row r="1039" spans="1:20">
      <c r="A1039" s="85" t="str">
        <f>Requirements!A1041</f>
        <v>MS-SMB_R4113</v>
      </c>
      <c r="B1039" s="87"/>
      <c r="C1039" s="87"/>
      <c r="D1039" s="87"/>
      <c r="E1039" s="87"/>
      <c r="F1039" s="87"/>
      <c r="G1039" s="87"/>
      <c r="H1039" s="87"/>
      <c r="I1039" s="87"/>
      <c r="J1039" s="87"/>
      <c r="K1039" s="87"/>
      <c r="L1039" s="87"/>
      <c r="M1039" s="87"/>
      <c r="N1039" s="87">
        <f t="shared" si="60"/>
        <v>0</v>
      </c>
      <c r="O1039" s="61">
        <f t="shared" si="61"/>
        <v>0</v>
      </c>
      <c r="P1039" s="61" t="b">
        <f t="shared" si="62"/>
        <v>1</v>
      </c>
      <c r="Q1039" s="87" t="b">
        <f>(Requirements!K1041="Normative")</f>
        <v>1</v>
      </c>
      <c r="R1039" s="87" t="b">
        <f>AND(Requirements!L1041&lt;&gt;"Non-testable",Requirements!L1041&lt;&gt;"Deleted",Requirements!L1041&lt;&gt;"")</f>
        <v>1</v>
      </c>
      <c r="S1039" s="87" t="b">
        <f>(VLOOKUP(Requirements!I1041,Scope[[Role]:[Description]],2,FALSE)="In")</f>
        <v>1</v>
      </c>
      <c r="T1039" s="87">
        <f t="shared" si="63"/>
        <v>0</v>
      </c>
    </row>
    <row r="1040" spans="1:20">
      <c r="A1040" s="85" t="str">
        <f>Requirements!A1042</f>
        <v>MS-SMB_R4141</v>
      </c>
      <c r="B1040" s="87"/>
      <c r="C1040" s="87"/>
      <c r="D1040" s="87"/>
      <c r="E1040" s="87"/>
      <c r="F1040" s="87"/>
      <c r="G1040" s="87"/>
      <c r="H1040" s="87"/>
      <c r="I1040" s="87"/>
      <c r="J1040" s="87"/>
      <c r="K1040" s="87"/>
      <c r="L1040" s="87"/>
      <c r="M1040" s="87"/>
      <c r="N1040" s="87">
        <f t="shared" si="60"/>
        <v>0</v>
      </c>
      <c r="O1040" s="61">
        <f t="shared" si="61"/>
        <v>0</v>
      </c>
      <c r="P1040" s="61" t="b">
        <f t="shared" si="62"/>
        <v>1</v>
      </c>
      <c r="Q1040" s="87" t="b">
        <f>(Requirements!K1042="Normative")</f>
        <v>1</v>
      </c>
      <c r="R1040" s="87" t="b">
        <f>AND(Requirements!L1042&lt;&gt;"Non-testable",Requirements!L1042&lt;&gt;"Deleted",Requirements!L1042&lt;&gt;"")</f>
        <v>1</v>
      </c>
      <c r="S1040" s="87" t="b">
        <f>(VLOOKUP(Requirements!I1042,Scope[[Role]:[Description]],2,FALSE)="In")</f>
        <v>1</v>
      </c>
      <c r="T1040" s="87">
        <f t="shared" si="63"/>
        <v>0</v>
      </c>
    </row>
    <row r="1041" spans="1:20">
      <c r="A1041" s="44" t="str">
        <f>Requirements!A1043</f>
        <v>MS-SMB_R4142</v>
      </c>
      <c r="B1041" s="87"/>
      <c r="C1041" s="87"/>
      <c r="D1041" s="87"/>
      <c r="E1041" s="87"/>
      <c r="F1041" s="87"/>
      <c r="G1041" s="87"/>
      <c r="H1041" s="87"/>
      <c r="I1041" s="87"/>
      <c r="J1041" s="87"/>
      <c r="K1041" s="87"/>
      <c r="L1041" s="87"/>
      <c r="M1041" s="87"/>
      <c r="N1041" s="87">
        <f t="shared" si="60"/>
        <v>0</v>
      </c>
      <c r="O1041" s="87">
        <f t="shared" si="61"/>
        <v>0</v>
      </c>
      <c r="P1041" s="87" t="b">
        <f t="shared" si="62"/>
        <v>0</v>
      </c>
      <c r="Q1041" s="87" t="b">
        <f>(Requirements!K1043="Normative")</f>
        <v>0</v>
      </c>
      <c r="R1041" s="87" t="b">
        <f>AND(Requirements!L1043&lt;&gt;"Non-testable",Requirements!L1043&lt;&gt;"Deleted",Requirements!L1043&lt;&gt;"")</f>
        <v>1</v>
      </c>
      <c r="S1041" s="87" t="b">
        <f>(VLOOKUP(Requirements!I1043,Scope[[Role]:[Description]],2,FALSE)="In")</f>
        <v>1</v>
      </c>
      <c r="T1041" s="87">
        <f t="shared" si="63"/>
        <v>0</v>
      </c>
    </row>
    <row r="1042" spans="1:20">
      <c r="A1042" s="84" t="str">
        <f>Requirements!A1044</f>
        <v>MS-SMB_R4143</v>
      </c>
      <c r="B1042" s="87"/>
      <c r="C1042" s="87"/>
      <c r="D1042" s="87"/>
      <c r="E1042" s="87"/>
      <c r="F1042" s="87">
        <v>1</v>
      </c>
      <c r="G1042" s="87"/>
      <c r="H1042" s="87"/>
      <c r="I1042" s="87"/>
      <c r="J1042" s="87"/>
      <c r="K1042" s="87"/>
      <c r="L1042" s="87"/>
      <c r="M1042" s="87"/>
      <c r="N1042" s="87">
        <f t="shared" si="60"/>
        <v>1</v>
      </c>
      <c r="O1042" s="60">
        <f t="shared" si="61"/>
        <v>1</v>
      </c>
      <c r="P1042" s="60" t="b">
        <f t="shared" si="62"/>
        <v>1</v>
      </c>
      <c r="Q1042" s="87" t="b">
        <f>(Requirements!K1044="Normative")</f>
        <v>1</v>
      </c>
      <c r="R1042" s="87" t="b">
        <f>AND(Requirements!L1044&lt;&gt;"Non-testable",Requirements!L1044&lt;&gt;"Deleted",Requirements!L1044&lt;&gt;"")</f>
        <v>1</v>
      </c>
      <c r="S1042" s="87" t="b">
        <f>(VLOOKUP(Requirements!I1044,Scope[[Role]:[Description]],2,FALSE)="In")</f>
        <v>1</v>
      </c>
      <c r="T1042" s="87">
        <f t="shared" si="63"/>
        <v>1</v>
      </c>
    </row>
    <row r="1043" spans="1:20">
      <c r="A1043" s="85" t="str">
        <f>Requirements!A1045</f>
        <v>MS-SMB_R4144</v>
      </c>
      <c r="B1043" s="87"/>
      <c r="C1043" s="87"/>
      <c r="D1043" s="87"/>
      <c r="E1043" s="87"/>
      <c r="F1043" s="87"/>
      <c r="G1043" s="87"/>
      <c r="H1043" s="87"/>
      <c r="I1043" s="87"/>
      <c r="J1043" s="87"/>
      <c r="K1043" s="87"/>
      <c r="L1043" s="87"/>
      <c r="M1043" s="87"/>
      <c r="N1043" s="87">
        <f t="shared" si="60"/>
        <v>0</v>
      </c>
      <c r="O1043" s="61">
        <f t="shared" si="61"/>
        <v>0</v>
      </c>
      <c r="P1043" s="61" t="b">
        <f t="shared" si="62"/>
        <v>1</v>
      </c>
      <c r="Q1043" s="87" t="b">
        <f>(Requirements!K1045="Normative")</f>
        <v>1</v>
      </c>
      <c r="R1043" s="87" t="b">
        <f>AND(Requirements!L1045&lt;&gt;"Non-testable",Requirements!L1045&lt;&gt;"Deleted",Requirements!L1045&lt;&gt;"")</f>
        <v>1</v>
      </c>
      <c r="S1043" s="87" t="b">
        <f>(VLOOKUP(Requirements!I1045,Scope[[Role]:[Description]],2,FALSE)="In")</f>
        <v>1</v>
      </c>
      <c r="T1043" s="87">
        <f t="shared" si="63"/>
        <v>0</v>
      </c>
    </row>
    <row r="1044" spans="1:20">
      <c r="A1044" s="44" t="str">
        <f>Requirements!A1046</f>
        <v>MS-SMB_R4145</v>
      </c>
      <c r="B1044" s="87"/>
      <c r="C1044" s="87"/>
      <c r="D1044" s="87"/>
      <c r="E1044" s="87"/>
      <c r="F1044" s="87"/>
      <c r="G1044" s="87"/>
      <c r="H1044" s="87"/>
      <c r="I1044" s="87"/>
      <c r="J1044" s="87"/>
      <c r="K1044" s="87"/>
      <c r="L1044" s="87"/>
      <c r="M1044" s="87"/>
      <c r="N1044" s="87">
        <f t="shared" ref="N1044:N1107" si="64">SUM(B1044:M1044)</f>
        <v>0</v>
      </c>
      <c r="O1044" s="87">
        <f t="shared" ref="O1044:O1107" si="65">IF(N1044=0,0,1)</f>
        <v>0</v>
      </c>
      <c r="P1044" s="87" t="b">
        <f t="shared" ref="P1044:P1107" si="66">AND(Q1044:S1044)</f>
        <v>0</v>
      </c>
      <c r="Q1044" s="87" t="b">
        <f>(Requirements!K1046="Normative")</f>
        <v>0</v>
      </c>
      <c r="R1044" s="87" t="b">
        <f>AND(Requirements!L1046&lt;&gt;"Non-testable",Requirements!L1046&lt;&gt;"Deleted",Requirements!L1046&lt;&gt;"")</f>
        <v>1</v>
      </c>
      <c r="S1044" s="87" t="b">
        <f>(VLOOKUP(Requirements!I1046,Scope[[Role]:[Description]],2,FALSE)="In")</f>
        <v>1</v>
      </c>
      <c r="T1044" s="87">
        <f t="shared" ref="T1044:T1107" si="67">IF(P1044,O1044, 0)</f>
        <v>0</v>
      </c>
    </row>
    <row r="1045" spans="1:20">
      <c r="A1045" s="85" t="str">
        <f>Requirements!A1047</f>
        <v>MS-SMB_R4146</v>
      </c>
      <c r="B1045" s="87"/>
      <c r="C1045" s="87"/>
      <c r="D1045" s="87"/>
      <c r="E1045" s="87"/>
      <c r="F1045" s="87"/>
      <c r="G1045" s="87"/>
      <c r="H1045" s="87"/>
      <c r="I1045" s="87"/>
      <c r="J1045" s="87"/>
      <c r="K1045" s="87"/>
      <c r="L1045" s="87"/>
      <c r="M1045" s="87"/>
      <c r="N1045" s="87">
        <f t="shared" si="64"/>
        <v>0</v>
      </c>
      <c r="O1045" s="61">
        <f t="shared" si="65"/>
        <v>0</v>
      </c>
      <c r="P1045" s="61" t="b">
        <f t="shared" si="66"/>
        <v>1</v>
      </c>
      <c r="Q1045" s="87" t="b">
        <f>(Requirements!K1047="Normative")</f>
        <v>1</v>
      </c>
      <c r="R1045" s="87" t="b">
        <f>AND(Requirements!L1047&lt;&gt;"Non-testable",Requirements!L1047&lt;&gt;"Deleted",Requirements!L1047&lt;&gt;"")</f>
        <v>1</v>
      </c>
      <c r="S1045" s="87" t="b">
        <f>(VLOOKUP(Requirements!I1047,Scope[[Role]:[Description]],2,FALSE)="In")</f>
        <v>1</v>
      </c>
      <c r="T1045" s="87">
        <f t="shared" si="67"/>
        <v>0</v>
      </c>
    </row>
    <row r="1046" spans="1:20">
      <c r="A1046" s="44" t="str">
        <f>Requirements!A1048</f>
        <v>MS-SMB_R4148</v>
      </c>
      <c r="B1046" s="87"/>
      <c r="C1046" s="87"/>
      <c r="D1046" s="87"/>
      <c r="E1046" s="87"/>
      <c r="F1046" s="87"/>
      <c r="G1046" s="87"/>
      <c r="H1046" s="87"/>
      <c r="I1046" s="87"/>
      <c r="J1046" s="87"/>
      <c r="K1046" s="87"/>
      <c r="L1046" s="87"/>
      <c r="M1046" s="87"/>
      <c r="N1046" s="87">
        <f t="shared" si="64"/>
        <v>0</v>
      </c>
      <c r="O1046" s="87">
        <f t="shared" si="65"/>
        <v>0</v>
      </c>
      <c r="P1046" s="87" t="b">
        <f t="shared" si="66"/>
        <v>0</v>
      </c>
      <c r="Q1046" s="87" t="b">
        <f>(Requirements!K1048="Normative")</f>
        <v>0</v>
      </c>
      <c r="R1046" s="87" t="b">
        <f>AND(Requirements!L1048&lt;&gt;"Non-testable",Requirements!L1048&lt;&gt;"Deleted",Requirements!L1048&lt;&gt;"")</f>
        <v>1</v>
      </c>
      <c r="S1046" s="87" t="b">
        <f>(VLOOKUP(Requirements!I1048,Scope[[Role]:[Description]],2,FALSE)="In")</f>
        <v>1</v>
      </c>
      <c r="T1046" s="87">
        <f t="shared" si="67"/>
        <v>0</v>
      </c>
    </row>
    <row r="1047" spans="1:20">
      <c r="A1047" s="84" t="str">
        <f>Requirements!A1049</f>
        <v>MS-SMB_R8380</v>
      </c>
      <c r="B1047" s="87"/>
      <c r="C1047" s="87"/>
      <c r="D1047" s="87"/>
      <c r="E1047" s="87"/>
      <c r="F1047" s="87">
        <v>1</v>
      </c>
      <c r="G1047" s="87"/>
      <c r="H1047" s="87"/>
      <c r="I1047" s="87"/>
      <c r="J1047" s="87"/>
      <c r="K1047" s="87"/>
      <c r="L1047" s="87"/>
      <c r="M1047" s="87"/>
      <c r="N1047" s="87">
        <f t="shared" si="64"/>
        <v>1</v>
      </c>
      <c r="O1047" s="60">
        <f t="shared" si="65"/>
        <v>1</v>
      </c>
      <c r="P1047" s="60" t="b">
        <f t="shared" si="66"/>
        <v>1</v>
      </c>
      <c r="Q1047" s="87" t="b">
        <f>(Requirements!K1049="Normative")</f>
        <v>1</v>
      </c>
      <c r="R1047" s="87" t="b">
        <f>AND(Requirements!L1049&lt;&gt;"Non-testable",Requirements!L1049&lt;&gt;"Deleted",Requirements!L1049&lt;&gt;"")</f>
        <v>1</v>
      </c>
      <c r="S1047" s="87" t="b">
        <f>(VLOOKUP(Requirements!I1049,Scope[[Role]:[Description]],2,FALSE)="In")</f>
        <v>1</v>
      </c>
      <c r="T1047" s="87">
        <f t="shared" si="67"/>
        <v>1</v>
      </c>
    </row>
    <row r="1048" spans="1:20">
      <c r="A1048" s="44" t="str">
        <f>Requirements!A1050</f>
        <v>MS-SMB_R4150</v>
      </c>
      <c r="B1048" s="87"/>
      <c r="C1048" s="87"/>
      <c r="D1048" s="87"/>
      <c r="E1048" s="87"/>
      <c r="F1048" s="87"/>
      <c r="G1048" s="87"/>
      <c r="H1048" s="87"/>
      <c r="I1048" s="87"/>
      <c r="J1048" s="87"/>
      <c r="K1048" s="87"/>
      <c r="L1048" s="87"/>
      <c r="M1048" s="87"/>
      <c r="N1048" s="87">
        <f t="shared" si="64"/>
        <v>0</v>
      </c>
      <c r="O1048" s="87">
        <f t="shared" si="65"/>
        <v>0</v>
      </c>
      <c r="P1048" s="87" t="b">
        <f t="shared" si="66"/>
        <v>0</v>
      </c>
      <c r="Q1048" s="87" t="b">
        <f>(Requirements!K1050="Normative")</f>
        <v>0</v>
      </c>
      <c r="R1048" s="87" t="b">
        <f>AND(Requirements!L1050&lt;&gt;"Non-testable",Requirements!L1050&lt;&gt;"Deleted",Requirements!L1050&lt;&gt;"")</f>
        <v>1</v>
      </c>
      <c r="S1048" s="87" t="b">
        <f>(VLOOKUP(Requirements!I1050,Scope[[Role]:[Description]],2,FALSE)="In")</f>
        <v>1</v>
      </c>
      <c r="T1048" s="87">
        <f t="shared" si="67"/>
        <v>0</v>
      </c>
    </row>
    <row r="1049" spans="1:20">
      <c r="A1049" s="85" t="str">
        <f>Requirements!A1051</f>
        <v>MS-SMB_R8381</v>
      </c>
      <c r="B1049" s="87"/>
      <c r="C1049" s="87"/>
      <c r="D1049" s="87"/>
      <c r="E1049" s="87"/>
      <c r="F1049" s="87"/>
      <c r="G1049" s="87"/>
      <c r="H1049" s="87"/>
      <c r="I1049" s="87"/>
      <c r="J1049" s="87"/>
      <c r="K1049" s="87"/>
      <c r="L1049" s="87"/>
      <c r="M1049" s="87"/>
      <c r="N1049" s="87">
        <f t="shared" si="64"/>
        <v>0</v>
      </c>
      <c r="O1049" s="61">
        <f t="shared" si="65"/>
        <v>0</v>
      </c>
      <c r="P1049" s="61" t="b">
        <f t="shared" si="66"/>
        <v>1</v>
      </c>
      <c r="Q1049" s="87" t="b">
        <f>(Requirements!K1051="Normative")</f>
        <v>1</v>
      </c>
      <c r="R1049" s="87" t="b">
        <f>AND(Requirements!L1051&lt;&gt;"Non-testable",Requirements!L1051&lt;&gt;"Deleted",Requirements!L1051&lt;&gt;"")</f>
        <v>1</v>
      </c>
      <c r="S1049" s="87" t="b">
        <f>(VLOOKUP(Requirements!I1051,Scope[[Role]:[Description]],2,FALSE)="In")</f>
        <v>1</v>
      </c>
      <c r="T1049" s="87">
        <f t="shared" si="67"/>
        <v>0</v>
      </c>
    </row>
    <row r="1050" spans="1:20">
      <c r="A1050" s="85" t="str">
        <f>Requirements!A1052</f>
        <v>MS-SMB_R8382</v>
      </c>
      <c r="B1050" s="87"/>
      <c r="C1050" s="87"/>
      <c r="D1050" s="87"/>
      <c r="E1050" s="87"/>
      <c r="F1050" s="87"/>
      <c r="G1050" s="87"/>
      <c r="H1050" s="87"/>
      <c r="I1050" s="87"/>
      <c r="J1050" s="87"/>
      <c r="K1050" s="87"/>
      <c r="L1050" s="87"/>
      <c r="M1050" s="87"/>
      <c r="N1050" s="87">
        <f t="shared" si="64"/>
        <v>0</v>
      </c>
      <c r="O1050" s="61">
        <f t="shared" si="65"/>
        <v>0</v>
      </c>
      <c r="P1050" s="61" t="b">
        <f t="shared" si="66"/>
        <v>1</v>
      </c>
      <c r="Q1050" s="87" t="b">
        <f>(Requirements!K1052="Normative")</f>
        <v>1</v>
      </c>
      <c r="R1050" s="87" t="b">
        <f>AND(Requirements!L1052&lt;&gt;"Non-testable",Requirements!L1052&lt;&gt;"Deleted",Requirements!L1052&lt;&gt;"")</f>
        <v>1</v>
      </c>
      <c r="S1050" s="87" t="b">
        <f>(VLOOKUP(Requirements!I1052,Scope[[Role]:[Description]],2,FALSE)="In")</f>
        <v>1</v>
      </c>
      <c r="T1050" s="87">
        <f t="shared" si="67"/>
        <v>0</v>
      </c>
    </row>
    <row r="1051" spans="1:20">
      <c r="A1051" s="44" t="str">
        <f>Requirements!A1053</f>
        <v>MS-SMB_R8383</v>
      </c>
      <c r="B1051" s="87"/>
      <c r="C1051" s="87"/>
      <c r="D1051" s="87"/>
      <c r="E1051" s="87"/>
      <c r="F1051" s="87"/>
      <c r="G1051" s="87"/>
      <c r="H1051" s="87"/>
      <c r="I1051" s="87"/>
      <c r="J1051" s="87"/>
      <c r="K1051" s="87"/>
      <c r="L1051" s="87"/>
      <c r="M1051" s="87"/>
      <c r="N1051" s="87">
        <f t="shared" si="64"/>
        <v>0</v>
      </c>
      <c r="O1051" s="87">
        <f t="shared" si="65"/>
        <v>0</v>
      </c>
      <c r="P1051" s="87" t="b">
        <f t="shared" si="66"/>
        <v>0</v>
      </c>
      <c r="Q1051" s="87" t="b">
        <f>(Requirements!K1053="Normative")</f>
        <v>0</v>
      </c>
      <c r="R1051" s="87" t="b">
        <f>AND(Requirements!L1053&lt;&gt;"Non-testable",Requirements!L1053&lt;&gt;"Deleted",Requirements!L1053&lt;&gt;"")</f>
        <v>1</v>
      </c>
      <c r="S1051" s="87" t="b">
        <f>(VLOOKUP(Requirements!I1053,Scope[[Role]:[Description]],2,FALSE)="In")</f>
        <v>1</v>
      </c>
      <c r="T1051" s="87">
        <f t="shared" si="67"/>
        <v>0</v>
      </c>
    </row>
    <row r="1052" spans="1:20">
      <c r="A1052" s="44" t="str">
        <f>Requirements!A1054</f>
        <v>MS-SMB_R8384</v>
      </c>
      <c r="B1052" s="87"/>
      <c r="C1052" s="87"/>
      <c r="D1052" s="87"/>
      <c r="E1052" s="87"/>
      <c r="F1052" s="87"/>
      <c r="G1052" s="87"/>
      <c r="H1052" s="87"/>
      <c r="I1052" s="87"/>
      <c r="J1052" s="87"/>
      <c r="K1052" s="87"/>
      <c r="L1052" s="87"/>
      <c r="M1052" s="87"/>
      <c r="N1052" s="87">
        <f t="shared" si="64"/>
        <v>0</v>
      </c>
      <c r="O1052" s="87">
        <f t="shared" si="65"/>
        <v>0</v>
      </c>
      <c r="P1052" s="87" t="b">
        <f t="shared" si="66"/>
        <v>0</v>
      </c>
      <c r="Q1052" s="87" t="b">
        <f>(Requirements!K1054="Normative")</f>
        <v>0</v>
      </c>
      <c r="R1052" s="87" t="b">
        <f>AND(Requirements!L1054&lt;&gt;"Non-testable",Requirements!L1054&lt;&gt;"Deleted",Requirements!L1054&lt;&gt;"")</f>
        <v>1</v>
      </c>
      <c r="S1052" s="87" t="b">
        <f>(VLOOKUP(Requirements!I1054,Scope[[Role]:[Description]],2,FALSE)="In")</f>
        <v>1</v>
      </c>
      <c r="T1052" s="87">
        <f t="shared" si="67"/>
        <v>0</v>
      </c>
    </row>
    <row r="1053" spans="1:20">
      <c r="A1053" s="44" t="str">
        <f>Requirements!A1055</f>
        <v>MS-SMB_R4151</v>
      </c>
      <c r="B1053" s="87"/>
      <c r="C1053" s="87"/>
      <c r="D1053" s="87"/>
      <c r="E1053" s="87"/>
      <c r="F1053" s="87"/>
      <c r="G1053" s="87"/>
      <c r="H1053" s="87"/>
      <c r="I1053" s="87"/>
      <c r="J1053" s="87"/>
      <c r="K1053" s="87"/>
      <c r="L1053" s="87"/>
      <c r="M1053" s="87"/>
      <c r="N1053" s="87">
        <f t="shared" si="64"/>
        <v>0</v>
      </c>
      <c r="O1053" s="87">
        <f t="shared" si="65"/>
        <v>0</v>
      </c>
      <c r="P1053" s="87" t="b">
        <f t="shared" si="66"/>
        <v>0</v>
      </c>
      <c r="Q1053" s="87" t="b">
        <f>(Requirements!K1055="Normative")</f>
        <v>0</v>
      </c>
      <c r="R1053" s="87" t="b">
        <f>AND(Requirements!L1055&lt;&gt;"Non-testable",Requirements!L1055&lt;&gt;"Deleted",Requirements!L1055&lt;&gt;"")</f>
        <v>1</v>
      </c>
      <c r="S1053" s="87" t="b">
        <f>(VLOOKUP(Requirements!I1055,Scope[[Role]:[Description]],2,FALSE)="In")</f>
        <v>1</v>
      </c>
      <c r="T1053" s="87">
        <f t="shared" si="67"/>
        <v>0</v>
      </c>
    </row>
    <row r="1054" spans="1:20">
      <c r="A1054" s="84" t="str">
        <f>Requirements!A1056</f>
        <v>MS-SMB_R8385</v>
      </c>
      <c r="B1054" s="87"/>
      <c r="C1054" s="87"/>
      <c r="D1054" s="87"/>
      <c r="E1054" s="87"/>
      <c r="F1054" s="87">
        <v>1</v>
      </c>
      <c r="G1054" s="87"/>
      <c r="H1054" s="87"/>
      <c r="I1054" s="87"/>
      <c r="J1054" s="87"/>
      <c r="K1054" s="87"/>
      <c r="L1054" s="87"/>
      <c r="M1054" s="87"/>
      <c r="N1054" s="87">
        <f t="shared" si="64"/>
        <v>1</v>
      </c>
      <c r="O1054" s="60">
        <f t="shared" si="65"/>
        <v>1</v>
      </c>
      <c r="P1054" s="60" t="b">
        <f t="shared" si="66"/>
        <v>1</v>
      </c>
      <c r="Q1054" s="87" t="b">
        <f>(Requirements!K1056="Normative")</f>
        <v>1</v>
      </c>
      <c r="R1054" s="87" t="b">
        <f>AND(Requirements!L1056&lt;&gt;"Non-testable",Requirements!L1056&lt;&gt;"Deleted",Requirements!L1056&lt;&gt;"")</f>
        <v>1</v>
      </c>
      <c r="S1054" s="87" t="b">
        <f>(VLOOKUP(Requirements!I1056,Scope[[Role]:[Description]],2,FALSE)="In")</f>
        <v>1</v>
      </c>
      <c r="T1054" s="87">
        <f t="shared" si="67"/>
        <v>1</v>
      </c>
    </row>
    <row r="1055" spans="1:20">
      <c r="A1055" s="85" t="str">
        <f>Requirements!A1057</f>
        <v>MS-SMB_R8386</v>
      </c>
      <c r="B1055" s="87"/>
      <c r="C1055" s="87"/>
      <c r="D1055" s="87"/>
      <c r="E1055" s="87"/>
      <c r="F1055" s="87"/>
      <c r="G1055" s="87"/>
      <c r="H1055" s="87"/>
      <c r="I1055" s="87"/>
      <c r="J1055" s="87"/>
      <c r="K1055" s="87"/>
      <c r="L1055" s="87"/>
      <c r="M1055" s="87"/>
      <c r="N1055" s="87">
        <f t="shared" si="64"/>
        <v>0</v>
      </c>
      <c r="O1055" s="61">
        <f t="shared" si="65"/>
        <v>0</v>
      </c>
      <c r="P1055" s="61" t="b">
        <f t="shared" si="66"/>
        <v>1</v>
      </c>
      <c r="Q1055" s="87" t="b">
        <f>(Requirements!K1057="Normative")</f>
        <v>1</v>
      </c>
      <c r="R1055" s="87" t="b">
        <f>AND(Requirements!L1057&lt;&gt;"Non-testable",Requirements!L1057&lt;&gt;"Deleted",Requirements!L1057&lt;&gt;"")</f>
        <v>1</v>
      </c>
      <c r="S1055" s="87" t="b">
        <f>(VLOOKUP(Requirements!I1057,Scope[[Role]:[Description]],2,FALSE)="In")</f>
        <v>1</v>
      </c>
      <c r="T1055" s="87">
        <f t="shared" si="67"/>
        <v>0</v>
      </c>
    </row>
    <row r="1056" spans="1:20">
      <c r="A1056" s="85" t="str">
        <f>Requirements!A1058</f>
        <v>MS-SMB_R4162</v>
      </c>
      <c r="B1056" s="87"/>
      <c r="C1056" s="87"/>
      <c r="D1056" s="87"/>
      <c r="E1056" s="87"/>
      <c r="F1056" s="87"/>
      <c r="G1056" s="87"/>
      <c r="H1056" s="87"/>
      <c r="I1056" s="87"/>
      <c r="J1056" s="87"/>
      <c r="K1056" s="87"/>
      <c r="L1056" s="87"/>
      <c r="M1056" s="87"/>
      <c r="N1056" s="87">
        <f t="shared" si="64"/>
        <v>0</v>
      </c>
      <c r="O1056" s="61">
        <f t="shared" si="65"/>
        <v>0</v>
      </c>
      <c r="P1056" s="61" t="b">
        <f t="shared" si="66"/>
        <v>1</v>
      </c>
      <c r="Q1056" s="87" t="b">
        <f>(Requirements!K1058="Normative")</f>
        <v>1</v>
      </c>
      <c r="R1056" s="87" t="b">
        <f>AND(Requirements!L1058&lt;&gt;"Non-testable",Requirements!L1058&lt;&gt;"Deleted",Requirements!L1058&lt;&gt;"")</f>
        <v>1</v>
      </c>
      <c r="S1056" s="87" t="b">
        <f>(VLOOKUP(Requirements!I1058,Scope[[Role]:[Description]],2,FALSE)="In")</f>
        <v>1</v>
      </c>
      <c r="T1056" s="87">
        <f t="shared" si="67"/>
        <v>0</v>
      </c>
    </row>
    <row r="1057" spans="1:60">
      <c r="A1057" s="44" t="str">
        <f>Requirements!A1059</f>
        <v>MS-SMB_R8387</v>
      </c>
      <c r="B1057" s="87"/>
      <c r="C1057" s="87"/>
      <c r="D1057" s="87"/>
      <c r="E1057" s="87"/>
      <c r="F1057" s="87"/>
      <c r="G1057" s="87"/>
      <c r="H1057" s="87"/>
      <c r="I1057" s="87"/>
      <c r="J1057" s="87"/>
      <c r="K1057" s="87"/>
      <c r="L1057" s="87"/>
      <c r="M1057" s="87"/>
      <c r="N1057" s="87">
        <f t="shared" si="64"/>
        <v>0</v>
      </c>
      <c r="O1057" s="87">
        <f t="shared" si="65"/>
        <v>0</v>
      </c>
      <c r="P1057" s="87" t="b">
        <f t="shared" si="66"/>
        <v>0</v>
      </c>
      <c r="Q1057" s="87" t="b">
        <f>(Requirements!K1059="Normative")</f>
        <v>0</v>
      </c>
      <c r="R1057" s="87" t="b">
        <f>AND(Requirements!L1059&lt;&gt;"Non-testable",Requirements!L1059&lt;&gt;"Deleted",Requirements!L1059&lt;&gt;"")</f>
        <v>1</v>
      </c>
      <c r="S1057" s="87" t="b">
        <f>(VLOOKUP(Requirements!I1059,Scope[[Role]:[Description]],2,FALSE)="In")</f>
        <v>1</v>
      </c>
      <c r="T1057" s="87">
        <f t="shared" si="67"/>
        <v>0</v>
      </c>
    </row>
    <row r="1058" spans="1:60">
      <c r="A1058" s="84" t="str">
        <f>Requirements!A1060</f>
        <v>MS-SMB_R8388</v>
      </c>
      <c r="B1058" s="87"/>
      <c r="C1058" s="87"/>
      <c r="D1058" s="87"/>
      <c r="E1058" s="87"/>
      <c r="F1058" s="87">
        <v>1</v>
      </c>
      <c r="G1058" s="87"/>
      <c r="H1058" s="87"/>
      <c r="I1058" s="87"/>
      <c r="J1058" s="87"/>
      <c r="K1058" s="87"/>
      <c r="L1058" s="87"/>
      <c r="M1058" s="87"/>
      <c r="N1058" s="87">
        <f t="shared" si="64"/>
        <v>1</v>
      </c>
      <c r="O1058" s="60">
        <f t="shared" si="65"/>
        <v>1</v>
      </c>
      <c r="P1058" s="60" t="b">
        <f t="shared" si="66"/>
        <v>1</v>
      </c>
      <c r="Q1058" s="87" t="b">
        <f>(Requirements!K1060="Normative")</f>
        <v>1</v>
      </c>
      <c r="R1058" s="87" t="b">
        <f>AND(Requirements!L1060&lt;&gt;"Non-testable",Requirements!L1060&lt;&gt;"Deleted",Requirements!L1060&lt;&gt;"")</f>
        <v>1</v>
      </c>
      <c r="S1058" s="87" t="b">
        <f>(VLOOKUP(Requirements!I1060,Scope[[Role]:[Description]],2,FALSE)="In")</f>
        <v>1</v>
      </c>
      <c r="T1058" s="87">
        <f t="shared" si="67"/>
        <v>1</v>
      </c>
    </row>
    <row r="1059" spans="1:60">
      <c r="A1059" s="85" t="str">
        <f>Requirements!A1061</f>
        <v>MS-SMB_R8389</v>
      </c>
      <c r="B1059" s="87"/>
      <c r="C1059" s="87"/>
      <c r="D1059" s="87"/>
      <c r="E1059" s="87"/>
      <c r="F1059" s="87"/>
      <c r="G1059" s="87"/>
      <c r="H1059" s="87"/>
      <c r="I1059" s="87"/>
      <c r="J1059" s="87"/>
      <c r="K1059" s="87"/>
      <c r="L1059" s="87"/>
      <c r="M1059" s="87"/>
      <c r="N1059" s="87">
        <f t="shared" si="64"/>
        <v>0</v>
      </c>
      <c r="O1059" s="61">
        <f t="shared" si="65"/>
        <v>0</v>
      </c>
      <c r="P1059" s="61" t="b">
        <f t="shared" si="66"/>
        <v>1</v>
      </c>
      <c r="Q1059" s="87" t="b">
        <f>(Requirements!K1061="Normative")</f>
        <v>1</v>
      </c>
      <c r="R1059" s="87" t="b">
        <f>AND(Requirements!L1061&lt;&gt;"Non-testable",Requirements!L1061&lt;&gt;"Deleted",Requirements!L1061&lt;&gt;"")</f>
        <v>1</v>
      </c>
      <c r="S1059" s="87" t="b">
        <f>(VLOOKUP(Requirements!I1061,Scope[[Role]:[Description]],2,FALSE)="In")</f>
        <v>1</v>
      </c>
      <c r="T1059" s="87">
        <f t="shared" si="67"/>
        <v>0</v>
      </c>
    </row>
    <row r="1060" spans="1:60">
      <c r="A1060" s="84" t="str">
        <f>Requirements!A1062</f>
        <v>MS-SMB_R8390</v>
      </c>
      <c r="B1060" s="87"/>
      <c r="C1060" s="87"/>
      <c r="D1060" s="87"/>
      <c r="E1060" s="87"/>
      <c r="F1060" s="87">
        <v>1</v>
      </c>
      <c r="G1060" s="87"/>
      <c r="H1060" s="87"/>
      <c r="I1060" s="87"/>
      <c r="J1060" s="87"/>
      <c r="K1060" s="87"/>
      <c r="L1060" s="87"/>
      <c r="M1060" s="87"/>
      <c r="N1060" s="87">
        <f t="shared" si="64"/>
        <v>1</v>
      </c>
      <c r="O1060" s="60">
        <f t="shared" si="65"/>
        <v>1</v>
      </c>
      <c r="P1060" s="60" t="b">
        <f t="shared" si="66"/>
        <v>1</v>
      </c>
      <c r="Q1060" s="87" t="b">
        <f>(Requirements!K1062="Normative")</f>
        <v>1</v>
      </c>
      <c r="R1060" s="87" t="b">
        <f>AND(Requirements!L1062&lt;&gt;"Non-testable",Requirements!L1062&lt;&gt;"Deleted",Requirements!L1062&lt;&gt;"")</f>
        <v>1</v>
      </c>
      <c r="S1060" s="87" t="b">
        <f>(VLOOKUP(Requirements!I1062,Scope[[Role]:[Description]],2,FALSE)="In")</f>
        <v>1</v>
      </c>
      <c r="T1060" s="87">
        <f t="shared" si="67"/>
        <v>1</v>
      </c>
    </row>
    <row r="1061" spans="1:60">
      <c r="A1061" s="84" t="str">
        <f>Requirements!A1063</f>
        <v>MS-SMB_R8391</v>
      </c>
      <c r="B1061" s="87"/>
      <c r="C1061" s="87"/>
      <c r="D1061" s="87"/>
      <c r="E1061" s="87"/>
      <c r="F1061" s="87">
        <v>1</v>
      </c>
      <c r="G1061" s="87"/>
      <c r="H1061" s="87"/>
      <c r="I1061" s="87"/>
      <c r="J1061" s="87"/>
      <c r="K1061" s="87"/>
      <c r="L1061" s="87"/>
      <c r="M1061" s="87"/>
      <c r="N1061" s="87">
        <f t="shared" si="64"/>
        <v>1</v>
      </c>
      <c r="O1061" s="60">
        <f t="shared" si="65"/>
        <v>1</v>
      </c>
      <c r="P1061" s="60" t="b">
        <f t="shared" si="66"/>
        <v>1</v>
      </c>
      <c r="Q1061" s="87" t="b">
        <f>(Requirements!K1063="Normative")</f>
        <v>1</v>
      </c>
      <c r="R1061" s="87" t="b">
        <f>AND(Requirements!L1063&lt;&gt;"Non-testable",Requirements!L1063&lt;&gt;"Deleted",Requirements!L1063&lt;&gt;"")</f>
        <v>1</v>
      </c>
      <c r="S1061" s="87" t="b">
        <f>(VLOOKUP(Requirements!I1063,Scope[[Role]:[Description]],2,FALSE)="In")</f>
        <v>1</v>
      </c>
      <c r="T1061" s="87">
        <f t="shared" si="67"/>
        <v>1</v>
      </c>
    </row>
    <row r="1062" spans="1:60">
      <c r="A1062" s="85" t="str">
        <f>Requirements!A1064</f>
        <v>MS-SMB_R4178</v>
      </c>
      <c r="B1062" s="87"/>
      <c r="C1062" s="87"/>
      <c r="D1062" s="87"/>
      <c r="E1062" s="87"/>
      <c r="F1062" s="87"/>
      <c r="G1062" s="87"/>
      <c r="H1062" s="87"/>
      <c r="I1062" s="87"/>
      <c r="J1062" s="87"/>
      <c r="K1062" s="87"/>
      <c r="L1062" s="87"/>
      <c r="M1062" s="87"/>
      <c r="N1062" s="87">
        <f t="shared" si="64"/>
        <v>0</v>
      </c>
      <c r="O1062" s="61">
        <f t="shared" si="65"/>
        <v>0</v>
      </c>
      <c r="P1062" s="61" t="b">
        <f t="shared" si="66"/>
        <v>1</v>
      </c>
      <c r="Q1062" s="87" t="b">
        <f>(Requirements!K1064="Normative")</f>
        <v>1</v>
      </c>
      <c r="R1062" s="87" t="b">
        <f>AND(Requirements!L1064&lt;&gt;"Non-testable",Requirements!L1064&lt;&gt;"Deleted",Requirements!L1064&lt;&gt;"")</f>
        <v>1</v>
      </c>
      <c r="S1062" s="87" t="b">
        <f>(VLOOKUP(Requirements!I1064,Scope[[Role]:[Description]],2,FALSE)="In")</f>
        <v>1</v>
      </c>
      <c r="T1062" s="87">
        <f t="shared" si="67"/>
        <v>0</v>
      </c>
    </row>
    <row r="1063" spans="1:60">
      <c r="A1063" s="44" t="str">
        <f>Requirements!A1065</f>
        <v>MS-SMB_R8392</v>
      </c>
      <c r="B1063" s="87"/>
      <c r="C1063" s="87"/>
      <c r="D1063" s="87"/>
      <c r="E1063" s="87"/>
      <c r="F1063" s="87"/>
      <c r="G1063" s="87"/>
      <c r="H1063" s="87"/>
      <c r="I1063" s="87"/>
      <c r="J1063" s="87"/>
      <c r="K1063" s="87"/>
      <c r="L1063" s="87"/>
      <c r="M1063" s="87"/>
      <c r="N1063" s="87">
        <f t="shared" si="64"/>
        <v>0</v>
      </c>
      <c r="O1063" s="87">
        <f t="shared" si="65"/>
        <v>0</v>
      </c>
      <c r="P1063" s="87" t="b">
        <f t="shared" si="66"/>
        <v>0</v>
      </c>
      <c r="Q1063" s="87" t="b">
        <f>(Requirements!K1065="Normative")</f>
        <v>0</v>
      </c>
      <c r="R1063" s="87" t="b">
        <f>AND(Requirements!L1065&lt;&gt;"Non-testable",Requirements!L1065&lt;&gt;"Deleted",Requirements!L1065&lt;&gt;"")</f>
        <v>1</v>
      </c>
      <c r="S1063" s="87" t="b">
        <f>(VLOOKUP(Requirements!I1065,Scope[[Role]:[Description]],2,FALSE)="In")</f>
        <v>1</v>
      </c>
      <c r="T1063" s="87">
        <f t="shared" si="67"/>
        <v>0</v>
      </c>
    </row>
    <row r="1064" spans="1:60">
      <c r="A1064" s="44" t="str">
        <f>Requirements!A1066</f>
        <v>MS-SMB_R8393</v>
      </c>
      <c r="B1064" s="87"/>
      <c r="C1064" s="87"/>
      <c r="D1064" s="87"/>
      <c r="E1064" s="87"/>
      <c r="F1064" s="87"/>
      <c r="G1064" s="87"/>
      <c r="H1064" s="87"/>
      <c r="I1064" s="87"/>
      <c r="J1064" s="87"/>
      <c r="K1064" s="87"/>
      <c r="L1064" s="87"/>
      <c r="M1064" s="87"/>
      <c r="N1064" s="87">
        <f t="shared" si="64"/>
        <v>0</v>
      </c>
      <c r="O1064" s="87">
        <f t="shared" si="65"/>
        <v>0</v>
      </c>
      <c r="P1064" s="87" t="b">
        <f t="shared" si="66"/>
        <v>0</v>
      </c>
      <c r="Q1064" s="87" t="b">
        <f>(Requirements!K1066="Normative")</f>
        <v>0</v>
      </c>
      <c r="R1064" s="87" t="b">
        <f>AND(Requirements!L1066&lt;&gt;"Non-testable",Requirements!L1066&lt;&gt;"Deleted",Requirements!L1066&lt;&gt;"")</f>
        <v>1</v>
      </c>
      <c r="S1064" s="87" t="b">
        <f>(VLOOKUP(Requirements!I1066,Scope[[Role]:[Description]],2,FALSE)="In")</f>
        <v>1</v>
      </c>
      <c r="T1064" s="87">
        <f t="shared" si="67"/>
        <v>0</v>
      </c>
    </row>
    <row r="1065" spans="1:60">
      <c r="A1065" s="84" t="str">
        <f>Requirements!A1067</f>
        <v>MS-SMB_R4179</v>
      </c>
      <c r="B1065" s="87"/>
      <c r="C1065" s="87"/>
      <c r="D1065" s="87"/>
      <c r="E1065" s="87"/>
      <c r="F1065" s="87">
        <v>1</v>
      </c>
      <c r="G1065" s="87"/>
      <c r="H1065" s="87"/>
      <c r="I1065" s="87"/>
      <c r="J1065" s="87"/>
      <c r="K1065" s="87"/>
      <c r="L1065" s="87"/>
      <c r="M1065" s="87"/>
      <c r="N1065" s="87">
        <f t="shared" si="64"/>
        <v>1</v>
      </c>
      <c r="O1065" s="60">
        <f t="shared" si="65"/>
        <v>1</v>
      </c>
      <c r="P1065" s="60" t="b">
        <f t="shared" si="66"/>
        <v>1</v>
      </c>
      <c r="Q1065" s="87" t="b">
        <f>(Requirements!K1067="Normative")</f>
        <v>1</v>
      </c>
      <c r="R1065" s="87" t="b">
        <f>AND(Requirements!L1067&lt;&gt;"Non-testable",Requirements!L1067&lt;&gt;"Deleted",Requirements!L1067&lt;&gt;"")</f>
        <v>1</v>
      </c>
      <c r="S1065" s="87" t="b">
        <f>(VLOOKUP(Requirements!I1067,Scope[[Role]:[Description]],2,FALSE)="In")</f>
        <v>1</v>
      </c>
      <c r="T1065" s="87">
        <f t="shared" si="67"/>
        <v>1</v>
      </c>
    </row>
    <row r="1066" spans="1:60">
      <c r="A1066" s="84" t="str">
        <f>Requirements!A1068</f>
        <v>MS-SMB_R4180</v>
      </c>
      <c r="B1066" s="87"/>
      <c r="C1066" s="87"/>
      <c r="D1066" s="87"/>
      <c r="E1066" s="87"/>
      <c r="F1066" s="87">
        <v>1</v>
      </c>
      <c r="G1066" s="87"/>
      <c r="H1066" s="87"/>
      <c r="I1066" s="87"/>
      <c r="J1066" s="87"/>
      <c r="K1066" s="87"/>
      <c r="L1066" s="87"/>
      <c r="M1066" s="87"/>
      <c r="N1066" s="87">
        <f t="shared" si="64"/>
        <v>1</v>
      </c>
      <c r="O1066" s="60">
        <f t="shared" si="65"/>
        <v>1</v>
      </c>
      <c r="P1066" s="60" t="b">
        <f t="shared" si="66"/>
        <v>1</v>
      </c>
      <c r="Q1066" s="87" t="b">
        <f>(Requirements!K1068="Normative")</f>
        <v>1</v>
      </c>
      <c r="R1066" s="87" t="b">
        <f>AND(Requirements!L1068&lt;&gt;"Non-testable",Requirements!L1068&lt;&gt;"Deleted",Requirements!L1068&lt;&gt;"")</f>
        <v>1</v>
      </c>
      <c r="S1066" s="87" t="b">
        <f>(VLOOKUP(Requirements!I1068,Scope[[Role]:[Description]],2,FALSE)="In")</f>
        <v>1</v>
      </c>
      <c r="T1066" s="87">
        <f t="shared" si="67"/>
        <v>1</v>
      </c>
    </row>
    <row r="1067" spans="1:60">
      <c r="A1067" s="44" t="str">
        <f>Requirements!A1069</f>
        <v>MS-SMB_R4181</v>
      </c>
      <c r="B1067" s="87"/>
      <c r="C1067" s="87"/>
      <c r="D1067" s="87"/>
      <c r="E1067" s="87"/>
      <c r="F1067" s="87"/>
      <c r="G1067" s="87"/>
      <c r="H1067" s="87"/>
      <c r="I1067" s="87"/>
      <c r="J1067" s="87"/>
      <c r="K1067" s="87"/>
      <c r="L1067" s="87"/>
      <c r="M1067" s="87"/>
      <c r="N1067" s="87">
        <f t="shared" si="64"/>
        <v>0</v>
      </c>
      <c r="O1067" s="87">
        <f t="shared" si="65"/>
        <v>0</v>
      </c>
      <c r="P1067" s="87" t="b">
        <f t="shared" si="66"/>
        <v>0</v>
      </c>
      <c r="Q1067" s="87" t="b">
        <f>(Requirements!K1069="Normative")</f>
        <v>0</v>
      </c>
      <c r="R1067" s="87" t="b">
        <f>AND(Requirements!L1069&lt;&gt;"Non-testable",Requirements!L1069&lt;&gt;"Deleted",Requirements!L1069&lt;&gt;"")</f>
        <v>1</v>
      </c>
      <c r="S1067" s="87" t="b">
        <f>(VLOOKUP(Requirements!I1069,Scope[[Role]:[Description]],2,FALSE)="In")</f>
        <v>1</v>
      </c>
      <c r="T1067" s="87">
        <f t="shared" si="67"/>
        <v>0</v>
      </c>
    </row>
    <row r="1068" spans="1:60">
      <c r="A1068" s="84" t="str">
        <f>Requirements!A1070</f>
        <v>MS-SMB_R104181</v>
      </c>
      <c r="B1068" s="87"/>
      <c r="C1068" s="87"/>
      <c r="D1068" s="87"/>
      <c r="E1068" s="87"/>
      <c r="F1068" s="87">
        <v>1</v>
      </c>
      <c r="G1068" s="87"/>
      <c r="H1068" s="87"/>
      <c r="I1068" s="87"/>
      <c r="J1068" s="87"/>
      <c r="K1068" s="87"/>
      <c r="L1068" s="87"/>
      <c r="M1068" s="87"/>
      <c r="N1068" s="87">
        <f t="shared" si="64"/>
        <v>1</v>
      </c>
      <c r="O1068" s="60">
        <f t="shared" si="65"/>
        <v>1</v>
      </c>
      <c r="P1068" s="60" t="b">
        <f t="shared" si="66"/>
        <v>1</v>
      </c>
      <c r="Q1068" s="87" t="b">
        <f>(Requirements!K1070="Normative")</f>
        <v>1</v>
      </c>
      <c r="R1068" s="87" t="b">
        <f>AND(Requirements!L1070&lt;&gt;"Non-testable",Requirements!L1070&lt;&gt;"Deleted",Requirements!L1070&lt;&gt;"")</f>
        <v>1</v>
      </c>
      <c r="S1068" s="87" t="b">
        <f>(VLOOKUP(Requirements!I1070,Scope[[Role]:[Description]],2,FALSE)="In")</f>
        <v>1</v>
      </c>
      <c r="T1068" s="87">
        <f t="shared" si="67"/>
        <v>1</v>
      </c>
    </row>
    <row r="1069" spans="1:60">
      <c r="A1069" s="84" t="str">
        <f>Requirements!A1071</f>
        <v>MS-SMB_R114181</v>
      </c>
      <c r="B1069" s="87"/>
      <c r="C1069" s="87"/>
      <c r="D1069" s="87"/>
      <c r="E1069" s="87"/>
      <c r="F1069" s="87">
        <v>1</v>
      </c>
      <c r="G1069" s="87"/>
      <c r="H1069" s="87"/>
      <c r="I1069" s="87"/>
      <c r="J1069" s="87"/>
      <c r="K1069" s="87"/>
      <c r="L1069" s="87"/>
      <c r="M1069" s="87"/>
      <c r="N1069" s="87">
        <f t="shared" si="64"/>
        <v>1</v>
      </c>
      <c r="O1069" s="60">
        <f t="shared" si="65"/>
        <v>1</v>
      </c>
      <c r="P1069" s="60" t="b">
        <f t="shared" si="66"/>
        <v>1</v>
      </c>
      <c r="Q1069" s="87" t="b">
        <f>(Requirements!K1071="Normative")</f>
        <v>1</v>
      </c>
      <c r="R1069" s="87" t="b">
        <f>AND(Requirements!L1071&lt;&gt;"Non-testable",Requirements!L1071&lt;&gt;"Deleted",Requirements!L1071&lt;&gt;"")</f>
        <v>1</v>
      </c>
      <c r="S1069" s="87" t="b">
        <f>(VLOOKUP(Requirements!I1071,Scope[[Role]:[Description]],2,FALSE)="In")</f>
        <v>1</v>
      </c>
      <c r="T1069" s="87">
        <f t="shared" si="67"/>
        <v>1</v>
      </c>
    </row>
    <row r="1070" spans="1:60">
      <c r="A1070" s="83" t="str">
        <f>Requirements!A1072</f>
        <v>MS-SMB_R4182</v>
      </c>
      <c r="B1070" s="46"/>
      <c r="C1070" s="46"/>
      <c r="D1070" s="46"/>
      <c r="E1070" s="46"/>
      <c r="F1070" s="46"/>
      <c r="G1070" s="46"/>
      <c r="H1070" s="46"/>
      <c r="I1070" s="46"/>
      <c r="J1070" s="46"/>
      <c r="K1070" s="46"/>
      <c r="L1070" s="46"/>
      <c r="M1070" s="46"/>
      <c r="N1070" s="46">
        <f t="shared" si="64"/>
        <v>0</v>
      </c>
      <c r="O1070" s="46">
        <f t="shared" si="65"/>
        <v>0</v>
      </c>
      <c r="P1070" s="46" t="b">
        <f t="shared" si="66"/>
        <v>0</v>
      </c>
      <c r="Q1070" s="46" t="b">
        <f>(Requirements!K1072="Normative")</f>
        <v>0</v>
      </c>
      <c r="R1070" s="46" t="b">
        <f>AND(Requirements!L1072&lt;&gt;"Non-testable",Requirements!L1072&lt;&gt;"Deleted",Requirements!L1072&lt;&gt;"")</f>
        <v>0</v>
      </c>
      <c r="S1070" s="46" t="b">
        <f>(VLOOKUP(Requirements!I1072,Scope[[Role]:[Description]],2,FALSE)="In")</f>
        <v>1</v>
      </c>
      <c r="T1070" s="46">
        <f t="shared" si="67"/>
        <v>0</v>
      </c>
      <c r="U1070" s="45"/>
      <c r="V1070" s="45"/>
      <c r="W1070" s="45"/>
      <c r="X1070" s="45"/>
      <c r="Y1070" s="45"/>
      <c r="Z1070" s="45"/>
      <c r="AA1070" s="45"/>
      <c r="AB1070" s="45"/>
      <c r="AC1070" s="45"/>
      <c r="AD1070" s="45"/>
      <c r="AE1070" s="45"/>
      <c r="AF1070" s="45"/>
      <c r="AG1070" s="45"/>
      <c r="AH1070" s="45"/>
      <c r="AI1070" s="45"/>
      <c r="AJ1070" s="45"/>
      <c r="AK1070" s="45"/>
      <c r="AL1070" s="45"/>
      <c r="AM1070" s="45"/>
      <c r="AN1070" s="45"/>
      <c r="AO1070" s="45"/>
      <c r="AP1070" s="45"/>
      <c r="AQ1070" s="45"/>
      <c r="AR1070" s="45"/>
      <c r="AS1070" s="45"/>
      <c r="AT1070" s="45"/>
      <c r="AU1070" s="45"/>
      <c r="AV1070" s="45"/>
      <c r="AW1070" s="45"/>
      <c r="AX1070" s="45"/>
      <c r="AY1070" s="45"/>
      <c r="AZ1070" s="45"/>
      <c r="BA1070" s="45"/>
      <c r="BB1070" s="45"/>
      <c r="BC1070" s="45"/>
      <c r="BD1070" s="45"/>
      <c r="BE1070" s="45"/>
      <c r="BF1070" s="45"/>
      <c r="BG1070" s="45"/>
      <c r="BH1070" s="45"/>
    </row>
    <row r="1071" spans="1:60">
      <c r="A1071" s="83" t="str">
        <f>Requirements!A1073</f>
        <v>MS-SMB_R4183</v>
      </c>
      <c r="B1071" s="46"/>
      <c r="C1071" s="46"/>
      <c r="D1071" s="46"/>
      <c r="E1071" s="46"/>
      <c r="F1071" s="46"/>
      <c r="G1071" s="46"/>
      <c r="H1071" s="46"/>
      <c r="I1071" s="46"/>
      <c r="J1071" s="46"/>
      <c r="K1071" s="46"/>
      <c r="L1071" s="46"/>
      <c r="M1071" s="46"/>
      <c r="N1071" s="46">
        <f t="shared" si="64"/>
        <v>0</v>
      </c>
      <c r="O1071" s="46">
        <f t="shared" si="65"/>
        <v>0</v>
      </c>
      <c r="P1071" s="46" t="b">
        <f t="shared" si="66"/>
        <v>0</v>
      </c>
      <c r="Q1071" s="46" t="b">
        <f>(Requirements!K1073="Normative")</f>
        <v>0</v>
      </c>
      <c r="R1071" s="46" t="b">
        <f>AND(Requirements!L1073&lt;&gt;"Non-testable",Requirements!L1073&lt;&gt;"Deleted",Requirements!L1073&lt;&gt;"")</f>
        <v>0</v>
      </c>
      <c r="S1071" s="46" t="b">
        <f>(VLOOKUP(Requirements!I1073,Scope[[Role]:[Description]],2,FALSE)="In")</f>
        <v>1</v>
      </c>
      <c r="T1071" s="46">
        <f t="shared" si="67"/>
        <v>0</v>
      </c>
      <c r="U1071" s="45"/>
      <c r="V1071" s="45"/>
      <c r="W1071" s="45"/>
      <c r="X1071" s="45"/>
      <c r="Y1071" s="45"/>
      <c r="Z1071" s="45"/>
      <c r="AA1071" s="45"/>
      <c r="AB1071" s="45"/>
      <c r="AC1071" s="45"/>
      <c r="AD1071" s="45"/>
      <c r="AE1071" s="45"/>
      <c r="AF1071" s="45"/>
      <c r="AG1071" s="45"/>
      <c r="AH1071" s="45"/>
      <c r="AI1071" s="45"/>
      <c r="AJ1071" s="45"/>
      <c r="AK1071" s="45"/>
      <c r="AL1071" s="45"/>
      <c r="AM1071" s="45"/>
      <c r="AN1071" s="45"/>
      <c r="AO1071" s="45"/>
      <c r="AP1071" s="45"/>
      <c r="AQ1071" s="45"/>
      <c r="AR1071" s="45"/>
      <c r="AS1071" s="45"/>
      <c r="AT1071" s="45"/>
      <c r="AU1071" s="45"/>
      <c r="AV1071" s="45"/>
      <c r="AW1071" s="45"/>
      <c r="AX1071" s="45"/>
      <c r="AY1071" s="45"/>
      <c r="AZ1071" s="45"/>
      <c r="BA1071" s="45"/>
      <c r="BB1071" s="45"/>
      <c r="BC1071" s="45"/>
      <c r="BD1071" s="45"/>
      <c r="BE1071" s="45"/>
      <c r="BF1071" s="45"/>
      <c r="BG1071" s="45"/>
      <c r="BH1071" s="45"/>
    </row>
    <row r="1072" spans="1:60">
      <c r="A1072" s="84" t="str">
        <f>Requirements!A1074</f>
        <v>MS-SMB_R4184</v>
      </c>
      <c r="B1072" s="87"/>
      <c r="C1072" s="87"/>
      <c r="D1072" s="87"/>
      <c r="E1072" s="87"/>
      <c r="F1072" s="87">
        <v>1</v>
      </c>
      <c r="G1072" s="87"/>
      <c r="H1072" s="87"/>
      <c r="I1072" s="87"/>
      <c r="J1072" s="87"/>
      <c r="K1072" s="87"/>
      <c r="L1072" s="87"/>
      <c r="M1072" s="87"/>
      <c r="N1072" s="87">
        <f t="shared" si="64"/>
        <v>1</v>
      </c>
      <c r="O1072" s="60">
        <f t="shared" si="65"/>
        <v>1</v>
      </c>
      <c r="P1072" s="60" t="b">
        <f t="shared" si="66"/>
        <v>1</v>
      </c>
      <c r="Q1072" s="87" t="b">
        <f>(Requirements!K1074="Normative")</f>
        <v>1</v>
      </c>
      <c r="R1072" s="87" t="b">
        <f>AND(Requirements!L1074&lt;&gt;"Non-testable",Requirements!L1074&lt;&gt;"Deleted",Requirements!L1074&lt;&gt;"")</f>
        <v>1</v>
      </c>
      <c r="S1072" s="87" t="b">
        <f>(VLOOKUP(Requirements!I1074,Scope[[Role]:[Description]],2,FALSE)="In")</f>
        <v>1</v>
      </c>
      <c r="T1072" s="87">
        <f t="shared" si="67"/>
        <v>1</v>
      </c>
    </row>
    <row r="1073" spans="1:20">
      <c r="A1073" s="44" t="str">
        <f>Requirements!A1075</f>
        <v>MS-SMB_R4185</v>
      </c>
      <c r="B1073" s="87"/>
      <c r="C1073" s="87"/>
      <c r="D1073" s="87"/>
      <c r="E1073" s="87"/>
      <c r="F1073" s="87"/>
      <c r="G1073" s="87"/>
      <c r="H1073" s="87"/>
      <c r="I1073" s="87"/>
      <c r="J1073" s="87"/>
      <c r="K1073" s="87"/>
      <c r="L1073" s="87"/>
      <c r="M1073" s="87"/>
      <c r="N1073" s="87">
        <f t="shared" si="64"/>
        <v>0</v>
      </c>
      <c r="O1073" s="87">
        <f t="shared" si="65"/>
        <v>0</v>
      </c>
      <c r="P1073" s="87" t="b">
        <f t="shared" si="66"/>
        <v>0</v>
      </c>
      <c r="Q1073" s="87" t="b">
        <f>(Requirements!K1075="Normative")</f>
        <v>0</v>
      </c>
      <c r="R1073" s="87" t="b">
        <f>AND(Requirements!L1075&lt;&gt;"Non-testable",Requirements!L1075&lt;&gt;"Deleted",Requirements!L1075&lt;&gt;"")</f>
        <v>1</v>
      </c>
      <c r="S1073" s="87" t="b">
        <f>(VLOOKUP(Requirements!I1075,Scope[[Role]:[Description]],2,FALSE)="In")</f>
        <v>1</v>
      </c>
      <c r="T1073" s="87">
        <f t="shared" si="67"/>
        <v>0</v>
      </c>
    </row>
    <row r="1074" spans="1:20">
      <c r="A1074" s="84" t="str">
        <f>Requirements!A1076</f>
        <v>MS-SMB_R4186</v>
      </c>
      <c r="B1074" s="87"/>
      <c r="C1074" s="87"/>
      <c r="D1074" s="87"/>
      <c r="E1074" s="87"/>
      <c r="F1074" s="87">
        <v>1</v>
      </c>
      <c r="G1074" s="87"/>
      <c r="H1074" s="87"/>
      <c r="I1074" s="87"/>
      <c r="J1074" s="87"/>
      <c r="K1074" s="87"/>
      <c r="L1074" s="87"/>
      <c r="M1074" s="87"/>
      <c r="N1074" s="87">
        <f t="shared" si="64"/>
        <v>1</v>
      </c>
      <c r="O1074" s="60">
        <f t="shared" si="65"/>
        <v>1</v>
      </c>
      <c r="P1074" s="60" t="b">
        <f t="shared" si="66"/>
        <v>1</v>
      </c>
      <c r="Q1074" s="87" t="b">
        <f>(Requirements!K1076="Normative")</f>
        <v>1</v>
      </c>
      <c r="R1074" s="87" t="b">
        <f>AND(Requirements!L1076&lt;&gt;"Non-testable",Requirements!L1076&lt;&gt;"Deleted",Requirements!L1076&lt;&gt;"")</f>
        <v>1</v>
      </c>
      <c r="S1074" s="87" t="b">
        <f>(VLOOKUP(Requirements!I1076,Scope[[Role]:[Description]],2,FALSE)="In")</f>
        <v>1</v>
      </c>
      <c r="T1074" s="87">
        <f t="shared" si="67"/>
        <v>1</v>
      </c>
    </row>
    <row r="1075" spans="1:20">
      <c r="A1075" s="85" t="str">
        <f>Requirements!A1077</f>
        <v>MS-SMB_R8394</v>
      </c>
      <c r="B1075" s="87"/>
      <c r="C1075" s="87"/>
      <c r="D1075" s="87"/>
      <c r="E1075" s="87"/>
      <c r="F1075" s="87"/>
      <c r="G1075" s="87"/>
      <c r="H1075" s="87"/>
      <c r="I1075" s="87"/>
      <c r="J1075" s="87"/>
      <c r="K1075" s="87"/>
      <c r="L1075" s="87"/>
      <c r="M1075" s="87"/>
      <c r="N1075" s="87">
        <f t="shared" si="64"/>
        <v>0</v>
      </c>
      <c r="O1075" s="61">
        <f t="shared" si="65"/>
        <v>0</v>
      </c>
      <c r="P1075" s="61" t="b">
        <f t="shared" si="66"/>
        <v>1</v>
      </c>
      <c r="Q1075" s="87" t="b">
        <f>(Requirements!K1077="Normative")</f>
        <v>1</v>
      </c>
      <c r="R1075" s="87" t="b">
        <f>AND(Requirements!L1077&lt;&gt;"Non-testable",Requirements!L1077&lt;&gt;"Deleted",Requirements!L1077&lt;&gt;"")</f>
        <v>1</v>
      </c>
      <c r="S1075" s="87" t="b">
        <f>(VLOOKUP(Requirements!I1077,Scope[[Role]:[Description]],2,FALSE)="In")</f>
        <v>1</v>
      </c>
      <c r="T1075" s="87">
        <f t="shared" si="67"/>
        <v>0</v>
      </c>
    </row>
    <row r="1076" spans="1:20">
      <c r="A1076" s="85" t="str">
        <f>Requirements!A1078</f>
        <v>MS-SMB_R8395</v>
      </c>
      <c r="B1076" s="87"/>
      <c r="C1076" s="87"/>
      <c r="D1076" s="87"/>
      <c r="E1076" s="87"/>
      <c r="F1076" s="87"/>
      <c r="G1076" s="87"/>
      <c r="H1076" s="87"/>
      <c r="I1076" s="87"/>
      <c r="J1076" s="87"/>
      <c r="K1076" s="87"/>
      <c r="L1076" s="87"/>
      <c r="M1076" s="87"/>
      <c r="N1076" s="87">
        <f t="shared" si="64"/>
        <v>0</v>
      </c>
      <c r="O1076" s="61">
        <f t="shared" si="65"/>
        <v>0</v>
      </c>
      <c r="P1076" s="61" t="b">
        <f t="shared" si="66"/>
        <v>1</v>
      </c>
      <c r="Q1076" s="87" t="b">
        <f>(Requirements!K1078="Normative")</f>
        <v>1</v>
      </c>
      <c r="R1076" s="87" t="b">
        <f>AND(Requirements!L1078&lt;&gt;"Non-testable",Requirements!L1078&lt;&gt;"Deleted",Requirements!L1078&lt;&gt;"")</f>
        <v>1</v>
      </c>
      <c r="S1076" s="87" t="b">
        <f>(VLOOKUP(Requirements!I1078,Scope[[Role]:[Description]],2,FALSE)="In")</f>
        <v>1</v>
      </c>
      <c r="T1076" s="87">
        <f t="shared" si="67"/>
        <v>0</v>
      </c>
    </row>
    <row r="1077" spans="1:20">
      <c r="A1077" s="85" t="str">
        <f>Requirements!A1079</f>
        <v>MS-SMB_R4194</v>
      </c>
      <c r="B1077" s="87"/>
      <c r="C1077" s="87"/>
      <c r="D1077" s="87"/>
      <c r="E1077" s="87"/>
      <c r="F1077" s="87"/>
      <c r="G1077" s="87"/>
      <c r="H1077" s="87"/>
      <c r="I1077" s="87"/>
      <c r="J1077" s="87"/>
      <c r="K1077" s="87"/>
      <c r="L1077" s="87"/>
      <c r="M1077" s="87"/>
      <c r="N1077" s="87">
        <f t="shared" si="64"/>
        <v>0</v>
      </c>
      <c r="O1077" s="61">
        <f t="shared" si="65"/>
        <v>0</v>
      </c>
      <c r="P1077" s="61" t="b">
        <f t="shared" si="66"/>
        <v>1</v>
      </c>
      <c r="Q1077" s="87" t="b">
        <f>(Requirements!K1079="Normative")</f>
        <v>1</v>
      </c>
      <c r="R1077" s="87" t="b">
        <f>AND(Requirements!L1079&lt;&gt;"Non-testable",Requirements!L1079&lt;&gt;"Deleted",Requirements!L1079&lt;&gt;"")</f>
        <v>1</v>
      </c>
      <c r="S1077" s="87" t="b">
        <f>(VLOOKUP(Requirements!I1079,Scope[[Role]:[Description]],2,FALSE)="In")</f>
        <v>1</v>
      </c>
      <c r="T1077" s="87">
        <f t="shared" si="67"/>
        <v>0</v>
      </c>
    </row>
    <row r="1078" spans="1:20">
      <c r="A1078" s="85" t="str">
        <f>Requirements!A1080</f>
        <v>MS-SMB_R4195</v>
      </c>
      <c r="B1078" s="87"/>
      <c r="C1078" s="87"/>
      <c r="D1078" s="87"/>
      <c r="E1078" s="87"/>
      <c r="F1078" s="87"/>
      <c r="G1078" s="87"/>
      <c r="H1078" s="87"/>
      <c r="I1078" s="87"/>
      <c r="J1078" s="87"/>
      <c r="K1078" s="87"/>
      <c r="L1078" s="87"/>
      <c r="M1078" s="87"/>
      <c r="N1078" s="87">
        <f t="shared" si="64"/>
        <v>0</v>
      </c>
      <c r="O1078" s="61">
        <f t="shared" si="65"/>
        <v>0</v>
      </c>
      <c r="P1078" s="61" t="b">
        <f t="shared" si="66"/>
        <v>1</v>
      </c>
      <c r="Q1078" s="87" t="b">
        <f>(Requirements!K1080="Normative")</f>
        <v>1</v>
      </c>
      <c r="R1078" s="87" t="b">
        <f>AND(Requirements!L1080&lt;&gt;"Non-testable",Requirements!L1080&lt;&gt;"Deleted",Requirements!L1080&lt;&gt;"")</f>
        <v>1</v>
      </c>
      <c r="S1078" s="87" t="b">
        <f>(VLOOKUP(Requirements!I1080,Scope[[Role]:[Description]],2,FALSE)="In")</f>
        <v>1</v>
      </c>
      <c r="T1078" s="87">
        <f t="shared" si="67"/>
        <v>0</v>
      </c>
    </row>
    <row r="1079" spans="1:20">
      <c r="A1079" s="85" t="str">
        <f>Requirements!A1081</f>
        <v>MS-SMB_R4196</v>
      </c>
      <c r="B1079" s="87"/>
      <c r="C1079" s="87"/>
      <c r="D1079" s="87"/>
      <c r="E1079" s="87"/>
      <c r="F1079" s="87"/>
      <c r="G1079" s="87"/>
      <c r="H1079" s="87"/>
      <c r="I1079" s="87"/>
      <c r="J1079" s="87"/>
      <c r="K1079" s="87"/>
      <c r="L1079" s="87"/>
      <c r="M1079" s="87"/>
      <c r="N1079" s="87">
        <f t="shared" si="64"/>
        <v>0</v>
      </c>
      <c r="O1079" s="61">
        <f t="shared" si="65"/>
        <v>0</v>
      </c>
      <c r="P1079" s="61" t="b">
        <f t="shared" si="66"/>
        <v>1</v>
      </c>
      <c r="Q1079" s="87" t="b">
        <f>(Requirements!K1081="Normative")</f>
        <v>1</v>
      </c>
      <c r="R1079" s="87" t="b">
        <f>AND(Requirements!L1081&lt;&gt;"Non-testable",Requirements!L1081&lt;&gt;"Deleted",Requirements!L1081&lt;&gt;"")</f>
        <v>1</v>
      </c>
      <c r="S1079" s="87" t="b">
        <f>(VLOOKUP(Requirements!I1081,Scope[[Role]:[Description]],2,FALSE)="In")</f>
        <v>1</v>
      </c>
      <c r="T1079" s="87">
        <f t="shared" si="67"/>
        <v>0</v>
      </c>
    </row>
    <row r="1080" spans="1:20">
      <c r="A1080" s="44" t="str">
        <f>Requirements!A1082</f>
        <v>MS-SMB_R4203</v>
      </c>
      <c r="B1080" s="87"/>
      <c r="C1080" s="87"/>
      <c r="D1080" s="87"/>
      <c r="E1080" s="87"/>
      <c r="F1080" s="87"/>
      <c r="G1080" s="87"/>
      <c r="H1080" s="87"/>
      <c r="I1080" s="87"/>
      <c r="J1080" s="87"/>
      <c r="K1080" s="87"/>
      <c r="L1080" s="87"/>
      <c r="M1080" s="87"/>
      <c r="N1080" s="87">
        <f t="shared" si="64"/>
        <v>0</v>
      </c>
      <c r="O1080" s="87">
        <f t="shared" si="65"/>
        <v>0</v>
      </c>
      <c r="P1080" s="87" t="b">
        <f t="shared" si="66"/>
        <v>0</v>
      </c>
      <c r="Q1080" s="87" t="b">
        <f>(Requirements!K1082="Normative")</f>
        <v>0</v>
      </c>
      <c r="R1080" s="87" t="b">
        <f>AND(Requirements!L1082&lt;&gt;"Non-testable",Requirements!L1082&lt;&gt;"Deleted",Requirements!L1082&lt;&gt;"")</f>
        <v>1</v>
      </c>
      <c r="S1080" s="87" t="b">
        <f>(VLOOKUP(Requirements!I1082,Scope[[Role]:[Description]],2,FALSE)="In")</f>
        <v>1</v>
      </c>
      <c r="T1080" s="87">
        <f t="shared" si="67"/>
        <v>0</v>
      </c>
    </row>
    <row r="1081" spans="1:20">
      <c r="A1081" s="85" t="str">
        <f>Requirements!A1083</f>
        <v>MS-SMB_R4204</v>
      </c>
      <c r="B1081" s="87"/>
      <c r="C1081" s="87"/>
      <c r="D1081" s="87"/>
      <c r="E1081" s="87"/>
      <c r="F1081" s="87"/>
      <c r="G1081" s="87"/>
      <c r="H1081" s="87"/>
      <c r="I1081" s="87"/>
      <c r="J1081" s="87"/>
      <c r="K1081" s="87"/>
      <c r="L1081" s="87"/>
      <c r="M1081" s="87"/>
      <c r="N1081" s="87">
        <f t="shared" si="64"/>
        <v>0</v>
      </c>
      <c r="O1081" s="61">
        <f t="shared" si="65"/>
        <v>0</v>
      </c>
      <c r="P1081" s="61" t="b">
        <f t="shared" si="66"/>
        <v>1</v>
      </c>
      <c r="Q1081" s="87" t="b">
        <f>(Requirements!K1083="Normative")</f>
        <v>1</v>
      </c>
      <c r="R1081" s="87" t="b">
        <f>AND(Requirements!L1083&lt;&gt;"Non-testable",Requirements!L1083&lt;&gt;"Deleted",Requirements!L1083&lt;&gt;"")</f>
        <v>1</v>
      </c>
      <c r="S1081" s="87" t="b">
        <f>(VLOOKUP(Requirements!I1083,Scope[[Role]:[Description]],2,FALSE)="In")</f>
        <v>1</v>
      </c>
      <c r="T1081" s="87">
        <f t="shared" si="67"/>
        <v>0</v>
      </c>
    </row>
    <row r="1082" spans="1:20">
      <c r="A1082" s="44" t="str">
        <f>Requirements!A1084</f>
        <v>MS-SMB_R8396</v>
      </c>
      <c r="B1082" s="87"/>
      <c r="C1082" s="87"/>
      <c r="D1082" s="87"/>
      <c r="E1082" s="87"/>
      <c r="F1082" s="87"/>
      <c r="G1082" s="87"/>
      <c r="H1082" s="87"/>
      <c r="I1082" s="87"/>
      <c r="J1082" s="87"/>
      <c r="K1082" s="87"/>
      <c r="L1082" s="87"/>
      <c r="M1082" s="87"/>
      <c r="N1082" s="87">
        <f t="shared" si="64"/>
        <v>0</v>
      </c>
      <c r="O1082" s="87">
        <f t="shared" si="65"/>
        <v>0</v>
      </c>
      <c r="P1082" s="87" t="b">
        <f t="shared" si="66"/>
        <v>0</v>
      </c>
      <c r="Q1082" s="87" t="b">
        <f>(Requirements!K1084="Normative")</f>
        <v>0</v>
      </c>
      <c r="R1082" s="87" t="b">
        <f>AND(Requirements!L1084&lt;&gt;"Non-testable",Requirements!L1084&lt;&gt;"Deleted",Requirements!L1084&lt;&gt;"")</f>
        <v>1</v>
      </c>
      <c r="S1082" s="87" t="b">
        <f>(VLOOKUP(Requirements!I1084,Scope[[Role]:[Description]],2,FALSE)="In")</f>
        <v>1</v>
      </c>
      <c r="T1082" s="87">
        <f t="shared" si="67"/>
        <v>0</v>
      </c>
    </row>
    <row r="1083" spans="1:20">
      <c r="A1083" s="44" t="str">
        <f>Requirements!A1085</f>
        <v>MS-SMB_R8397</v>
      </c>
      <c r="B1083" s="87"/>
      <c r="C1083" s="87"/>
      <c r="D1083" s="87"/>
      <c r="E1083" s="87"/>
      <c r="F1083" s="87"/>
      <c r="G1083" s="87"/>
      <c r="H1083" s="87"/>
      <c r="I1083" s="87"/>
      <c r="J1083" s="87"/>
      <c r="K1083" s="87"/>
      <c r="L1083" s="87"/>
      <c r="M1083" s="87"/>
      <c r="N1083" s="87">
        <f t="shared" si="64"/>
        <v>0</v>
      </c>
      <c r="O1083" s="87">
        <f t="shared" si="65"/>
        <v>0</v>
      </c>
      <c r="P1083" s="87" t="b">
        <f t="shared" si="66"/>
        <v>0</v>
      </c>
      <c r="Q1083" s="87" t="b">
        <f>(Requirements!K1085="Normative")</f>
        <v>0</v>
      </c>
      <c r="R1083" s="87" t="b">
        <f>AND(Requirements!L1085&lt;&gt;"Non-testable",Requirements!L1085&lt;&gt;"Deleted",Requirements!L1085&lt;&gt;"")</f>
        <v>1</v>
      </c>
      <c r="S1083" s="87" t="b">
        <f>(VLOOKUP(Requirements!I1085,Scope[[Role]:[Description]],2,FALSE)="In")</f>
        <v>1</v>
      </c>
      <c r="T1083" s="87">
        <f t="shared" si="67"/>
        <v>0</v>
      </c>
    </row>
    <row r="1084" spans="1:20">
      <c r="A1084" s="85" t="str">
        <f>Requirements!A1086</f>
        <v>MS-SMB_R8398</v>
      </c>
      <c r="B1084" s="87"/>
      <c r="C1084" s="87"/>
      <c r="D1084" s="87"/>
      <c r="E1084" s="87"/>
      <c r="F1084" s="87"/>
      <c r="G1084" s="87"/>
      <c r="H1084" s="87"/>
      <c r="I1084" s="87"/>
      <c r="J1084" s="87"/>
      <c r="K1084" s="87"/>
      <c r="L1084" s="87"/>
      <c r="M1084" s="87"/>
      <c r="N1084" s="87">
        <f t="shared" si="64"/>
        <v>0</v>
      </c>
      <c r="O1084" s="61">
        <f t="shared" si="65"/>
        <v>0</v>
      </c>
      <c r="P1084" s="61" t="b">
        <f t="shared" si="66"/>
        <v>1</v>
      </c>
      <c r="Q1084" s="87" t="b">
        <f>(Requirements!K1086="Normative")</f>
        <v>1</v>
      </c>
      <c r="R1084" s="87" t="b">
        <f>AND(Requirements!L1086&lt;&gt;"Non-testable",Requirements!L1086&lt;&gt;"Deleted",Requirements!L1086&lt;&gt;"")</f>
        <v>1</v>
      </c>
      <c r="S1084" s="87" t="b">
        <f>(VLOOKUP(Requirements!I1086,Scope[[Role]:[Description]],2,FALSE)="In")</f>
        <v>1</v>
      </c>
      <c r="T1084" s="87">
        <f t="shared" si="67"/>
        <v>0</v>
      </c>
    </row>
    <row r="1085" spans="1:20">
      <c r="A1085" s="44" t="str">
        <f>Requirements!A1087</f>
        <v>MS-SMB_R8399</v>
      </c>
      <c r="B1085" s="87"/>
      <c r="C1085" s="87"/>
      <c r="D1085" s="87"/>
      <c r="E1085" s="87"/>
      <c r="F1085" s="87"/>
      <c r="G1085" s="87"/>
      <c r="H1085" s="87"/>
      <c r="I1085" s="87"/>
      <c r="J1085" s="87"/>
      <c r="K1085" s="87"/>
      <c r="L1085" s="87"/>
      <c r="M1085" s="87"/>
      <c r="N1085" s="87">
        <f t="shared" si="64"/>
        <v>0</v>
      </c>
      <c r="O1085" s="87">
        <f t="shared" si="65"/>
        <v>0</v>
      </c>
      <c r="P1085" s="87" t="b">
        <f t="shared" si="66"/>
        <v>0</v>
      </c>
      <c r="Q1085" s="87" t="b">
        <f>(Requirements!K1087="Normative")</f>
        <v>0</v>
      </c>
      <c r="R1085" s="87" t="b">
        <f>AND(Requirements!L1087&lt;&gt;"Non-testable",Requirements!L1087&lt;&gt;"Deleted",Requirements!L1087&lt;&gt;"")</f>
        <v>1</v>
      </c>
      <c r="S1085" s="87" t="b">
        <f>(VLOOKUP(Requirements!I1087,Scope[[Role]:[Description]],2,FALSE)="In")</f>
        <v>1</v>
      </c>
      <c r="T1085" s="87">
        <f t="shared" si="67"/>
        <v>0</v>
      </c>
    </row>
    <row r="1086" spans="1:20">
      <c r="A1086" s="44" t="str">
        <f>Requirements!A1088</f>
        <v>MS-SMB_R8400</v>
      </c>
      <c r="B1086" s="87"/>
      <c r="C1086" s="87"/>
      <c r="D1086" s="87"/>
      <c r="E1086" s="87"/>
      <c r="F1086" s="87"/>
      <c r="G1086" s="87"/>
      <c r="H1086" s="87"/>
      <c r="I1086" s="87"/>
      <c r="J1086" s="87"/>
      <c r="K1086" s="87"/>
      <c r="L1086" s="87"/>
      <c r="M1086" s="87"/>
      <c r="N1086" s="87">
        <f t="shared" si="64"/>
        <v>0</v>
      </c>
      <c r="O1086" s="87">
        <f t="shared" si="65"/>
        <v>0</v>
      </c>
      <c r="P1086" s="87" t="b">
        <f t="shared" si="66"/>
        <v>0</v>
      </c>
      <c r="Q1086" s="87" t="b">
        <f>(Requirements!K1088="Normative")</f>
        <v>0</v>
      </c>
      <c r="R1086" s="87" t="b">
        <f>AND(Requirements!L1088&lt;&gt;"Non-testable",Requirements!L1088&lt;&gt;"Deleted",Requirements!L1088&lt;&gt;"")</f>
        <v>1</v>
      </c>
      <c r="S1086" s="87" t="b">
        <f>(VLOOKUP(Requirements!I1088,Scope[[Role]:[Description]],2,FALSE)="In")</f>
        <v>1</v>
      </c>
      <c r="T1086" s="87">
        <f t="shared" si="67"/>
        <v>0</v>
      </c>
    </row>
    <row r="1087" spans="1:20">
      <c r="A1087" s="85" t="str">
        <f>Requirements!A1089</f>
        <v>MS-SMB_R8401</v>
      </c>
      <c r="B1087" s="87"/>
      <c r="C1087" s="87"/>
      <c r="D1087" s="87"/>
      <c r="E1087" s="87"/>
      <c r="F1087" s="87"/>
      <c r="G1087" s="87"/>
      <c r="H1087" s="87"/>
      <c r="I1087" s="87"/>
      <c r="J1087" s="87"/>
      <c r="K1087" s="87"/>
      <c r="L1087" s="87"/>
      <c r="M1087" s="87"/>
      <c r="N1087" s="87">
        <f t="shared" si="64"/>
        <v>0</v>
      </c>
      <c r="O1087" s="61">
        <f t="shared" si="65"/>
        <v>0</v>
      </c>
      <c r="P1087" s="61" t="b">
        <f t="shared" si="66"/>
        <v>1</v>
      </c>
      <c r="Q1087" s="87" t="b">
        <f>(Requirements!K1089="Normative")</f>
        <v>1</v>
      </c>
      <c r="R1087" s="87" t="b">
        <f>AND(Requirements!L1089&lt;&gt;"Non-testable",Requirements!L1089&lt;&gt;"Deleted",Requirements!L1089&lt;&gt;"")</f>
        <v>1</v>
      </c>
      <c r="S1087" s="87" t="b">
        <f>(VLOOKUP(Requirements!I1089,Scope[[Role]:[Description]],2,FALSE)="In")</f>
        <v>1</v>
      </c>
      <c r="T1087" s="87">
        <f t="shared" si="67"/>
        <v>0</v>
      </c>
    </row>
    <row r="1088" spans="1:20">
      <c r="A1088" s="85" t="str">
        <f>Requirements!A1090</f>
        <v>MS-SMB_R8402</v>
      </c>
      <c r="B1088" s="87"/>
      <c r="C1088" s="87"/>
      <c r="D1088" s="87"/>
      <c r="E1088" s="87"/>
      <c r="F1088" s="87"/>
      <c r="G1088" s="87"/>
      <c r="H1088" s="87"/>
      <c r="I1088" s="87"/>
      <c r="J1088" s="87"/>
      <c r="K1088" s="87"/>
      <c r="L1088" s="87"/>
      <c r="M1088" s="87"/>
      <c r="N1088" s="87">
        <f t="shared" si="64"/>
        <v>0</v>
      </c>
      <c r="O1088" s="61">
        <f t="shared" si="65"/>
        <v>0</v>
      </c>
      <c r="P1088" s="61" t="b">
        <f t="shared" si="66"/>
        <v>1</v>
      </c>
      <c r="Q1088" s="87" t="b">
        <f>(Requirements!K1090="Normative")</f>
        <v>1</v>
      </c>
      <c r="R1088" s="87" t="b">
        <f>AND(Requirements!L1090&lt;&gt;"Non-testable",Requirements!L1090&lt;&gt;"Deleted",Requirements!L1090&lt;&gt;"")</f>
        <v>1</v>
      </c>
      <c r="S1088" s="87" t="b">
        <f>(VLOOKUP(Requirements!I1090,Scope[[Role]:[Description]],2,FALSE)="In")</f>
        <v>1</v>
      </c>
      <c r="T1088" s="87">
        <f t="shared" si="67"/>
        <v>0</v>
      </c>
    </row>
    <row r="1089" spans="1:20">
      <c r="A1089" s="44" t="str">
        <f>Requirements!A1091</f>
        <v>MS-SMB_R8403</v>
      </c>
      <c r="B1089" s="87"/>
      <c r="C1089" s="87"/>
      <c r="D1089" s="87"/>
      <c r="E1089" s="87"/>
      <c r="F1089" s="87"/>
      <c r="G1089" s="87"/>
      <c r="H1089" s="87"/>
      <c r="I1089" s="87"/>
      <c r="J1089" s="87"/>
      <c r="K1089" s="87"/>
      <c r="L1089" s="87"/>
      <c r="M1089" s="87"/>
      <c r="N1089" s="87">
        <f t="shared" si="64"/>
        <v>0</v>
      </c>
      <c r="O1089" s="87">
        <f t="shared" si="65"/>
        <v>0</v>
      </c>
      <c r="P1089" s="87" t="b">
        <f t="shared" si="66"/>
        <v>0</v>
      </c>
      <c r="Q1089" s="87" t="b">
        <f>(Requirements!K1091="Normative")</f>
        <v>0</v>
      </c>
      <c r="R1089" s="87" t="b">
        <f>AND(Requirements!L1091&lt;&gt;"Non-testable",Requirements!L1091&lt;&gt;"Deleted",Requirements!L1091&lt;&gt;"")</f>
        <v>1</v>
      </c>
      <c r="S1089" s="87" t="b">
        <f>(VLOOKUP(Requirements!I1091,Scope[[Role]:[Description]],2,FALSE)="In")</f>
        <v>1</v>
      </c>
      <c r="T1089" s="87">
        <f t="shared" si="67"/>
        <v>0</v>
      </c>
    </row>
    <row r="1090" spans="1:20">
      <c r="A1090" s="85" t="str">
        <f>Requirements!A1092</f>
        <v>MS-SMB_R8404</v>
      </c>
      <c r="B1090" s="87"/>
      <c r="C1090" s="87"/>
      <c r="D1090" s="87"/>
      <c r="E1090" s="87"/>
      <c r="F1090" s="87"/>
      <c r="G1090" s="87"/>
      <c r="H1090" s="87"/>
      <c r="I1090" s="87"/>
      <c r="J1090" s="87"/>
      <c r="K1090" s="87"/>
      <c r="L1090" s="87"/>
      <c r="M1090" s="87"/>
      <c r="N1090" s="87">
        <f t="shared" si="64"/>
        <v>0</v>
      </c>
      <c r="O1090" s="61">
        <f t="shared" si="65"/>
        <v>0</v>
      </c>
      <c r="P1090" s="61" t="b">
        <f t="shared" si="66"/>
        <v>1</v>
      </c>
      <c r="Q1090" s="87" t="b">
        <f>(Requirements!K1092="Normative")</f>
        <v>1</v>
      </c>
      <c r="R1090" s="87" t="b">
        <f>AND(Requirements!L1092&lt;&gt;"Non-testable",Requirements!L1092&lt;&gt;"Deleted",Requirements!L1092&lt;&gt;"")</f>
        <v>1</v>
      </c>
      <c r="S1090" s="87" t="b">
        <f>(VLOOKUP(Requirements!I1092,Scope[[Role]:[Description]],2,FALSE)="In")</f>
        <v>1</v>
      </c>
      <c r="T1090" s="87">
        <f t="shared" si="67"/>
        <v>0</v>
      </c>
    </row>
    <row r="1091" spans="1:20">
      <c r="A1091" s="85" t="str">
        <f>Requirements!A1093</f>
        <v>MS-SMB_R8405</v>
      </c>
      <c r="B1091" s="87"/>
      <c r="C1091" s="87"/>
      <c r="D1091" s="87"/>
      <c r="E1091" s="87"/>
      <c r="F1091" s="87"/>
      <c r="G1091" s="87"/>
      <c r="H1091" s="87"/>
      <c r="I1091" s="87"/>
      <c r="J1091" s="87"/>
      <c r="K1091" s="87"/>
      <c r="L1091" s="87"/>
      <c r="M1091" s="87"/>
      <c r="N1091" s="87">
        <f t="shared" si="64"/>
        <v>0</v>
      </c>
      <c r="O1091" s="61">
        <f t="shared" si="65"/>
        <v>0</v>
      </c>
      <c r="P1091" s="61" t="b">
        <f t="shared" si="66"/>
        <v>1</v>
      </c>
      <c r="Q1091" s="87" t="b">
        <f>(Requirements!K1093="Normative")</f>
        <v>1</v>
      </c>
      <c r="R1091" s="87" t="b">
        <f>AND(Requirements!L1093&lt;&gt;"Non-testable",Requirements!L1093&lt;&gt;"Deleted",Requirements!L1093&lt;&gt;"")</f>
        <v>1</v>
      </c>
      <c r="S1091" s="87" t="b">
        <f>(VLOOKUP(Requirements!I1093,Scope[[Role]:[Description]],2,FALSE)="In")</f>
        <v>1</v>
      </c>
      <c r="T1091" s="87">
        <f t="shared" si="67"/>
        <v>0</v>
      </c>
    </row>
    <row r="1092" spans="1:20">
      <c r="A1092" s="85" t="str">
        <f>Requirements!A1094</f>
        <v>MS-SMB_R8406</v>
      </c>
      <c r="B1092" s="87"/>
      <c r="C1092" s="87"/>
      <c r="D1092" s="87"/>
      <c r="E1092" s="87"/>
      <c r="F1092" s="87"/>
      <c r="G1092" s="87"/>
      <c r="H1092" s="87"/>
      <c r="I1092" s="87"/>
      <c r="J1092" s="87"/>
      <c r="K1092" s="87"/>
      <c r="L1092" s="87"/>
      <c r="M1092" s="87"/>
      <c r="N1092" s="87">
        <f t="shared" si="64"/>
        <v>0</v>
      </c>
      <c r="O1092" s="61">
        <f t="shared" si="65"/>
        <v>0</v>
      </c>
      <c r="P1092" s="61" t="b">
        <f t="shared" si="66"/>
        <v>1</v>
      </c>
      <c r="Q1092" s="87" t="b">
        <f>(Requirements!K1094="Normative")</f>
        <v>1</v>
      </c>
      <c r="R1092" s="87" t="b">
        <f>AND(Requirements!L1094&lt;&gt;"Non-testable",Requirements!L1094&lt;&gt;"Deleted",Requirements!L1094&lt;&gt;"")</f>
        <v>1</v>
      </c>
      <c r="S1092" s="87" t="b">
        <f>(VLOOKUP(Requirements!I1094,Scope[[Role]:[Description]],2,FALSE)="In")</f>
        <v>1</v>
      </c>
      <c r="T1092" s="87">
        <f t="shared" si="67"/>
        <v>0</v>
      </c>
    </row>
    <row r="1093" spans="1:20">
      <c r="A1093" s="85" t="str">
        <f>Requirements!A1095</f>
        <v>MS-SMB_R8407</v>
      </c>
      <c r="B1093" s="87"/>
      <c r="C1093" s="87"/>
      <c r="D1093" s="87"/>
      <c r="E1093" s="87"/>
      <c r="F1093" s="87"/>
      <c r="G1093" s="87"/>
      <c r="H1093" s="87"/>
      <c r="I1093" s="87"/>
      <c r="J1093" s="87"/>
      <c r="K1093" s="87"/>
      <c r="L1093" s="87"/>
      <c r="M1093" s="87"/>
      <c r="N1093" s="87">
        <f t="shared" si="64"/>
        <v>0</v>
      </c>
      <c r="O1093" s="61">
        <f t="shared" si="65"/>
        <v>0</v>
      </c>
      <c r="P1093" s="61" t="b">
        <f t="shared" si="66"/>
        <v>1</v>
      </c>
      <c r="Q1093" s="87" t="b">
        <f>(Requirements!K1095="Normative")</f>
        <v>1</v>
      </c>
      <c r="R1093" s="87" t="b">
        <f>AND(Requirements!L1095&lt;&gt;"Non-testable",Requirements!L1095&lt;&gt;"Deleted",Requirements!L1095&lt;&gt;"")</f>
        <v>1</v>
      </c>
      <c r="S1093" s="87" t="b">
        <f>(VLOOKUP(Requirements!I1095,Scope[[Role]:[Description]],2,FALSE)="In")</f>
        <v>1</v>
      </c>
      <c r="T1093" s="87">
        <f t="shared" si="67"/>
        <v>0</v>
      </c>
    </row>
    <row r="1094" spans="1:20">
      <c r="A1094" s="85" t="str">
        <f>Requirements!A1096</f>
        <v>MS-SMB_R4225</v>
      </c>
      <c r="B1094" s="87"/>
      <c r="C1094" s="87"/>
      <c r="D1094" s="87"/>
      <c r="E1094" s="87"/>
      <c r="F1094" s="87"/>
      <c r="G1094" s="87"/>
      <c r="H1094" s="87"/>
      <c r="I1094" s="87"/>
      <c r="J1094" s="87"/>
      <c r="K1094" s="87"/>
      <c r="L1094" s="87"/>
      <c r="M1094" s="87"/>
      <c r="N1094" s="87">
        <f t="shared" si="64"/>
        <v>0</v>
      </c>
      <c r="O1094" s="61">
        <f t="shared" si="65"/>
        <v>0</v>
      </c>
      <c r="P1094" s="61" t="b">
        <f t="shared" si="66"/>
        <v>1</v>
      </c>
      <c r="Q1094" s="87" t="b">
        <f>(Requirements!K1096="Normative")</f>
        <v>1</v>
      </c>
      <c r="R1094" s="87" t="b">
        <f>AND(Requirements!L1096&lt;&gt;"Non-testable",Requirements!L1096&lt;&gt;"Deleted",Requirements!L1096&lt;&gt;"")</f>
        <v>1</v>
      </c>
      <c r="S1094" s="87" t="b">
        <f>(VLOOKUP(Requirements!I1096,Scope[[Role]:[Description]],2,FALSE)="In")</f>
        <v>1</v>
      </c>
      <c r="T1094" s="87">
        <f t="shared" si="67"/>
        <v>0</v>
      </c>
    </row>
    <row r="1095" spans="1:20">
      <c r="A1095" s="85" t="str">
        <f>Requirements!A1097</f>
        <v>MS-SMB_R4226</v>
      </c>
      <c r="B1095" s="87"/>
      <c r="C1095" s="87"/>
      <c r="D1095" s="87"/>
      <c r="E1095" s="87"/>
      <c r="F1095" s="87"/>
      <c r="G1095" s="87"/>
      <c r="H1095" s="87"/>
      <c r="I1095" s="87"/>
      <c r="J1095" s="87"/>
      <c r="K1095" s="87"/>
      <c r="L1095" s="87"/>
      <c r="M1095" s="87"/>
      <c r="N1095" s="87">
        <f t="shared" si="64"/>
        <v>0</v>
      </c>
      <c r="O1095" s="61">
        <f t="shared" si="65"/>
        <v>0</v>
      </c>
      <c r="P1095" s="61" t="b">
        <f t="shared" si="66"/>
        <v>1</v>
      </c>
      <c r="Q1095" s="87" t="b">
        <f>(Requirements!K1097="Normative")</f>
        <v>1</v>
      </c>
      <c r="R1095" s="87" t="b">
        <f>AND(Requirements!L1097&lt;&gt;"Non-testable",Requirements!L1097&lt;&gt;"Deleted",Requirements!L1097&lt;&gt;"")</f>
        <v>1</v>
      </c>
      <c r="S1095" s="87" t="b">
        <f>(VLOOKUP(Requirements!I1097,Scope[[Role]:[Description]],2,FALSE)="In")</f>
        <v>1</v>
      </c>
      <c r="T1095" s="87">
        <f t="shared" si="67"/>
        <v>0</v>
      </c>
    </row>
    <row r="1096" spans="1:20">
      <c r="A1096" s="85" t="str">
        <f>Requirements!A1098</f>
        <v>MS-SMB_R8408</v>
      </c>
      <c r="B1096" s="87"/>
      <c r="C1096" s="87"/>
      <c r="D1096" s="87"/>
      <c r="E1096" s="87"/>
      <c r="F1096" s="87"/>
      <c r="G1096" s="87"/>
      <c r="H1096" s="87"/>
      <c r="I1096" s="87"/>
      <c r="J1096" s="87"/>
      <c r="K1096" s="87"/>
      <c r="L1096" s="87"/>
      <c r="M1096" s="87"/>
      <c r="N1096" s="87">
        <f t="shared" si="64"/>
        <v>0</v>
      </c>
      <c r="O1096" s="61">
        <f t="shared" si="65"/>
        <v>0</v>
      </c>
      <c r="P1096" s="61" t="b">
        <f t="shared" si="66"/>
        <v>1</v>
      </c>
      <c r="Q1096" s="87" t="b">
        <f>(Requirements!K1098="Normative")</f>
        <v>1</v>
      </c>
      <c r="R1096" s="87" t="b">
        <f>AND(Requirements!L1098&lt;&gt;"Non-testable",Requirements!L1098&lt;&gt;"Deleted",Requirements!L1098&lt;&gt;"")</f>
        <v>1</v>
      </c>
      <c r="S1096" s="87" t="b">
        <f>(VLOOKUP(Requirements!I1098,Scope[[Role]:[Description]],2,FALSE)="In")</f>
        <v>1</v>
      </c>
      <c r="T1096" s="87">
        <f t="shared" si="67"/>
        <v>0</v>
      </c>
    </row>
    <row r="1097" spans="1:20">
      <c r="A1097" s="85" t="str">
        <f>Requirements!A1099</f>
        <v>MS-SMB_R8409</v>
      </c>
      <c r="B1097" s="87"/>
      <c r="C1097" s="87"/>
      <c r="D1097" s="87"/>
      <c r="E1097" s="87"/>
      <c r="F1097" s="87"/>
      <c r="G1097" s="87"/>
      <c r="H1097" s="87"/>
      <c r="I1097" s="87"/>
      <c r="J1097" s="87"/>
      <c r="K1097" s="87"/>
      <c r="L1097" s="87"/>
      <c r="M1097" s="87"/>
      <c r="N1097" s="87">
        <f t="shared" si="64"/>
        <v>0</v>
      </c>
      <c r="O1097" s="61">
        <f t="shared" si="65"/>
        <v>0</v>
      </c>
      <c r="P1097" s="61" t="b">
        <f t="shared" si="66"/>
        <v>1</v>
      </c>
      <c r="Q1097" s="87" t="b">
        <f>(Requirements!K1099="Normative")</f>
        <v>1</v>
      </c>
      <c r="R1097" s="87" t="b">
        <f>AND(Requirements!L1099&lt;&gt;"Non-testable",Requirements!L1099&lt;&gt;"Deleted",Requirements!L1099&lt;&gt;"")</f>
        <v>1</v>
      </c>
      <c r="S1097" s="87" t="b">
        <f>(VLOOKUP(Requirements!I1099,Scope[[Role]:[Description]],2,FALSE)="In")</f>
        <v>1</v>
      </c>
      <c r="T1097" s="87">
        <f t="shared" si="67"/>
        <v>0</v>
      </c>
    </row>
    <row r="1098" spans="1:20">
      <c r="A1098" s="85" t="str">
        <f>Requirements!A1100</f>
        <v>MS-SMB_R8410</v>
      </c>
      <c r="B1098" s="87"/>
      <c r="C1098" s="87"/>
      <c r="D1098" s="87"/>
      <c r="E1098" s="87"/>
      <c r="F1098" s="87"/>
      <c r="G1098" s="87"/>
      <c r="H1098" s="87"/>
      <c r="I1098" s="87"/>
      <c r="J1098" s="87"/>
      <c r="K1098" s="87"/>
      <c r="L1098" s="87"/>
      <c r="M1098" s="87"/>
      <c r="N1098" s="87">
        <f t="shared" si="64"/>
        <v>0</v>
      </c>
      <c r="O1098" s="61">
        <f t="shared" si="65"/>
        <v>0</v>
      </c>
      <c r="P1098" s="61" t="b">
        <f t="shared" si="66"/>
        <v>1</v>
      </c>
      <c r="Q1098" s="87" t="b">
        <f>(Requirements!K1100="Normative")</f>
        <v>1</v>
      </c>
      <c r="R1098" s="87" t="b">
        <f>AND(Requirements!L1100&lt;&gt;"Non-testable",Requirements!L1100&lt;&gt;"Deleted",Requirements!L1100&lt;&gt;"")</f>
        <v>1</v>
      </c>
      <c r="S1098" s="87" t="b">
        <f>(VLOOKUP(Requirements!I1100,Scope[[Role]:[Description]],2,FALSE)="In")</f>
        <v>1</v>
      </c>
      <c r="T1098" s="87">
        <f t="shared" si="67"/>
        <v>0</v>
      </c>
    </row>
    <row r="1099" spans="1:20">
      <c r="A1099" s="85" t="str">
        <f>Requirements!A1101</f>
        <v>MS-SMB_R8411</v>
      </c>
      <c r="B1099" s="87"/>
      <c r="C1099" s="87"/>
      <c r="D1099" s="87"/>
      <c r="E1099" s="87"/>
      <c r="F1099" s="87"/>
      <c r="G1099" s="87"/>
      <c r="H1099" s="87"/>
      <c r="I1099" s="87"/>
      <c r="J1099" s="87"/>
      <c r="K1099" s="87"/>
      <c r="L1099" s="87"/>
      <c r="M1099" s="87"/>
      <c r="N1099" s="87">
        <f t="shared" si="64"/>
        <v>0</v>
      </c>
      <c r="O1099" s="61">
        <f t="shared" si="65"/>
        <v>0</v>
      </c>
      <c r="P1099" s="61" t="b">
        <f t="shared" si="66"/>
        <v>1</v>
      </c>
      <c r="Q1099" s="87" t="b">
        <f>(Requirements!K1101="Normative")</f>
        <v>1</v>
      </c>
      <c r="R1099" s="87" t="b">
        <f>AND(Requirements!L1101&lt;&gt;"Non-testable",Requirements!L1101&lt;&gt;"Deleted",Requirements!L1101&lt;&gt;"")</f>
        <v>1</v>
      </c>
      <c r="S1099" s="87" t="b">
        <f>(VLOOKUP(Requirements!I1101,Scope[[Role]:[Description]],2,FALSE)="In")</f>
        <v>1</v>
      </c>
      <c r="T1099" s="87">
        <f t="shared" si="67"/>
        <v>0</v>
      </c>
    </row>
    <row r="1100" spans="1:20">
      <c r="A1100" s="85" t="str">
        <f>Requirements!A1102</f>
        <v>MS-SMB_R8412</v>
      </c>
      <c r="B1100" s="87"/>
      <c r="C1100" s="87"/>
      <c r="D1100" s="87"/>
      <c r="E1100" s="87"/>
      <c r="F1100" s="87"/>
      <c r="G1100" s="87"/>
      <c r="H1100" s="87"/>
      <c r="I1100" s="87"/>
      <c r="J1100" s="87"/>
      <c r="K1100" s="87"/>
      <c r="L1100" s="87"/>
      <c r="M1100" s="87"/>
      <c r="N1100" s="87">
        <f t="shared" si="64"/>
        <v>0</v>
      </c>
      <c r="O1100" s="61">
        <f t="shared" si="65"/>
        <v>0</v>
      </c>
      <c r="P1100" s="61" t="b">
        <f t="shared" si="66"/>
        <v>1</v>
      </c>
      <c r="Q1100" s="87" t="b">
        <f>(Requirements!K1102="Normative")</f>
        <v>1</v>
      </c>
      <c r="R1100" s="87" t="b">
        <f>AND(Requirements!L1102&lt;&gt;"Non-testable",Requirements!L1102&lt;&gt;"Deleted",Requirements!L1102&lt;&gt;"")</f>
        <v>1</v>
      </c>
      <c r="S1100" s="87" t="b">
        <f>(VLOOKUP(Requirements!I1102,Scope[[Role]:[Description]],2,FALSE)="In")</f>
        <v>1</v>
      </c>
      <c r="T1100" s="87">
        <f t="shared" si="67"/>
        <v>0</v>
      </c>
    </row>
    <row r="1101" spans="1:20">
      <c r="A1101" s="85" t="str">
        <f>Requirements!A1103</f>
        <v>MS-SMB_R8413</v>
      </c>
      <c r="B1101" s="87"/>
      <c r="C1101" s="87"/>
      <c r="D1101" s="87"/>
      <c r="E1101" s="87"/>
      <c r="F1101" s="87"/>
      <c r="G1101" s="87"/>
      <c r="H1101" s="87"/>
      <c r="I1101" s="87"/>
      <c r="J1101" s="87"/>
      <c r="K1101" s="87"/>
      <c r="L1101" s="87"/>
      <c r="M1101" s="87"/>
      <c r="N1101" s="87">
        <f t="shared" si="64"/>
        <v>0</v>
      </c>
      <c r="O1101" s="61">
        <f t="shared" si="65"/>
        <v>0</v>
      </c>
      <c r="P1101" s="61" t="b">
        <f t="shared" si="66"/>
        <v>1</v>
      </c>
      <c r="Q1101" s="87" t="b">
        <f>(Requirements!K1103="Normative")</f>
        <v>1</v>
      </c>
      <c r="R1101" s="87" t="b">
        <f>AND(Requirements!L1103&lt;&gt;"Non-testable",Requirements!L1103&lt;&gt;"Deleted",Requirements!L1103&lt;&gt;"")</f>
        <v>1</v>
      </c>
      <c r="S1101" s="87" t="b">
        <f>(VLOOKUP(Requirements!I1103,Scope[[Role]:[Description]],2,FALSE)="In")</f>
        <v>1</v>
      </c>
      <c r="T1101" s="87">
        <f t="shared" si="67"/>
        <v>0</v>
      </c>
    </row>
    <row r="1102" spans="1:20">
      <c r="A1102" s="44" t="str">
        <f>Requirements!A1104</f>
        <v>MS-SMB_R8414</v>
      </c>
      <c r="B1102" s="87"/>
      <c r="C1102" s="87"/>
      <c r="D1102" s="87"/>
      <c r="E1102" s="87"/>
      <c r="F1102" s="87"/>
      <c r="G1102" s="87"/>
      <c r="H1102" s="87"/>
      <c r="I1102" s="87"/>
      <c r="J1102" s="87"/>
      <c r="K1102" s="87"/>
      <c r="L1102" s="87"/>
      <c r="M1102" s="87"/>
      <c r="N1102" s="87">
        <f t="shared" si="64"/>
        <v>0</v>
      </c>
      <c r="O1102" s="87">
        <f t="shared" si="65"/>
        <v>0</v>
      </c>
      <c r="P1102" s="87" t="b">
        <f t="shared" si="66"/>
        <v>0</v>
      </c>
      <c r="Q1102" s="87" t="b">
        <f>(Requirements!K1104="Normative")</f>
        <v>0</v>
      </c>
      <c r="R1102" s="87" t="b">
        <f>AND(Requirements!L1104&lt;&gt;"Non-testable",Requirements!L1104&lt;&gt;"Deleted",Requirements!L1104&lt;&gt;"")</f>
        <v>1</v>
      </c>
      <c r="S1102" s="87" t="b">
        <f>(VLOOKUP(Requirements!I1104,Scope[[Role]:[Description]],2,FALSE)="In")</f>
        <v>1</v>
      </c>
      <c r="T1102" s="87">
        <f t="shared" si="67"/>
        <v>0</v>
      </c>
    </row>
    <row r="1103" spans="1:20">
      <c r="A1103" s="85" t="str">
        <f>Requirements!A1105</f>
        <v>MS-SMB_R4264</v>
      </c>
      <c r="B1103" s="87"/>
      <c r="C1103" s="87"/>
      <c r="D1103" s="87"/>
      <c r="E1103" s="87"/>
      <c r="F1103" s="87"/>
      <c r="G1103" s="87"/>
      <c r="H1103" s="87"/>
      <c r="I1103" s="87"/>
      <c r="J1103" s="87"/>
      <c r="K1103" s="87"/>
      <c r="L1103" s="87"/>
      <c r="M1103" s="87"/>
      <c r="N1103" s="87">
        <f t="shared" si="64"/>
        <v>0</v>
      </c>
      <c r="O1103" s="61">
        <f t="shared" si="65"/>
        <v>0</v>
      </c>
      <c r="P1103" s="61" t="b">
        <f t="shared" si="66"/>
        <v>1</v>
      </c>
      <c r="Q1103" s="87" t="b">
        <f>(Requirements!K1105="Normative")</f>
        <v>1</v>
      </c>
      <c r="R1103" s="87" t="b">
        <f>AND(Requirements!L1105&lt;&gt;"Non-testable",Requirements!L1105&lt;&gt;"Deleted",Requirements!L1105&lt;&gt;"")</f>
        <v>1</v>
      </c>
      <c r="S1103" s="87" t="b">
        <f>(VLOOKUP(Requirements!I1105,Scope[[Role]:[Description]],2,FALSE)="In")</f>
        <v>1</v>
      </c>
      <c r="T1103" s="87">
        <f t="shared" si="67"/>
        <v>0</v>
      </c>
    </row>
    <row r="1104" spans="1:20">
      <c r="A1104" s="85" t="str">
        <f>Requirements!A1106</f>
        <v>MS-SMB_R4265</v>
      </c>
      <c r="B1104" s="87"/>
      <c r="C1104" s="87"/>
      <c r="D1104" s="87"/>
      <c r="E1104" s="87"/>
      <c r="F1104" s="87"/>
      <c r="G1104" s="87"/>
      <c r="H1104" s="87"/>
      <c r="I1104" s="87"/>
      <c r="J1104" s="87"/>
      <c r="K1104" s="87"/>
      <c r="L1104" s="87"/>
      <c r="M1104" s="87"/>
      <c r="N1104" s="87">
        <f t="shared" si="64"/>
        <v>0</v>
      </c>
      <c r="O1104" s="61">
        <f t="shared" si="65"/>
        <v>0</v>
      </c>
      <c r="P1104" s="61" t="b">
        <f t="shared" si="66"/>
        <v>1</v>
      </c>
      <c r="Q1104" s="87" t="b">
        <f>(Requirements!K1106="Normative")</f>
        <v>1</v>
      </c>
      <c r="R1104" s="87" t="b">
        <f>AND(Requirements!L1106&lt;&gt;"Non-testable",Requirements!L1106&lt;&gt;"Deleted",Requirements!L1106&lt;&gt;"")</f>
        <v>1</v>
      </c>
      <c r="S1104" s="87" t="b">
        <f>(VLOOKUP(Requirements!I1106,Scope[[Role]:[Description]],2,FALSE)="In")</f>
        <v>1</v>
      </c>
      <c r="T1104" s="87">
        <f t="shared" si="67"/>
        <v>0</v>
      </c>
    </row>
    <row r="1105" spans="1:20">
      <c r="A1105" s="44" t="str">
        <f>Requirements!A1107</f>
        <v>MS-SMB_R8415</v>
      </c>
      <c r="B1105" s="87"/>
      <c r="C1105" s="87"/>
      <c r="D1105" s="87"/>
      <c r="E1105" s="87"/>
      <c r="F1105" s="87"/>
      <c r="G1105" s="87"/>
      <c r="H1105" s="87"/>
      <c r="I1105" s="87"/>
      <c r="J1105" s="87"/>
      <c r="K1105" s="87"/>
      <c r="L1105" s="87"/>
      <c r="M1105" s="87"/>
      <c r="N1105" s="87">
        <f t="shared" si="64"/>
        <v>0</v>
      </c>
      <c r="O1105" s="87">
        <f t="shared" si="65"/>
        <v>0</v>
      </c>
      <c r="P1105" s="87" t="b">
        <f t="shared" si="66"/>
        <v>0</v>
      </c>
      <c r="Q1105" s="87" t="b">
        <f>(Requirements!K1107="Normative")</f>
        <v>0</v>
      </c>
      <c r="R1105" s="87" t="b">
        <f>AND(Requirements!L1107&lt;&gt;"Non-testable",Requirements!L1107&lt;&gt;"Deleted",Requirements!L1107&lt;&gt;"")</f>
        <v>1</v>
      </c>
      <c r="S1105" s="87" t="b">
        <f>(VLOOKUP(Requirements!I1107,Scope[[Role]:[Description]],2,FALSE)="In")</f>
        <v>1</v>
      </c>
      <c r="T1105" s="87">
        <f t="shared" si="67"/>
        <v>0</v>
      </c>
    </row>
    <row r="1106" spans="1:20">
      <c r="A1106" s="85" t="str">
        <f>Requirements!A1108</f>
        <v>MS-SMB_R4270</v>
      </c>
      <c r="B1106" s="87"/>
      <c r="C1106" s="87"/>
      <c r="D1106" s="87"/>
      <c r="E1106" s="87"/>
      <c r="F1106" s="87"/>
      <c r="G1106" s="87"/>
      <c r="H1106" s="87"/>
      <c r="I1106" s="87"/>
      <c r="J1106" s="87"/>
      <c r="K1106" s="87"/>
      <c r="L1106" s="87"/>
      <c r="M1106" s="87"/>
      <c r="N1106" s="87">
        <f t="shared" si="64"/>
        <v>0</v>
      </c>
      <c r="O1106" s="61">
        <f t="shared" si="65"/>
        <v>0</v>
      </c>
      <c r="P1106" s="61" t="b">
        <f t="shared" si="66"/>
        <v>1</v>
      </c>
      <c r="Q1106" s="87" t="b">
        <f>(Requirements!K1108="Normative")</f>
        <v>1</v>
      </c>
      <c r="R1106" s="87" t="b">
        <f>AND(Requirements!L1108&lt;&gt;"Non-testable",Requirements!L1108&lt;&gt;"Deleted",Requirements!L1108&lt;&gt;"")</f>
        <v>1</v>
      </c>
      <c r="S1106" s="87" t="b">
        <f>(VLOOKUP(Requirements!I1108,Scope[[Role]:[Description]],2,FALSE)="In")</f>
        <v>1</v>
      </c>
      <c r="T1106" s="87">
        <f t="shared" si="67"/>
        <v>0</v>
      </c>
    </row>
    <row r="1107" spans="1:20">
      <c r="A1107" s="44" t="str">
        <f>Requirements!A1109</f>
        <v>MS-SMB_R4271</v>
      </c>
      <c r="B1107" s="87"/>
      <c r="C1107" s="87"/>
      <c r="D1107" s="87"/>
      <c r="E1107" s="87"/>
      <c r="F1107" s="87"/>
      <c r="G1107" s="87"/>
      <c r="H1107" s="87"/>
      <c r="I1107" s="87"/>
      <c r="J1107" s="87"/>
      <c r="K1107" s="87"/>
      <c r="L1107" s="87"/>
      <c r="M1107" s="87"/>
      <c r="N1107" s="87">
        <f t="shared" si="64"/>
        <v>0</v>
      </c>
      <c r="O1107" s="87">
        <f t="shared" si="65"/>
        <v>0</v>
      </c>
      <c r="P1107" s="87" t="b">
        <f t="shared" si="66"/>
        <v>0</v>
      </c>
      <c r="Q1107" s="87" t="b">
        <f>(Requirements!K1109="Normative")</f>
        <v>0</v>
      </c>
      <c r="R1107" s="87" t="b">
        <f>AND(Requirements!L1109&lt;&gt;"Non-testable",Requirements!L1109&lt;&gt;"Deleted",Requirements!L1109&lt;&gt;"")</f>
        <v>1</v>
      </c>
      <c r="S1107" s="87" t="b">
        <f>(VLOOKUP(Requirements!I1109,Scope[[Role]:[Description]],2,FALSE)="In")</f>
        <v>1</v>
      </c>
      <c r="T1107" s="87">
        <f t="shared" si="67"/>
        <v>0</v>
      </c>
    </row>
    <row r="1108" spans="1:20">
      <c r="A1108" s="85" t="str">
        <f>Requirements!A1110</f>
        <v>MS-SMB_R4272</v>
      </c>
      <c r="B1108" s="87"/>
      <c r="C1108" s="87"/>
      <c r="D1108" s="87"/>
      <c r="E1108" s="87"/>
      <c r="F1108" s="87"/>
      <c r="G1108" s="87"/>
      <c r="H1108" s="87"/>
      <c r="I1108" s="87"/>
      <c r="J1108" s="87"/>
      <c r="K1108" s="87"/>
      <c r="L1108" s="87"/>
      <c r="M1108" s="87"/>
      <c r="N1108" s="87">
        <f t="shared" ref="N1108:N1171" si="68">SUM(B1108:M1108)</f>
        <v>0</v>
      </c>
      <c r="O1108" s="61">
        <f t="shared" ref="O1108:O1171" si="69">IF(N1108=0,0,1)</f>
        <v>0</v>
      </c>
      <c r="P1108" s="61" t="b">
        <f t="shared" ref="P1108:P1171" si="70">AND(Q1108:S1108)</f>
        <v>1</v>
      </c>
      <c r="Q1108" s="87" t="b">
        <f>(Requirements!K1110="Normative")</f>
        <v>1</v>
      </c>
      <c r="R1108" s="87" t="b">
        <f>AND(Requirements!L1110&lt;&gt;"Non-testable",Requirements!L1110&lt;&gt;"Deleted",Requirements!L1110&lt;&gt;"")</f>
        <v>1</v>
      </c>
      <c r="S1108" s="87" t="b">
        <f>(VLOOKUP(Requirements!I1110,Scope[[Role]:[Description]],2,FALSE)="In")</f>
        <v>1</v>
      </c>
      <c r="T1108" s="87">
        <f t="shared" ref="T1108:T1171" si="71">IF(P1108,O1108, 0)</f>
        <v>0</v>
      </c>
    </row>
    <row r="1109" spans="1:20">
      <c r="A1109" s="85" t="str">
        <f>Requirements!A1111</f>
        <v>MS-SMB_R4273</v>
      </c>
      <c r="B1109" s="87"/>
      <c r="C1109" s="87"/>
      <c r="D1109" s="87"/>
      <c r="E1109" s="87"/>
      <c r="F1109" s="87"/>
      <c r="G1109" s="87"/>
      <c r="H1109" s="87"/>
      <c r="I1109" s="87"/>
      <c r="J1109" s="87"/>
      <c r="K1109" s="87"/>
      <c r="L1109" s="87"/>
      <c r="M1109" s="87"/>
      <c r="N1109" s="87">
        <f t="shared" si="68"/>
        <v>0</v>
      </c>
      <c r="O1109" s="61">
        <f t="shared" si="69"/>
        <v>0</v>
      </c>
      <c r="P1109" s="61" t="b">
        <f t="shared" si="70"/>
        <v>1</v>
      </c>
      <c r="Q1109" s="87" t="b">
        <f>(Requirements!K1111="Normative")</f>
        <v>1</v>
      </c>
      <c r="R1109" s="87" t="b">
        <f>AND(Requirements!L1111&lt;&gt;"Non-testable",Requirements!L1111&lt;&gt;"Deleted",Requirements!L1111&lt;&gt;"")</f>
        <v>1</v>
      </c>
      <c r="S1109" s="87" t="b">
        <f>(VLOOKUP(Requirements!I1111,Scope[[Role]:[Description]],2,FALSE)="In")</f>
        <v>1</v>
      </c>
      <c r="T1109" s="87">
        <f t="shared" si="71"/>
        <v>0</v>
      </c>
    </row>
    <row r="1110" spans="1:20">
      <c r="A1110" s="44" t="str">
        <f>Requirements!A1112</f>
        <v>MS-SMB_R4274</v>
      </c>
      <c r="B1110" s="87"/>
      <c r="C1110" s="87"/>
      <c r="D1110" s="87"/>
      <c r="E1110" s="87"/>
      <c r="F1110" s="87"/>
      <c r="G1110" s="87"/>
      <c r="H1110" s="87"/>
      <c r="I1110" s="87"/>
      <c r="J1110" s="87"/>
      <c r="K1110" s="87"/>
      <c r="L1110" s="87"/>
      <c r="M1110" s="87"/>
      <c r="N1110" s="87">
        <f t="shared" si="68"/>
        <v>0</v>
      </c>
      <c r="O1110" s="87">
        <f t="shared" si="69"/>
        <v>0</v>
      </c>
      <c r="P1110" s="87" t="b">
        <f t="shared" si="70"/>
        <v>0</v>
      </c>
      <c r="Q1110" s="87" t="b">
        <f>(Requirements!K1112="Normative")</f>
        <v>0</v>
      </c>
      <c r="R1110" s="87" t="b">
        <f>AND(Requirements!L1112&lt;&gt;"Non-testable",Requirements!L1112&lt;&gt;"Deleted",Requirements!L1112&lt;&gt;"")</f>
        <v>1</v>
      </c>
      <c r="S1110" s="87" t="b">
        <f>(VLOOKUP(Requirements!I1112,Scope[[Role]:[Description]],2,FALSE)="In")</f>
        <v>1</v>
      </c>
      <c r="T1110" s="87">
        <f t="shared" si="71"/>
        <v>0</v>
      </c>
    </row>
    <row r="1111" spans="1:20">
      <c r="A1111" s="85" t="str">
        <f>Requirements!A1113</f>
        <v>MS-SMB_R4275</v>
      </c>
      <c r="B1111" s="87"/>
      <c r="C1111" s="87"/>
      <c r="D1111" s="87"/>
      <c r="E1111" s="87"/>
      <c r="F1111" s="87"/>
      <c r="G1111" s="87"/>
      <c r="H1111" s="87"/>
      <c r="I1111" s="87"/>
      <c r="J1111" s="87"/>
      <c r="K1111" s="87"/>
      <c r="L1111" s="87"/>
      <c r="M1111" s="87"/>
      <c r="N1111" s="87">
        <f t="shared" si="68"/>
        <v>0</v>
      </c>
      <c r="O1111" s="61">
        <f t="shared" si="69"/>
        <v>0</v>
      </c>
      <c r="P1111" s="61" t="b">
        <f t="shared" si="70"/>
        <v>1</v>
      </c>
      <c r="Q1111" s="87" t="b">
        <f>(Requirements!K1113="Normative")</f>
        <v>1</v>
      </c>
      <c r="R1111" s="87" t="b">
        <f>AND(Requirements!L1113&lt;&gt;"Non-testable",Requirements!L1113&lt;&gt;"Deleted",Requirements!L1113&lt;&gt;"")</f>
        <v>1</v>
      </c>
      <c r="S1111" s="87" t="b">
        <f>(VLOOKUP(Requirements!I1113,Scope[[Role]:[Description]],2,FALSE)="In")</f>
        <v>1</v>
      </c>
      <c r="T1111" s="87">
        <f t="shared" si="71"/>
        <v>0</v>
      </c>
    </row>
    <row r="1112" spans="1:20">
      <c r="A1112" s="85" t="str">
        <f>Requirements!A1114</f>
        <v>MS-SMB_R4278</v>
      </c>
      <c r="B1112" s="87"/>
      <c r="C1112" s="87"/>
      <c r="D1112" s="87"/>
      <c r="E1112" s="87"/>
      <c r="F1112" s="87"/>
      <c r="G1112" s="87"/>
      <c r="H1112" s="87"/>
      <c r="I1112" s="87"/>
      <c r="J1112" s="87"/>
      <c r="K1112" s="87"/>
      <c r="L1112" s="87"/>
      <c r="M1112" s="87"/>
      <c r="N1112" s="87">
        <f t="shared" si="68"/>
        <v>0</v>
      </c>
      <c r="O1112" s="61">
        <f t="shared" si="69"/>
        <v>0</v>
      </c>
      <c r="P1112" s="61" t="b">
        <f t="shared" si="70"/>
        <v>1</v>
      </c>
      <c r="Q1112" s="87" t="b">
        <f>(Requirements!K1114="Normative")</f>
        <v>1</v>
      </c>
      <c r="R1112" s="87" t="b">
        <f>AND(Requirements!L1114&lt;&gt;"Non-testable",Requirements!L1114&lt;&gt;"Deleted",Requirements!L1114&lt;&gt;"")</f>
        <v>1</v>
      </c>
      <c r="S1112" s="87" t="b">
        <f>(VLOOKUP(Requirements!I1114,Scope[[Role]:[Description]],2,FALSE)="In")</f>
        <v>1</v>
      </c>
      <c r="T1112" s="87">
        <f t="shared" si="71"/>
        <v>0</v>
      </c>
    </row>
    <row r="1113" spans="1:20">
      <c r="A1113" s="85" t="str">
        <f>Requirements!A1115</f>
        <v>MS-SMB_R4279</v>
      </c>
      <c r="B1113" s="87"/>
      <c r="C1113" s="87"/>
      <c r="D1113" s="87"/>
      <c r="E1113" s="87"/>
      <c r="F1113" s="87"/>
      <c r="G1113" s="87"/>
      <c r="H1113" s="87"/>
      <c r="I1113" s="87"/>
      <c r="J1113" s="87"/>
      <c r="K1113" s="87"/>
      <c r="L1113" s="87"/>
      <c r="M1113" s="87"/>
      <c r="N1113" s="87">
        <f t="shared" si="68"/>
        <v>0</v>
      </c>
      <c r="O1113" s="61">
        <f t="shared" si="69"/>
        <v>0</v>
      </c>
      <c r="P1113" s="61" t="b">
        <f t="shared" si="70"/>
        <v>1</v>
      </c>
      <c r="Q1113" s="87" t="b">
        <f>(Requirements!K1115="Normative")</f>
        <v>1</v>
      </c>
      <c r="R1113" s="87" t="b">
        <f>AND(Requirements!L1115&lt;&gt;"Non-testable",Requirements!L1115&lt;&gt;"Deleted",Requirements!L1115&lt;&gt;"")</f>
        <v>1</v>
      </c>
      <c r="S1113" s="87" t="b">
        <f>(VLOOKUP(Requirements!I1115,Scope[[Role]:[Description]],2,FALSE)="In")</f>
        <v>1</v>
      </c>
      <c r="T1113" s="87">
        <f t="shared" si="71"/>
        <v>0</v>
      </c>
    </row>
    <row r="1114" spans="1:20">
      <c r="A1114" s="85" t="str">
        <f>Requirements!A1116</f>
        <v>MS-SMB_R8417</v>
      </c>
      <c r="B1114" s="87"/>
      <c r="C1114" s="87"/>
      <c r="D1114" s="87"/>
      <c r="E1114" s="87"/>
      <c r="F1114" s="87"/>
      <c r="G1114" s="87"/>
      <c r="H1114" s="87"/>
      <c r="I1114" s="87"/>
      <c r="J1114" s="87"/>
      <c r="K1114" s="87"/>
      <c r="L1114" s="87"/>
      <c r="M1114" s="87"/>
      <c r="N1114" s="87">
        <f t="shared" si="68"/>
        <v>0</v>
      </c>
      <c r="O1114" s="61">
        <f t="shared" si="69"/>
        <v>0</v>
      </c>
      <c r="P1114" s="61" t="b">
        <f t="shared" si="70"/>
        <v>1</v>
      </c>
      <c r="Q1114" s="87" t="b">
        <f>(Requirements!K1116="Normative")</f>
        <v>1</v>
      </c>
      <c r="R1114" s="87" t="b">
        <f>AND(Requirements!L1116&lt;&gt;"Non-testable",Requirements!L1116&lt;&gt;"Deleted",Requirements!L1116&lt;&gt;"")</f>
        <v>1</v>
      </c>
      <c r="S1114" s="87" t="b">
        <f>(VLOOKUP(Requirements!I1116,Scope[[Role]:[Description]],2,FALSE)="In")</f>
        <v>1</v>
      </c>
      <c r="T1114" s="87">
        <f t="shared" si="71"/>
        <v>0</v>
      </c>
    </row>
    <row r="1115" spans="1:20">
      <c r="A1115" s="44" t="str">
        <f>Requirements!A1117</f>
        <v>MS-SMB_R8418</v>
      </c>
      <c r="B1115" s="87"/>
      <c r="C1115" s="87"/>
      <c r="D1115" s="87"/>
      <c r="E1115" s="87"/>
      <c r="F1115" s="87"/>
      <c r="G1115" s="87"/>
      <c r="H1115" s="87"/>
      <c r="I1115" s="87"/>
      <c r="J1115" s="87"/>
      <c r="K1115" s="87"/>
      <c r="L1115" s="87"/>
      <c r="M1115" s="87"/>
      <c r="N1115" s="87">
        <f t="shared" si="68"/>
        <v>0</v>
      </c>
      <c r="O1115" s="87">
        <f t="shared" si="69"/>
        <v>0</v>
      </c>
      <c r="P1115" s="87" t="b">
        <f t="shared" si="70"/>
        <v>0</v>
      </c>
      <c r="Q1115" s="87" t="b">
        <f>(Requirements!K1117="Normative")</f>
        <v>0</v>
      </c>
      <c r="R1115" s="87" t="b">
        <f>AND(Requirements!L1117&lt;&gt;"Non-testable",Requirements!L1117&lt;&gt;"Deleted",Requirements!L1117&lt;&gt;"")</f>
        <v>1</v>
      </c>
      <c r="S1115" s="87" t="b">
        <f>(VLOOKUP(Requirements!I1117,Scope[[Role]:[Description]],2,FALSE)="In")</f>
        <v>1</v>
      </c>
      <c r="T1115" s="87">
        <f t="shared" si="71"/>
        <v>0</v>
      </c>
    </row>
    <row r="1116" spans="1:20">
      <c r="A1116" s="85" t="str">
        <f>Requirements!A1118</f>
        <v>MS-SMB_R8419</v>
      </c>
      <c r="B1116" s="87"/>
      <c r="C1116" s="87"/>
      <c r="D1116" s="87"/>
      <c r="E1116" s="87"/>
      <c r="F1116" s="87"/>
      <c r="G1116" s="87"/>
      <c r="H1116" s="87"/>
      <c r="I1116" s="87"/>
      <c r="J1116" s="87"/>
      <c r="K1116" s="87"/>
      <c r="L1116" s="87"/>
      <c r="M1116" s="87"/>
      <c r="N1116" s="87">
        <f t="shared" si="68"/>
        <v>0</v>
      </c>
      <c r="O1116" s="61">
        <f t="shared" si="69"/>
        <v>0</v>
      </c>
      <c r="P1116" s="61" t="b">
        <f t="shared" si="70"/>
        <v>1</v>
      </c>
      <c r="Q1116" s="87" t="b">
        <f>(Requirements!K1118="Normative")</f>
        <v>1</v>
      </c>
      <c r="R1116" s="87" t="b">
        <f>AND(Requirements!L1118&lt;&gt;"Non-testable",Requirements!L1118&lt;&gt;"Deleted",Requirements!L1118&lt;&gt;"")</f>
        <v>1</v>
      </c>
      <c r="S1116" s="87" t="b">
        <f>(VLOOKUP(Requirements!I1118,Scope[[Role]:[Description]],2,FALSE)="In")</f>
        <v>1</v>
      </c>
      <c r="T1116" s="87">
        <f t="shared" si="71"/>
        <v>0</v>
      </c>
    </row>
    <row r="1117" spans="1:20">
      <c r="A1117" s="85" t="str">
        <f>Requirements!A1119</f>
        <v>MS-SMB_R8420</v>
      </c>
      <c r="B1117" s="87"/>
      <c r="C1117" s="87"/>
      <c r="D1117" s="87"/>
      <c r="E1117" s="87"/>
      <c r="F1117" s="87"/>
      <c r="G1117" s="87"/>
      <c r="H1117" s="87"/>
      <c r="I1117" s="87"/>
      <c r="J1117" s="87"/>
      <c r="K1117" s="87"/>
      <c r="L1117" s="87"/>
      <c r="M1117" s="87"/>
      <c r="N1117" s="87">
        <f t="shared" si="68"/>
        <v>0</v>
      </c>
      <c r="O1117" s="61">
        <f t="shared" si="69"/>
        <v>0</v>
      </c>
      <c r="P1117" s="61" t="b">
        <f t="shared" si="70"/>
        <v>1</v>
      </c>
      <c r="Q1117" s="87" t="b">
        <f>(Requirements!K1119="Normative")</f>
        <v>1</v>
      </c>
      <c r="R1117" s="87" t="b">
        <f>AND(Requirements!L1119&lt;&gt;"Non-testable",Requirements!L1119&lt;&gt;"Deleted",Requirements!L1119&lt;&gt;"")</f>
        <v>1</v>
      </c>
      <c r="S1117" s="87" t="b">
        <f>(VLOOKUP(Requirements!I1119,Scope[[Role]:[Description]],2,FALSE)="In")</f>
        <v>1</v>
      </c>
      <c r="T1117" s="87">
        <f t="shared" si="71"/>
        <v>0</v>
      </c>
    </row>
    <row r="1118" spans="1:20">
      <c r="A1118" s="85" t="str">
        <f>Requirements!A1120</f>
        <v>MS-SMB_R4289</v>
      </c>
      <c r="B1118" s="87"/>
      <c r="C1118" s="87"/>
      <c r="D1118" s="87"/>
      <c r="E1118" s="87"/>
      <c r="F1118" s="87"/>
      <c r="G1118" s="87"/>
      <c r="H1118" s="87"/>
      <c r="I1118" s="87"/>
      <c r="J1118" s="87"/>
      <c r="K1118" s="87"/>
      <c r="L1118" s="87"/>
      <c r="M1118" s="87"/>
      <c r="N1118" s="87">
        <f t="shared" si="68"/>
        <v>0</v>
      </c>
      <c r="O1118" s="61">
        <f t="shared" si="69"/>
        <v>0</v>
      </c>
      <c r="P1118" s="61" t="b">
        <f t="shared" si="70"/>
        <v>1</v>
      </c>
      <c r="Q1118" s="87" t="b">
        <f>(Requirements!K1120="Normative")</f>
        <v>1</v>
      </c>
      <c r="R1118" s="87" t="b">
        <f>AND(Requirements!L1120&lt;&gt;"Non-testable",Requirements!L1120&lt;&gt;"Deleted",Requirements!L1120&lt;&gt;"")</f>
        <v>1</v>
      </c>
      <c r="S1118" s="87" t="b">
        <f>(VLOOKUP(Requirements!I1120,Scope[[Role]:[Description]],2,FALSE)="In")</f>
        <v>1</v>
      </c>
      <c r="T1118" s="87">
        <f t="shared" si="71"/>
        <v>0</v>
      </c>
    </row>
    <row r="1119" spans="1:20">
      <c r="A1119" s="85" t="str">
        <f>Requirements!A1121</f>
        <v>MS-SMB_R8416</v>
      </c>
      <c r="B1119" s="87"/>
      <c r="C1119" s="87"/>
      <c r="D1119" s="87"/>
      <c r="E1119" s="87"/>
      <c r="F1119" s="87"/>
      <c r="G1119" s="87"/>
      <c r="H1119" s="87"/>
      <c r="I1119" s="87"/>
      <c r="J1119" s="87"/>
      <c r="K1119" s="87"/>
      <c r="L1119" s="87"/>
      <c r="M1119" s="87"/>
      <c r="N1119" s="87">
        <f t="shared" si="68"/>
        <v>0</v>
      </c>
      <c r="O1119" s="61">
        <f t="shared" si="69"/>
        <v>0</v>
      </c>
      <c r="P1119" s="61" t="b">
        <f t="shared" si="70"/>
        <v>1</v>
      </c>
      <c r="Q1119" s="87" t="b">
        <f>(Requirements!K1121="Normative")</f>
        <v>1</v>
      </c>
      <c r="R1119" s="87" t="b">
        <f>AND(Requirements!L1121&lt;&gt;"Non-testable",Requirements!L1121&lt;&gt;"Deleted",Requirements!L1121&lt;&gt;"")</f>
        <v>1</v>
      </c>
      <c r="S1119" s="87" t="b">
        <f>(VLOOKUP(Requirements!I1121,Scope[[Role]:[Description]],2,FALSE)="In")</f>
        <v>1</v>
      </c>
      <c r="T1119" s="87">
        <f t="shared" si="71"/>
        <v>0</v>
      </c>
    </row>
    <row r="1120" spans="1:20">
      <c r="A1120" s="84" t="str">
        <f>Requirements!A1122</f>
        <v>MS-SMB_R4290</v>
      </c>
      <c r="B1120" s="87"/>
      <c r="C1120" s="87"/>
      <c r="D1120" s="87"/>
      <c r="E1120" s="87"/>
      <c r="F1120" s="87"/>
      <c r="G1120" s="87"/>
      <c r="H1120" s="87"/>
      <c r="I1120" s="87"/>
      <c r="J1120" s="87"/>
      <c r="K1120" s="87"/>
      <c r="L1120" s="87"/>
      <c r="M1120" s="87">
        <v>1</v>
      </c>
      <c r="N1120" s="87">
        <f t="shared" si="68"/>
        <v>1</v>
      </c>
      <c r="O1120" s="60">
        <f t="shared" si="69"/>
        <v>1</v>
      </c>
      <c r="P1120" s="60" t="b">
        <f t="shared" si="70"/>
        <v>1</v>
      </c>
      <c r="Q1120" s="87" t="b">
        <f>(Requirements!K1122="Normative")</f>
        <v>1</v>
      </c>
      <c r="R1120" s="87" t="b">
        <f>AND(Requirements!L1122&lt;&gt;"Non-testable",Requirements!L1122&lt;&gt;"Deleted",Requirements!L1122&lt;&gt;"")</f>
        <v>1</v>
      </c>
      <c r="S1120" s="87" t="b">
        <f>(VLOOKUP(Requirements!I1122,Scope[[Role]:[Description]],2,FALSE)="In")</f>
        <v>1</v>
      </c>
      <c r="T1120" s="87">
        <f t="shared" si="71"/>
        <v>1</v>
      </c>
    </row>
    <row r="1121" spans="1:20">
      <c r="A1121" s="85" t="str">
        <f>Requirements!A1123</f>
        <v>MS-SMB_R4293</v>
      </c>
      <c r="B1121" s="87"/>
      <c r="C1121" s="87"/>
      <c r="D1121" s="87"/>
      <c r="E1121" s="87"/>
      <c r="F1121" s="87"/>
      <c r="G1121" s="87"/>
      <c r="H1121" s="87"/>
      <c r="I1121" s="87"/>
      <c r="J1121" s="87"/>
      <c r="K1121" s="87"/>
      <c r="L1121" s="87"/>
      <c r="M1121" s="87"/>
      <c r="N1121" s="87">
        <f t="shared" si="68"/>
        <v>0</v>
      </c>
      <c r="O1121" s="61">
        <f t="shared" si="69"/>
        <v>0</v>
      </c>
      <c r="P1121" s="61" t="b">
        <f t="shared" si="70"/>
        <v>1</v>
      </c>
      <c r="Q1121" s="87" t="b">
        <f>(Requirements!K1123="Normative")</f>
        <v>1</v>
      </c>
      <c r="R1121" s="87" t="b">
        <f>AND(Requirements!L1123&lt;&gt;"Non-testable",Requirements!L1123&lt;&gt;"Deleted",Requirements!L1123&lt;&gt;"")</f>
        <v>1</v>
      </c>
      <c r="S1121" s="87" t="b">
        <f>(VLOOKUP(Requirements!I1123,Scope[[Role]:[Description]],2,FALSE)="In")</f>
        <v>1</v>
      </c>
      <c r="T1121" s="87">
        <f t="shared" si="71"/>
        <v>0</v>
      </c>
    </row>
    <row r="1122" spans="1:20">
      <c r="A1122" s="84" t="str">
        <f>Requirements!A1124</f>
        <v>MS-SMB_R2073</v>
      </c>
      <c r="B1122" s="87"/>
      <c r="C1122" s="87"/>
      <c r="D1122" s="87"/>
      <c r="E1122" s="87"/>
      <c r="F1122" s="87"/>
      <c r="G1122" s="87"/>
      <c r="H1122" s="87"/>
      <c r="I1122" s="87"/>
      <c r="J1122" s="87"/>
      <c r="K1122" s="87"/>
      <c r="L1122" s="87"/>
      <c r="M1122" s="87">
        <v>1</v>
      </c>
      <c r="N1122" s="87">
        <f t="shared" si="68"/>
        <v>1</v>
      </c>
      <c r="O1122" s="60">
        <f t="shared" si="69"/>
        <v>1</v>
      </c>
      <c r="P1122" s="60" t="b">
        <f t="shared" si="70"/>
        <v>1</v>
      </c>
      <c r="Q1122" s="87" t="b">
        <f>(Requirements!K1124="Normative")</f>
        <v>1</v>
      </c>
      <c r="R1122" s="87" t="b">
        <f>AND(Requirements!L1124&lt;&gt;"Non-testable",Requirements!L1124&lt;&gt;"Deleted",Requirements!L1124&lt;&gt;"")</f>
        <v>1</v>
      </c>
      <c r="S1122" s="87" t="b">
        <f>(VLOOKUP(Requirements!I1124,Scope[[Role]:[Description]],2,FALSE)="In")</f>
        <v>1</v>
      </c>
      <c r="T1122" s="87">
        <f t="shared" si="71"/>
        <v>1</v>
      </c>
    </row>
    <row r="1123" spans="1:20">
      <c r="A1123" s="85" t="str">
        <f>Requirements!A1125</f>
        <v>MS-SMB_R4297</v>
      </c>
      <c r="B1123" s="87"/>
      <c r="C1123" s="87"/>
      <c r="D1123" s="87"/>
      <c r="E1123" s="87"/>
      <c r="F1123" s="87"/>
      <c r="G1123" s="87"/>
      <c r="H1123" s="87"/>
      <c r="I1123" s="87"/>
      <c r="J1123" s="87"/>
      <c r="K1123" s="87"/>
      <c r="L1123" s="87"/>
      <c r="M1123" s="87"/>
      <c r="N1123" s="87">
        <f t="shared" si="68"/>
        <v>0</v>
      </c>
      <c r="O1123" s="61">
        <f t="shared" si="69"/>
        <v>0</v>
      </c>
      <c r="P1123" s="61" t="b">
        <f t="shared" si="70"/>
        <v>1</v>
      </c>
      <c r="Q1123" s="87" t="b">
        <f>(Requirements!K1125="Normative")</f>
        <v>1</v>
      </c>
      <c r="R1123" s="87" t="b">
        <f>AND(Requirements!L1125&lt;&gt;"Non-testable",Requirements!L1125&lt;&gt;"Deleted",Requirements!L1125&lt;&gt;"")</f>
        <v>1</v>
      </c>
      <c r="S1123" s="87" t="b">
        <f>(VLOOKUP(Requirements!I1125,Scope[[Role]:[Description]],2,FALSE)="In")</f>
        <v>1</v>
      </c>
      <c r="T1123" s="87">
        <f t="shared" si="71"/>
        <v>0</v>
      </c>
    </row>
    <row r="1124" spans="1:20">
      <c r="A1124" s="84" t="str">
        <f>Requirements!A1126</f>
        <v>MS-SMB_R2076</v>
      </c>
      <c r="B1124" s="87"/>
      <c r="C1124" s="87"/>
      <c r="D1124" s="87"/>
      <c r="E1124" s="87"/>
      <c r="F1124" s="87"/>
      <c r="G1124" s="87"/>
      <c r="H1124" s="87"/>
      <c r="I1124" s="87"/>
      <c r="J1124" s="87"/>
      <c r="K1124" s="87"/>
      <c r="L1124" s="87"/>
      <c r="M1124" s="87">
        <v>1</v>
      </c>
      <c r="N1124" s="87">
        <f t="shared" si="68"/>
        <v>1</v>
      </c>
      <c r="O1124" s="60">
        <f t="shared" si="69"/>
        <v>1</v>
      </c>
      <c r="P1124" s="60" t="b">
        <f t="shared" si="70"/>
        <v>1</v>
      </c>
      <c r="Q1124" s="87" t="b">
        <f>(Requirements!K1126="Normative")</f>
        <v>1</v>
      </c>
      <c r="R1124" s="87" t="b">
        <f>AND(Requirements!L1126&lt;&gt;"Non-testable",Requirements!L1126&lt;&gt;"Deleted",Requirements!L1126&lt;&gt;"")</f>
        <v>1</v>
      </c>
      <c r="S1124" s="87" t="b">
        <f>(VLOOKUP(Requirements!I1126,Scope[[Role]:[Description]],2,FALSE)="In")</f>
        <v>1</v>
      </c>
      <c r="T1124" s="87">
        <f t="shared" si="71"/>
        <v>1</v>
      </c>
    </row>
    <row r="1125" spans="1:20">
      <c r="A1125" s="85" t="str">
        <f>Requirements!A1127</f>
        <v>MS-SMB_R4300</v>
      </c>
      <c r="B1125" s="87"/>
      <c r="C1125" s="87"/>
      <c r="D1125" s="87"/>
      <c r="E1125" s="87"/>
      <c r="F1125" s="87"/>
      <c r="G1125" s="87"/>
      <c r="H1125" s="87"/>
      <c r="I1125" s="87"/>
      <c r="J1125" s="87"/>
      <c r="K1125" s="87"/>
      <c r="L1125" s="87"/>
      <c r="M1125" s="87"/>
      <c r="N1125" s="87">
        <f t="shared" si="68"/>
        <v>0</v>
      </c>
      <c r="O1125" s="61">
        <f t="shared" si="69"/>
        <v>0</v>
      </c>
      <c r="P1125" s="61" t="b">
        <f t="shared" si="70"/>
        <v>1</v>
      </c>
      <c r="Q1125" s="87" t="b">
        <f>(Requirements!K1127="Normative")</f>
        <v>1</v>
      </c>
      <c r="R1125" s="87" t="b">
        <f>AND(Requirements!L1127&lt;&gt;"Non-testable",Requirements!L1127&lt;&gt;"Deleted",Requirements!L1127&lt;&gt;"")</f>
        <v>1</v>
      </c>
      <c r="S1125" s="87" t="b">
        <f>(VLOOKUP(Requirements!I1127,Scope[[Role]:[Description]],2,FALSE)="In")</f>
        <v>1</v>
      </c>
      <c r="T1125" s="87">
        <f t="shared" si="71"/>
        <v>0</v>
      </c>
    </row>
    <row r="1126" spans="1:20">
      <c r="A1126" s="85" t="str">
        <f>Requirements!A1128</f>
        <v>MS-SMB_R8421</v>
      </c>
      <c r="B1126" s="87"/>
      <c r="C1126" s="87"/>
      <c r="D1126" s="87"/>
      <c r="E1126" s="87"/>
      <c r="F1126" s="87"/>
      <c r="G1126" s="87"/>
      <c r="H1126" s="87"/>
      <c r="I1126" s="87"/>
      <c r="J1126" s="87"/>
      <c r="K1126" s="87"/>
      <c r="L1126" s="87"/>
      <c r="M1126" s="87"/>
      <c r="N1126" s="87">
        <f t="shared" si="68"/>
        <v>0</v>
      </c>
      <c r="O1126" s="61">
        <f t="shared" si="69"/>
        <v>0</v>
      </c>
      <c r="P1126" s="61" t="b">
        <f t="shared" si="70"/>
        <v>1</v>
      </c>
      <c r="Q1126" s="87" t="b">
        <f>(Requirements!K1128="Normative")</f>
        <v>1</v>
      </c>
      <c r="R1126" s="87" t="b">
        <f>AND(Requirements!L1128&lt;&gt;"Non-testable",Requirements!L1128&lt;&gt;"Deleted",Requirements!L1128&lt;&gt;"")</f>
        <v>1</v>
      </c>
      <c r="S1126" s="87" t="b">
        <f>(VLOOKUP(Requirements!I1128,Scope[[Role]:[Description]],2,FALSE)="In")</f>
        <v>1</v>
      </c>
      <c r="T1126" s="87">
        <f t="shared" si="71"/>
        <v>0</v>
      </c>
    </row>
    <row r="1127" spans="1:20">
      <c r="A1127" s="44" t="str">
        <f>Requirements!A1129</f>
        <v>MS-SMB_R8422</v>
      </c>
      <c r="B1127" s="87"/>
      <c r="C1127" s="87"/>
      <c r="D1127" s="87"/>
      <c r="E1127" s="87"/>
      <c r="F1127" s="87"/>
      <c r="G1127" s="87"/>
      <c r="H1127" s="87"/>
      <c r="I1127" s="87"/>
      <c r="J1127" s="87"/>
      <c r="K1127" s="87"/>
      <c r="L1127" s="87"/>
      <c r="M1127" s="87"/>
      <c r="N1127" s="87">
        <f t="shared" si="68"/>
        <v>0</v>
      </c>
      <c r="O1127" s="87">
        <f t="shared" si="69"/>
        <v>0</v>
      </c>
      <c r="P1127" s="87" t="b">
        <f t="shared" si="70"/>
        <v>0</v>
      </c>
      <c r="Q1127" s="87" t="b">
        <f>(Requirements!K1129="Normative")</f>
        <v>0</v>
      </c>
      <c r="R1127" s="87" t="b">
        <f>AND(Requirements!L1129&lt;&gt;"Non-testable",Requirements!L1129&lt;&gt;"Deleted",Requirements!L1129&lt;&gt;"")</f>
        <v>1</v>
      </c>
      <c r="S1127" s="87" t="b">
        <f>(VLOOKUP(Requirements!I1129,Scope[[Role]:[Description]],2,FALSE)="In")</f>
        <v>1</v>
      </c>
      <c r="T1127" s="87">
        <f t="shared" si="71"/>
        <v>0</v>
      </c>
    </row>
    <row r="1128" spans="1:20">
      <c r="A1128" s="85" t="str">
        <f>Requirements!A1130</f>
        <v>MS-SMB_R8423</v>
      </c>
      <c r="B1128" s="87"/>
      <c r="C1128" s="87"/>
      <c r="D1128" s="87"/>
      <c r="E1128" s="87"/>
      <c r="F1128" s="87"/>
      <c r="G1128" s="87"/>
      <c r="H1128" s="87"/>
      <c r="I1128" s="87"/>
      <c r="J1128" s="87"/>
      <c r="K1128" s="87"/>
      <c r="L1128" s="87"/>
      <c r="M1128" s="87"/>
      <c r="N1128" s="87">
        <f t="shared" si="68"/>
        <v>0</v>
      </c>
      <c r="O1128" s="61">
        <f t="shared" si="69"/>
        <v>0</v>
      </c>
      <c r="P1128" s="61" t="b">
        <f t="shared" si="70"/>
        <v>1</v>
      </c>
      <c r="Q1128" s="87" t="b">
        <f>(Requirements!K1130="Normative")</f>
        <v>1</v>
      </c>
      <c r="R1128" s="87" t="b">
        <f>AND(Requirements!L1130&lt;&gt;"Non-testable",Requirements!L1130&lt;&gt;"Deleted",Requirements!L1130&lt;&gt;"")</f>
        <v>1</v>
      </c>
      <c r="S1128" s="87" t="b">
        <f>(VLOOKUP(Requirements!I1130,Scope[[Role]:[Description]],2,FALSE)="In")</f>
        <v>1</v>
      </c>
      <c r="T1128" s="87">
        <f t="shared" si="71"/>
        <v>0</v>
      </c>
    </row>
    <row r="1129" spans="1:20">
      <c r="A1129" s="85" t="str">
        <f>Requirements!A1131</f>
        <v>MS-SMB_R8424</v>
      </c>
      <c r="B1129" s="87"/>
      <c r="C1129" s="87"/>
      <c r="D1129" s="87"/>
      <c r="E1129" s="87"/>
      <c r="F1129" s="87"/>
      <c r="G1129" s="87"/>
      <c r="H1129" s="87"/>
      <c r="I1129" s="87"/>
      <c r="J1129" s="87"/>
      <c r="K1129" s="87"/>
      <c r="L1129" s="87"/>
      <c r="M1129" s="87"/>
      <c r="N1129" s="87">
        <f t="shared" si="68"/>
        <v>0</v>
      </c>
      <c r="O1129" s="61">
        <f t="shared" si="69"/>
        <v>0</v>
      </c>
      <c r="P1129" s="61" t="b">
        <f t="shared" si="70"/>
        <v>1</v>
      </c>
      <c r="Q1129" s="87" t="b">
        <f>(Requirements!K1131="Normative")</f>
        <v>1</v>
      </c>
      <c r="R1129" s="87" t="b">
        <f>AND(Requirements!L1131&lt;&gt;"Non-testable",Requirements!L1131&lt;&gt;"Deleted",Requirements!L1131&lt;&gt;"")</f>
        <v>1</v>
      </c>
      <c r="S1129" s="87" t="b">
        <f>(VLOOKUP(Requirements!I1131,Scope[[Role]:[Description]],2,FALSE)="In")</f>
        <v>1</v>
      </c>
      <c r="T1129" s="87">
        <f t="shared" si="71"/>
        <v>0</v>
      </c>
    </row>
    <row r="1130" spans="1:20">
      <c r="A1130" s="85" t="str">
        <f>Requirements!A1132</f>
        <v>MS-SMB_R8425</v>
      </c>
      <c r="B1130" s="87"/>
      <c r="C1130" s="87"/>
      <c r="D1130" s="87"/>
      <c r="E1130" s="87"/>
      <c r="F1130" s="87"/>
      <c r="G1130" s="87"/>
      <c r="H1130" s="87"/>
      <c r="I1130" s="87"/>
      <c r="J1130" s="87"/>
      <c r="K1130" s="87"/>
      <c r="L1130" s="87"/>
      <c r="M1130" s="87"/>
      <c r="N1130" s="87">
        <f t="shared" si="68"/>
        <v>0</v>
      </c>
      <c r="O1130" s="61">
        <f t="shared" si="69"/>
        <v>0</v>
      </c>
      <c r="P1130" s="61" t="b">
        <f t="shared" si="70"/>
        <v>1</v>
      </c>
      <c r="Q1130" s="87" t="b">
        <f>(Requirements!K1132="Normative")</f>
        <v>1</v>
      </c>
      <c r="R1130" s="87" t="b">
        <f>AND(Requirements!L1132&lt;&gt;"Non-testable",Requirements!L1132&lt;&gt;"Deleted",Requirements!L1132&lt;&gt;"")</f>
        <v>1</v>
      </c>
      <c r="S1130" s="87" t="b">
        <f>(VLOOKUP(Requirements!I1132,Scope[[Role]:[Description]],2,FALSE)="In")</f>
        <v>1</v>
      </c>
      <c r="T1130" s="87">
        <f t="shared" si="71"/>
        <v>0</v>
      </c>
    </row>
    <row r="1131" spans="1:20">
      <c r="A1131" s="85" t="str">
        <f>Requirements!A1133</f>
        <v>MS-SMB_R8426</v>
      </c>
      <c r="B1131" s="87"/>
      <c r="C1131" s="87"/>
      <c r="D1131" s="87"/>
      <c r="E1131" s="87"/>
      <c r="F1131" s="87"/>
      <c r="G1131" s="87"/>
      <c r="H1131" s="87"/>
      <c r="I1131" s="87"/>
      <c r="J1131" s="87"/>
      <c r="K1131" s="87"/>
      <c r="L1131" s="87"/>
      <c r="M1131" s="87"/>
      <c r="N1131" s="87">
        <f t="shared" si="68"/>
        <v>0</v>
      </c>
      <c r="O1131" s="61">
        <f t="shared" si="69"/>
        <v>0</v>
      </c>
      <c r="P1131" s="61" t="b">
        <f t="shared" si="70"/>
        <v>1</v>
      </c>
      <c r="Q1131" s="87" t="b">
        <f>(Requirements!K1133="Normative")</f>
        <v>1</v>
      </c>
      <c r="R1131" s="87" t="b">
        <f>AND(Requirements!L1133&lt;&gt;"Non-testable",Requirements!L1133&lt;&gt;"Deleted",Requirements!L1133&lt;&gt;"")</f>
        <v>1</v>
      </c>
      <c r="S1131" s="87" t="b">
        <f>(VLOOKUP(Requirements!I1133,Scope[[Role]:[Description]],2,FALSE)="In")</f>
        <v>1</v>
      </c>
      <c r="T1131" s="87">
        <f t="shared" si="71"/>
        <v>0</v>
      </c>
    </row>
    <row r="1132" spans="1:20">
      <c r="A1132" s="85" t="str">
        <f>Requirements!A1134</f>
        <v>MS-SMB_R8427</v>
      </c>
      <c r="B1132" s="87"/>
      <c r="C1132" s="87"/>
      <c r="D1132" s="87"/>
      <c r="E1132" s="87"/>
      <c r="F1132" s="87"/>
      <c r="G1132" s="87"/>
      <c r="H1132" s="87"/>
      <c r="I1132" s="87"/>
      <c r="J1132" s="87"/>
      <c r="K1132" s="87"/>
      <c r="L1132" s="87"/>
      <c r="M1132" s="87"/>
      <c r="N1132" s="87">
        <f t="shared" si="68"/>
        <v>0</v>
      </c>
      <c r="O1132" s="61">
        <f t="shared" si="69"/>
        <v>0</v>
      </c>
      <c r="P1132" s="61" t="b">
        <f t="shared" si="70"/>
        <v>1</v>
      </c>
      <c r="Q1132" s="87" t="b">
        <f>(Requirements!K1134="Normative")</f>
        <v>1</v>
      </c>
      <c r="R1132" s="87" t="b">
        <f>AND(Requirements!L1134&lt;&gt;"Non-testable",Requirements!L1134&lt;&gt;"Deleted",Requirements!L1134&lt;&gt;"")</f>
        <v>1</v>
      </c>
      <c r="S1132" s="87" t="b">
        <f>(VLOOKUP(Requirements!I1134,Scope[[Role]:[Description]],2,FALSE)="In")</f>
        <v>1</v>
      </c>
      <c r="T1132" s="87">
        <f t="shared" si="71"/>
        <v>0</v>
      </c>
    </row>
    <row r="1133" spans="1:20">
      <c r="A1133" s="85" t="str">
        <f>Requirements!A1135</f>
        <v>MS-SMB_R8428</v>
      </c>
      <c r="B1133" s="87"/>
      <c r="C1133" s="87"/>
      <c r="D1133" s="87"/>
      <c r="E1133" s="87"/>
      <c r="F1133" s="87"/>
      <c r="G1133" s="87"/>
      <c r="H1133" s="87"/>
      <c r="I1133" s="87"/>
      <c r="J1133" s="87"/>
      <c r="K1133" s="87"/>
      <c r="L1133" s="87"/>
      <c r="M1133" s="87"/>
      <c r="N1133" s="87">
        <f t="shared" si="68"/>
        <v>0</v>
      </c>
      <c r="O1133" s="61">
        <f t="shared" si="69"/>
        <v>0</v>
      </c>
      <c r="P1133" s="61" t="b">
        <f t="shared" si="70"/>
        <v>1</v>
      </c>
      <c r="Q1133" s="87" t="b">
        <f>(Requirements!K1135="Normative")</f>
        <v>1</v>
      </c>
      <c r="R1133" s="87" t="b">
        <f>AND(Requirements!L1135&lt;&gt;"Non-testable",Requirements!L1135&lt;&gt;"Deleted",Requirements!L1135&lt;&gt;"")</f>
        <v>1</v>
      </c>
      <c r="S1133" s="87" t="b">
        <f>(VLOOKUP(Requirements!I1135,Scope[[Role]:[Description]],2,FALSE)="In")</f>
        <v>1</v>
      </c>
      <c r="T1133" s="87">
        <f t="shared" si="71"/>
        <v>0</v>
      </c>
    </row>
    <row r="1134" spans="1:20">
      <c r="A1134" s="85" t="str">
        <f>Requirements!A1136</f>
        <v>MS-SMB_R8429</v>
      </c>
      <c r="B1134" s="87"/>
      <c r="C1134" s="87"/>
      <c r="D1134" s="87"/>
      <c r="E1134" s="87"/>
      <c r="F1134" s="87"/>
      <c r="G1134" s="87"/>
      <c r="H1134" s="87"/>
      <c r="I1134" s="87"/>
      <c r="J1134" s="87"/>
      <c r="K1134" s="87"/>
      <c r="L1134" s="87"/>
      <c r="M1134" s="87"/>
      <c r="N1134" s="87">
        <f t="shared" si="68"/>
        <v>0</v>
      </c>
      <c r="O1134" s="61">
        <f t="shared" si="69"/>
        <v>0</v>
      </c>
      <c r="P1134" s="61" t="b">
        <f t="shared" si="70"/>
        <v>1</v>
      </c>
      <c r="Q1134" s="87" t="b">
        <f>(Requirements!K1136="Normative")</f>
        <v>1</v>
      </c>
      <c r="R1134" s="87" t="b">
        <f>AND(Requirements!L1136&lt;&gt;"Non-testable",Requirements!L1136&lt;&gt;"Deleted",Requirements!L1136&lt;&gt;"")</f>
        <v>1</v>
      </c>
      <c r="S1134" s="87" t="b">
        <f>(VLOOKUP(Requirements!I1136,Scope[[Role]:[Description]],2,FALSE)="In")</f>
        <v>1</v>
      </c>
      <c r="T1134" s="87">
        <f t="shared" si="71"/>
        <v>0</v>
      </c>
    </row>
    <row r="1135" spans="1:20">
      <c r="A1135" s="84" t="str">
        <f>Requirements!A1137</f>
        <v>MS-SMB_R8430</v>
      </c>
      <c r="B1135" s="87"/>
      <c r="C1135" s="87"/>
      <c r="D1135" s="87"/>
      <c r="E1135" s="87"/>
      <c r="F1135" s="87"/>
      <c r="G1135" s="87"/>
      <c r="H1135" s="87"/>
      <c r="I1135" s="87"/>
      <c r="J1135" s="87"/>
      <c r="K1135" s="87"/>
      <c r="L1135" s="87"/>
      <c r="M1135" s="87">
        <v>1</v>
      </c>
      <c r="N1135" s="87">
        <f t="shared" si="68"/>
        <v>1</v>
      </c>
      <c r="O1135" s="60">
        <f t="shared" si="69"/>
        <v>1</v>
      </c>
      <c r="P1135" s="60" t="b">
        <f t="shared" si="70"/>
        <v>1</v>
      </c>
      <c r="Q1135" s="87" t="b">
        <f>(Requirements!K1137="Normative")</f>
        <v>1</v>
      </c>
      <c r="R1135" s="87" t="b">
        <f>AND(Requirements!L1137&lt;&gt;"Non-testable",Requirements!L1137&lt;&gt;"Deleted",Requirements!L1137&lt;&gt;"")</f>
        <v>1</v>
      </c>
      <c r="S1135" s="87" t="b">
        <f>(VLOOKUP(Requirements!I1137,Scope[[Role]:[Description]],2,FALSE)="In")</f>
        <v>1</v>
      </c>
      <c r="T1135" s="87">
        <f t="shared" si="71"/>
        <v>1</v>
      </c>
    </row>
    <row r="1136" spans="1:20">
      <c r="A1136" s="85" t="str">
        <f>Requirements!A1138</f>
        <v>MS-SMB_R4317</v>
      </c>
      <c r="B1136" s="87"/>
      <c r="C1136" s="87"/>
      <c r="D1136" s="87"/>
      <c r="E1136" s="87"/>
      <c r="F1136" s="87"/>
      <c r="G1136" s="87"/>
      <c r="H1136" s="87"/>
      <c r="I1136" s="87"/>
      <c r="J1136" s="87"/>
      <c r="K1136" s="87"/>
      <c r="L1136" s="87"/>
      <c r="M1136" s="87"/>
      <c r="N1136" s="87">
        <f t="shared" si="68"/>
        <v>0</v>
      </c>
      <c r="O1136" s="61">
        <f t="shared" si="69"/>
        <v>0</v>
      </c>
      <c r="P1136" s="61" t="b">
        <f t="shared" si="70"/>
        <v>1</v>
      </c>
      <c r="Q1136" s="87" t="b">
        <f>(Requirements!K1138="Normative")</f>
        <v>1</v>
      </c>
      <c r="R1136" s="87" t="b">
        <f>AND(Requirements!L1138&lt;&gt;"Non-testable",Requirements!L1138&lt;&gt;"Deleted",Requirements!L1138&lt;&gt;"")</f>
        <v>1</v>
      </c>
      <c r="S1136" s="87" t="b">
        <f>(VLOOKUP(Requirements!I1138,Scope[[Role]:[Description]],2,FALSE)="In")</f>
        <v>1</v>
      </c>
      <c r="T1136" s="87">
        <f t="shared" si="71"/>
        <v>0</v>
      </c>
    </row>
    <row r="1137" spans="1:20">
      <c r="A1137" s="44" t="str">
        <f>Requirements!A1139</f>
        <v>MS-SMB_R8431</v>
      </c>
      <c r="B1137" s="87"/>
      <c r="C1137" s="87"/>
      <c r="D1137" s="87"/>
      <c r="E1137" s="87"/>
      <c r="F1137" s="87"/>
      <c r="G1137" s="87"/>
      <c r="H1137" s="87"/>
      <c r="I1137" s="87"/>
      <c r="J1137" s="87"/>
      <c r="K1137" s="87"/>
      <c r="L1137" s="87"/>
      <c r="M1137" s="87"/>
      <c r="N1137" s="87">
        <f t="shared" si="68"/>
        <v>0</v>
      </c>
      <c r="O1137" s="87">
        <f t="shared" si="69"/>
        <v>0</v>
      </c>
      <c r="P1137" s="87" t="b">
        <f t="shared" si="70"/>
        <v>0</v>
      </c>
      <c r="Q1137" s="87" t="b">
        <f>(Requirements!K1139="Normative")</f>
        <v>0</v>
      </c>
      <c r="R1137" s="87" t="b">
        <f>AND(Requirements!L1139&lt;&gt;"Non-testable",Requirements!L1139&lt;&gt;"Deleted",Requirements!L1139&lt;&gt;"")</f>
        <v>1</v>
      </c>
      <c r="S1137" s="87" t="b">
        <f>(VLOOKUP(Requirements!I1139,Scope[[Role]:[Description]],2,FALSE)="In")</f>
        <v>1</v>
      </c>
      <c r="T1137" s="87">
        <f t="shared" si="71"/>
        <v>0</v>
      </c>
    </row>
    <row r="1138" spans="1:20">
      <c r="A1138" s="85" t="str">
        <f>Requirements!A1140</f>
        <v>MS-SMB_R8432</v>
      </c>
      <c r="B1138" s="87"/>
      <c r="C1138" s="87"/>
      <c r="D1138" s="87"/>
      <c r="E1138" s="87"/>
      <c r="F1138" s="87"/>
      <c r="G1138" s="87"/>
      <c r="H1138" s="87"/>
      <c r="I1138" s="87"/>
      <c r="J1138" s="87"/>
      <c r="K1138" s="87"/>
      <c r="L1138" s="87"/>
      <c r="M1138" s="87"/>
      <c r="N1138" s="87">
        <f t="shared" si="68"/>
        <v>0</v>
      </c>
      <c r="O1138" s="61">
        <f t="shared" si="69"/>
        <v>0</v>
      </c>
      <c r="P1138" s="61" t="b">
        <f t="shared" si="70"/>
        <v>1</v>
      </c>
      <c r="Q1138" s="87" t="b">
        <f>(Requirements!K1140="Normative")</f>
        <v>1</v>
      </c>
      <c r="R1138" s="87" t="b">
        <f>AND(Requirements!L1140&lt;&gt;"Non-testable",Requirements!L1140&lt;&gt;"Deleted",Requirements!L1140&lt;&gt;"")</f>
        <v>1</v>
      </c>
      <c r="S1138" s="87" t="b">
        <f>(VLOOKUP(Requirements!I1140,Scope[[Role]:[Description]],2,FALSE)="In")</f>
        <v>1</v>
      </c>
      <c r="T1138" s="87">
        <f t="shared" si="71"/>
        <v>0</v>
      </c>
    </row>
    <row r="1139" spans="1:20">
      <c r="A1139" s="85" t="str">
        <f>Requirements!A1141</f>
        <v>MS-SMB_R8433</v>
      </c>
      <c r="B1139" s="87"/>
      <c r="C1139" s="87"/>
      <c r="D1139" s="87"/>
      <c r="E1139" s="87"/>
      <c r="F1139" s="87"/>
      <c r="G1139" s="87"/>
      <c r="H1139" s="87"/>
      <c r="I1139" s="87"/>
      <c r="J1139" s="87"/>
      <c r="K1139" s="87"/>
      <c r="L1139" s="87"/>
      <c r="M1139" s="87"/>
      <c r="N1139" s="87">
        <f t="shared" si="68"/>
        <v>0</v>
      </c>
      <c r="O1139" s="61">
        <f t="shared" si="69"/>
        <v>0</v>
      </c>
      <c r="P1139" s="61" t="b">
        <f t="shared" si="70"/>
        <v>1</v>
      </c>
      <c r="Q1139" s="87" t="b">
        <f>(Requirements!K1141="Normative")</f>
        <v>1</v>
      </c>
      <c r="R1139" s="87" t="b">
        <f>AND(Requirements!L1141&lt;&gt;"Non-testable",Requirements!L1141&lt;&gt;"Deleted",Requirements!L1141&lt;&gt;"")</f>
        <v>1</v>
      </c>
      <c r="S1139" s="87" t="b">
        <f>(VLOOKUP(Requirements!I1141,Scope[[Role]:[Description]],2,FALSE)="In")</f>
        <v>1</v>
      </c>
      <c r="T1139" s="87">
        <f t="shared" si="71"/>
        <v>0</v>
      </c>
    </row>
    <row r="1140" spans="1:20">
      <c r="A1140" s="85" t="str">
        <f>Requirements!A1142</f>
        <v>MS-SMB_R8434</v>
      </c>
      <c r="B1140" s="87"/>
      <c r="C1140" s="87"/>
      <c r="D1140" s="87"/>
      <c r="E1140" s="87"/>
      <c r="F1140" s="87"/>
      <c r="G1140" s="87"/>
      <c r="H1140" s="87"/>
      <c r="I1140" s="87"/>
      <c r="J1140" s="87"/>
      <c r="K1140" s="87"/>
      <c r="L1140" s="87"/>
      <c r="M1140" s="87"/>
      <c r="N1140" s="87">
        <f t="shared" si="68"/>
        <v>0</v>
      </c>
      <c r="O1140" s="61">
        <f t="shared" si="69"/>
        <v>0</v>
      </c>
      <c r="P1140" s="61" t="b">
        <f t="shared" si="70"/>
        <v>1</v>
      </c>
      <c r="Q1140" s="87" t="b">
        <f>(Requirements!K1142="Normative")</f>
        <v>1</v>
      </c>
      <c r="R1140" s="87" t="b">
        <f>AND(Requirements!L1142&lt;&gt;"Non-testable",Requirements!L1142&lt;&gt;"Deleted",Requirements!L1142&lt;&gt;"")</f>
        <v>1</v>
      </c>
      <c r="S1140" s="87" t="b">
        <f>(VLOOKUP(Requirements!I1142,Scope[[Role]:[Description]],2,FALSE)="In")</f>
        <v>1</v>
      </c>
      <c r="T1140" s="87">
        <f t="shared" si="71"/>
        <v>0</v>
      </c>
    </row>
    <row r="1141" spans="1:20">
      <c r="A1141" s="85" t="str">
        <f>Requirements!A1143</f>
        <v>MS-SMB_R8435</v>
      </c>
      <c r="B1141" s="87"/>
      <c r="C1141" s="87"/>
      <c r="D1141" s="87"/>
      <c r="E1141" s="87"/>
      <c r="F1141" s="87"/>
      <c r="G1141" s="87"/>
      <c r="H1141" s="87"/>
      <c r="I1141" s="87"/>
      <c r="J1141" s="87"/>
      <c r="K1141" s="87"/>
      <c r="L1141" s="87"/>
      <c r="M1141" s="87"/>
      <c r="N1141" s="87">
        <f t="shared" si="68"/>
        <v>0</v>
      </c>
      <c r="O1141" s="61">
        <f t="shared" si="69"/>
        <v>0</v>
      </c>
      <c r="P1141" s="61" t="b">
        <f t="shared" si="70"/>
        <v>1</v>
      </c>
      <c r="Q1141" s="87" t="b">
        <f>(Requirements!K1143="Normative")</f>
        <v>1</v>
      </c>
      <c r="R1141" s="87" t="b">
        <f>AND(Requirements!L1143&lt;&gt;"Non-testable",Requirements!L1143&lt;&gt;"Deleted",Requirements!L1143&lt;&gt;"")</f>
        <v>1</v>
      </c>
      <c r="S1141" s="87" t="b">
        <f>(VLOOKUP(Requirements!I1143,Scope[[Role]:[Description]],2,FALSE)="In")</f>
        <v>1</v>
      </c>
      <c r="T1141" s="87">
        <f t="shared" si="71"/>
        <v>0</v>
      </c>
    </row>
    <row r="1142" spans="1:20">
      <c r="A1142" s="85" t="str">
        <f>Requirements!A1144</f>
        <v>MS-SMB_R8436</v>
      </c>
      <c r="B1142" s="87"/>
      <c r="C1142" s="87"/>
      <c r="D1142" s="87"/>
      <c r="E1142" s="87"/>
      <c r="F1142" s="87"/>
      <c r="G1142" s="87"/>
      <c r="H1142" s="87"/>
      <c r="I1142" s="87"/>
      <c r="J1142" s="87"/>
      <c r="K1142" s="87"/>
      <c r="L1142" s="87"/>
      <c r="M1142" s="87"/>
      <c r="N1142" s="87">
        <f t="shared" si="68"/>
        <v>0</v>
      </c>
      <c r="O1142" s="61">
        <f t="shared" si="69"/>
        <v>0</v>
      </c>
      <c r="P1142" s="61" t="b">
        <f t="shared" si="70"/>
        <v>1</v>
      </c>
      <c r="Q1142" s="87" t="b">
        <f>(Requirements!K1144="Normative")</f>
        <v>1</v>
      </c>
      <c r="R1142" s="87" t="b">
        <f>AND(Requirements!L1144&lt;&gt;"Non-testable",Requirements!L1144&lt;&gt;"Deleted",Requirements!L1144&lt;&gt;"")</f>
        <v>1</v>
      </c>
      <c r="S1142" s="87" t="b">
        <f>(VLOOKUP(Requirements!I1144,Scope[[Role]:[Description]],2,FALSE)="In")</f>
        <v>1</v>
      </c>
      <c r="T1142" s="87">
        <f t="shared" si="71"/>
        <v>0</v>
      </c>
    </row>
    <row r="1143" spans="1:20">
      <c r="A1143" s="85" t="str">
        <f>Requirements!A1145</f>
        <v>MS-SMB_R8437</v>
      </c>
      <c r="B1143" s="87"/>
      <c r="C1143" s="87"/>
      <c r="D1143" s="87"/>
      <c r="E1143" s="87"/>
      <c r="F1143" s="87"/>
      <c r="G1143" s="87"/>
      <c r="H1143" s="87"/>
      <c r="I1143" s="87"/>
      <c r="J1143" s="87"/>
      <c r="K1143" s="87"/>
      <c r="L1143" s="87"/>
      <c r="M1143" s="87"/>
      <c r="N1143" s="87">
        <f t="shared" si="68"/>
        <v>0</v>
      </c>
      <c r="O1143" s="61">
        <f t="shared" si="69"/>
        <v>0</v>
      </c>
      <c r="P1143" s="61" t="b">
        <f t="shared" si="70"/>
        <v>1</v>
      </c>
      <c r="Q1143" s="87" t="b">
        <f>(Requirements!K1145="Normative")</f>
        <v>1</v>
      </c>
      <c r="R1143" s="87" t="b">
        <f>AND(Requirements!L1145&lt;&gt;"Non-testable",Requirements!L1145&lt;&gt;"Deleted",Requirements!L1145&lt;&gt;"")</f>
        <v>1</v>
      </c>
      <c r="S1143" s="87" t="b">
        <f>(VLOOKUP(Requirements!I1145,Scope[[Role]:[Description]],2,FALSE)="In")</f>
        <v>1</v>
      </c>
      <c r="T1143" s="87">
        <f t="shared" si="71"/>
        <v>0</v>
      </c>
    </row>
    <row r="1144" spans="1:20">
      <c r="A1144" s="84" t="str">
        <f>Requirements!A1146</f>
        <v>MS-SMB_R8438</v>
      </c>
      <c r="B1144" s="87"/>
      <c r="C1144" s="87"/>
      <c r="D1144" s="87"/>
      <c r="E1144" s="87"/>
      <c r="F1144" s="87"/>
      <c r="G1144" s="87"/>
      <c r="H1144" s="87"/>
      <c r="I1144" s="87"/>
      <c r="J1144" s="87"/>
      <c r="K1144" s="87"/>
      <c r="L1144" s="87"/>
      <c r="M1144" s="87">
        <v>1</v>
      </c>
      <c r="N1144" s="87">
        <f t="shared" si="68"/>
        <v>1</v>
      </c>
      <c r="O1144" s="60">
        <f t="shared" si="69"/>
        <v>1</v>
      </c>
      <c r="P1144" s="60" t="b">
        <f t="shared" si="70"/>
        <v>1</v>
      </c>
      <c r="Q1144" s="87" t="b">
        <f>(Requirements!K1146="Normative")</f>
        <v>1</v>
      </c>
      <c r="R1144" s="87" t="b">
        <f>AND(Requirements!L1146&lt;&gt;"Non-testable",Requirements!L1146&lt;&gt;"Deleted",Requirements!L1146&lt;&gt;"")</f>
        <v>1</v>
      </c>
      <c r="S1144" s="87" t="b">
        <f>(VLOOKUP(Requirements!I1146,Scope[[Role]:[Description]],2,FALSE)="In")</f>
        <v>1</v>
      </c>
      <c r="T1144" s="87">
        <f t="shared" si="71"/>
        <v>1</v>
      </c>
    </row>
    <row r="1145" spans="1:20">
      <c r="A1145" s="85" t="str">
        <f>Requirements!A1147</f>
        <v>MS-SMB_R8157</v>
      </c>
      <c r="B1145" s="87"/>
      <c r="C1145" s="87"/>
      <c r="D1145" s="87"/>
      <c r="E1145" s="87"/>
      <c r="F1145" s="87"/>
      <c r="G1145" s="87"/>
      <c r="H1145" s="87"/>
      <c r="I1145" s="87"/>
      <c r="J1145" s="87"/>
      <c r="K1145" s="87"/>
      <c r="L1145" s="87"/>
      <c r="M1145" s="87"/>
      <c r="N1145" s="87">
        <f t="shared" si="68"/>
        <v>0</v>
      </c>
      <c r="O1145" s="61">
        <f t="shared" si="69"/>
        <v>0</v>
      </c>
      <c r="P1145" s="61" t="b">
        <f t="shared" si="70"/>
        <v>1</v>
      </c>
      <c r="Q1145" s="87" t="b">
        <f>(Requirements!K1147="Normative")</f>
        <v>1</v>
      </c>
      <c r="R1145" s="87" t="b">
        <f>AND(Requirements!L1147&lt;&gt;"Non-testable",Requirements!L1147&lt;&gt;"Deleted",Requirements!L1147&lt;&gt;"")</f>
        <v>1</v>
      </c>
      <c r="S1145" s="87" t="b">
        <f>(VLOOKUP(Requirements!I1147,Scope[[Role]:[Description]],2,FALSE)="In")</f>
        <v>1</v>
      </c>
      <c r="T1145" s="87">
        <f t="shared" si="71"/>
        <v>0</v>
      </c>
    </row>
    <row r="1146" spans="1:20">
      <c r="A1146" s="85" t="str">
        <f>Requirements!A1148</f>
        <v>MS-SMB_R8158</v>
      </c>
      <c r="B1146" s="87"/>
      <c r="C1146" s="87"/>
      <c r="D1146" s="87"/>
      <c r="E1146" s="87"/>
      <c r="F1146" s="87"/>
      <c r="G1146" s="87"/>
      <c r="H1146" s="87"/>
      <c r="I1146" s="87"/>
      <c r="J1146" s="87"/>
      <c r="K1146" s="87"/>
      <c r="L1146" s="87"/>
      <c r="M1146" s="87"/>
      <c r="N1146" s="87">
        <f t="shared" si="68"/>
        <v>0</v>
      </c>
      <c r="O1146" s="61">
        <f t="shared" si="69"/>
        <v>0</v>
      </c>
      <c r="P1146" s="61" t="b">
        <f t="shared" si="70"/>
        <v>1</v>
      </c>
      <c r="Q1146" s="87" t="b">
        <f>(Requirements!K1148="Normative")</f>
        <v>1</v>
      </c>
      <c r="R1146" s="87" t="b">
        <f>AND(Requirements!L1148&lt;&gt;"Non-testable",Requirements!L1148&lt;&gt;"Deleted",Requirements!L1148&lt;&gt;"")</f>
        <v>1</v>
      </c>
      <c r="S1146" s="87" t="b">
        <f>(VLOOKUP(Requirements!I1148,Scope[[Role]:[Description]],2,FALSE)="In")</f>
        <v>1</v>
      </c>
      <c r="T1146" s="87">
        <f t="shared" si="71"/>
        <v>0</v>
      </c>
    </row>
    <row r="1147" spans="1:20">
      <c r="A1147" s="85" t="str">
        <f>Requirements!A1149</f>
        <v>MS-SMB_R8159</v>
      </c>
      <c r="B1147" s="87"/>
      <c r="C1147" s="87"/>
      <c r="D1147" s="87"/>
      <c r="E1147" s="87"/>
      <c r="F1147" s="87"/>
      <c r="G1147" s="87"/>
      <c r="H1147" s="87"/>
      <c r="I1147" s="87"/>
      <c r="J1147" s="87"/>
      <c r="K1147" s="87"/>
      <c r="L1147" s="87"/>
      <c r="M1147" s="87"/>
      <c r="N1147" s="87">
        <f t="shared" si="68"/>
        <v>0</v>
      </c>
      <c r="O1147" s="61">
        <f t="shared" si="69"/>
        <v>0</v>
      </c>
      <c r="P1147" s="61" t="b">
        <f t="shared" si="70"/>
        <v>1</v>
      </c>
      <c r="Q1147" s="87" t="b">
        <f>(Requirements!K1149="Normative")</f>
        <v>1</v>
      </c>
      <c r="R1147" s="87" t="b">
        <f>AND(Requirements!L1149&lt;&gt;"Non-testable",Requirements!L1149&lt;&gt;"Deleted",Requirements!L1149&lt;&gt;"")</f>
        <v>1</v>
      </c>
      <c r="S1147" s="87" t="b">
        <f>(VLOOKUP(Requirements!I1149,Scope[[Role]:[Description]],2,FALSE)="In")</f>
        <v>1</v>
      </c>
      <c r="T1147" s="87">
        <f t="shared" si="71"/>
        <v>0</v>
      </c>
    </row>
    <row r="1148" spans="1:20">
      <c r="A1148" s="85" t="str">
        <f>Requirements!A1150</f>
        <v>MS-SMB_R118160</v>
      </c>
      <c r="B1148" s="87"/>
      <c r="C1148" s="87"/>
      <c r="D1148" s="87"/>
      <c r="E1148" s="87"/>
      <c r="F1148" s="87"/>
      <c r="G1148" s="87"/>
      <c r="H1148" s="87"/>
      <c r="I1148" s="87"/>
      <c r="J1148" s="87"/>
      <c r="K1148" s="87"/>
      <c r="L1148" s="87"/>
      <c r="M1148" s="87"/>
      <c r="N1148" s="87">
        <f t="shared" si="68"/>
        <v>0</v>
      </c>
      <c r="O1148" s="61">
        <f t="shared" si="69"/>
        <v>0</v>
      </c>
      <c r="P1148" s="61" t="b">
        <f t="shared" si="70"/>
        <v>1</v>
      </c>
      <c r="Q1148" s="87" t="b">
        <f>(Requirements!K1150="Normative")</f>
        <v>1</v>
      </c>
      <c r="R1148" s="87" t="b">
        <f>AND(Requirements!L1150&lt;&gt;"Non-testable",Requirements!L1150&lt;&gt;"Deleted",Requirements!L1150&lt;&gt;"")</f>
        <v>1</v>
      </c>
      <c r="S1148" s="87" t="b">
        <f>(VLOOKUP(Requirements!I1150,Scope[[Role]:[Description]],2,FALSE)="In")</f>
        <v>1</v>
      </c>
      <c r="T1148" s="87">
        <f t="shared" si="71"/>
        <v>0</v>
      </c>
    </row>
    <row r="1149" spans="1:20">
      <c r="A1149" s="44" t="str">
        <f>Requirements!A1151</f>
        <v>MS-SMB_R8439</v>
      </c>
      <c r="B1149" s="87"/>
      <c r="C1149" s="87"/>
      <c r="D1149" s="87"/>
      <c r="E1149" s="87"/>
      <c r="F1149" s="87"/>
      <c r="G1149" s="87"/>
      <c r="H1149" s="87"/>
      <c r="I1149" s="87"/>
      <c r="J1149" s="87"/>
      <c r="K1149" s="87"/>
      <c r="L1149" s="87"/>
      <c r="M1149" s="87"/>
      <c r="N1149" s="87">
        <f t="shared" si="68"/>
        <v>0</v>
      </c>
      <c r="O1149" s="87">
        <f t="shared" si="69"/>
        <v>0</v>
      </c>
      <c r="P1149" s="87" t="b">
        <f t="shared" si="70"/>
        <v>0</v>
      </c>
      <c r="Q1149" s="87" t="b">
        <f>(Requirements!K1151="Normative")</f>
        <v>0</v>
      </c>
      <c r="R1149" s="87" t="b">
        <f>AND(Requirements!L1151&lt;&gt;"Non-testable",Requirements!L1151&lt;&gt;"Deleted",Requirements!L1151&lt;&gt;"")</f>
        <v>1</v>
      </c>
      <c r="S1149" s="87" t="b">
        <f>(VLOOKUP(Requirements!I1151,Scope[[Role]:[Description]],2,FALSE)="In")</f>
        <v>1</v>
      </c>
      <c r="T1149" s="87">
        <f t="shared" si="71"/>
        <v>0</v>
      </c>
    </row>
    <row r="1150" spans="1:20">
      <c r="A1150" s="85" t="str">
        <f>Requirements!A1152</f>
        <v>MS-SMB_R8440</v>
      </c>
      <c r="B1150" s="87"/>
      <c r="C1150" s="87"/>
      <c r="D1150" s="87"/>
      <c r="E1150" s="87"/>
      <c r="F1150" s="87"/>
      <c r="G1150" s="87"/>
      <c r="H1150" s="87"/>
      <c r="I1150" s="87"/>
      <c r="J1150" s="87"/>
      <c r="K1150" s="87"/>
      <c r="L1150" s="87"/>
      <c r="M1150" s="87"/>
      <c r="N1150" s="87">
        <f t="shared" si="68"/>
        <v>0</v>
      </c>
      <c r="O1150" s="61">
        <f t="shared" si="69"/>
        <v>0</v>
      </c>
      <c r="P1150" s="61" t="b">
        <f t="shared" si="70"/>
        <v>1</v>
      </c>
      <c r="Q1150" s="87" t="b">
        <f>(Requirements!K1152="Normative")</f>
        <v>1</v>
      </c>
      <c r="R1150" s="87" t="b">
        <f>AND(Requirements!L1152&lt;&gt;"Non-testable",Requirements!L1152&lt;&gt;"Deleted",Requirements!L1152&lt;&gt;"")</f>
        <v>1</v>
      </c>
      <c r="S1150" s="87" t="b">
        <f>(VLOOKUP(Requirements!I1152,Scope[[Role]:[Description]],2,FALSE)="In")</f>
        <v>1</v>
      </c>
      <c r="T1150" s="87">
        <f t="shared" si="71"/>
        <v>0</v>
      </c>
    </row>
    <row r="1151" spans="1:20">
      <c r="A1151" s="85" t="str">
        <f>Requirements!A1153</f>
        <v>MS-SMB_R8441</v>
      </c>
      <c r="B1151" s="87"/>
      <c r="C1151" s="87"/>
      <c r="D1151" s="87"/>
      <c r="E1151" s="87"/>
      <c r="F1151" s="87"/>
      <c r="G1151" s="87"/>
      <c r="H1151" s="87"/>
      <c r="I1151" s="87"/>
      <c r="J1151" s="87"/>
      <c r="K1151" s="87"/>
      <c r="L1151" s="87"/>
      <c r="M1151" s="87"/>
      <c r="N1151" s="87">
        <f t="shared" si="68"/>
        <v>0</v>
      </c>
      <c r="O1151" s="61">
        <f t="shared" si="69"/>
        <v>0</v>
      </c>
      <c r="P1151" s="61" t="b">
        <f t="shared" si="70"/>
        <v>1</v>
      </c>
      <c r="Q1151" s="87" t="b">
        <f>(Requirements!K1153="Normative")</f>
        <v>1</v>
      </c>
      <c r="R1151" s="87" t="b">
        <f>AND(Requirements!L1153&lt;&gt;"Non-testable",Requirements!L1153&lt;&gt;"Deleted",Requirements!L1153&lt;&gt;"")</f>
        <v>1</v>
      </c>
      <c r="S1151" s="87" t="b">
        <f>(VLOOKUP(Requirements!I1153,Scope[[Role]:[Description]],2,FALSE)="In")</f>
        <v>1</v>
      </c>
      <c r="T1151" s="87">
        <f t="shared" si="71"/>
        <v>0</v>
      </c>
    </row>
    <row r="1152" spans="1:20">
      <c r="A1152" s="85" t="str">
        <f>Requirements!A1154</f>
        <v>MS-SMB_R8442</v>
      </c>
      <c r="B1152" s="87"/>
      <c r="C1152" s="87"/>
      <c r="D1152" s="87"/>
      <c r="E1152" s="87"/>
      <c r="F1152" s="87"/>
      <c r="G1152" s="87"/>
      <c r="H1152" s="87"/>
      <c r="I1152" s="87"/>
      <c r="J1152" s="87"/>
      <c r="K1152" s="87"/>
      <c r="L1152" s="87"/>
      <c r="M1152" s="87"/>
      <c r="N1152" s="87">
        <f t="shared" si="68"/>
        <v>0</v>
      </c>
      <c r="O1152" s="61">
        <f t="shared" si="69"/>
        <v>0</v>
      </c>
      <c r="P1152" s="61" t="b">
        <f t="shared" si="70"/>
        <v>1</v>
      </c>
      <c r="Q1152" s="87" t="b">
        <f>(Requirements!K1154="Normative")</f>
        <v>1</v>
      </c>
      <c r="R1152" s="87" t="b">
        <f>AND(Requirements!L1154&lt;&gt;"Non-testable",Requirements!L1154&lt;&gt;"Deleted",Requirements!L1154&lt;&gt;"")</f>
        <v>1</v>
      </c>
      <c r="S1152" s="87" t="b">
        <f>(VLOOKUP(Requirements!I1154,Scope[[Role]:[Description]],2,FALSE)="In")</f>
        <v>1</v>
      </c>
      <c r="T1152" s="87">
        <f t="shared" si="71"/>
        <v>0</v>
      </c>
    </row>
    <row r="1153" spans="1:20">
      <c r="A1153" s="85" t="str">
        <f>Requirements!A1155</f>
        <v>MS-SMB_R8443</v>
      </c>
      <c r="B1153" s="87"/>
      <c r="C1153" s="87"/>
      <c r="D1153" s="87"/>
      <c r="E1153" s="87"/>
      <c r="F1153" s="87"/>
      <c r="G1153" s="87"/>
      <c r="H1153" s="87"/>
      <c r="I1153" s="87"/>
      <c r="J1153" s="87"/>
      <c r="K1153" s="87"/>
      <c r="L1153" s="87"/>
      <c r="M1153" s="87"/>
      <c r="N1153" s="87">
        <f t="shared" si="68"/>
        <v>0</v>
      </c>
      <c r="O1153" s="61">
        <f t="shared" si="69"/>
        <v>0</v>
      </c>
      <c r="P1153" s="61" t="b">
        <f t="shared" si="70"/>
        <v>1</v>
      </c>
      <c r="Q1153" s="87" t="b">
        <f>(Requirements!K1155="Normative")</f>
        <v>1</v>
      </c>
      <c r="R1153" s="87" t="b">
        <f>AND(Requirements!L1155&lt;&gt;"Non-testable",Requirements!L1155&lt;&gt;"Deleted",Requirements!L1155&lt;&gt;"")</f>
        <v>1</v>
      </c>
      <c r="S1153" s="87" t="b">
        <f>(VLOOKUP(Requirements!I1155,Scope[[Role]:[Description]],2,FALSE)="In")</f>
        <v>1</v>
      </c>
      <c r="T1153" s="87">
        <f t="shared" si="71"/>
        <v>0</v>
      </c>
    </row>
    <row r="1154" spans="1:20">
      <c r="A1154" s="44" t="str">
        <f>Requirements!A1156</f>
        <v>MS-SMB_R8444</v>
      </c>
      <c r="B1154" s="87"/>
      <c r="C1154" s="87"/>
      <c r="D1154" s="87"/>
      <c r="E1154" s="87"/>
      <c r="F1154" s="87"/>
      <c r="G1154" s="87"/>
      <c r="H1154" s="87"/>
      <c r="I1154" s="87"/>
      <c r="J1154" s="87"/>
      <c r="K1154" s="87"/>
      <c r="L1154" s="87"/>
      <c r="M1154" s="87"/>
      <c r="N1154" s="87">
        <f t="shared" si="68"/>
        <v>0</v>
      </c>
      <c r="O1154" s="87">
        <f t="shared" si="69"/>
        <v>0</v>
      </c>
      <c r="P1154" s="87" t="b">
        <f t="shared" si="70"/>
        <v>0</v>
      </c>
      <c r="Q1154" s="87" t="b">
        <f>(Requirements!K1156="Normative")</f>
        <v>0</v>
      </c>
      <c r="R1154" s="87" t="b">
        <f>AND(Requirements!L1156&lt;&gt;"Non-testable",Requirements!L1156&lt;&gt;"Deleted",Requirements!L1156&lt;&gt;"")</f>
        <v>1</v>
      </c>
      <c r="S1154" s="87" t="b">
        <f>(VLOOKUP(Requirements!I1156,Scope[[Role]:[Description]],2,FALSE)="In")</f>
        <v>1</v>
      </c>
      <c r="T1154" s="87">
        <f t="shared" si="71"/>
        <v>0</v>
      </c>
    </row>
    <row r="1155" spans="1:20">
      <c r="A1155" s="44" t="str">
        <f>Requirements!A1157</f>
        <v>MS-SMB_R8445</v>
      </c>
      <c r="B1155" s="87"/>
      <c r="C1155" s="87"/>
      <c r="D1155" s="87"/>
      <c r="E1155" s="87"/>
      <c r="F1155" s="87"/>
      <c r="G1155" s="87"/>
      <c r="H1155" s="87"/>
      <c r="I1155" s="87"/>
      <c r="J1155" s="87"/>
      <c r="K1155" s="87"/>
      <c r="L1155" s="87"/>
      <c r="M1155" s="87"/>
      <c r="N1155" s="87">
        <f t="shared" si="68"/>
        <v>0</v>
      </c>
      <c r="O1155" s="87">
        <f t="shared" si="69"/>
        <v>0</v>
      </c>
      <c r="P1155" s="87" t="b">
        <f t="shared" si="70"/>
        <v>0</v>
      </c>
      <c r="Q1155" s="87" t="b">
        <f>(Requirements!K1157="Normative")</f>
        <v>0</v>
      </c>
      <c r="R1155" s="87" t="b">
        <f>AND(Requirements!L1157&lt;&gt;"Non-testable",Requirements!L1157&lt;&gt;"Deleted",Requirements!L1157&lt;&gt;"")</f>
        <v>1</v>
      </c>
      <c r="S1155" s="87" t="b">
        <f>(VLOOKUP(Requirements!I1157,Scope[[Role]:[Description]],2,FALSE)="In")</f>
        <v>1</v>
      </c>
      <c r="T1155" s="87">
        <f t="shared" si="71"/>
        <v>0</v>
      </c>
    </row>
    <row r="1156" spans="1:20">
      <c r="A1156" s="85" t="str">
        <f>Requirements!A1158</f>
        <v>MS-SMB_R4359</v>
      </c>
      <c r="B1156" s="87"/>
      <c r="C1156" s="87"/>
      <c r="D1156" s="87"/>
      <c r="E1156" s="87"/>
      <c r="F1156" s="87"/>
      <c r="G1156" s="87"/>
      <c r="H1156" s="87"/>
      <c r="I1156" s="87"/>
      <c r="J1156" s="87"/>
      <c r="K1156" s="87"/>
      <c r="L1156" s="87"/>
      <c r="M1156" s="87"/>
      <c r="N1156" s="87">
        <f t="shared" si="68"/>
        <v>0</v>
      </c>
      <c r="O1156" s="61">
        <f t="shared" si="69"/>
        <v>0</v>
      </c>
      <c r="P1156" s="61" t="b">
        <f t="shared" si="70"/>
        <v>1</v>
      </c>
      <c r="Q1156" s="87" t="b">
        <f>(Requirements!K1158="Normative")</f>
        <v>1</v>
      </c>
      <c r="R1156" s="87" t="b">
        <f>AND(Requirements!L1158&lt;&gt;"Non-testable",Requirements!L1158&lt;&gt;"Deleted",Requirements!L1158&lt;&gt;"")</f>
        <v>1</v>
      </c>
      <c r="S1156" s="87" t="b">
        <f>(VLOOKUP(Requirements!I1158,Scope[[Role]:[Description]],2,FALSE)="In")</f>
        <v>1</v>
      </c>
      <c r="T1156" s="87">
        <f t="shared" si="71"/>
        <v>0</v>
      </c>
    </row>
    <row r="1157" spans="1:20">
      <c r="A1157" s="85" t="str">
        <f>Requirements!A1159</f>
        <v>MS-SMB_R8167</v>
      </c>
      <c r="B1157" s="87"/>
      <c r="C1157" s="87"/>
      <c r="D1157" s="87"/>
      <c r="E1157" s="87"/>
      <c r="F1157" s="87"/>
      <c r="G1157" s="87"/>
      <c r="H1157" s="87"/>
      <c r="I1157" s="87"/>
      <c r="J1157" s="87"/>
      <c r="K1157" s="87"/>
      <c r="L1157" s="87"/>
      <c r="M1157" s="87"/>
      <c r="N1157" s="87">
        <f t="shared" si="68"/>
        <v>0</v>
      </c>
      <c r="O1157" s="61">
        <f t="shared" si="69"/>
        <v>0</v>
      </c>
      <c r="P1157" s="61" t="b">
        <f t="shared" si="70"/>
        <v>1</v>
      </c>
      <c r="Q1157" s="87" t="b">
        <f>(Requirements!K1159="Normative")</f>
        <v>1</v>
      </c>
      <c r="R1157" s="87" t="b">
        <f>AND(Requirements!L1159&lt;&gt;"Non-testable",Requirements!L1159&lt;&gt;"Deleted",Requirements!L1159&lt;&gt;"")</f>
        <v>1</v>
      </c>
      <c r="S1157" s="87" t="b">
        <f>(VLOOKUP(Requirements!I1159,Scope[[Role]:[Description]],2,FALSE)="In")</f>
        <v>1</v>
      </c>
      <c r="T1157" s="87">
        <f t="shared" si="71"/>
        <v>0</v>
      </c>
    </row>
    <row r="1158" spans="1:20">
      <c r="A1158" s="44" t="str">
        <f>Requirements!A1160</f>
        <v>MS-SMB_R4361</v>
      </c>
      <c r="B1158" s="87"/>
      <c r="C1158" s="87"/>
      <c r="D1158" s="87"/>
      <c r="E1158" s="87"/>
      <c r="F1158" s="87"/>
      <c r="G1158" s="87"/>
      <c r="H1158" s="87"/>
      <c r="I1158" s="87"/>
      <c r="J1158" s="87"/>
      <c r="K1158" s="87"/>
      <c r="L1158" s="87"/>
      <c r="M1158" s="87"/>
      <c r="N1158" s="87">
        <f t="shared" si="68"/>
        <v>0</v>
      </c>
      <c r="O1158" s="87">
        <f t="shared" si="69"/>
        <v>0</v>
      </c>
      <c r="P1158" s="87" t="b">
        <f t="shared" si="70"/>
        <v>0</v>
      </c>
      <c r="Q1158" s="87" t="b">
        <f>(Requirements!K1160="Normative")</f>
        <v>0</v>
      </c>
      <c r="R1158" s="87" t="b">
        <f>AND(Requirements!L1160&lt;&gt;"Non-testable",Requirements!L1160&lt;&gt;"Deleted",Requirements!L1160&lt;&gt;"")</f>
        <v>1</v>
      </c>
      <c r="S1158" s="87" t="b">
        <f>(VLOOKUP(Requirements!I1160,Scope[[Role]:[Description]],2,FALSE)="In")</f>
        <v>1</v>
      </c>
      <c r="T1158" s="87">
        <f t="shared" si="71"/>
        <v>0</v>
      </c>
    </row>
    <row r="1159" spans="1:20">
      <c r="A1159" s="44" t="str">
        <f>Requirements!A1161</f>
        <v>MS-SMB_R4362</v>
      </c>
      <c r="B1159" s="87"/>
      <c r="C1159" s="87"/>
      <c r="D1159" s="87"/>
      <c r="E1159" s="87"/>
      <c r="F1159" s="87"/>
      <c r="G1159" s="87"/>
      <c r="H1159" s="87"/>
      <c r="I1159" s="87"/>
      <c r="J1159" s="87"/>
      <c r="K1159" s="87"/>
      <c r="L1159" s="87"/>
      <c r="M1159" s="87"/>
      <c r="N1159" s="87">
        <f t="shared" si="68"/>
        <v>0</v>
      </c>
      <c r="O1159" s="87">
        <f t="shared" si="69"/>
        <v>0</v>
      </c>
      <c r="P1159" s="87" t="b">
        <f t="shared" si="70"/>
        <v>0</v>
      </c>
      <c r="Q1159" s="87" t="b">
        <f>(Requirements!K1161="Normative")</f>
        <v>0</v>
      </c>
      <c r="R1159" s="87" t="b">
        <f>AND(Requirements!L1161&lt;&gt;"Non-testable",Requirements!L1161&lt;&gt;"Deleted",Requirements!L1161&lt;&gt;"")</f>
        <v>1</v>
      </c>
      <c r="S1159" s="87" t="b">
        <f>(VLOOKUP(Requirements!I1161,Scope[[Role]:[Description]],2,FALSE)="In")</f>
        <v>1</v>
      </c>
      <c r="T1159" s="87">
        <f t="shared" si="71"/>
        <v>0</v>
      </c>
    </row>
    <row r="1160" spans="1:20">
      <c r="A1160" s="85" t="str">
        <f>Requirements!A1162</f>
        <v>MS-SMB_R4363</v>
      </c>
      <c r="B1160" s="87"/>
      <c r="C1160" s="87"/>
      <c r="D1160" s="87"/>
      <c r="E1160" s="87"/>
      <c r="F1160" s="87"/>
      <c r="G1160" s="87"/>
      <c r="H1160" s="87"/>
      <c r="I1160" s="87"/>
      <c r="J1160" s="87"/>
      <c r="K1160" s="87"/>
      <c r="L1160" s="87"/>
      <c r="M1160" s="87"/>
      <c r="N1160" s="87">
        <f t="shared" si="68"/>
        <v>0</v>
      </c>
      <c r="O1160" s="61">
        <f t="shared" si="69"/>
        <v>0</v>
      </c>
      <c r="P1160" s="61" t="b">
        <f t="shared" si="70"/>
        <v>1</v>
      </c>
      <c r="Q1160" s="87" t="b">
        <f>(Requirements!K1162="Normative")</f>
        <v>1</v>
      </c>
      <c r="R1160" s="87" t="b">
        <f>AND(Requirements!L1162&lt;&gt;"Non-testable",Requirements!L1162&lt;&gt;"Deleted",Requirements!L1162&lt;&gt;"")</f>
        <v>1</v>
      </c>
      <c r="S1160" s="87" t="b">
        <f>(VLOOKUP(Requirements!I1162,Scope[[Role]:[Description]],2,FALSE)="In")</f>
        <v>1</v>
      </c>
      <c r="T1160" s="87">
        <f t="shared" si="71"/>
        <v>0</v>
      </c>
    </row>
    <row r="1161" spans="1:20">
      <c r="A1161" s="85" t="str">
        <f>Requirements!A1163</f>
        <v>MS-SMB_R4364</v>
      </c>
      <c r="B1161" s="87"/>
      <c r="C1161" s="87"/>
      <c r="D1161" s="87"/>
      <c r="E1161" s="87"/>
      <c r="F1161" s="87"/>
      <c r="G1161" s="87"/>
      <c r="H1161" s="87"/>
      <c r="I1161" s="87"/>
      <c r="J1161" s="87"/>
      <c r="K1161" s="87"/>
      <c r="L1161" s="87"/>
      <c r="M1161" s="87"/>
      <c r="N1161" s="87">
        <f t="shared" si="68"/>
        <v>0</v>
      </c>
      <c r="O1161" s="61">
        <f t="shared" si="69"/>
        <v>0</v>
      </c>
      <c r="P1161" s="61" t="b">
        <f t="shared" si="70"/>
        <v>1</v>
      </c>
      <c r="Q1161" s="87" t="b">
        <f>(Requirements!K1163="Normative")</f>
        <v>1</v>
      </c>
      <c r="R1161" s="87" t="b">
        <f>AND(Requirements!L1163&lt;&gt;"Non-testable",Requirements!L1163&lt;&gt;"Deleted",Requirements!L1163&lt;&gt;"")</f>
        <v>1</v>
      </c>
      <c r="S1161" s="87" t="b">
        <f>(VLOOKUP(Requirements!I1163,Scope[[Role]:[Description]],2,FALSE)="In")</f>
        <v>1</v>
      </c>
      <c r="T1161" s="87">
        <f t="shared" si="71"/>
        <v>0</v>
      </c>
    </row>
    <row r="1162" spans="1:20">
      <c r="A1162" s="85" t="str">
        <f>Requirements!A1164</f>
        <v>MS-SMB_R4365</v>
      </c>
      <c r="B1162" s="87"/>
      <c r="C1162" s="87"/>
      <c r="D1162" s="87"/>
      <c r="E1162" s="87"/>
      <c r="F1162" s="87"/>
      <c r="G1162" s="87"/>
      <c r="H1162" s="87"/>
      <c r="I1162" s="87"/>
      <c r="J1162" s="87"/>
      <c r="K1162" s="87"/>
      <c r="L1162" s="87"/>
      <c r="M1162" s="87"/>
      <c r="N1162" s="87">
        <f t="shared" si="68"/>
        <v>0</v>
      </c>
      <c r="O1162" s="61">
        <f t="shared" si="69"/>
        <v>0</v>
      </c>
      <c r="P1162" s="61" t="b">
        <f t="shared" si="70"/>
        <v>1</v>
      </c>
      <c r="Q1162" s="87" t="b">
        <f>(Requirements!K1164="Normative")</f>
        <v>1</v>
      </c>
      <c r="R1162" s="87" t="b">
        <f>AND(Requirements!L1164&lt;&gt;"Non-testable",Requirements!L1164&lt;&gt;"Deleted",Requirements!L1164&lt;&gt;"")</f>
        <v>1</v>
      </c>
      <c r="S1162" s="87" t="b">
        <f>(VLOOKUP(Requirements!I1164,Scope[[Role]:[Description]],2,FALSE)="In")</f>
        <v>1</v>
      </c>
      <c r="T1162" s="87">
        <f t="shared" si="71"/>
        <v>0</v>
      </c>
    </row>
    <row r="1163" spans="1:20">
      <c r="A1163" s="85" t="str">
        <f>Requirements!A1165</f>
        <v>MS-SMB_R8446</v>
      </c>
      <c r="B1163" s="87"/>
      <c r="C1163" s="87"/>
      <c r="D1163" s="87"/>
      <c r="E1163" s="87"/>
      <c r="F1163" s="87"/>
      <c r="G1163" s="87"/>
      <c r="H1163" s="87"/>
      <c r="I1163" s="87"/>
      <c r="J1163" s="87"/>
      <c r="K1163" s="87"/>
      <c r="L1163" s="87"/>
      <c r="M1163" s="87"/>
      <c r="N1163" s="87">
        <f t="shared" si="68"/>
        <v>0</v>
      </c>
      <c r="O1163" s="61">
        <f t="shared" si="69"/>
        <v>0</v>
      </c>
      <c r="P1163" s="61" t="b">
        <f t="shared" si="70"/>
        <v>1</v>
      </c>
      <c r="Q1163" s="87" t="b">
        <f>(Requirements!K1165="Normative")</f>
        <v>1</v>
      </c>
      <c r="R1163" s="87" t="b">
        <f>AND(Requirements!L1165&lt;&gt;"Non-testable",Requirements!L1165&lt;&gt;"Deleted",Requirements!L1165&lt;&gt;"")</f>
        <v>1</v>
      </c>
      <c r="S1163" s="87" t="b">
        <f>(VLOOKUP(Requirements!I1165,Scope[[Role]:[Description]],2,FALSE)="In")</f>
        <v>1</v>
      </c>
      <c r="T1163" s="87">
        <f t="shared" si="71"/>
        <v>0</v>
      </c>
    </row>
    <row r="1164" spans="1:20">
      <c r="A1164" s="85" t="str">
        <f>Requirements!A1166</f>
        <v>MS-SMB_R8447</v>
      </c>
      <c r="B1164" s="87"/>
      <c r="C1164" s="87"/>
      <c r="D1164" s="87"/>
      <c r="E1164" s="87"/>
      <c r="F1164" s="87"/>
      <c r="G1164" s="87"/>
      <c r="H1164" s="87"/>
      <c r="I1164" s="87"/>
      <c r="J1164" s="87"/>
      <c r="K1164" s="87"/>
      <c r="L1164" s="87"/>
      <c r="M1164" s="87"/>
      <c r="N1164" s="87">
        <f t="shared" si="68"/>
        <v>0</v>
      </c>
      <c r="O1164" s="61">
        <f t="shared" si="69"/>
        <v>0</v>
      </c>
      <c r="P1164" s="61" t="b">
        <f t="shared" si="70"/>
        <v>1</v>
      </c>
      <c r="Q1164" s="87" t="b">
        <f>(Requirements!K1166="Normative")</f>
        <v>1</v>
      </c>
      <c r="R1164" s="87" t="b">
        <f>AND(Requirements!L1166&lt;&gt;"Non-testable",Requirements!L1166&lt;&gt;"Deleted",Requirements!L1166&lt;&gt;"")</f>
        <v>1</v>
      </c>
      <c r="S1164" s="87" t="b">
        <f>(VLOOKUP(Requirements!I1166,Scope[[Role]:[Description]],2,FALSE)="In")</f>
        <v>1</v>
      </c>
      <c r="T1164" s="87">
        <f t="shared" si="71"/>
        <v>0</v>
      </c>
    </row>
    <row r="1165" spans="1:20">
      <c r="A1165" s="44" t="str">
        <f>Requirements!A1167</f>
        <v>MS-SMB_R8448</v>
      </c>
      <c r="B1165" s="87"/>
      <c r="C1165" s="87"/>
      <c r="D1165" s="87"/>
      <c r="E1165" s="87"/>
      <c r="F1165" s="87"/>
      <c r="G1165" s="87"/>
      <c r="H1165" s="87"/>
      <c r="I1165" s="87"/>
      <c r="J1165" s="87"/>
      <c r="K1165" s="87"/>
      <c r="L1165" s="87"/>
      <c r="M1165" s="87"/>
      <c r="N1165" s="87">
        <f t="shared" si="68"/>
        <v>0</v>
      </c>
      <c r="O1165" s="87">
        <f t="shared" si="69"/>
        <v>0</v>
      </c>
      <c r="P1165" s="87" t="b">
        <f t="shared" si="70"/>
        <v>0</v>
      </c>
      <c r="Q1165" s="87" t="b">
        <f>(Requirements!K1167="Normative")</f>
        <v>0</v>
      </c>
      <c r="R1165" s="87" t="b">
        <f>AND(Requirements!L1167&lt;&gt;"Non-testable",Requirements!L1167&lt;&gt;"Deleted",Requirements!L1167&lt;&gt;"")</f>
        <v>1</v>
      </c>
      <c r="S1165" s="87" t="b">
        <f>(VLOOKUP(Requirements!I1167,Scope[[Role]:[Description]],2,FALSE)="In")</f>
        <v>1</v>
      </c>
      <c r="T1165" s="87">
        <f t="shared" si="71"/>
        <v>0</v>
      </c>
    </row>
    <row r="1166" spans="1:20">
      <c r="A1166" s="85" t="str">
        <f>Requirements!A1168</f>
        <v>MS-SMB_R8449</v>
      </c>
      <c r="B1166" s="87"/>
      <c r="C1166" s="87"/>
      <c r="D1166" s="87"/>
      <c r="E1166" s="87"/>
      <c r="F1166" s="87"/>
      <c r="G1166" s="87"/>
      <c r="H1166" s="87"/>
      <c r="I1166" s="87"/>
      <c r="J1166" s="87"/>
      <c r="K1166" s="87"/>
      <c r="L1166" s="87"/>
      <c r="M1166" s="87"/>
      <c r="N1166" s="87">
        <f t="shared" si="68"/>
        <v>0</v>
      </c>
      <c r="O1166" s="61">
        <f t="shared" si="69"/>
        <v>0</v>
      </c>
      <c r="P1166" s="61" t="b">
        <f t="shared" si="70"/>
        <v>1</v>
      </c>
      <c r="Q1166" s="87" t="b">
        <f>(Requirements!K1168="Normative")</f>
        <v>1</v>
      </c>
      <c r="R1166" s="87" t="b">
        <f>AND(Requirements!L1168&lt;&gt;"Non-testable",Requirements!L1168&lt;&gt;"Deleted",Requirements!L1168&lt;&gt;"")</f>
        <v>1</v>
      </c>
      <c r="S1166" s="87" t="b">
        <f>(VLOOKUP(Requirements!I1168,Scope[[Role]:[Description]],2,FALSE)="In")</f>
        <v>1</v>
      </c>
      <c r="T1166" s="87">
        <f t="shared" si="71"/>
        <v>0</v>
      </c>
    </row>
    <row r="1167" spans="1:20">
      <c r="A1167" s="85" t="str">
        <f>Requirements!A1169</f>
        <v>MS-SMB_R4371</v>
      </c>
      <c r="B1167" s="87"/>
      <c r="C1167" s="87"/>
      <c r="D1167" s="87"/>
      <c r="E1167" s="87"/>
      <c r="F1167" s="87"/>
      <c r="G1167" s="87"/>
      <c r="H1167" s="87"/>
      <c r="I1167" s="87"/>
      <c r="J1167" s="87"/>
      <c r="K1167" s="87"/>
      <c r="L1167" s="87"/>
      <c r="M1167" s="87"/>
      <c r="N1167" s="87">
        <f t="shared" si="68"/>
        <v>0</v>
      </c>
      <c r="O1167" s="61">
        <f t="shared" si="69"/>
        <v>0</v>
      </c>
      <c r="P1167" s="61" t="b">
        <f t="shared" si="70"/>
        <v>1</v>
      </c>
      <c r="Q1167" s="87" t="b">
        <f>(Requirements!K1169="Normative")</f>
        <v>1</v>
      </c>
      <c r="R1167" s="87" t="b">
        <f>AND(Requirements!L1169&lt;&gt;"Non-testable",Requirements!L1169&lt;&gt;"Deleted",Requirements!L1169&lt;&gt;"")</f>
        <v>1</v>
      </c>
      <c r="S1167" s="87" t="b">
        <f>(VLOOKUP(Requirements!I1169,Scope[[Role]:[Description]],2,FALSE)="In")</f>
        <v>1</v>
      </c>
      <c r="T1167" s="87">
        <f t="shared" si="71"/>
        <v>0</v>
      </c>
    </row>
    <row r="1168" spans="1:20">
      <c r="A1168" s="85" t="str">
        <f>Requirements!A1170</f>
        <v>MS-SMB_R4372</v>
      </c>
      <c r="B1168" s="87"/>
      <c r="C1168" s="87"/>
      <c r="D1168" s="87"/>
      <c r="E1168" s="87"/>
      <c r="F1168" s="87"/>
      <c r="G1168" s="87"/>
      <c r="H1168" s="87"/>
      <c r="I1168" s="87"/>
      <c r="J1168" s="87"/>
      <c r="K1168" s="87"/>
      <c r="L1168" s="87"/>
      <c r="M1168" s="87"/>
      <c r="N1168" s="87">
        <f t="shared" si="68"/>
        <v>0</v>
      </c>
      <c r="O1168" s="61">
        <f t="shared" si="69"/>
        <v>0</v>
      </c>
      <c r="P1168" s="61" t="b">
        <f t="shared" si="70"/>
        <v>1</v>
      </c>
      <c r="Q1168" s="87" t="b">
        <f>(Requirements!K1170="Normative")</f>
        <v>1</v>
      </c>
      <c r="R1168" s="87" t="b">
        <f>AND(Requirements!L1170&lt;&gt;"Non-testable",Requirements!L1170&lt;&gt;"Deleted",Requirements!L1170&lt;&gt;"")</f>
        <v>1</v>
      </c>
      <c r="S1168" s="87" t="b">
        <f>(VLOOKUP(Requirements!I1170,Scope[[Role]:[Description]],2,FALSE)="In")</f>
        <v>1</v>
      </c>
      <c r="T1168" s="87">
        <f t="shared" si="71"/>
        <v>0</v>
      </c>
    </row>
    <row r="1169" spans="1:20">
      <c r="A1169" s="85" t="str">
        <f>Requirements!A1171</f>
        <v>MS-SMB_R8450</v>
      </c>
      <c r="B1169" s="87"/>
      <c r="C1169" s="87"/>
      <c r="D1169" s="87"/>
      <c r="E1169" s="87"/>
      <c r="F1169" s="87"/>
      <c r="G1169" s="87"/>
      <c r="H1169" s="87"/>
      <c r="I1169" s="87"/>
      <c r="J1169" s="87"/>
      <c r="K1169" s="87"/>
      <c r="L1169" s="87"/>
      <c r="M1169" s="87"/>
      <c r="N1169" s="87">
        <f t="shared" si="68"/>
        <v>0</v>
      </c>
      <c r="O1169" s="61">
        <f t="shared" si="69"/>
        <v>0</v>
      </c>
      <c r="P1169" s="61" t="b">
        <f t="shared" si="70"/>
        <v>1</v>
      </c>
      <c r="Q1169" s="87" t="b">
        <f>(Requirements!K1171="Normative")</f>
        <v>1</v>
      </c>
      <c r="R1169" s="87" t="b">
        <f>AND(Requirements!L1171&lt;&gt;"Non-testable",Requirements!L1171&lt;&gt;"Deleted",Requirements!L1171&lt;&gt;"")</f>
        <v>1</v>
      </c>
      <c r="S1169" s="87" t="b">
        <f>(VLOOKUP(Requirements!I1171,Scope[[Role]:[Description]],2,FALSE)="In")</f>
        <v>1</v>
      </c>
      <c r="T1169" s="87">
        <f t="shared" si="71"/>
        <v>0</v>
      </c>
    </row>
    <row r="1170" spans="1:20">
      <c r="A1170" s="44" t="str">
        <f>Requirements!A1172</f>
        <v>MS-SMB_R4375</v>
      </c>
      <c r="B1170" s="87"/>
      <c r="C1170" s="87"/>
      <c r="D1170" s="87"/>
      <c r="E1170" s="87"/>
      <c r="F1170" s="87"/>
      <c r="G1170" s="87"/>
      <c r="H1170" s="87"/>
      <c r="I1170" s="87"/>
      <c r="J1170" s="87"/>
      <c r="K1170" s="87"/>
      <c r="L1170" s="87"/>
      <c r="M1170" s="87"/>
      <c r="N1170" s="87">
        <f t="shared" si="68"/>
        <v>0</v>
      </c>
      <c r="O1170" s="87">
        <f t="shared" si="69"/>
        <v>0</v>
      </c>
      <c r="P1170" s="87" t="b">
        <f t="shared" si="70"/>
        <v>0</v>
      </c>
      <c r="Q1170" s="87" t="b">
        <f>(Requirements!K1172="Normative")</f>
        <v>0</v>
      </c>
      <c r="R1170" s="87" t="b">
        <f>AND(Requirements!L1172&lt;&gt;"Non-testable",Requirements!L1172&lt;&gt;"Deleted",Requirements!L1172&lt;&gt;"")</f>
        <v>1</v>
      </c>
      <c r="S1170" s="87" t="b">
        <f>(VLOOKUP(Requirements!I1172,Scope[[Role]:[Description]],2,FALSE)="In")</f>
        <v>1</v>
      </c>
      <c r="T1170" s="87">
        <f t="shared" si="71"/>
        <v>0</v>
      </c>
    </row>
    <row r="1171" spans="1:20">
      <c r="A1171" s="85" t="str">
        <f>Requirements!A1173</f>
        <v>MS-SMB_R8451</v>
      </c>
      <c r="B1171" s="87"/>
      <c r="C1171" s="87"/>
      <c r="D1171" s="87"/>
      <c r="E1171" s="87"/>
      <c r="F1171" s="87"/>
      <c r="G1171" s="87"/>
      <c r="H1171" s="87"/>
      <c r="I1171" s="87"/>
      <c r="J1171" s="87"/>
      <c r="K1171" s="87"/>
      <c r="L1171" s="87"/>
      <c r="M1171" s="87"/>
      <c r="N1171" s="87">
        <f t="shared" si="68"/>
        <v>0</v>
      </c>
      <c r="O1171" s="61">
        <f t="shared" si="69"/>
        <v>0</v>
      </c>
      <c r="P1171" s="61" t="b">
        <f t="shared" si="70"/>
        <v>1</v>
      </c>
      <c r="Q1171" s="87" t="b">
        <f>(Requirements!K1173="Normative")</f>
        <v>1</v>
      </c>
      <c r="R1171" s="87" t="b">
        <f>AND(Requirements!L1173&lt;&gt;"Non-testable",Requirements!L1173&lt;&gt;"Deleted",Requirements!L1173&lt;&gt;"")</f>
        <v>1</v>
      </c>
      <c r="S1171" s="87" t="b">
        <f>(VLOOKUP(Requirements!I1173,Scope[[Role]:[Description]],2,FALSE)="In")</f>
        <v>1</v>
      </c>
      <c r="T1171" s="87">
        <f t="shared" si="71"/>
        <v>0</v>
      </c>
    </row>
    <row r="1172" spans="1:20">
      <c r="A1172" s="85" t="str">
        <f>Requirements!A1174</f>
        <v>MS-SMB_R8452</v>
      </c>
      <c r="B1172" s="87"/>
      <c r="C1172" s="87"/>
      <c r="D1172" s="87"/>
      <c r="E1172" s="87"/>
      <c r="F1172" s="87"/>
      <c r="G1172" s="87"/>
      <c r="H1172" s="87"/>
      <c r="I1172" s="87"/>
      <c r="J1172" s="87"/>
      <c r="K1172" s="87"/>
      <c r="L1172" s="87"/>
      <c r="M1172" s="87"/>
      <c r="N1172" s="87">
        <f t="shared" ref="N1172:N1235" si="72">SUM(B1172:M1172)</f>
        <v>0</v>
      </c>
      <c r="O1172" s="61">
        <f t="shared" ref="O1172:O1235" si="73">IF(N1172=0,0,1)</f>
        <v>0</v>
      </c>
      <c r="P1172" s="61" t="b">
        <f t="shared" ref="P1172:P1235" si="74">AND(Q1172:S1172)</f>
        <v>1</v>
      </c>
      <c r="Q1172" s="87" t="b">
        <f>(Requirements!K1174="Normative")</f>
        <v>1</v>
      </c>
      <c r="R1172" s="87" t="b">
        <f>AND(Requirements!L1174&lt;&gt;"Non-testable",Requirements!L1174&lt;&gt;"Deleted",Requirements!L1174&lt;&gt;"")</f>
        <v>1</v>
      </c>
      <c r="S1172" s="87" t="b">
        <f>(VLOOKUP(Requirements!I1174,Scope[[Role]:[Description]],2,FALSE)="In")</f>
        <v>1</v>
      </c>
      <c r="T1172" s="87">
        <f t="shared" ref="T1172:T1235" si="75">IF(P1172,O1172, 0)</f>
        <v>0</v>
      </c>
    </row>
    <row r="1173" spans="1:20">
      <c r="A1173" s="85" t="str">
        <f>Requirements!A1175</f>
        <v>MS-SMB_R8453</v>
      </c>
      <c r="B1173" s="87"/>
      <c r="C1173" s="87"/>
      <c r="D1173" s="87"/>
      <c r="E1173" s="87"/>
      <c r="F1173" s="87"/>
      <c r="G1173" s="87"/>
      <c r="H1173" s="87"/>
      <c r="I1173" s="87"/>
      <c r="J1173" s="87"/>
      <c r="K1173" s="87"/>
      <c r="L1173" s="87"/>
      <c r="M1173" s="87"/>
      <c r="N1173" s="87">
        <f t="shared" si="72"/>
        <v>0</v>
      </c>
      <c r="O1173" s="61">
        <f t="shared" si="73"/>
        <v>0</v>
      </c>
      <c r="P1173" s="61" t="b">
        <f t="shared" si="74"/>
        <v>1</v>
      </c>
      <c r="Q1173" s="87" t="b">
        <f>(Requirements!K1175="Normative")</f>
        <v>1</v>
      </c>
      <c r="R1173" s="87" t="b">
        <f>AND(Requirements!L1175&lt;&gt;"Non-testable",Requirements!L1175&lt;&gt;"Deleted",Requirements!L1175&lt;&gt;"")</f>
        <v>1</v>
      </c>
      <c r="S1173" s="87" t="b">
        <f>(VLOOKUP(Requirements!I1175,Scope[[Role]:[Description]],2,FALSE)="In")</f>
        <v>1</v>
      </c>
      <c r="T1173" s="87">
        <f t="shared" si="75"/>
        <v>0</v>
      </c>
    </row>
    <row r="1174" spans="1:20">
      <c r="A1174" s="85" t="str">
        <f>Requirements!A1176</f>
        <v>MS-SMB_R8454</v>
      </c>
      <c r="B1174" s="87"/>
      <c r="C1174" s="87"/>
      <c r="D1174" s="87"/>
      <c r="E1174" s="87"/>
      <c r="F1174" s="87"/>
      <c r="G1174" s="87"/>
      <c r="H1174" s="87"/>
      <c r="I1174" s="87"/>
      <c r="J1174" s="87"/>
      <c r="K1174" s="87"/>
      <c r="L1174" s="87"/>
      <c r="M1174" s="87"/>
      <c r="N1174" s="87">
        <f t="shared" si="72"/>
        <v>0</v>
      </c>
      <c r="O1174" s="61">
        <f t="shared" si="73"/>
        <v>0</v>
      </c>
      <c r="P1174" s="61" t="b">
        <f t="shared" si="74"/>
        <v>1</v>
      </c>
      <c r="Q1174" s="87" t="b">
        <f>(Requirements!K1176="Normative")</f>
        <v>1</v>
      </c>
      <c r="R1174" s="87" t="b">
        <f>AND(Requirements!L1176&lt;&gt;"Non-testable",Requirements!L1176&lt;&gt;"Deleted",Requirements!L1176&lt;&gt;"")</f>
        <v>1</v>
      </c>
      <c r="S1174" s="87" t="b">
        <f>(VLOOKUP(Requirements!I1176,Scope[[Role]:[Description]],2,FALSE)="In")</f>
        <v>1</v>
      </c>
      <c r="T1174" s="87">
        <f t="shared" si="75"/>
        <v>0</v>
      </c>
    </row>
    <row r="1175" spans="1:20">
      <c r="A1175" s="85" t="str">
        <f>Requirements!A1177</f>
        <v>MS-SMB_R8455</v>
      </c>
      <c r="B1175" s="87"/>
      <c r="C1175" s="87"/>
      <c r="D1175" s="87"/>
      <c r="E1175" s="87"/>
      <c r="F1175" s="87"/>
      <c r="G1175" s="87"/>
      <c r="H1175" s="87"/>
      <c r="I1175" s="87"/>
      <c r="J1175" s="87"/>
      <c r="K1175" s="87"/>
      <c r="L1175" s="87"/>
      <c r="M1175" s="87"/>
      <c r="N1175" s="87">
        <f t="shared" si="72"/>
        <v>0</v>
      </c>
      <c r="O1175" s="61">
        <f t="shared" si="73"/>
        <v>0</v>
      </c>
      <c r="P1175" s="61" t="b">
        <f t="shared" si="74"/>
        <v>1</v>
      </c>
      <c r="Q1175" s="87" t="b">
        <f>(Requirements!K1177="Normative")</f>
        <v>1</v>
      </c>
      <c r="R1175" s="87" t="b">
        <f>AND(Requirements!L1177&lt;&gt;"Non-testable",Requirements!L1177&lt;&gt;"Deleted",Requirements!L1177&lt;&gt;"")</f>
        <v>1</v>
      </c>
      <c r="S1175" s="87" t="b">
        <f>(VLOOKUP(Requirements!I1177,Scope[[Role]:[Description]],2,FALSE)="In")</f>
        <v>1</v>
      </c>
      <c r="T1175" s="87">
        <f t="shared" si="75"/>
        <v>0</v>
      </c>
    </row>
    <row r="1176" spans="1:20">
      <c r="A1176" s="85" t="str">
        <f>Requirements!A1178</f>
        <v>MS-SMB_R8456</v>
      </c>
      <c r="B1176" s="87"/>
      <c r="C1176" s="87"/>
      <c r="D1176" s="87"/>
      <c r="E1176" s="87"/>
      <c r="F1176" s="87"/>
      <c r="G1176" s="87"/>
      <c r="H1176" s="87"/>
      <c r="I1176" s="87"/>
      <c r="J1176" s="87"/>
      <c r="K1176" s="87"/>
      <c r="L1176" s="87"/>
      <c r="M1176" s="87"/>
      <c r="N1176" s="87">
        <f t="shared" si="72"/>
        <v>0</v>
      </c>
      <c r="O1176" s="61">
        <f t="shared" si="73"/>
        <v>0</v>
      </c>
      <c r="P1176" s="61" t="b">
        <f t="shared" si="74"/>
        <v>1</v>
      </c>
      <c r="Q1176" s="87" t="b">
        <f>(Requirements!K1178="Normative")</f>
        <v>1</v>
      </c>
      <c r="R1176" s="87" t="b">
        <f>AND(Requirements!L1178&lt;&gt;"Non-testable",Requirements!L1178&lt;&gt;"Deleted",Requirements!L1178&lt;&gt;"")</f>
        <v>1</v>
      </c>
      <c r="S1176" s="87" t="b">
        <f>(VLOOKUP(Requirements!I1178,Scope[[Role]:[Description]],2,FALSE)="In")</f>
        <v>1</v>
      </c>
      <c r="T1176" s="87">
        <f t="shared" si="75"/>
        <v>0</v>
      </c>
    </row>
    <row r="1177" spans="1:20">
      <c r="A1177" s="84" t="str">
        <f>Requirements!A1179</f>
        <v>MS-SMB_R8457</v>
      </c>
      <c r="B1177" s="87"/>
      <c r="C1177" s="87"/>
      <c r="D1177" s="87"/>
      <c r="E1177" s="87">
        <v>1</v>
      </c>
      <c r="F1177" s="87"/>
      <c r="G1177" s="87"/>
      <c r="H1177" s="87"/>
      <c r="I1177" s="87"/>
      <c r="J1177" s="87"/>
      <c r="K1177" s="87"/>
      <c r="L1177" s="87"/>
      <c r="M1177" s="87"/>
      <c r="N1177" s="87">
        <f t="shared" si="72"/>
        <v>1</v>
      </c>
      <c r="O1177" s="60">
        <f t="shared" si="73"/>
        <v>1</v>
      </c>
      <c r="P1177" s="60" t="b">
        <f t="shared" si="74"/>
        <v>1</v>
      </c>
      <c r="Q1177" s="87" t="b">
        <f>(Requirements!K1179="Normative")</f>
        <v>1</v>
      </c>
      <c r="R1177" s="87" t="b">
        <f>AND(Requirements!L1179&lt;&gt;"Non-testable",Requirements!L1179&lt;&gt;"Deleted",Requirements!L1179&lt;&gt;"")</f>
        <v>1</v>
      </c>
      <c r="S1177" s="87" t="b">
        <f>(VLOOKUP(Requirements!I1179,Scope[[Role]:[Description]],2,FALSE)="In")</f>
        <v>1</v>
      </c>
      <c r="T1177" s="87">
        <f t="shared" si="75"/>
        <v>1</v>
      </c>
    </row>
    <row r="1178" spans="1:20">
      <c r="A1178" s="85" t="str">
        <f>Requirements!A1180</f>
        <v>MS-SMB_R8458</v>
      </c>
      <c r="B1178" s="87"/>
      <c r="C1178" s="87"/>
      <c r="D1178" s="87"/>
      <c r="E1178" s="87"/>
      <c r="F1178" s="87"/>
      <c r="G1178" s="87"/>
      <c r="H1178" s="87"/>
      <c r="I1178" s="87"/>
      <c r="J1178" s="87"/>
      <c r="K1178" s="87"/>
      <c r="L1178" s="87"/>
      <c r="M1178" s="87"/>
      <c r="N1178" s="87">
        <f t="shared" si="72"/>
        <v>0</v>
      </c>
      <c r="O1178" s="61">
        <f t="shared" si="73"/>
        <v>0</v>
      </c>
      <c r="P1178" s="61" t="b">
        <f t="shared" si="74"/>
        <v>1</v>
      </c>
      <c r="Q1178" s="87" t="b">
        <f>(Requirements!K1180="Normative")</f>
        <v>1</v>
      </c>
      <c r="R1178" s="87" t="b">
        <f>AND(Requirements!L1180&lt;&gt;"Non-testable",Requirements!L1180&lt;&gt;"Deleted",Requirements!L1180&lt;&gt;"")</f>
        <v>1</v>
      </c>
      <c r="S1178" s="87" t="b">
        <f>(VLOOKUP(Requirements!I1180,Scope[[Role]:[Description]],2,FALSE)="In")</f>
        <v>1</v>
      </c>
      <c r="T1178" s="87">
        <f t="shared" si="75"/>
        <v>0</v>
      </c>
    </row>
    <row r="1179" spans="1:20">
      <c r="A1179" s="85" t="str">
        <f>Requirements!A1181</f>
        <v>MS-SMB_R8459</v>
      </c>
      <c r="B1179" s="87"/>
      <c r="C1179" s="87"/>
      <c r="D1179" s="87"/>
      <c r="E1179" s="87"/>
      <c r="F1179" s="87"/>
      <c r="G1179" s="87"/>
      <c r="H1179" s="87"/>
      <c r="I1179" s="87"/>
      <c r="J1179" s="87"/>
      <c r="K1179" s="87"/>
      <c r="L1179" s="87"/>
      <c r="M1179" s="87"/>
      <c r="N1179" s="87">
        <f t="shared" si="72"/>
        <v>0</v>
      </c>
      <c r="O1179" s="61">
        <f t="shared" si="73"/>
        <v>0</v>
      </c>
      <c r="P1179" s="61" t="b">
        <f t="shared" si="74"/>
        <v>1</v>
      </c>
      <c r="Q1179" s="87" t="b">
        <f>(Requirements!K1181="Normative")</f>
        <v>1</v>
      </c>
      <c r="R1179" s="87" t="b">
        <f>AND(Requirements!L1181&lt;&gt;"Non-testable",Requirements!L1181&lt;&gt;"Deleted",Requirements!L1181&lt;&gt;"")</f>
        <v>1</v>
      </c>
      <c r="S1179" s="87" t="b">
        <f>(VLOOKUP(Requirements!I1181,Scope[[Role]:[Description]],2,FALSE)="In")</f>
        <v>1</v>
      </c>
      <c r="T1179" s="87">
        <f t="shared" si="75"/>
        <v>0</v>
      </c>
    </row>
    <row r="1180" spans="1:20">
      <c r="A1180" s="85" t="str">
        <f>Requirements!A1182</f>
        <v>MS-SMB_R8460</v>
      </c>
      <c r="B1180" s="87"/>
      <c r="C1180" s="87"/>
      <c r="D1180" s="87"/>
      <c r="E1180" s="87"/>
      <c r="F1180" s="87"/>
      <c r="G1180" s="87"/>
      <c r="H1180" s="87"/>
      <c r="I1180" s="87"/>
      <c r="J1180" s="87"/>
      <c r="K1180" s="87"/>
      <c r="L1180" s="87"/>
      <c r="M1180" s="87"/>
      <c r="N1180" s="87">
        <f t="shared" si="72"/>
        <v>0</v>
      </c>
      <c r="O1180" s="61">
        <f t="shared" si="73"/>
        <v>0</v>
      </c>
      <c r="P1180" s="61" t="b">
        <f t="shared" si="74"/>
        <v>1</v>
      </c>
      <c r="Q1180" s="87" t="b">
        <f>(Requirements!K1182="Normative")</f>
        <v>1</v>
      </c>
      <c r="R1180" s="87" t="b">
        <f>AND(Requirements!L1182&lt;&gt;"Non-testable",Requirements!L1182&lt;&gt;"Deleted",Requirements!L1182&lt;&gt;"")</f>
        <v>1</v>
      </c>
      <c r="S1180" s="87" t="b">
        <f>(VLOOKUP(Requirements!I1182,Scope[[Role]:[Description]],2,FALSE)="In")</f>
        <v>1</v>
      </c>
      <c r="T1180" s="87">
        <f t="shared" si="75"/>
        <v>0</v>
      </c>
    </row>
    <row r="1181" spans="1:20">
      <c r="A1181" s="85" t="str">
        <f>Requirements!A1183</f>
        <v>MS-SMB_R8461</v>
      </c>
      <c r="B1181" s="87"/>
      <c r="C1181" s="87"/>
      <c r="D1181" s="87"/>
      <c r="E1181" s="87"/>
      <c r="F1181" s="87"/>
      <c r="G1181" s="87"/>
      <c r="H1181" s="87"/>
      <c r="I1181" s="87"/>
      <c r="J1181" s="87"/>
      <c r="K1181" s="87"/>
      <c r="L1181" s="87"/>
      <c r="M1181" s="87"/>
      <c r="N1181" s="87">
        <f t="shared" si="72"/>
        <v>0</v>
      </c>
      <c r="O1181" s="61">
        <f t="shared" si="73"/>
        <v>0</v>
      </c>
      <c r="P1181" s="61" t="b">
        <f t="shared" si="74"/>
        <v>1</v>
      </c>
      <c r="Q1181" s="87" t="b">
        <f>(Requirements!K1183="Normative")</f>
        <v>1</v>
      </c>
      <c r="R1181" s="87" t="b">
        <f>AND(Requirements!L1183&lt;&gt;"Non-testable",Requirements!L1183&lt;&gt;"Deleted",Requirements!L1183&lt;&gt;"")</f>
        <v>1</v>
      </c>
      <c r="S1181" s="87" t="b">
        <f>(VLOOKUP(Requirements!I1183,Scope[[Role]:[Description]],2,FALSE)="In")</f>
        <v>1</v>
      </c>
      <c r="T1181" s="87">
        <f t="shared" si="75"/>
        <v>0</v>
      </c>
    </row>
    <row r="1182" spans="1:20">
      <c r="A1182" s="85" t="str">
        <f>Requirements!A1184</f>
        <v>MS-SMB_R8462</v>
      </c>
      <c r="B1182" s="87"/>
      <c r="C1182" s="87"/>
      <c r="D1182" s="87"/>
      <c r="E1182" s="87"/>
      <c r="F1182" s="87"/>
      <c r="G1182" s="87"/>
      <c r="H1182" s="87"/>
      <c r="I1182" s="87"/>
      <c r="J1182" s="87"/>
      <c r="K1182" s="87"/>
      <c r="L1182" s="87"/>
      <c r="M1182" s="87"/>
      <c r="N1182" s="87">
        <f t="shared" si="72"/>
        <v>0</v>
      </c>
      <c r="O1182" s="61">
        <f t="shared" si="73"/>
        <v>0</v>
      </c>
      <c r="P1182" s="61" t="b">
        <f t="shared" si="74"/>
        <v>1</v>
      </c>
      <c r="Q1182" s="87" t="b">
        <f>(Requirements!K1184="Normative")</f>
        <v>1</v>
      </c>
      <c r="R1182" s="87" t="b">
        <f>AND(Requirements!L1184&lt;&gt;"Non-testable",Requirements!L1184&lt;&gt;"Deleted",Requirements!L1184&lt;&gt;"")</f>
        <v>1</v>
      </c>
      <c r="S1182" s="87" t="b">
        <f>(VLOOKUP(Requirements!I1184,Scope[[Role]:[Description]],2,FALSE)="In")</f>
        <v>1</v>
      </c>
      <c r="T1182" s="87">
        <f t="shared" si="75"/>
        <v>0</v>
      </c>
    </row>
    <row r="1183" spans="1:20">
      <c r="A1183" s="85" t="str">
        <f>Requirements!A1185</f>
        <v>MS-SMB_R8463</v>
      </c>
      <c r="B1183" s="87"/>
      <c r="C1183" s="87"/>
      <c r="D1183" s="87"/>
      <c r="E1183" s="87"/>
      <c r="F1183" s="87"/>
      <c r="G1183" s="87"/>
      <c r="H1183" s="87"/>
      <c r="I1183" s="87"/>
      <c r="J1183" s="87"/>
      <c r="K1183" s="87"/>
      <c r="L1183" s="87"/>
      <c r="M1183" s="87"/>
      <c r="N1183" s="87">
        <f t="shared" si="72"/>
        <v>0</v>
      </c>
      <c r="O1183" s="61">
        <f t="shared" si="73"/>
        <v>0</v>
      </c>
      <c r="P1183" s="61" t="b">
        <f t="shared" si="74"/>
        <v>1</v>
      </c>
      <c r="Q1183" s="87" t="b">
        <f>(Requirements!K1185="Normative")</f>
        <v>1</v>
      </c>
      <c r="R1183" s="87" t="b">
        <f>AND(Requirements!L1185&lt;&gt;"Non-testable",Requirements!L1185&lt;&gt;"Deleted",Requirements!L1185&lt;&gt;"")</f>
        <v>1</v>
      </c>
      <c r="S1183" s="87" t="b">
        <f>(VLOOKUP(Requirements!I1185,Scope[[Role]:[Description]],2,FALSE)="In")</f>
        <v>1</v>
      </c>
      <c r="T1183" s="87">
        <f t="shared" si="75"/>
        <v>0</v>
      </c>
    </row>
    <row r="1184" spans="1:20">
      <c r="A1184" s="85" t="str">
        <f>Requirements!A1186</f>
        <v>MS-SMB_R8464</v>
      </c>
      <c r="B1184" s="87"/>
      <c r="C1184" s="87"/>
      <c r="D1184" s="87"/>
      <c r="E1184" s="87"/>
      <c r="F1184" s="87"/>
      <c r="G1184" s="87"/>
      <c r="H1184" s="87"/>
      <c r="I1184" s="87"/>
      <c r="J1184" s="87"/>
      <c r="K1184" s="87"/>
      <c r="L1184" s="87"/>
      <c r="M1184" s="87"/>
      <c r="N1184" s="87">
        <f t="shared" si="72"/>
        <v>0</v>
      </c>
      <c r="O1184" s="61">
        <f t="shared" si="73"/>
        <v>0</v>
      </c>
      <c r="P1184" s="61" t="b">
        <f t="shared" si="74"/>
        <v>1</v>
      </c>
      <c r="Q1184" s="87" t="b">
        <f>(Requirements!K1186="Normative")</f>
        <v>1</v>
      </c>
      <c r="R1184" s="87" t="b">
        <f>AND(Requirements!L1186&lt;&gt;"Non-testable",Requirements!L1186&lt;&gt;"Deleted",Requirements!L1186&lt;&gt;"")</f>
        <v>1</v>
      </c>
      <c r="S1184" s="87" t="b">
        <f>(VLOOKUP(Requirements!I1186,Scope[[Role]:[Description]],2,FALSE)="In")</f>
        <v>1</v>
      </c>
      <c r="T1184" s="87">
        <f t="shared" si="75"/>
        <v>0</v>
      </c>
    </row>
    <row r="1185" spans="1:20">
      <c r="A1185" s="85" t="str">
        <f>Requirements!A1187</f>
        <v>MS-SMB_R8465</v>
      </c>
      <c r="B1185" s="87"/>
      <c r="C1185" s="87"/>
      <c r="D1185" s="87"/>
      <c r="E1185" s="87"/>
      <c r="F1185" s="87"/>
      <c r="G1185" s="87"/>
      <c r="H1185" s="87"/>
      <c r="I1185" s="87"/>
      <c r="J1185" s="87"/>
      <c r="K1185" s="87"/>
      <c r="L1185" s="87"/>
      <c r="M1185" s="87"/>
      <c r="N1185" s="87">
        <f t="shared" si="72"/>
        <v>0</v>
      </c>
      <c r="O1185" s="61">
        <f t="shared" si="73"/>
        <v>0</v>
      </c>
      <c r="P1185" s="61" t="b">
        <f t="shared" si="74"/>
        <v>1</v>
      </c>
      <c r="Q1185" s="87" t="b">
        <f>(Requirements!K1187="Normative")</f>
        <v>1</v>
      </c>
      <c r="R1185" s="87" t="b">
        <f>AND(Requirements!L1187&lt;&gt;"Non-testable",Requirements!L1187&lt;&gt;"Deleted",Requirements!L1187&lt;&gt;"")</f>
        <v>1</v>
      </c>
      <c r="S1185" s="87" t="b">
        <f>(VLOOKUP(Requirements!I1187,Scope[[Role]:[Description]],2,FALSE)="In")</f>
        <v>1</v>
      </c>
      <c r="T1185" s="87">
        <f t="shared" si="75"/>
        <v>0</v>
      </c>
    </row>
    <row r="1186" spans="1:20">
      <c r="A1186" s="85" t="str">
        <f>Requirements!A1188</f>
        <v>MS-SMB_R8466</v>
      </c>
      <c r="B1186" s="87"/>
      <c r="C1186" s="87"/>
      <c r="D1186" s="87"/>
      <c r="E1186" s="87"/>
      <c r="F1186" s="87"/>
      <c r="G1186" s="87"/>
      <c r="H1186" s="87"/>
      <c r="I1186" s="87"/>
      <c r="J1186" s="87"/>
      <c r="K1186" s="87"/>
      <c r="L1186" s="87"/>
      <c r="M1186" s="87"/>
      <c r="N1186" s="87">
        <f t="shared" si="72"/>
        <v>0</v>
      </c>
      <c r="O1186" s="61">
        <f t="shared" si="73"/>
        <v>0</v>
      </c>
      <c r="P1186" s="61" t="b">
        <f t="shared" si="74"/>
        <v>1</v>
      </c>
      <c r="Q1186" s="87" t="b">
        <f>(Requirements!K1188="Normative")</f>
        <v>1</v>
      </c>
      <c r="R1186" s="87" t="b">
        <f>AND(Requirements!L1188&lt;&gt;"Non-testable",Requirements!L1188&lt;&gt;"Deleted",Requirements!L1188&lt;&gt;"")</f>
        <v>1</v>
      </c>
      <c r="S1186" s="87" t="b">
        <f>(VLOOKUP(Requirements!I1188,Scope[[Role]:[Description]],2,FALSE)="In")</f>
        <v>1</v>
      </c>
      <c r="T1186" s="87">
        <f t="shared" si="75"/>
        <v>0</v>
      </c>
    </row>
    <row r="1187" spans="1:20">
      <c r="A1187" s="85" t="str">
        <f>Requirements!A1189</f>
        <v>MS-SMB_R8467</v>
      </c>
      <c r="B1187" s="87"/>
      <c r="C1187" s="87"/>
      <c r="D1187" s="87"/>
      <c r="E1187" s="87"/>
      <c r="F1187" s="87"/>
      <c r="G1187" s="87"/>
      <c r="H1187" s="87"/>
      <c r="I1187" s="87"/>
      <c r="J1187" s="87"/>
      <c r="K1187" s="87"/>
      <c r="L1187" s="87"/>
      <c r="M1187" s="87"/>
      <c r="N1187" s="87">
        <f t="shared" si="72"/>
        <v>0</v>
      </c>
      <c r="O1187" s="61">
        <f t="shared" si="73"/>
        <v>0</v>
      </c>
      <c r="P1187" s="61" t="b">
        <f t="shared" si="74"/>
        <v>1</v>
      </c>
      <c r="Q1187" s="87" t="b">
        <f>(Requirements!K1189="Normative")</f>
        <v>1</v>
      </c>
      <c r="R1187" s="87" t="b">
        <f>AND(Requirements!L1189&lt;&gt;"Non-testable",Requirements!L1189&lt;&gt;"Deleted",Requirements!L1189&lt;&gt;"")</f>
        <v>1</v>
      </c>
      <c r="S1187" s="87" t="b">
        <f>(VLOOKUP(Requirements!I1189,Scope[[Role]:[Description]],2,FALSE)="In")</f>
        <v>1</v>
      </c>
      <c r="T1187" s="87">
        <f t="shared" si="75"/>
        <v>0</v>
      </c>
    </row>
    <row r="1188" spans="1:20">
      <c r="A1188" s="85" t="str">
        <f>Requirements!A1190</f>
        <v>MS-SMB_R8468</v>
      </c>
      <c r="B1188" s="87"/>
      <c r="C1188" s="87"/>
      <c r="D1188" s="87"/>
      <c r="E1188" s="87"/>
      <c r="F1188" s="87"/>
      <c r="G1188" s="87"/>
      <c r="H1188" s="87"/>
      <c r="I1188" s="87"/>
      <c r="J1188" s="87"/>
      <c r="K1188" s="87"/>
      <c r="L1188" s="87"/>
      <c r="M1188" s="87"/>
      <c r="N1188" s="87">
        <f t="shared" si="72"/>
        <v>0</v>
      </c>
      <c r="O1188" s="61">
        <f t="shared" si="73"/>
        <v>0</v>
      </c>
      <c r="P1188" s="61" t="b">
        <f t="shared" si="74"/>
        <v>1</v>
      </c>
      <c r="Q1188" s="87" t="b">
        <f>(Requirements!K1190="Normative")</f>
        <v>1</v>
      </c>
      <c r="R1188" s="87" t="b">
        <f>AND(Requirements!L1190&lt;&gt;"Non-testable",Requirements!L1190&lt;&gt;"Deleted",Requirements!L1190&lt;&gt;"")</f>
        <v>1</v>
      </c>
      <c r="S1188" s="87" t="b">
        <f>(VLOOKUP(Requirements!I1190,Scope[[Role]:[Description]],2,FALSE)="In")</f>
        <v>1</v>
      </c>
      <c r="T1188" s="87">
        <f t="shared" si="75"/>
        <v>0</v>
      </c>
    </row>
    <row r="1189" spans="1:20">
      <c r="A1189" s="85" t="str">
        <f>Requirements!A1191</f>
        <v>MS-SMB_R8469</v>
      </c>
      <c r="B1189" s="87"/>
      <c r="C1189" s="87"/>
      <c r="D1189" s="87"/>
      <c r="E1189" s="87"/>
      <c r="F1189" s="87"/>
      <c r="G1189" s="87"/>
      <c r="H1189" s="87"/>
      <c r="I1189" s="87"/>
      <c r="J1189" s="87"/>
      <c r="K1189" s="87"/>
      <c r="L1189" s="87"/>
      <c r="M1189" s="87"/>
      <c r="N1189" s="87">
        <f t="shared" si="72"/>
        <v>0</v>
      </c>
      <c r="O1189" s="61">
        <f t="shared" si="73"/>
        <v>0</v>
      </c>
      <c r="P1189" s="61" t="b">
        <f t="shared" si="74"/>
        <v>1</v>
      </c>
      <c r="Q1189" s="87" t="b">
        <f>(Requirements!K1191="Normative")</f>
        <v>1</v>
      </c>
      <c r="R1189" s="87" t="b">
        <f>AND(Requirements!L1191&lt;&gt;"Non-testable",Requirements!L1191&lt;&gt;"Deleted",Requirements!L1191&lt;&gt;"")</f>
        <v>1</v>
      </c>
      <c r="S1189" s="87" t="b">
        <f>(VLOOKUP(Requirements!I1191,Scope[[Role]:[Description]],2,FALSE)="In")</f>
        <v>1</v>
      </c>
      <c r="T1189" s="87">
        <f t="shared" si="75"/>
        <v>0</v>
      </c>
    </row>
    <row r="1190" spans="1:20">
      <c r="A1190" s="85" t="str">
        <f>Requirements!A1192</f>
        <v>MS-SMB_R8470</v>
      </c>
      <c r="B1190" s="87"/>
      <c r="C1190" s="87"/>
      <c r="D1190" s="87"/>
      <c r="E1190" s="87"/>
      <c r="F1190" s="87"/>
      <c r="G1190" s="87"/>
      <c r="H1190" s="87"/>
      <c r="I1190" s="87"/>
      <c r="J1190" s="87"/>
      <c r="K1190" s="87"/>
      <c r="L1190" s="87"/>
      <c r="M1190" s="87"/>
      <c r="N1190" s="87">
        <f t="shared" si="72"/>
        <v>0</v>
      </c>
      <c r="O1190" s="61">
        <f t="shared" si="73"/>
        <v>0</v>
      </c>
      <c r="P1190" s="61" t="b">
        <f t="shared" si="74"/>
        <v>1</v>
      </c>
      <c r="Q1190" s="87" t="b">
        <f>(Requirements!K1192="Normative")</f>
        <v>1</v>
      </c>
      <c r="R1190" s="87" t="b">
        <f>AND(Requirements!L1192&lt;&gt;"Non-testable",Requirements!L1192&lt;&gt;"Deleted",Requirements!L1192&lt;&gt;"")</f>
        <v>1</v>
      </c>
      <c r="S1190" s="87" t="b">
        <f>(VLOOKUP(Requirements!I1192,Scope[[Role]:[Description]],2,FALSE)="In")</f>
        <v>1</v>
      </c>
      <c r="T1190" s="87">
        <f t="shared" si="75"/>
        <v>0</v>
      </c>
    </row>
    <row r="1191" spans="1:20">
      <c r="A1191" s="85" t="str">
        <f>Requirements!A1193</f>
        <v>MS-SMB_R8471</v>
      </c>
      <c r="B1191" s="87"/>
      <c r="C1191" s="87"/>
      <c r="D1191" s="87"/>
      <c r="E1191" s="87"/>
      <c r="F1191" s="87"/>
      <c r="G1191" s="87"/>
      <c r="H1191" s="87"/>
      <c r="I1191" s="87"/>
      <c r="J1191" s="87"/>
      <c r="K1191" s="87"/>
      <c r="L1191" s="87"/>
      <c r="M1191" s="87"/>
      <c r="N1191" s="87">
        <f t="shared" si="72"/>
        <v>0</v>
      </c>
      <c r="O1191" s="61">
        <f t="shared" si="73"/>
        <v>0</v>
      </c>
      <c r="P1191" s="61" t="b">
        <f t="shared" si="74"/>
        <v>1</v>
      </c>
      <c r="Q1191" s="87" t="b">
        <f>(Requirements!K1193="Normative")</f>
        <v>1</v>
      </c>
      <c r="R1191" s="87" t="b">
        <f>AND(Requirements!L1193&lt;&gt;"Non-testable",Requirements!L1193&lt;&gt;"Deleted",Requirements!L1193&lt;&gt;"")</f>
        <v>1</v>
      </c>
      <c r="S1191" s="87" t="b">
        <f>(VLOOKUP(Requirements!I1193,Scope[[Role]:[Description]],2,FALSE)="In")</f>
        <v>1</v>
      </c>
      <c r="T1191" s="87">
        <f t="shared" si="75"/>
        <v>0</v>
      </c>
    </row>
    <row r="1192" spans="1:20">
      <c r="A1192" s="85" t="str">
        <f>Requirements!A1194</f>
        <v>MS-SMB_R8472</v>
      </c>
      <c r="B1192" s="87"/>
      <c r="C1192" s="87"/>
      <c r="D1192" s="87"/>
      <c r="E1192" s="87"/>
      <c r="F1192" s="87"/>
      <c r="G1192" s="87"/>
      <c r="H1192" s="87"/>
      <c r="I1192" s="87"/>
      <c r="J1192" s="87"/>
      <c r="K1192" s="87"/>
      <c r="L1192" s="87"/>
      <c r="M1192" s="87"/>
      <c r="N1192" s="87">
        <f t="shared" si="72"/>
        <v>0</v>
      </c>
      <c r="O1192" s="61">
        <f t="shared" si="73"/>
        <v>0</v>
      </c>
      <c r="P1192" s="61" t="b">
        <f t="shared" si="74"/>
        <v>1</v>
      </c>
      <c r="Q1192" s="87" t="b">
        <f>(Requirements!K1194="Normative")</f>
        <v>1</v>
      </c>
      <c r="R1192" s="87" t="b">
        <f>AND(Requirements!L1194&lt;&gt;"Non-testable",Requirements!L1194&lt;&gt;"Deleted",Requirements!L1194&lt;&gt;"")</f>
        <v>1</v>
      </c>
      <c r="S1192" s="87" t="b">
        <f>(VLOOKUP(Requirements!I1194,Scope[[Role]:[Description]],2,FALSE)="In")</f>
        <v>1</v>
      </c>
      <c r="T1192" s="87">
        <f t="shared" si="75"/>
        <v>0</v>
      </c>
    </row>
    <row r="1193" spans="1:20">
      <c r="A1193" s="85" t="str">
        <f>Requirements!A1195</f>
        <v>MS-SMB_R4400</v>
      </c>
      <c r="B1193" s="87"/>
      <c r="C1193" s="87"/>
      <c r="D1193" s="87"/>
      <c r="E1193" s="87"/>
      <c r="F1193" s="87"/>
      <c r="G1193" s="87"/>
      <c r="H1193" s="87"/>
      <c r="I1193" s="87"/>
      <c r="J1193" s="87"/>
      <c r="K1193" s="87"/>
      <c r="L1193" s="87"/>
      <c r="M1193" s="87"/>
      <c r="N1193" s="87">
        <f t="shared" si="72"/>
        <v>0</v>
      </c>
      <c r="O1193" s="61">
        <f t="shared" si="73"/>
        <v>0</v>
      </c>
      <c r="P1193" s="61" t="b">
        <f t="shared" si="74"/>
        <v>1</v>
      </c>
      <c r="Q1193" s="87" t="b">
        <f>(Requirements!K1195="Normative")</f>
        <v>1</v>
      </c>
      <c r="R1193" s="87" t="b">
        <f>AND(Requirements!L1195&lt;&gt;"Non-testable",Requirements!L1195&lt;&gt;"Deleted",Requirements!L1195&lt;&gt;"")</f>
        <v>1</v>
      </c>
      <c r="S1193" s="87" t="b">
        <f>(VLOOKUP(Requirements!I1195,Scope[[Role]:[Description]],2,FALSE)="In")</f>
        <v>1</v>
      </c>
      <c r="T1193" s="87">
        <f t="shared" si="75"/>
        <v>0</v>
      </c>
    </row>
    <row r="1194" spans="1:20">
      <c r="A1194" s="44" t="str">
        <f>Requirements!A1196</f>
        <v>MS-SMB_R4401</v>
      </c>
      <c r="B1194" s="87"/>
      <c r="C1194" s="87"/>
      <c r="D1194" s="87"/>
      <c r="E1194" s="87"/>
      <c r="F1194" s="87"/>
      <c r="G1194" s="87"/>
      <c r="H1194" s="87"/>
      <c r="I1194" s="87"/>
      <c r="J1194" s="87"/>
      <c r="K1194" s="87"/>
      <c r="L1194" s="87"/>
      <c r="M1194" s="87"/>
      <c r="N1194" s="87">
        <f t="shared" si="72"/>
        <v>0</v>
      </c>
      <c r="O1194" s="87">
        <f t="shared" si="73"/>
        <v>0</v>
      </c>
      <c r="P1194" s="87" t="b">
        <f t="shared" si="74"/>
        <v>0</v>
      </c>
      <c r="Q1194" s="87" t="b">
        <f>(Requirements!K1196="Normative")</f>
        <v>0</v>
      </c>
      <c r="R1194" s="87" t="b">
        <f>AND(Requirements!L1196&lt;&gt;"Non-testable",Requirements!L1196&lt;&gt;"Deleted",Requirements!L1196&lt;&gt;"")</f>
        <v>1</v>
      </c>
      <c r="S1194" s="87" t="b">
        <f>(VLOOKUP(Requirements!I1196,Scope[[Role]:[Description]],2,FALSE)="In")</f>
        <v>1</v>
      </c>
      <c r="T1194" s="87">
        <f t="shared" si="75"/>
        <v>0</v>
      </c>
    </row>
    <row r="1195" spans="1:20">
      <c r="A1195" s="85" t="str">
        <f>Requirements!A1197</f>
        <v>MS-SMB_R8473</v>
      </c>
      <c r="B1195" s="87"/>
      <c r="C1195" s="87"/>
      <c r="D1195" s="87"/>
      <c r="E1195" s="87"/>
      <c r="F1195" s="87"/>
      <c r="G1195" s="87"/>
      <c r="H1195" s="87"/>
      <c r="I1195" s="87"/>
      <c r="J1195" s="87"/>
      <c r="K1195" s="87"/>
      <c r="L1195" s="87"/>
      <c r="M1195" s="87"/>
      <c r="N1195" s="87">
        <f t="shared" si="72"/>
        <v>0</v>
      </c>
      <c r="O1195" s="61">
        <f t="shared" si="73"/>
        <v>0</v>
      </c>
      <c r="P1195" s="61" t="b">
        <f t="shared" si="74"/>
        <v>1</v>
      </c>
      <c r="Q1195" s="87" t="b">
        <f>(Requirements!K1197="Normative")</f>
        <v>1</v>
      </c>
      <c r="R1195" s="87" t="b">
        <f>AND(Requirements!L1197&lt;&gt;"Non-testable",Requirements!L1197&lt;&gt;"Deleted",Requirements!L1197&lt;&gt;"")</f>
        <v>1</v>
      </c>
      <c r="S1195" s="87" t="b">
        <f>(VLOOKUP(Requirements!I1197,Scope[[Role]:[Description]],2,FALSE)="In")</f>
        <v>1</v>
      </c>
      <c r="T1195" s="87">
        <f t="shared" si="75"/>
        <v>0</v>
      </c>
    </row>
    <row r="1196" spans="1:20">
      <c r="A1196" s="85" t="str">
        <f>Requirements!A1198</f>
        <v>MS-SMB_R8474</v>
      </c>
      <c r="B1196" s="87"/>
      <c r="C1196" s="87"/>
      <c r="D1196" s="87"/>
      <c r="E1196" s="87"/>
      <c r="F1196" s="87"/>
      <c r="G1196" s="87"/>
      <c r="H1196" s="87"/>
      <c r="I1196" s="87"/>
      <c r="J1196" s="87"/>
      <c r="K1196" s="87"/>
      <c r="L1196" s="87"/>
      <c r="M1196" s="87"/>
      <c r="N1196" s="87">
        <f t="shared" si="72"/>
        <v>0</v>
      </c>
      <c r="O1196" s="61">
        <f t="shared" si="73"/>
        <v>0</v>
      </c>
      <c r="P1196" s="61" t="b">
        <f t="shared" si="74"/>
        <v>1</v>
      </c>
      <c r="Q1196" s="87" t="b">
        <f>(Requirements!K1198="Normative")</f>
        <v>1</v>
      </c>
      <c r="R1196" s="87" t="b">
        <f>AND(Requirements!L1198&lt;&gt;"Non-testable",Requirements!L1198&lt;&gt;"Deleted",Requirements!L1198&lt;&gt;"")</f>
        <v>1</v>
      </c>
      <c r="S1196" s="87" t="b">
        <f>(VLOOKUP(Requirements!I1198,Scope[[Role]:[Description]],2,FALSE)="In")</f>
        <v>1</v>
      </c>
      <c r="T1196" s="87">
        <f t="shared" si="75"/>
        <v>0</v>
      </c>
    </row>
    <row r="1197" spans="1:20">
      <c r="A1197" s="85" t="str">
        <f>Requirements!A1199</f>
        <v>MS-SMB_R8475</v>
      </c>
      <c r="B1197" s="87"/>
      <c r="C1197" s="87"/>
      <c r="D1197" s="87"/>
      <c r="E1197" s="87"/>
      <c r="F1197" s="87"/>
      <c r="G1197" s="87"/>
      <c r="H1197" s="87"/>
      <c r="I1197" s="87"/>
      <c r="J1197" s="87"/>
      <c r="K1197" s="87"/>
      <c r="L1197" s="87"/>
      <c r="M1197" s="87"/>
      <c r="N1197" s="87">
        <f t="shared" si="72"/>
        <v>0</v>
      </c>
      <c r="O1197" s="61">
        <f t="shared" si="73"/>
        <v>0</v>
      </c>
      <c r="P1197" s="61" t="b">
        <f t="shared" si="74"/>
        <v>1</v>
      </c>
      <c r="Q1197" s="87" t="b">
        <f>(Requirements!K1199="Normative")</f>
        <v>1</v>
      </c>
      <c r="R1197" s="87" t="b">
        <f>AND(Requirements!L1199&lt;&gt;"Non-testable",Requirements!L1199&lt;&gt;"Deleted",Requirements!L1199&lt;&gt;"")</f>
        <v>1</v>
      </c>
      <c r="S1197" s="87" t="b">
        <f>(VLOOKUP(Requirements!I1199,Scope[[Role]:[Description]],2,FALSE)="In")</f>
        <v>1</v>
      </c>
      <c r="T1197" s="87">
        <f t="shared" si="75"/>
        <v>0</v>
      </c>
    </row>
    <row r="1198" spans="1:20">
      <c r="A1198" s="85" t="str">
        <f>Requirements!A1200</f>
        <v>MS-SMB_R8476</v>
      </c>
      <c r="B1198" s="87"/>
      <c r="C1198" s="87"/>
      <c r="D1198" s="87"/>
      <c r="E1198" s="87"/>
      <c r="F1198" s="87"/>
      <c r="G1198" s="87"/>
      <c r="H1198" s="87"/>
      <c r="I1198" s="87"/>
      <c r="J1198" s="87"/>
      <c r="K1198" s="87"/>
      <c r="L1198" s="87"/>
      <c r="M1198" s="87"/>
      <c r="N1198" s="87">
        <f t="shared" si="72"/>
        <v>0</v>
      </c>
      <c r="O1198" s="61">
        <f t="shared" si="73"/>
        <v>0</v>
      </c>
      <c r="P1198" s="61" t="b">
        <f t="shared" si="74"/>
        <v>1</v>
      </c>
      <c r="Q1198" s="87" t="b">
        <f>(Requirements!K1200="Normative")</f>
        <v>1</v>
      </c>
      <c r="R1198" s="87" t="b">
        <f>AND(Requirements!L1200&lt;&gt;"Non-testable",Requirements!L1200&lt;&gt;"Deleted",Requirements!L1200&lt;&gt;"")</f>
        <v>1</v>
      </c>
      <c r="S1198" s="87" t="b">
        <f>(VLOOKUP(Requirements!I1200,Scope[[Role]:[Description]],2,FALSE)="In")</f>
        <v>1</v>
      </c>
      <c r="T1198" s="87">
        <f t="shared" si="75"/>
        <v>0</v>
      </c>
    </row>
    <row r="1199" spans="1:20">
      <c r="A1199" s="85" t="str">
        <f>Requirements!A1201</f>
        <v>MS-SMB_R8477</v>
      </c>
      <c r="B1199" s="87"/>
      <c r="C1199" s="87"/>
      <c r="D1199" s="87"/>
      <c r="E1199" s="87"/>
      <c r="F1199" s="87"/>
      <c r="G1199" s="87"/>
      <c r="H1199" s="87"/>
      <c r="I1199" s="87"/>
      <c r="J1199" s="87"/>
      <c r="K1199" s="87"/>
      <c r="L1199" s="87"/>
      <c r="M1199" s="87"/>
      <c r="N1199" s="87">
        <f t="shared" si="72"/>
        <v>0</v>
      </c>
      <c r="O1199" s="61">
        <f t="shared" si="73"/>
        <v>0</v>
      </c>
      <c r="P1199" s="61" t="b">
        <f t="shared" si="74"/>
        <v>1</v>
      </c>
      <c r="Q1199" s="87" t="b">
        <f>(Requirements!K1201="Normative")</f>
        <v>1</v>
      </c>
      <c r="R1199" s="87" t="b">
        <f>AND(Requirements!L1201&lt;&gt;"Non-testable",Requirements!L1201&lt;&gt;"Deleted",Requirements!L1201&lt;&gt;"")</f>
        <v>1</v>
      </c>
      <c r="S1199" s="87" t="b">
        <f>(VLOOKUP(Requirements!I1201,Scope[[Role]:[Description]],2,FALSE)="In")</f>
        <v>1</v>
      </c>
      <c r="T1199" s="87">
        <f t="shared" si="75"/>
        <v>0</v>
      </c>
    </row>
    <row r="1200" spans="1:20">
      <c r="A1200" s="85" t="str">
        <f>Requirements!A1202</f>
        <v>MS-SMB_R8478</v>
      </c>
      <c r="B1200" s="87"/>
      <c r="C1200" s="87"/>
      <c r="D1200" s="87"/>
      <c r="E1200" s="87"/>
      <c r="F1200" s="87"/>
      <c r="G1200" s="87"/>
      <c r="H1200" s="87"/>
      <c r="I1200" s="87"/>
      <c r="J1200" s="87"/>
      <c r="K1200" s="87"/>
      <c r="L1200" s="87"/>
      <c r="M1200" s="87"/>
      <c r="N1200" s="87">
        <f t="shared" si="72"/>
        <v>0</v>
      </c>
      <c r="O1200" s="61">
        <f t="shared" si="73"/>
        <v>0</v>
      </c>
      <c r="P1200" s="61" t="b">
        <f t="shared" si="74"/>
        <v>1</v>
      </c>
      <c r="Q1200" s="87" t="b">
        <f>(Requirements!K1202="Normative")</f>
        <v>1</v>
      </c>
      <c r="R1200" s="87" t="b">
        <f>AND(Requirements!L1202&lt;&gt;"Non-testable",Requirements!L1202&lt;&gt;"Deleted",Requirements!L1202&lt;&gt;"")</f>
        <v>1</v>
      </c>
      <c r="S1200" s="87" t="b">
        <f>(VLOOKUP(Requirements!I1202,Scope[[Role]:[Description]],2,FALSE)="In")</f>
        <v>1</v>
      </c>
      <c r="T1200" s="87">
        <f t="shared" si="75"/>
        <v>0</v>
      </c>
    </row>
    <row r="1201" spans="1:20">
      <c r="A1201" s="44" t="str">
        <f>Requirements!A1203</f>
        <v>MS-SMB_R8229</v>
      </c>
      <c r="B1201" s="87"/>
      <c r="C1201" s="87"/>
      <c r="D1201" s="87"/>
      <c r="E1201" s="87"/>
      <c r="F1201" s="87"/>
      <c r="G1201" s="87"/>
      <c r="H1201" s="87"/>
      <c r="I1201" s="87"/>
      <c r="J1201" s="87"/>
      <c r="K1201" s="87"/>
      <c r="L1201" s="87"/>
      <c r="M1201" s="87"/>
      <c r="N1201" s="87">
        <f t="shared" si="72"/>
        <v>0</v>
      </c>
      <c r="O1201" s="87">
        <f t="shared" si="73"/>
        <v>0</v>
      </c>
      <c r="P1201" s="87" t="b">
        <f t="shared" si="74"/>
        <v>0</v>
      </c>
      <c r="Q1201" s="87" t="b">
        <f>(Requirements!K1203="Normative")</f>
        <v>0</v>
      </c>
      <c r="R1201" s="87" t="b">
        <f>AND(Requirements!L1203&lt;&gt;"Non-testable",Requirements!L1203&lt;&gt;"Deleted",Requirements!L1203&lt;&gt;"")</f>
        <v>1</v>
      </c>
      <c r="S1201" s="87" t="b">
        <f>(VLOOKUP(Requirements!I1203,Scope[[Role]:[Description]],2,FALSE)="In")</f>
        <v>1</v>
      </c>
      <c r="T1201" s="87">
        <f t="shared" si="75"/>
        <v>0</v>
      </c>
    </row>
    <row r="1202" spans="1:20">
      <c r="A1202" s="44" t="str">
        <f>Requirements!A1204</f>
        <v>MS-SMB_R8230</v>
      </c>
      <c r="B1202" s="87"/>
      <c r="C1202" s="87"/>
      <c r="D1202" s="87"/>
      <c r="E1202" s="87"/>
      <c r="F1202" s="87"/>
      <c r="G1202" s="87"/>
      <c r="H1202" s="87"/>
      <c r="I1202" s="87"/>
      <c r="J1202" s="87"/>
      <c r="K1202" s="87"/>
      <c r="L1202" s="87"/>
      <c r="M1202" s="87"/>
      <c r="N1202" s="87">
        <f t="shared" si="72"/>
        <v>0</v>
      </c>
      <c r="O1202" s="87">
        <f t="shared" si="73"/>
        <v>0</v>
      </c>
      <c r="P1202" s="87" t="b">
        <f t="shared" si="74"/>
        <v>0</v>
      </c>
      <c r="Q1202" s="87" t="b">
        <f>(Requirements!K1204="Normative")</f>
        <v>0</v>
      </c>
      <c r="R1202" s="87" t="b">
        <f>AND(Requirements!L1204&lt;&gt;"Non-testable",Requirements!L1204&lt;&gt;"Deleted",Requirements!L1204&lt;&gt;"")</f>
        <v>1</v>
      </c>
      <c r="S1202" s="87" t="b">
        <f>(VLOOKUP(Requirements!I1204,Scope[[Role]:[Description]],2,FALSE)="In")</f>
        <v>1</v>
      </c>
      <c r="T1202" s="87">
        <f t="shared" si="75"/>
        <v>0</v>
      </c>
    </row>
    <row r="1203" spans="1:20">
      <c r="A1203" s="85" t="str">
        <f>Requirements!A1205</f>
        <v>MS-SMB_R8231</v>
      </c>
      <c r="B1203" s="87"/>
      <c r="C1203" s="87"/>
      <c r="D1203" s="87"/>
      <c r="E1203" s="87"/>
      <c r="F1203" s="87"/>
      <c r="G1203" s="87"/>
      <c r="H1203" s="87"/>
      <c r="I1203" s="87"/>
      <c r="J1203" s="87"/>
      <c r="K1203" s="87"/>
      <c r="L1203" s="87"/>
      <c r="M1203" s="87"/>
      <c r="N1203" s="87">
        <f t="shared" si="72"/>
        <v>0</v>
      </c>
      <c r="O1203" s="61">
        <f t="shared" si="73"/>
        <v>0</v>
      </c>
      <c r="P1203" s="61" t="b">
        <f t="shared" si="74"/>
        <v>1</v>
      </c>
      <c r="Q1203" s="87" t="b">
        <f>(Requirements!K1205="Normative")</f>
        <v>1</v>
      </c>
      <c r="R1203" s="87" t="b">
        <f>AND(Requirements!L1205&lt;&gt;"Non-testable",Requirements!L1205&lt;&gt;"Deleted",Requirements!L1205&lt;&gt;"")</f>
        <v>1</v>
      </c>
      <c r="S1203" s="87" t="b">
        <f>(VLOOKUP(Requirements!I1205,Scope[[Role]:[Description]],2,FALSE)="In")</f>
        <v>1</v>
      </c>
      <c r="T1203" s="87">
        <f t="shared" si="75"/>
        <v>0</v>
      </c>
    </row>
    <row r="1204" spans="1:20">
      <c r="A1204" s="44" t="str">
        <f>Requirements!A1206</f>
        <v>MS-SMB_R8233</v>
      </c>
      <c r="B1204" s="87"/>
      <c r="C1204" s="87"/>
      <c r="D1204" s="87"/>
      <c r="E1204" s="87"/>
      <c r="F1204" s="87"/>
      <c r="G1204" s="87"/>
      <c r="H1204" s="87"/>
      <c r="I1204" s="87"/>
      <c r="J1204" s="87"/>
      <c r="K1204" s="87"/>
      <c r="L1204" s="87"/>
      <c r="M1204" s="87"/>
      <c r="N1204" s="87">
        <f t="shared" si="72"/>
        <v>0</v>
      </c>
      <c r="O1204" s="87">
        <f t="shared" si="73"/>
        <v>0</v>
      </c>
      <c r="P1204" s="87" t="b">
        <f t="shared" si="74"/>
        <v>0</v>
      </c>
      <c r="Q1204" s="87" t="b">
        <f>(Requirements!K1206="Normative")</f>
        <v>1</v>
      </c>
      <c r="R1204" s="87" t="b">
        <f>AND(Requirements!L1206&lt;&gt;"Non-testable",Requirements!L1206&lt;&gt;"Deleted",Requirements!L1206&lt;&gt;"")</f>
        <v>0</v>
      </c>
      <c r="S1204" s="87" t="b">
        <f>(VLOOKUP(Requirements!I1206,Scope[[Role]:[Description]],2,FALSE)="In")</f>
        <v>1</v>
      </c>
      <c r="T1204" s="87">
        <f t="shared" si="75"/>
        <v>0</v>
      </c>
    </row>
    <row r="1205" spans="1:20">
      <c r="A1205" s="44" t="str">
        <f>Requirements!A1207</f>
        <v>MS-SMB_R8479</v>
      </c>
      <c r="B1205" s="87"/>
      <c r="C1205" s="87"/>
      <c r="D1205" s="87"/>
      <c r="E1205" s="87"/>
      <c r="F1205" s="87"/>
      <c r="G1205" s="87"/>
      <c r="H1205" s="87"/>
      <c r="I1205" s="87"/>
      <c r="J1205" s="87"/>
      <c r="K1205" s="87"/>
      <c r="L1205" s="87"/>
      <c r="M1205" s="87"/>
      <c r="N1205" s="87">
        <f t="shared" si="72"/>
        <v>0</v>
      </c>
      <c r="O1205" s="87">
        <f t="shared" si="73"/>
        <v>0</v>
      </c>
      <c r="P1205" s="87" t="b">
        <f t="shared" si="74"/>
        <v>0</v>
      </c>
      <c r="Q1205" s="87" t="b">
        <f>(Requirements!K1207="Normative")</f>
        <v>1</v>
      </c>
      <c r="R1205" s="87" t="b">
        <f>AND(Requirements!L1207&lt;&gt;"Non-testable",Requirements!L1207&lt;&gt;"Deleted",Requirements!L1207&lt;&gt;"")</f>
        <v>0</v>
      </c>
      <c r="S1205" s="87" t="b">
        <f>(VLOOKUP(Requirements!I1207,Scope[[Role]:[Description]],2,FALSE)="In")</f>
        <v>1</v>
      </c>
      <c r="T1205" s="87">
        <f t="shared" si="75"/>
        <v>0</v>
      </c>
    </row>
    <row r="1206" spans="1:20">
      <c r="A1206" s="44" t="str">
        <f>Requirements!A1208</f>
        <v>MS-SMB_R8480</v>
      </c>
      <c r="B1206" s="87"/>
      <c r="C1206" s="87"/>
      <c r="D1206" s="87"/>
      <c r="E1206" s="87"/>
      <c r="F1206" s="87"/>
      <c r="G1206" s="87"/>
      <c r="H1206" s="87"/>
      <c r="I1206" s="87"/>
      <c r="J1206" s="87"/>
      <c r="K1206" s="87"/>
      <c r="L1206" s="87"/>
      <c r="M1206" s="87"/>
      <c r="N1206" s="87">
        <f t="shared" si="72"/>
        <v>0</v>
      </c>
      <c r="O1206" s="87">
        <f t="shared" si="73"/>
        <v>0</v>
      </c>
      <c r="P1206" s="87" t="b">
        <f t="shared" si="74"/>
        <v>0</v>
      </c>
      <c r="Q1206" s="87" t="b">
        <f>(Requirements!K1208="Normative")</f>
        <v>1</v>
      </c>
      <c r="R1206" s="87" t="b">
        <f>AND(Requirements!L1208&lt;&gt;"Non-testable",Requirements!L1208&lt;&gt;"Deleted",Requirements!L1208&lt;&gt;"")</f>
        <v>0</v>
      </c>
      <c r="S1206" s="87" t="b">
        <f>(VLOOKUP(Requirements!I1208,Scope[[Role]:[Description]],2,FALSE)="In")</f>
        <v>1</v>
      </c>
      <c r="T1206" s="87">
        <f t="shared" si="75"/>
        <v>0</v>
      </c>
    </row>
    <row r="1207" spans="1:20">
      <c r="A1207" s="85" t="str">
        <f>Requirements!A1209</f>
        <v>MS-SMB_R8481</v>
      </c>
      <c r="B1207" s="87"/>
      <c r="C1207" s="87"/>
      <c r="D1207" s="87"/>
      <c r="E1207" s="87"/>
      <c r="F1207" s="87"/>
      <c r="G1207" s="87"/>
      <c r="H1207" s="87"/>
      <c r="I1207" s="87"/>
      <c r="J1207" s="87"/>
      <c r="K1207" s="87"/>
      <c r="L1207" s="87"/>
      <c r="M1207" s="87"/>
      <c r="N1207" s="87">
        <f t="shared" si="72"/>
        <v>0</v>
      </c>
      <c r="O1207" s="61">
        <f t="shared" si="73"/>
        <v>0</v>
      </c>
      <c r="P1207" s="61" t="b">
        <f t="shared" si="74"/>
        <v>1</v>
      </c>
      <c r="Q1207" s="87" t="b">
        <f>(Requirements!K1209="Normative")</f>
        <v>1</v>
      </c>
      <c r="R1207" s="87" t="b">
        <f>AND(Requirements!L1209&lt;&gt;"Non-testable",Requirements!L1209&lt;&gt;"Deleted",Requirements!L1209&lt;&gt;"")</f>
        <v>1</v>
      </c>
      <c r="S1207" s="87" t="b">
        <f>(VLOOKUP(Requirements!I1209,Scope[[Role]:[Description]],2,FALSE)="In")</f>
        <v>1</v>
      </c>
      <c r="T1207" s="87">
        <f t="shared" si="75"/>
        <v>0</v>
      </c>
    </row>
    <row r="1208" spans="1:20">
      <c r="A1208" s="85" t="str">
        <f>Requirements!A1210</f>
        <v>MS-SMB_R4454</v>
      </c>
      <c r="B1208" s="87"/>
      <c r="C1208" s="87"/>
      <c r="D1208" s="87"/>
      <c r="E1208" s="87"/>
      <c r="F1208" s="87"/>
      <c r="G1208" s="87"/>
      <c r="H1208" s="87"/>
      <c r="I1208" s="87"/>
      <c r="J1208" s="87"/>
      <c r="K1208" s="87"/>
      <c r="L1208" s="87"/>
      <c r="M1208" s="87"/>
      <c r="N1208" s="87">
        <f t="shared" si="72"/>
        <v>0</v>
      </c>
      <c r="O1208" s="61">
        <f t="shared" si="73"/>
        <v>0</v>
      </c>
      <c r="P1208" s="61" t="b">
        <f t="shared" si="74"/>
        <v>1</v>
      </c>
      <c r="Q1208" s="87" t="b">
        <f>(Requirements!K1210="Normative")</f>
        <v>1</v>
      </c>
      <c r="R1208" s="87" t="b">
        <f>AND(Requirements!L1210&lt;&gt;"Non-testable",Requirements!L1210&lt;&gt;"Deleted",Requirements!L1210&lt;&gt;"")</f>
        <v>1</v>
      </c>
      <c r="S1208" s="87" t="b">
        <f>(VLOOKUP(Requirements!I1210,Scope[[Role]:[Description]],2,FALSE)="In")</f>
        <v>1</v>
      </c>
      <c r="T1208" s="87">
        <f t="shared" si="75"/>
        <v>0</v>
      </c>
    </row>
    <row r="1209" spans="1:20">
      <c r="A1209" s="44" t="str">
        <f>Requirements!A1211</f>
        <v>MS-SMB_R4455</v>
      </c>
      <c r="B1209" s="87"/>
      <c r="C1209" s="87"/>
      <c r="D1209" s="87"/>
      <c r="E1209" s="87"/>
      <c r="F1209" s="87"/>
      <c r="G1209" s="87"/>
      <c r="H1209" s="87"/>
      <c r="I1209" s="87"/>
      <c r="J1209" s="87"/>
      <c r="K1209" s="87"/>
      <c r="L1209" s="87"/>
      <c r="M1209" s="87"/>
      <c r="N1209" s="87">
        <f t="shared" si="72"/>
        <v>0</v>
      </c>
      <c r="O1209" s="87">
        <f t="shared" si="73"/>
        <v>0</v>
      </c>
      <c r="P1209" s="87" t="b">
        <f t="shared" si="74"/>
        <v>0</v>
      </c>
      <c r="Q1209" s="87" t="b">
        <f>(Requirements!K1211="Normative")</f>
        <v>0</v>
      </c>
      <c r="R1209" s="87" t="b">
        <f>AND(Requirements!L1211&lt;&gt;"Non-testable",Requirements!L1211&lt;&gt;"Deleted",Requirements!L1211&lt;&gt;"")</f>
        <v>1</v>
      </c>
      <c r="S1209" s="87" t="b">
        <f>(VLOOKUP(Requirements!I1211,Scope[[Role]:[Description]],2,FALSE)="In")</f>
        <v>1</v>
      </c>
      <c r="T1209" s="87">
        <f t="shared" si="75"/>
        <v>0</v>
      </c>
    </row>
    <row r="1210" spans="1:20">
      <c r="A1210" s="44" t="str">
        <f>Requirements!A1212</f>
        <v>MS-SMB_R4456</v>
      </c>
      <c r="B1210" s="87"/>
      <c r="C1210" s="87"/>
      <c r="D1210" s="87"/>
      <c r="E1210" s="87"/>
      <c r="F1210" s="87"/>
      <c r="G1210" s="87"/>
      <c r="H1210" s="87"/>
      <c r="I1210" s="87"/>
      <c r="J1210" s="87"/>
      <c r="K1210" s="87"/>
      <c r="L1210" s="87"/>
      <c r="M1210" s="87"/>
      <c r="N1210" s="87">
        <f t="shared" si="72"/>
        <v>0</v>
      </c>
      <c r="O1210" s="87">
        <f t="shared" si="73"/>
        <v>0</v>
      </c>
      <c r="P1210" s="87" t="b">
        <f t="shared" si="74"/>
        <v>0</v>
      </c>
      <c r="Q1210" s="87" t="b">
        <f>(Requirements!K1212="Normative")</f>
        <v>0</v>
      </c>
      <c r="R1210" s="87" t="b">
        <f>AND(Requirements!L1212&lt;&gt;"Non-testable",Requirements!L1212&lt;&gt;"Deleted",Requirements!L1212&lt;&gt;"")</f>
        <v>1</v>
      </c>
      <c r="S1210" s="87" t="b">
        <f>(VLOOKUP(Requirements!I1212,Scope[[Role]:[Description]],2,FALSE)="In")</f>
        <v>1</v>
      </c>
      <c r="T1210" s="87">
        <f t="shared" si="75"/>
        <v>0</v>
      </c>
    </row>
    <row r="1211" spans="1:20">
      <c r="A1211" s="85" t="str">
        <f>Requirements!A1213</f>
        <v>MS-SMB_R4457</v>
      </c>
      <c r="B1211" s="87"/>
      <c r="C1211" s="87"/>
      <c r="D1211" s="87"/>
      <c r="E1211" s="87"/>
      <c r="F1211" s="87"/>
      <c r="G1211" s="87"/>
      <c r="H1211" s="87"/>
      <c r="I1211" s="87"/>
      <c r="J1211" s="87"/>
      <c r="K1211" s="87"/>
      <c r="L1211" s="87"/>
      <c r="M1211" s="87"/>
      <c r="N1211" s="87">
        <f t="shared" si="72"/>
        <v>0</v>
      </c>
      <c r="O1211" s="61">
        <f t="shared" si="73"/>
        <v>0</v>
      </c>
      <c r="P1211" s="61" t="b">
        <f t="shared" si="74"/>
        <v>1</v>
      </c>
      <c r="Q1211" s="87" t="b">
        <f>(Requirements!K1213="Normative")</f>
        <v>1</v>
      </c>
      <c r="R1211" s="87" t="b">
        <f>AND(Requirements!L1213&lt;&gt;"Non-testable",Requirements!L1213&lt;&gt;"Deleted",Requirements!L1213&lt;&gt;"")</f>
        <v>1</v>
      </c>
      <c r="S1211" s="87" t="b">
        <f>(VLOOKUP(Requirements!I1213,Scope[[Role]:[Description]],2,FALSE)="In")</f>
        <v>1</v>
      </c>
      <c r="T1211" s="87">
        <f t="shared" si="75"/>
        <v>0</v>
      </c>
    </row>
    <row r="1212" spans="1:20">
      <c r="A1212" s="85" t="str">
        <f>Requirements!A1214</f>
        <v>MS-SMB_R4458</v>
      </c>
      <c r="B1212" s="87"/>
      <c r="C1212" s="87"/>
      <c r="D1212" s="87"/>
      <c r="E1212" s="87"/>
      <c r="F1212" s="87"/>
      <c r="G1212" s="87"/>
      <c r="H1212" s="87"/>
      <c r="I1212" s="87"/>
      <c r="J1212" s="87"/>
      <c r="K1212" s="87"/>
      <c r="L1212" s="87"/>
      <c r="M1212" s="87"/>
      <c r="N1212" s="87">
        <f t="shared" si="72"/>
        <v>0</v>
      </c>
      <c r="O1212" s="61">
        <f t="shared" si="73"/>
        <v>0</v>
      </c>
      <c r="P1212" s="61" t="b">
        <f t="shared" si="74"/>
        <v>1</v>
      </c>
      <c r="Q1212" s="87" t="b">
        <f>(Requirements!K1214="Normative")</f>
        <v>1</v>
      </c>
      <c r="R1212" s="87" t="b">
        <f>AND(Requirements!L1214&lt;&gt;"Non-testable",Requirements!L1214&lt;&gt;"Deleted",Requirements!L1214&lt;&gt;"")</f>
        <v>1</v>
      </c>
      <c r="S1212" s="87" t="b">
        <f>(VLOOKUP(Requirements!I1214,Scope[[Role]:[Description]],2,FALSE)="In")</f>
        <v>1</v>
      </c>
      <c r="T1212" s="87">
        <f t="shared" si="75"/>
        <v>0</v>
      </c>
    </row>
    <row r="1213" spans="1:20">
      <c r="A1213" s="85" t="str">
        <f>Requirements!A1215</f>
        <v>MS-SMB_R4459</v>
      </c>
      <c r="B1213" s="87"/>
      <c r="C1213" s="87"/>
      <c r="D1213" s="87"/>
      <c r="E1213" s="87"/>
      <c r="F1213" s="87"/>
      <c r="G1213" s="87"/>
      <c r="H1213" s="87"/>
      <c r="I1213" s="87"/>
      <c r="J1213" s="87"/>
      <c r="K1213" s="87"/>
      <c r="L1213" s="87"/>
      <c r="M1213" s="87"/>
      <c r="N1213" s="87">
        <f t="shared" si="72"/>
        <v>0</v>
      </c>
      <c r="O1213" s="61">
        <f t="shared" si="73"/>
        <v>0</v>
      </c>
      <c r="P1213" s="61" t="b">
        <f t="shared" si="74"/>
        <v>1</v>
      </c>
      <c r="Q1213" s="87" t="b">
        <f>(Requirements!K1215="Normative")</f>
        <v>1</v>
      </c>
      <c r="R1213" s="87" t="b">
        <f>AND(Requirements!L1215&lt;&gt;"Non-testable",Requirements!L1215&lt;&gt;"Deleted",Requirements!L1215&lt;&gt;"")</f>
        <v>1</v>
      </c>
      <c r="S1213" s="87" t="b">
        <f>(VLOOKUP(Requirements!I1215,Scope[[Role]:[Description]],2,FALSE)="In")</f>
        <v>1</v>
      </c>
      <c r="T1213" s="87">
        <f t="shared" si="75"/>
        <v>0</v>
      </c>
    </row>
    <row r="1214" spans="1:20">
      <c r="A1214" s="85" t="str">
        <f>Requirements!A1216</f>
        <v>MS-SMB_R4460</v>
      </c>
      <c r="B1214" s="87"/>
      <c r="C1214" s="87"/>
      <c r="D1214" s="87"/>
      <c r="E1214" s="87"/>
      <c r="F1214" s="87"/>
      <c r="G1214" s="87"/>
      <c r="H1214" s="87"/>
      <c r="I1214" s="87"/>
      <c r="J1214" s="87"/>
      <c r="K1214" s="87"/>
      <c r="L1214" s="87"/>
      <c r="M1214" s="87"/>
      <c r="N1214" s="87">
        <f t="shared" si="72"/>
        <v>0</v>
      </c>
      <c r="O1214" s="61">
        <f t="shared" si="73"/>
        <v>0</v>
      </c>
      <c r="P1214" s="61" t="b">
        <f t="shared" si="74"/>
        <v>1</v>
      </c>
      <c r="Q1214" s="87" t="b">
        <f>(Requirements!K1216="Normative")</f>
        <v>1</v>
      </c>
      <c r="R1214" s="87" t="b">
        <f>AND(Requirements!L1216&lt;&gt;"Non-testable",Requirements!L1216&lt;&gt;"Deleted",Requirements!L1216&lt;&gt;"")</f>
        <v>1</v>
      </c>
      <c r="S1214" s="87" t="b">
        <f>(VLOOKUP(Requirements!I1216,Scope[[Role]:[Description]],2,FALSE)="In")</f>
        <v>1</v>
      </c>
      <c r="T1214" s="87">
        <f t="shared" si="75"/>
        <v>0</v>
      </c>
    </row>
    <row r="1215" spans="1:20">
      <c r="A1215" s="85" t="str">
        <f>Requirements!A1217</f>
        <v>MS-SMB_R4462</v>
      </c>
      <c r="B1215" s="87"/>
      <c r="C1215" s="87"/>
      <c r="D1215" s="87"/>
      <c r="E1215" s="87"/>
      <c r="F1215" s="87"/>
      <c r="G1215" s="87"/>
      <c r="H1215" s="87"/>
      <c r="I1215" s="87"/>
      <c r="J1215" s="87"/>
      <c r="K1215" s="87"/>
      <c r="L1215" s="87"/>
      <c r="M1215" s="87"/>
      <c r="N1215" s="87">
        <f t="shared" si="72"/>
        <v>0</v>
      </c>
      <c r="O1215" s="61">
        <f t="shared" si="73"/>
        <v>0</v>
      </c>
      <c r="P1215" s="61" t="b">
        <f t="shared" si="74"/>
        <v>1</v>
      </c>
      <c r="Q1215" s="87" t="b">
        <f>(Requirements!K1217="Normative")</f>
        <v>1</v>
      </c>
      <c r="R1215" s="87" t="b">
        <f>AND(Requirements!L1217&lt;&gt;"Non-testable",Requirements!L1217&lt;&gt;"Deleted",Requirements!L1217&lt;&gt;"")</f>
        <v>1</v>
      </c>
      <c r="S1215" s="87" t="b">
        <f>(VLOOKUP(Requirements!I1217,Scope[[Role]:[Description]],2,FALSE)="In")</f>
        <v>1</v>
      </c>
      <c r="T1215" s="87">
        <f t="shared" si="75"/>
        <v>0</v>
      </c>
    </row>
    <row r="1216" spans="1:20">
      <c r="A1216" s="85" t="str">
        <f>Requirements!A1218</f>
        <v>MS-SMB_R8482</v>
      </c>
      <c r="B1216" s="87"/>
      <c r="C1216" s="87"/>
      <c r="D1216" s="87"/>
      <c r="E1216" s="87"/>
      <c r="F1216" s="87"/>
      <c r="G1216" s="87"/>
      <c r="H1216" s="87"/>
      <c r="I1216" s="87"/>
      <c r="J1216" s="87"/>
      <c r="K1216" s="87"/>
      <c r="L1216" s="87"/>
      <c r="M1216" s="87"/>
      <c r="N1216" s="87">
        <f t="shared" si="72"/>
        <v>0</v>
      </c>
      <c r="O1216" s="61">
        <f t="shared" si="73"/>
        <v>0</v>
      </c>
      <c r="P1216" s="61" t="b">
        <f t="shared" si="74"/>
        <v>1</v>
      </c>
      <c r="Q1216" s="87" t="b">
        <f>(Requirements!K1218="Normative")</f>
        <v>1</v>
      </c>
      <c r="R1216" s="87" t="b">
        <f>AND(Requirements!L1218&lt;&gt;"Non-testable",Requirements!L1218&lt;&gt;"Deleted",Requirements!L1218&lt;&gt;"")</f>
        <v>1</v>
      </c>
      <c r="S1216" s="87" t="b">
        <f>(VLOOKUP(Requirements!I1218,Scope[[Role]:[Description]],2,FALSE)="In")</f>
        <v>1</v>
      </c>
      <c r="T1216" s="87">
        <f t="shared" si="75"/>
        <v>0</v>
      </c>
    </row>
    <row r="1217" spans="1:20">
      <c r="A1217" s="85" t="str">
        <f>Requirements!A1219</f>
        <v>MS-SMB_R8483</v>
      </c>
      <c r="B1217" s="87"/>
      <c r="C1217" s="87"/>
      <c r="D1217" s="87"/>
      <c r="E1217" s="87"/>
      <c r="F1217" s="87"/>
      <c r="G1217" s="87"/>
      <c r="H1217" s="87"/>
      <c r="I1217" s="87"/>
      <c r="J1217" s="87"/>
      <c r="K1217" s="87"/>
      <c r="L1217" s="87"/>
      <c r="M1217" s="87"/>
      <c r="N1217" s="87">
        <f t="shared" si="72"/>
        <v>0</v>
      </c>
      <c r="O1217" s="61">
        <f t="shared" si="73"/>
        <v>0</v>
      </c>
      <c r="P1217" s="61" t="b">
        <f t="shared" si="74"/>
        <v>1</v>
      </c>
      <c r="Q1217" s="87" t="b">
        <f>(Requirements!K1219="Normative")</f>
        <v>1</v>
      </c>
      <c r="R1217" s="87" t="b">
        <f>AND(Requirements!L1219&lt;&gt;"Non-testable",Requirements!L1219&lt;&gt;"Deleted",Requirements!L1219&lt;&gt;"")</f>
        <v>1</v>
      </c>
      <c r="S1217" s="87" t="b">
        <f>(VLOOKUP(Requirements!I1219,Scope[[Role]:[Description]],2,FALSE)="In")</f>
        <v>1</v>
      </c>
      <c r="T1217" s="87">
        <f t="shared" si="75"/>
        <v>0</v>
      </c>
    </row>
    <row r="1218" spans="1:20">
      <c r="A1218" s="85" t="str">
        <f>Requirements!A1220</f>
        <v>MS-SMB_R4465</v>
      </c>
      <c r="B1218" s="87"/>
      <c r="C1218" s="87"/>
      <c r="D1218" s="87"/>
      <c r="E1218" s="87"/>
      <c r="F1218" s="87"/>
      <c r="G1218" s="87"/>
      <c r="H1218" s="87"/>
      <c r="I1218" s="87"/>
      <c r="J1218" s="87"/>
      <c r="K1218" s="87"/>
      <c r="L1218" s="87"/>
      <c r="M1218" s="87"/>
      <c r="N1218" s="87">
        <f t="shared" si="72"/>
        <v>0</v>
      </c>
      <c r="O1218" s="61">
        <f t="shared" si="73"/>
        <v>0</v>
      </c>
      <c r="P1218" s="61" t="b">
        <f t="shared" si="74"/>
        <v>1</v>
      </c>
      <c r="Q1218" s="87" t="b">
        <f>(Requirements!K1220="Normative")</f>
        <v>1</v>
      </c>
      <c r="R1218" s="87" t="b">
        <f>AND(Requirements!L1220&lt;&gt;"Non-testable",Requirements!L1220&lt;&gt;"Deleted",Requirements!L1220&lt;&gt;"")</f>
        <v>1</v>
      </c>
      <c r="S1218" s="87" t="b">
        <f>(VLOOKUP(Requirements!I1220,Scope[[Role]:[Description]],2,FALSE)="In")</f>
        <v>1</v>
      </c>
      <c r="T1218" s="87">
        <f t="shared" si="75"/>
        <v>0</v>
      </c>
    </row>
    <row r="1219" spans="1:20">
      <c r="A1219" s="85" t="str">
        <f>Requirements!A1221</f>
        <v>MS-SMB_R4466</v>
      </c>
      <c r="B1219" s="87"/>
      <c r="C1219" s="87"/>
      <c r="D1219" s="87"/>
      <c r="E1219" s="87"/>
      <c r="F1219" s="87"/>
      <c r="G1219" s="87"/>
      <c r="H1219" s="87"/>
      <c r="I1219" s="87"/>
      <c r="J1219" s="87"/>
      <c r="K1219" s="87"/>
      <c r="L1219" s="87"/>
      <c r="M1219" s="87"/>
      <c r="N1219" s="87">
        <f t="shared" si="72"/>
        <v>0</v>
      </c>
      <c r="O1219" s="61">
        <f t="shared" si="73"/>
        <v>0</v>
      </c>
      <c r="P1219" s="61" t="b">
        <f t="shared" si="74"/>
        <v>1</v>
      </c>
      <c r="Q1219" s="87" t="b">
        <f>(Requirements!K1221="Normative")</f>
        <v>1</v>
      </c>
      <c r="R1219" s="87" t="b">
        <f>AND(Requirements!L1221&lt;&gt;"Non-testable",Requirements!L1221&lt;&gt;"Deleted",Requirements!L1221&lt;&gt;"")</f>
        <v>1</v>
      </c>
      <c r="S1219" s="87" t="b">
        <f>(VLOOKUP(Requirements!I1221,Scope[[Role]:[Description]],2,FALSE)="In")</f>
        <v>1</v>
      </c>
      <c r="T1219" s="87">
        <f t="shared" si="75"/>
        <v>0</v>
      </c>
    </row>
    <row r="1220" spans="1:20">
      <c r="A1220" s="85" t="str">
        <f>Requirements!A1222</f>
        <v>MS-SMB_R4467</v>
      </c>
      <c r="B1220" s="87"/>
      <c r="C1220" s="87"/>
      <c r="D1220" s="87"/>
      <c r="E1220" s="87"/>
      <c r="F1220" s="87"/>
      <c r="G1220" s="87"/>
      <c r="H1220" s="87"/>
      <c r="I1220" s="87"/>
      <c r="J1220" s="87"/>
      <c r="K1220" s="87"/>
      <c r="L1220" s="87"/>
      <c r="M1220" s="87"/>
      <c r="N1220" s="87">
        <f t="shared" si="72"/>
        <v>0</v>
      </c>
      <c r="O1220" s="61">
        <f t="shared" si="73"/>
        <v>0</v>
      </c>
      <c r="P1220" s="61" t="b">
        <f t="shared" si="74"/>
        <v>1</v>
      </c>
      <c r="Q1220" s="87" t="b">
        <f>(Requirements!K1222="Normative")</f>
        <v>1</v>
      </c>
      <c r="R1220" s="87" t="b">
        <f>AND(Requirements!L1222&lt;&gt;"Non-testable",Requirements!L1222&lt;&gt;"Deleted",Requirements!L1222&lt;&gt;"")</f>
        <v>1</v>
      </c>
      <c r="S1220" s="87" t="b">
        <f>(VLOOKUP(Requirements!I1222,Scope[[Role]:[Description]],2,FALSE)="In")</f>
        <v>1</v>
      </c>
      <c r="T1220" s="87">
        <f t="shared" si="75"/>
        <v>0</v>
      </c>
    </row>
    <row r="1221" spans="1:20">
      <c r="A1221" s="85" t="str">
        <f>Requirements!A1223</f>
        <v>MS-SMB_R4468</v>
      </c>
      <c r="B1221" s="87"/>
      <c r="C1221" s="87"/>
      <c r="D1221" s="87"/>
      <c r="E1221" s="87"/>
      <c r="F1221" s="87"/>
      <c r="G1221" s="87"/>
      <c r="H1221" s="87"/>
      <c r="I1221" s="87"/>
      <c r="J1221" s="87"/>
      <c r="K1221" s="87"/>
      <c r="L1221" s="87"/>
      <c r="M1221" s="87"/>
      <c r="N1221" s="87">
        <f t="shared" si="72"/>
        <v>0</v>
      </c>
      <c r="O1221" s="61">
        <f t="shared" si="73"/>
        <v>0</v>
      </c>
      <c r="P1221" s="61" t="b">
        <f t="shared" si="74"/>
        <v>1</v>
      </c>
      <c r="Q1221" s="87" t="b">
        <f>(Requirements!K1223="Normative")</f>
        <v>1</v>
      </c>
      <c r="R1221" s="87" t="b">
        <f>AND(Requirements!L1223&lt;&gt;"Non-testable",Requirements!L1223&lt;&gt;"Deleted",Requirements!L1223&lt;&gt;"")</f>
        <v>1</v>
      </c>
      <c r="S1221" s="87" t="b">
        <f>(VLOOKUP(Requirements!I1223,Scope[[Role]:[Description]],2,FALSE)="In")</f>
        <v>1</v>
      </c>
      <c r="T1221" s="87">
        <f t="shared" si="75"/>
        <v>0</v>
      </c>
    </row>
    <row r="1222" spans="1:20">
      <c r="A1222" s="44" t="str">
        <f>Requirements!A1224</f>
        <v>MS-SMB_R4469</v>
      </c>
      <c r="B1222" s="87"/>
      <c r="C1222" s="87"/>
      <c r="D1222" s="87"/>
      <c r="E1222" s="87"/>
      <c r="F1222" s="87"/>
      <c r="G1222" s="87"/>
      <c r="H1222" s="87"/>
      <c r="I1222" s="87"/>
      <c r="J1222" s="87"/>
      <c r="K1222" s="87"/>
      <c r="L1222" s="87"/>
      <c r="M1222" s="87"/>
      <c r="N1222" s="87">
        <f t="shared" si="72"/>
        <v>0</v>
      </c>
      <c r="O1222" s="87">
        <f t="shared" si="73"/>
        <v>0</v>
      </c>
      <c r="P1222" s="87" t="b">
        <f t="shared" si="74"/>
        <v>0</v>
      </c>
      <c r="Q1222" s="87" t="b">
        <f>(Requirements!K1224="Normative")</f>
        <v>0</v>
      </c>
      <c r="R1222" s="87" t="b">
        <f>AND(Requirements!L1224&lt;&gt;"Non-testable",Requirements!L1224&lt;&gt;"Deleted",Requirements!L1224&lt;&gt;"")</f>
        <v>1</v>
      </c>
      <c r="S1222" s="87" t="b">
        <f>(VLOOKUP(Requirements!I1224,Scope[[Role]:[Description]],2,FALSE)="In")</f>
        <v>1</v>
      </c>
      <c r="T1222" s="87">
        <f t="shared" si="75"/>
        <v>0</v>
      </c>
    </row>
    <row r="1223" spans="1:20">
      <c r="A1223" s="84" t="str">
        <f>Requirements!A1225</f>
        <v>MS-SMB_R2172</v>
      </c>
      <c r="B1223" s="87">
        <v>1</v>
      </c>
      <c r="C1223" s="87"/>
      <c r="D1223" s="87"/>
      <c r="E1223" s="87"/>
      <c r="F1223" s="87"/>
      <c r="G1223" s="87"/>
      <c r="H1223" s="87"/>
      <c r="I1223" s="87"/>
      <c r="J1223" s="87"/>
      <c r="K1223" s="87"/>
      <c r="L1223" s="87"/>
      <c r="M1223" s="87"/>
      <c r="N1223" s="87">
        <f t="shared" si="72"/>
        <v>1</v>
      </c>
      <c r="O1223" s="60">
        <f t="shared" si="73"/>
        <v>1</v>
      </c>
      <c r="P1223" s="60" t="b">
        <f t="shared" si="74"/>
        <v>1</v>
      </c>
      <c r="Q1223" s="87" t="b">
        <f>(Requirements!K1225="Normative")</f>
        <v>1</v>
      </c>
      <c r="R1223" s="87" t="b">
        <f>AND(Requirements!L1225&lt;&gt;"Non-testable",Requirements!L1225&lt;&gt;"Deleted",Requirements!L1225&lt;&gt;"")</f>
        <v>1</v>
      </c>
      <c r="S1223" s="87" t="b">
        <f>(VLOOKUP(Requirements!I1225,Scope[[Role]:[Description]],2,FALSE)="In")</f>
        <v>1</v>
      </c>
      <c r="T1223" s="87">
        <f t="shared" si="75"/>
        <v>1</v>
      </c>
    </row>
    <row r="1224" spans="1:20">
      <c r="A1224" s="85" t="str">
        <f>Requirements!A1226</f>
        <v>MS-SMB_R4481</v>
      </c>
      <c r="B1224" s="87"/>
      <c r="C1224" s="87"/>
      <c r="D1224" s="87"/>
      <c r="E1224" s="87"/>
      <c r="F1224" s="87"/>
      <c r="G1224" s="87"/>
      <c r="H1224" s="87"/>
      <c r="I1224" s="87"/>
      <c r="J1224" s="87"/>
      <c r="K1224" s="87"/>
      <c r="L1224" s="87"/>
      <c r="M1224" s="87"/>
      <c r="N1224" s="87">
        <f t="shared" si="72"/>
        <v>0</v>
      </c>
      <c r="O1224" s="61">
        <f t="shared" si="73"/>
        <v>0</v>
      </c>
      <c r="P1224" s="61" t="b">
        <f t="shared" si="74"/>
        <v>1</v>
      </c>
      <c r="Q1224" s="87" t="b">
        <f>(Requirements!K1226="Normative")</f>
        <v>1</v>
      </c>
      <c r="R1224" s="87" t="b">
        <f>AND(Requirements!L1226&lt;&gt;"Non-testable",Requirements!L1226&lt;&gt;"Deleted",Requirements!L1226&lt;&gt;"")</f>
        <v>1</v>
      </c>
      <c r="S1224" s="87" t="b">
        <f>(VLOOKUP(Requirements!I1226,Scope[[Role]:[Description]],2,FALSE)="In")</f>
        <v>1</v>
      </c>
      <c r="T1224" s="87">
        <f t="shared" si="75"/>
        <v>0</v>
      </c>
    </row>
    <row r="1225" spans="1:20">
      <c r="A1225" s="44" t="str">
        <f>Requirements!A1227</f>
        <v>MS-SMB_R4486</v>
      </c>
      <c r="B1225" s="87"/>
      <c r="C1225" s="87"/>
      <c r="D1225" s="87"/>
      <c r="E1225" s="87"/>
      <c r="F1225" s="87"/>
      <c r="G1225" s="87"/>
      <c r="H1225" s="87"/>
      <c r="I1225" s="87"/>
      <c r="J1225" s="87"/>
      <c r="K1225" s="87"/>
      <c r="L1225" s="87"/>
      <c r="M1225" s="87"/>
      <c r="N1225" s="87">
        <f t="shared" si="72"/>
        <v>0</v>
      </c>
      <c r="O1225" s="87">
        <f t="shared" si="73"/>
        <v>0</v>
      </c>
      <c r="P1225" s="87" t="b">
        <f t="shared" si="74"/>
        <v>0</v>
      </c>
      <c r="Q1225" s="87" t="b">
        <f>(Requirements!K1227="Normative")</f>
        <v>0</v>
      </c>
      <c r="R1225" s="87" t="b">
        <f>AND(Requirements!L1227&lt;&gt;"Non-testable",Requirements!L1227&lt;&gt;"Deleted",Requirements!L1227&lt;&gt;"")</f>
        <v>1</v>
      </c>
      <c r="S1225" s="87" t="b">
        <f>(VLOOKUP(Requirements!I1227,Scope[[Role]:[Description]],2,FALSE)="In")</f>
        <v>1</v>
      </c>
      <c r="T1225" s="87">
        <f t="shared" si="75"/>
        <v>0</v>
      </c>
    </row>
    <row r="1226" spans="1:20">
      <c r="A1226" s="85" t="str">
        <f>Requirements!A1228</f>
        <v>MS-SMB_R4487</v>
      </c>
      <c r="B1226" s="87"/>
      <c r="C1226" s="87"/>
      <c r="D1226" s="87"/>
      <c r="E1226" s="87"/>
      <c r="F1226" s="87"/>
      <c r="G1226" s="87"/>
      <c r="H1226" s="87"/>
      <c r="I1226" s="87"/>
      <c r="J1226" s="87"/>
      <c r="K1226" s="87"/>
      <c r="L1226" s="87"/>
      <c r="M1226" s="87"/>
      <c r="N1226" s="87">
        <f t="shared" si="72"/>
        <v>0</v>
      </c>
      <c r="O1226" s="61">
        <f t="shared" si="73"/>
        <v>0</v>
      </c>
      <c r="P1226" s="61" t="b">
        <f t="shared" si="74"/>
        <v>1</v>
      </c>
      <c r="Q1226" s="87" t="b">
        <f>(Requirements!K1228="Normative")</f>
        <v>1</v>
      </c>
      <c r="R1226" s="87" t="b">
        <f>AND(Requirements!L1228&lt;&gt;"Non-testable",Requirements!L1228&lt;&gt;"Deleted",Requirements!L1228&lt;&gt;"")</f>
        <v>1</v>
      </c>
      <c r="S1226" s="87" t="b">
        <f>(VLOOKUP(Requirements!I1228,Scope[[Role]:[Description]],2,FALSE)="In")</f>
        <v>1</v>
      </c>
      <c r="T1226" s="87">
        <f t="shared" si="75"/>
        <v>0</v>
      </c>
    </row>
    <row r="1227" spans="1:20">
      <c r="A1227" s="85" t="str">
        <f>Requirements!A1229</f>
        <v>MS-SMB_R4488</v>
      </c>
      <c r="B1227" s="87"/>
      <c r="C1227" s="87"/>
      <c r="D1227" s="87"/>
      <c r="E1227" s="87"/>
      <c r="F1227" s="87"/>
      <c r="G1227" s="87"/>
      <c r="H1227" s="87"/>
      <c r="I1227" s="87"/>
      <c r="J1227" s="87"/>
      <c r="K1227" s="87"/>
      <c r="L1227" s="87"/>
      <c r="M1227" s="87"/>
      <c r="N1227" s="87">
        <f t="shared" si="72"/>
        <v>0</v>
      </c>
      <c r="O1227" s="61">
        <f t="shared" si="73"/>
        <v>0</v>
      </c>
      <c r="P1227" s="61" t="b">
        <f t="shared" si="74"/>
        <v>1</v>
      </c>
      <c r="Q1227" s="87" t="b">
        <f>(Requirements!K1229="Normative")</f>
        <v>1</v>
      </c>
      <c r="R1227" s="87" t="b">
        <f>AND(Requirements!L1229&lt;&gt;"Non-testable",Requirements!L1229&lt;&gt;"Deleted",Requirements!L1229&lt;&gt;"")</f>
        <v>1</v>
      </c>
      <c r="S1227" s="87" t="b">
        <f>(VLOOKUP(Requirements!I1229,Scope[[Role]:[Description]],2,FALSE)="In")</f>
        <v>1</v>
      </c>
      <c r="T1227" s="87">
        <f t="shared" si="75"/>
        <v>0</v>
      </c>
    </row>
    <row r="1228" spans="1:20">
      <c r="A1228" s="85" t="str">
        <f>Requirements!A1230</f>
        <v>MS-SMB_R4489</v>
      </c>
      <c r="B1228" s="87"/>
      <c r="C1228" s="87"/>
      <c r="D1228" s="87"/>
      <c r="E1228" s="87"/>
      <c r="F1228" s="87"/>
      <c r="G1228" s="87"/>
      <c r="H1228" s="87"/>
      <c r="I1228" s="87"/>
      <c r="J1228" s="87"/>
      <c r="K1228" s="87"/>
      <c r="L1228" s="87"/>
      <c r="M1228" s="87"/>
      <c r="N1228" s="87">
        <f t="shared" si="72"/>
        <v>0</v>
      </c>
      <c r="O1228" s="61">
        <f t="shared" si="73"/>
        <v>0</v>
      </c>
      <c r="P1228" s="61" t="b">
        <f t="shared" si="74"/>
        <v>1</v>
      </c>
      <c r="Q1228" s="87" t="b">
        <f>(Requirements!K1230="Normative")</f>
        <v>1</v>
      </c>
      <c r="R1228" s="87" t="b">
        <f>AND(Requirements!L1230&lt;&gt;"Non-testable",Requirements!L1230&lt;&gt;"Deleted",Requirements!L1230&lt;&gt;"")</f>
        <v>1</v>
      </c>
      <c r="S1228" s="87" t="b">
        <f>(VLOOKUP(Requirements!I1230,Scope[[Role]:[Description]],2,FALSE)="In")</f>
        <v>1</v>
      </c>
      <c r="T1228" s="87">
        <f t="shared" si="75"/>
        <v>0</v>
      </c>
    </row>
    <row r="1229" spans="1:20">
      <c r="A1229" s="85" t="str">
        <f>Requirements!A1231</f>
        <v>MS-SMB_R8484</v>
      </c>
      <c r="B1229" s="87"/>
      <c r="C1229" s="87"/>
      <c r="D1229" s="87"/>
      <c r="E1229" s="87"/>
      <c r="F1229" s="87"/>
      <c r="G1229" s="87"/>
      <c r="H1229" s="87"/>
      <c r="I1229" s="87"/>
      <c r="J1229" s="87"/>
      <c r="K1229" s="87"/>
      <c r="L1229" s="87"/>
      <c r="M1229" s="87"/>
      <c r="N1229" s="87">
        <f t="shared" si="72"/>
        <v>0</v>
      </c>
      <c r="O1229" s="61">
        <f t="shared" si="73"/>
        <v>0</v>
      </c>
      <c r="P1229" s="61" t="b">
        <f t="shared" si="74"/>
        <v>1</v>
      </c>
      <c r="Q1229" s="87" t="b">
        <f>(Requirements!K1231="Normative")</f>
        <v>1</v>
      </c>
      <c r="R1229" s="87" t="b">
        <f>AND(Requirements!L1231&lt;&gt;"Non-testable",Requirements!L1231&lt;&gt;"Deleted",Requirements!L1231&lt;&gt;"")</f>
        <v>1</v>
      </c>
      <c r="S1229" s="87" t="b">
        <f>(VLOOKUP(Requirements!I1231,Scope[[Role]:[Description]],2,FALSE)="In")</f>
        <v>1</v>
      </c>
      <c r="T1229" s="87">
        <f t="shared" si="75"/>
        <v>0</v>
      </c>
    </row>
    <row r="1230" spans="1:20">
      <c r="A1230" s="85" t="str">
        <f>Requirements!A1232</f>
        <v>MS-SMB_R8485</v>
      </c>
      <c r="B1230" s="87"/>
      <c r="C1230" s="87"/>
      <c r="D1230" s="87"/>
      <c r="E1230" s="87"/>
      <c r="F1230" s="87"/>
      <c r="G1230" s="87"/>
      <c r="H1230" s="87"/>
      <c r="I1230" s="87"/>
      <c r="J1230" s="87"/>
      <c r="K1230" s="87"/>
      <c r="L1230" s="87"/>
      <c r="M1230" s="87"/>
      <c r="N1230" s="87">
        <f t="shared" si="72"/>
        <v>0</v>
      </c>
      <c r="O1230" s="61">
        <f t="shared" si="73"/>
        <v>0</v>
      </c>
      <c r="P1230" s="61" t="b">
        <f t="shared" si="74"/>
        <v>1</v>
      </c>
      <c r="Q1230" s="87" t="b">
        <f>(Requirements!K1232="Normative")</f>
        <v>1</v>
      </c>
      <c r="R1230" s="87" t="b">
        <f>AND(Requirements!L1232&lt;&gt;"Non-testable",Requirements!L1232&lt;&gt;"Deleted",Requirements!L1232&lt;&gt;"")</f>
        <v>1</v>
      </c>
      <c r="S1230" s="87" t="b">
        <f>(VLOOKUP(Requirements!I1232,Scope[[Role]:[Description]],2,FALSE)="In")</f>
        <v>1</v>
      </c>
      <c r="T1230" s="87">
        <f t="shared" si="75"/>
        <v>0</v>
      </c>
    </row>
    <row r="1231" spans="1:20">
      <c r="A1231" s="85" t="str">
        <f>Requirements!A1233</f>
        <v>MS-SMB_R8486</v>
      </c>
      <c r="B1231" s="87"/>
      <c r="C1231" s="87"/>
      <c r="D1231" s="87"/>
      <c r="E1231" s="87"/>
      <c r="F1231" s="87"/>
      <c r="G1231" s="87"/>
      <c r="H1231" s="87"/>
      <c r="I1231" s="87"/>
      <c r="J1231" s="87"/>
      <c r="K1231" s="87"/>
      <c r="L1231" s="87"/>
      <c r="M1231" s="87"/>
      <c r="N1231" s="87">
        <f t="shared" si="72"/>
        <v>0</v>
      </c>
      <c r="O1231" s="61">
        <f t="shared" si="73"/>
        <v>0</v>
      </c>
      <c r="P1231" s="61" t="b">
        <f t="shared" si="74"/>
        <v>1</v>
      </c>
      <c r="Q1231" s="87" t="b">
        <f>(Requirements!K1233="Normative")</f>
        <v>1</v>
      </c>
      <c r="R1231" s="87" t="b">
        <f>AND(Requirements!L1233&lt;&gt;"Non-testable",Requirements!L1233&lt;&gt;"Deleted",Requirements!L1233&lt;&gt;"")</f>
        <v>1</v>
      </c>
      <c r="S1231" s="87" t="b">
        <f>(VLOOKUP(Requirements!I1233,Scope[[Role]:[Description]],2,FALSE)="In")</f>
        <v>1</v>
      </c>
      <c r="T1231" s="87">
        <f t="shared" si="75"/>
        <v>0</v>
      </c>
    </row>
    <row r="1232" spans="1:20">
      <c r="A1232" s="85" t="str">
        <f>Requirements!A1234</f>
        <v>MS-SMB_R8487</v>
      </c>
      <c r="B1232" s="87"/>
      <c r="C1232" s="87"/>
      <c r="D1232" s="87"/>
      <c r="E1232" s="87"/>
      <c r="F1232" s="87"/>
      <c r="G1232" s="87"/>
      <c r="H1232" s="87"/>
      <c r="I1232" s="87"/>
      <c r="J1232" s="87"/>
      <c r="K1232" s="87"/>
      <c r="L1232" s="87"/>
      <c r="M1232" s="87"/>
      <c r="N1232" s="87">
        <f t="shared" si="72"/>
        <v>0</v>
      </c>
      <c r="O1232" s="61">
        <f t="shared" si="73"/>
        <v>0</v>
      </c>
      <c r="P1232" s="61" t="b">
        <f t="shared" si="74"/>
        <v>1</v>
      </c>
      <c r="Q1232" s="87" t="b">
        <f>(Requirements!K1234="Normative")</f>
        <v>1</v>
      </c>
      <c r="R1232" s="87" t="b">
        <f>AND(Requirements!L1234&lt;&gt;"Non-testable",Requirements!L1234&lt;&gt;"Deleted",Requirements!L1234&lt;&gt;"")</f>
        <v>1</v>
      </c>
      <c r="S1232" s="87" t="b">
        <f>(VLOOKUP(Requirements!I1234,Scope[[Role]:[Description]],2,FALSE)="In")</f>
        <v>1</v>
      </c>
      <c r="T1232" s="87">
        <f t="shared" si="75"/>
        <v>0</v>
      </c>
    </row>
    <row r="1233" spans="1:20">
      <c r="A1233" s="85" t="str">
        <f>Requirements!A1235</f>
        <v>MS-SMB_R8488</v>
      </c>
      <c r="B1233" s="87"/>
      <c r="C1233" s="87"/>
      <c r="D1233" s="87"/>
      <c r="E1233" s="87"/>
      <c r="F1233" s="87"/>
      <c r="G1233" s="87"/>
      <c r="H1233" s="87"/>
      <c r="I1233" s="87"/>
      <c r="J1233" s="87"/>
      <c r="K1233" s="87"/>
      <c r="L1233" s="87"/>
      <c r="M1233" s="87"/>
      <c r="N1233" s="87">
        <f t="shared" si="72"/>
        <v>0</v>
      </c>
      <c r="O1233" s="61">
        <f t="shared" si="73"/>
        <v>0</v>
      </c>
      <c r="P1233" s="61" t="b">
        <f t="shared" si="74"/>
        <v>1</v>
      </c>
      <c r="Q1233" s="87" t="b">
        <f>(Requirements!K1235="Normative")</f>
        <v>1</v>
      </c>
      <c r="R1233" s="87" t="b">
        <f>AND(Requirements!L1235&lt;&gt;"Non-testable",Requirements!L1235&lt;&gt;"Deleted",Requirements!L1235&lt;&gt;"")</f>
        <v>1</v>
      </c>
      <c r="S1233" s="87" t="b">
        <f>(VLOOKUP(Requirements!I1235,Scope[[Role]:[Description]],2,FALSE)="In")</f>
        <v>1</v>
      </c>
      <c r="T1233" s="87">
        <f t="shared" si="75"/>
        <v>0</v>
      </c>
    </row>
    <row r="1234" spans="1:20">
      <c r="A1234" s="85" t="str">
        <f>Requirements!A1236</f>
        <v>MS-SMB_R8489</v>
      </c>
      <c r="B1234" s="87"/>
      <c r="C1234" s="87"/>
      <c r="D1234" s="87"/>
      <c r="E1234" s="87"/>
      <c r="F1234" s="87"/>
      <c r="G1234" s="87"/>
      <c r="H1234" s="87"/>
      <c r="I1234" s="87"/>
      <c r="J1234" s="87"/>
      <c r="K1234" s="87"/>
      <c r="L1234" s="87"/>
      <c r="M1234" s="87"/>
      <c r="N1234" s="87">
        <f t="shared" si="72"/>
        <v>0</v>
      </c>
      <c r="O1234" s="61">
        <f t="shared" si="73"/>
        <v>0</v>
      </c>
      <c r="P1234" s="61" t="b">
        <f t="shared" si="74"/>
        <v>1</v>
      </c>
      <c r="Q1234" s="87" t="b">
        <f>(Requirements!K1236="Normative")</f>
        <v>1</v>
      </c>
      <c r="R1234" s="87" t="b">
        <f>AND(Requirements!L1236&lt;&gt;"Non-testable",Requirements!L1236&lt;&gt;"Deleted",Requirements!L1236&lt;&gt;"")</f>
        <v>1</v>
      </c>
      <c r="S1234" s="87" t="b">
        <f>(VLOOKUP(Requirements!I1236,Scope[[Role]:[Description]],2,FALSE)="In")</f>
        <v>1</v>
      </c>
      <c r="T1234" s="87">
        <f t="shared" si="75"/>
        <v>0</v>
      </c>
    </row>
    <row r="1235" spans="1:20">
      <c r="A1235" s="85" t="str">
        <f>Requirements!A1237</f>
        <v>MS-SMB_R8490</v>
      </c>
      <c r="B1235" s="87"/>
      <c r="C1235" s="87"/>
      <c r="D1235" s="87"/>
      <c r="E1235" s="87"/>
      <c r="F1235" s="87"/>
      <c r="G1235" s="87"/>
      <c r="H1235" s="87"/>
      <c r="I1235" s="87"/>
      <c r="J1235" s="87"/>
      <c r="K1235" s="87"/>
      <c r="L1235" s="87"/>
      <c r="M1235" s="87"/>
      <c r="N1235" s="87">
        <f t="shared" si="72"/>
        <v>0</v>
      </c>
      <c r="O1235" s="61">
        <f t="shared" si="73"/>
        <v>0</v>
      </c>
      <c r="P1235" s="61" t="b">
        <f t="shared" si="74"/>
        <v>1</v>
      </c>
      <c r="Q1235" s="87" t="b">
        <f>(Requirements!K1237="Normative")</f>
        <v>1</v>
      </c>
      <c r="R1235" s="87" t="b">
        <f>AND(Requirements!L1237&lt;&gt;"Non-testable",Requirements!L1237&lt;&gt;"Deleted",Requirements!L1237&lt;&gt;"")</f>
        <v>1</v>
      </c>
      <c r="S1235" s="87" t="b">
        <f>(VLOOKUP(Requirements!I1237,Scope[[Role]:[Description]],2,FALSE)="In")</f>
        <v>1</v>
      </c>
      <c r="T1235" s="87">
        <f t="shared" si="75"/>
        <v>0</v>
      </c>
    </row>
    <row r="1236" spans="1:20">
      <c r="A1236" s="85" t="str">
        <f>Requirements!A1238</f>
        <v>MS-SMB_R8491</v>
      </c>
      <c r="B1236" s="87"/>
      <c r="C1236" s="87"/>
      <c r="D1236" s="87"/>
      <c r="E1236" s="87"/>
      <c r="F1236" s="87"/>
      <c r="G1236" s="87"/>
      <c r="H1236" s="87"/>
      <c r="I1236" s="87"/>
      <c r="J1236" s="87"/>
      <c r="K1236" s="87"/>
      <c r="L1236" s="87"/>
      <c r="M1236" s="87"/>
      <c r="N1236" s="87">
        <f t="shared" ref="N1236:N1299" si="76">SUM(B1236:M1236)</f>
        <v>0</v>
      </c>
      <c r="O1236" s="61">
        <f t="shared" ref="O1236:O1299" si="77">IF(N1236=0,0,1)</f>
        <v>0</v>
      </c>
      <c r="P1236" s="61" t="b">
        <f t="shared" ref="P1236:P1299" si="78">AND(Q1236:S1236)</f>
        <v>1</v>
      </c>
      <c r="Q1236" s="87" t="b">
        <f>(Requirements!K1238="Normative")</f>
        <v>1</v>
      </c>
      <c r="R1236" s="87" t="b">
        <f>AND(Requirements!L1238&lt;&gt;"Non-testable",Requirements!L1238&lt;&gt;"Deleted",Requirements!L1238&lt;&gt;"")</f>
        <v>1</v>
      </c>
      <c r="S1236" s="87" t="b">
        <f>(VLOOKUP(Requirements!I1238,Scope[[Role]:[Description]],2,FALSE)="In")</f>
        <v>1</v>
      </c>
      <c r="T1236" s="87">
        <f t="shared" ref="T1236:T1299" si="79">IF(P1236,O1236, 0)</f>
        <v>0</v>
      </c>
    </row>
    <row r="1237" spans="1:20">
      <c r="A1237" s="85" t="str">
        <f>Requirements!A1239</f>
        <v>MS-SMB_R8492</v>
      </c>
      <c r="B1237" s="87"/>
      <c r="C1237" s="87"/>
      <c r="D1237" s="87"/>
      <c r="E1237" s="87"/>
      <c r="F1237" s="87"/>
      <c r="G1237" s="87"/>
      <c r="H1237" s="87"/>
      <c r="I1237" s="87"/>
      <c r="J1237" s="87"/>
      <c r="K1237" s="87"/>
      <c r="L1237" s="87"/>
      <c r="M1237" s="87"/>
      <c r="N1237" s="87">
        <f t="shared" si="76"/>
        <v>0</v>
      </c>
      <c r="O1237" s="61">
        <f t="shared" si="77"/>
        <v>0</v>
      </c>
      <c r="P1237" s="61" t="b">
        <f t="shared" si="78"/>
        <v>1</v>
      </c>
      <c r="Q1237" s="87" t="b">
        <f>(Requirements!K1239="Normative")</f>
        <v>1</v>
      </c>
      <c r="R1237" s="87" t="b">
        <f>AND(Requirements!L1239&lt;&gt;"Non-testable",Requirements!L1239&lt;&gt;"Deleted",Requirements!L1239&lt;&gt;"")</f>
        <v>1</v>
      </c>
      <c r="S1237" s="87" t="b">
        <f>(VLOOKUP(Requirements!I1239,Scope[[Role]:[Description]],2,FALSE)="In")</f>
        <v>1</v>
      </c>
      <c r="T1237" s="87">
        <f t="shared" si="79"/>
        <v>0</v>
      </c>
    </row>
    <row r="1238" spans="1:20">
      <c r="A1238" s="85" t="str">
        <f>Requirements!A1240</f>
        <v>MS-SMB_R4493</v>
      </c>
      <c r="B1238" s="87"/>
      <c r="C1238" s="87"/>
      <c r="D1238" s="87"/>
      <c r="E1238" s="87"/>
      <c r="F1238" s="87"/>
      <c r="G1238" s="87"/>
      <c r="H1238" s="87"/>
      <c r="I1238" s="87"/>
      <c r="J1238" s="87"/>
      <c r="K1238" s="87"/>
      <c r="L1238" s="87"/>
      <c r="M1238" s="87"/>
      <c r="N1238" s="87">
        <f t="shared" si="76"/>
        <v>0</v>
      </c>
      <c r="O1238" s="61">
        <f t="shared" si="77"/>
        <v>0</v>
      </c>
      <c r="P1238" s="61" t="b">
        <f t="shared" si="78"/>
        <v>1</v>
      </c>
      <c r="Q1238" s="87" t="b">
        <f>(Requirements!K1240="Normative")</f>
        <v>1</v>
      </c>
      <c r="R1238" s="87" t="b">
        <f>AND(Requirements!L1240&lt;&gt;"Non-testable",Requirements!L1240&lt;&gt;"Deleted",Requirements!L1240&lt;&gt;"")</f>
        <v>1</v>
      </c>
      <c r="S1238" s="87" t="b">
        <f>(VLOOKUP(Requirements!I1240,Scope[[Role]:[Description]],2,FALSE)="In")</f>
        <v>1</v>
      </c>
      <c r="T1238" s="87">
        <f t="shared" si="79"/>
        <v>0</v>
      </c>
    </row>
    <row r="1239" spans="1:20">
      <c r="A1239" s="85" t="str">
        <f>Requirements!A1241</f>
        <v>MS-SMB_R4494</v>
      </c>
      <c r="B1239" s="87"/>
      <c r="C1239" s="87"/>
      <c r="D1239" s="87"/>
      <c r="E1239" s="87"/>
      <c r="F1239" s="87"/>
      <c r="G1239" s="87"/>
      <c r="H1239" s="87"/>
      <c r="I1239" s="87"/>
      <c r="J1239" s="87"/>
      <c r="K1239" s="87"/>
      <c r="L1239" s="87"/>
      <c r="M1239" s="87"/>
      <c r="N1239" s="87">
        <f t="shared" si="76"/>
        <v>0</v>
      </c>
      <c r="O1239" s="61">
        <f t="shared" si="77"/>
        <v>0</v>
      </c>
      <c r="P1239" s="61" t="b">
        <f t="shared" si="78"/>
        <v>1</v>
      </c>
      <c r="Q1239" s="87" t="b">
        <f>(Requirements!K1241="Normative")</f>
        <v>1</v>
      </c>
      <c r="R1239" s="87" t="b">
        <f>AND(Requirements!L1241&lt;&gt;"Non-testable",Requirements!L1241&lt;&gt;"Deleted",Requirements!L1241&lt;&gt;"")</f>
        <v>1</v>
      </c>
      <c r="S1239" s="87" t="b">
        <f>(VLOOKUP(Requirements!I1241,Scope[[Role]:[Description]],2,FALSE)="In")</f>
        <v>1</v>
      </c>
      <c r="T1239" s="87">
        <f t="shared" si="79"/>
        <v>0</v>
      </c>
    </row>
    <row r="1240" spans="1:20">
      <c r="A1240" s="85" t="str">
        <f>Requirements!A1242</f>
        <v>MS-SMB_R4495</v>
      </c>
      <c r="B1240" s="87"/>
      <c r="C1240" s="87"/>
      <c r="D1240" s="87"/>
      <c r="E1240" s="87"/>
      <c r="F1240" s="87"/>
      <c r="G1240" s="87"/>
      <c r="H1240" s="87"/>
      <c r="I1240" s="87"/>
      <c r="J1240" s="87"/>
      <c r="K1240" s="87"/>
      <c r="L1240" s="87"/>
      <c r="M1240" s="87"/>
      <c r="N1240" s="87">
        <f t="shared" si="76"/>
        <v>0</v>
      </c>
      <c r="O1240" s="61">
        <f t="shared" si="77"/>
        <v>0</v>
      </c>
      <c r="P1240" s="61" t="b">
        <f t="shared" si="78"/>
        <v>1</v>
      </c>
      <c r="Q1240" s="87" t="b">
        <f>(Requirements!K1242="Normative")</f>
        <v>1</v>
      </c>
      <c r="R1240" s="87" t="b">
        <f>AND(Requirements!L1242&lt;&gt;"Non-testable",Requirements!L1242&lt;&gt;"Deleted",Requirements!L1242&lt;&gt;"")</f>
        <v>1</v>
      </c>
      <c r="S1240" s="87" t="b">
        <f>(VLOOKUP(Requirements!I1242,Scope[[Role]:[Description]],2,FALSE)="In")</f>
        <v>1</v>
      </c>
      <c r="T1240" s="87">
        <f t="shared" si="79"/>
        <v>0</v>
      </c>
    </row>
    <row r="1241" spans="1:20">
      <c r="A1241" s="85" t="str">
        <f>Requirements!A1243</f>
        <v>MS-SMB_R4496</v>
      </c>
      <c r="B1241" s="87"/>
      <c r="C1241" s="87"/>
      <c r="D1241" s="87"/>
      <c r="E1241" s="87"/>
      <c r="F1241" s="87"/>
      <c r="G1241" s="87"/>
      <c r="H1241" s="87"/>
      <c r="I1241" s="87"/>
      <c r="J1241" s="87"/>
      <c r="K1241" s="87"/>
      <c r="L1241" s="87"/>
      <c r="M1241" s="87"/>
      <c r="N1241" s="87">
        <f t="shared" si="76"/>
        <v>0</v>
      </c>
      <c r="O1241" s="61">
        <f t="shared" si="77"/>
        <v>0</v>
      </c>
      <c r="P1241" s="61" t="b">
        <f t="shared" si="78"/>
        <v>1</v>
      </c>
      <c r="Q1241" s="87" t="b">
        <f>(Requirements!K1243="Normative")</f>
        <v>1</v>
      </c>
      <c r="R1241" s="87" t="b">
        <f>AND(Requirements!L1243&lt;&gt;"Non-testable",Requirements!L1243&lt;&gt;"Deleted",Requirements!L1243&lt;&gt;"")</f>
        <v>1</v>
      </c>
      <c r="S1241" s="87" t="b">
        <f>(VLOOKUP(Requirements!I1243,Scope[[Role]:[Description]],2,FALSE)="In")</f>
        <v>1</v>
      </c>
      <c r="T1241" s="87">
        <f t="shared" si="79"/>
        <v>0</v>
      </c>
    </row>
    <row r="1242" spans="1:20">
      <c r="A1242" s="85" t="str">
        <f>Requirements!A1244</f>
        <v>MS-SMB_R4497</v>
      </c>
      <c r="B1242" s="87"/>
      <c r="C1242" s="87"/>
      <c r="D1242" s="87"/>
      <c r="E1242" s="87"/>
      <c r="F1242" s="87"/>
      <c r="G1242" s="87"/>
      <c r="H1242" s="87"/>
      <c r="I1242" s="87"/>
      <c r="J1242" s="87"/>
      <c r="K1242" s="87"/>
      <c r="L1242" s="87"/>
      <c r="M1242" s="87"/>
      <c r="N1242" s="87">
        <f t="shared" si="76"/>
        <v>0</v>
      </c>
      <c r="O1242" s="61">
        <f t="shared" si="77"/>
        <v>0</v>
      </c>
      <c r="P1242" s="61" t="b">
        <f t="shared" si="78"/>
        <v>1</v>
      </c>
      <c r="Q1242" s="87" t="b">
        <f>(Requirements!K1244="Normative")</f>
        <v>1</v>
      </c>
      <c r="R1242" s="87" t="b">
        <f>AND(Requirements!L1244&lt;&gt;"Non-testable",Requirements!L1244&lt;&gt;"Deleted",Requirements!L1244&lt;&gt;"")</f>
        <v>1</v>
      </c>
      <c r="S1242" s="87" t="b">
        <f>(VLOOKUP(Requirements!I1244,Scope[[Role]:[Description]],2,FALSE)="In")</f>
        <v>1</v>
      </c>
      <c r="T1242" s="87">
        <f t="shared" si="79"/>
        <v>0</v>
      </c>
    </row>
    <row r="1243" spans="1:20">
      <c r="A1243" s="85" t="str">
        <f>Requirements!A1245</f>
        <v>MS-SMB_R4498</v>
      </c>
      <c r="B1243" s="87"/>
      <c r="C1243" s="87"/>
      <c r="D1243" s="87"/>
      <c r="E1243" s="87"/>
      <c r="F1243" s="87"/>
      <c r="G1243" s="87"/>
      <c r="H1243" s="87"/>
      <c r="I1243" s="87"/>
      <c r="J1243" s="87"/>
      <c r="K1243" s="87"/>
      <c r="L1243" s="87"/>
      <c r="M1243" s="87"/>
      <c r="N1243" s="87">
        <f t="shared" si="76"/>
        <v>0</v>
      </c>
      <c r="O1243" s="61">
        <f t="shared" si="77"/>
        <v>0</v>
      </c>
      <c r="P1243" s="61" t="b">
        <f t="shared" si="78"/>
        <v>1</v>
      </c>
      <c r="Q1243" s="87" t="b">
        <f>(Requirements!K1245="Normative")</f>
        <v>1</v>
      </c>
      <c r="R1243" s="87" t="b">
        <f>AND(Requirements!L1245&lt;&gt;"Non-testable",Requirements!L1245&lt;&gt;"Deleted",Requirements!L1245&lt;&gt;"")</f>
        <v>1</v>
      </c>
      <c r="S1243" s="87" t="b">
        <f>(VLOOKUP(Requirements!I1245,Scope[[Role]:[Description]],2,FALSE)="In")</f>
        <v>1</v>
      </c>
      <c r="T1243" s="87">
        <f t="shared" si="79"/>
        <v>0</v>
      </c>
    </row>
    <row r="1244" spans="1:20">
      <c r="A1244" s="85" t="str">
        <f>Requirements!A1246</f>
        <v>MS-SMB_R4499</v>
      </c>
      <c r="B1244" s="87"/>
      <c r="C1244" s="87"/>
      <c r="D1244" s="87"/>
      <c r="E1244" s="87"/>
      <c r="F1244" s="87"/>
      <c r="G1244" s="87"/>
      <c r="H1244" s="87"/>
      <c r="I1244" s="87"/>
      <c r="J1244" s="87"/>
      <c r="K1244" s="87"/>
      <c r="L1244" s="87"/>
      <c r="M1244" s="87"/>
      <c r="N1244" s="87">
        <f t="shared" si="76"/>
        <v>0</v>
      </c>
      <c r="O1244" s="61">
        <f t="shared" si="77"/>
        <v>0</v>
      </c>
      <c r="P1244" s="61" t="b">
        <f t="shared" si="78"/>
        <v>1</v>
      </c>
      <c r="Q1244" s="87" t="b">
        <f>(Requirements!K1246="Normative")</f>
        <v>1</v>
      </c>
      <c r="R1244" s="87" t="b">
        <f>AND(Requirements!L1246&lt;&gt;"Non-testable",Requirements!L1246&lt;&gt;"Deleted",Requirements!L1246&lt;&gt;"")</f>
        <v>1</v>
      </c>
      <c r="S1244" s="87" t="b">
        <f>(VLOOKUP(Requirements!I1246,Scope[[Role]:[Description]],2,FALSE)="In")</f>
        <v>1</v>
      </c>
      <c r="T1244" s="87">
        <f t="shared" si="79"/>
        <v>0</v>
      </c>
    </row>
    <row r="1245" spans="1:20">
      <c r="A1245" s="85" t="str">
        <f>Requirements!A1247</f>
        <v>MS-SMB_R4500</v>
      </c>
      <c r="B1245" s="87"/>
      <c r="C1245" s="87"/>
      <c r="D1245" s="87"/>
      <c r="E1245" s="87"/>
      <c r="F1245" s="87"/>
      <c r="G1245" s="87"/>
      <c r="H1245" s="87"/>
      <c r="I1245" s="87"/>
      <c r="J1245" s="87"/>
      <c r="K1245" s="87"/>
      <c r="L1245" s="87"/>
      <c r="M1245" s="87"/>
      <c r="N1245" s="87">
        <f t="shared" si="76"/>
        <v>0</v>
      </c>
      <c r="O1245" s="61">
        <f t="shared" si="77"/>
        <v>0</v>
      </c>
      <c r="P1245" s="61" t="b">
        <f t="shared" si="78"/>
        <v>1</v>
      </c>
      <c r="Q1245" s="87" t="b">
        <f>(Requirements!K1247="Normative")</f>
        <v>1</v>
      </c>
      <c r="R1245" s="87" t="b">
        <f>AND(Requirements!L1247&lt;&gt;"Non-testable",Requirements!L1247&lt;&gt;"Deleted",Requirements!L1247&lt;&gt;"")</f>
        <v>1</v>
      </c>
      <c r="S1245" s="87" t="b">
        <f>(VLOOKUP(Requirements!I1247,Scope[[Role]:[Description]],2,FALSE)="In")</f>
        <v>1</v>
      </c>
      <c r="T1245" s="87">
        <f t="shared" si="79"/>
        <v>0</v>
      </c>
    </row>
    <row r="1246" spans="1:20">
      <c r="A1246" s="85" t="str">
        <f>Requirements!A1248</f>
        <v>MS-SMB_R4501</v>
      </c>
      <c r="B1246" s="87"/>
      <c r="C1246" s="87"/>
      <c r="D1246" s="87"/>
      <c r="E1246" s="87"/>
      <c r="F1246" s="87"/>
      <c r="G1246" s="87"/>
      <c r="H1246" s="87"/>
      <c r="I1246" s="87"/>
      <c r="J1246" s="87"/>
      <c r="K1246" s="87"/>
      <c r="L1246" s="87"/>
      <c r="M1246" s="87"/>
      <c r="N1246" s="87">
        <f t="shared" si="76"/>
        <v>0</v>
      </c>
      <c r="O1246" s="61">
        <f t="shared" si="77"/>
        <v>0</v>
      </c>
      <c r="P1246" s="61" t="b">
        <f t="shared" si="78"/>
        <v>1</v>
      </c>
      <c r="Q1246" s="87" t="b">
        <f>(Requirements!K1248="Normative")</f>
        <v>1</v>
      </c>
      <c r="R1246" s="87" t="b">
        <f>AND(Requirements!L1248&lt;&gt;"Non-testable",Requirements!L1248&lt;&gt;"Deleted",Requirements!L1248&lt;&gt;"")</f>
        <v>1</v>
      </c>
      <c r="S1246" s="87" t="b">
        <f>(VLOOKUP(Requirements!I1248,Scope[[Role]:[Description]],2,FALSE)="In")</f>
        <v>1</v>
      </c>
      <c r="T1246" s="87">
        <f t="shared" si="79"/>
        <v>0</v>
      </c>
    </row>
    <row r="1247" spans="1:20">
      <c r="A1247" s="85" t="str">
        <f>Requirements!A1249</f>
        <v>MS-SMB_R4502</v>
      </c>
      <c r="B1247" s="87"/>
      <c r="C1247" s="87"/>
      <c r="D1247" s="87"/>
      <c r="E1247" s="87"/>
      <c r="F1247" s="87"/>
      <c r="G1247" s="87"/>
      <c r="H1247" s="87"/>
      <c r="I1247" s="87"/>
      <c r="J1247" s="87"/>
      <c r="K1247" s="87"/>
      <c r="L1247" s="87"/>
      <c r="M1247" s="87"/>
      <c r="N1247" s="87">
        <f t="shared" si="76"/>
        <v>0</v>
      </c>
      <c r="O1247" s="61">
        <f t="shared" si="77"/>
        <v>0</v>
      </c>
      <c r="P1247" s="61" t="b">
        <f t="shared" si="78"/>
        <v>1</v>
      </c>
      <c r="Q1247" s="87" t="b">
        <f>(Requirements!K1249="Normative")</f>
        <v>1</v>
      </c>
      <c r="R1247" s="87" t="b">
        <f>AND(Requirements!L1249&lt;&gt;"Non-testable",Requirements!L1249&lt;&gt;"Deleted",Requirements!L1249&lt;&gt;"")</f>
        <v>1</v>
      </c>
      <c r="S1247" s="87" t="b">
        <f>(VLOOKUP(Requirements!I1249,Scope[[Role]:[Description]],2,FALSE)="In")</f>
        <v>1</v>
      </c>
      <c r="T1247" s="87">
        <f t="shared" si="79"/>
        <v>0</v>
      </c>
    </row>
    <row r="1248" spans="1:20">
      <c r="A1248" s="85" t="str">
        <f>Requirements!A1250</f>
        <v>MS-SMB_R4503</v>
      </c>
      <c r="B1248" s="87"/>
      <c r="C1248" s="87"/>
      <c r="D1248" s="87"/>
      <c r="E1248" s="87"/>
      <c r="F1248" s="87"/>
      <c r="G1248" s="87"/>
      <c r="H1248" s="87"/>
      <c r="I1248" s="87"/>
      <c r="J1248" s="87"/>
      <c r="K1248" s="87"/>
      <c r="L1248" s="87"/>
      <c r="M1248" s="87"/>
      <c r="N1248" s="87">
        <f t="shared" si="76"/>
        <v>0</v>
      </c>
      <c r="O1248" s="61">
        <f t="shared" si="77"/>
        <v>0</v>
      </c>
      <c r="P1248" s="61" t="b">
        <f t="shared" si="78"/>
        <v>1</v>
      </c>
      <c r="Q1248" s="87" t="b">
        <f>(Requirements!K1250="Normative")</f>
        <v>1</v>
      </c>
      <c r="R1248" s="87" t="b">
        <f>AND(Requirements!L1250&lt;&gt;"Non-testable",Requirements!L1250&lt;&gt;"Deleted",Requirements!L1250&lt;&gt;"")</f>
        <v>1</v>
      </c>
      <c r="S1248" s="87" t="b">
        <f>(VLOOKUP(Requirements!I1250,Scope[[Role]:[Description]],2,FALSE)="In")</f>
        <v>1</v>
      </c>
      <c r="T1248" s="87">
        <f t="shared" si="79"/>
        <v>0</v>
      </c>
    </row>
    <row r="1249" spans="1:20">
      <c r="A1249" s="85" t="str">
        <f>Requirements!A1251</f>
        <v>MS-SMB_R4504</v>
      </c>
      <c r="B1249" s="87"/>
      <c r="C1249" s="87"/>
      <c r="D1249" s="87"/>
      <c r="E1249" s="87"/>
      <c r="F1249" s="87"/>
      <c r="G1249" s="87"/>
      <c r="H1249" s="87"/>
      <c r="I1249" s="87"/>
      <c r="J1249" s="87"/>
      <c r="K1249" s="87"/>
      <c r="L1249" s="87"/>
      <c r="M1249" s="87"/>
      <c r="N1249" s="87">
        <f t="shared" si="76"/>
        <v>0</v>
      </c>
      <c r="O1249" s="61">
        <f t="shared" si="77"/>
        <v>0</v>
      </c>
      <c r="P1249" s="61" t="b">
        <f t="shared" si="78"/>
        <v>1</v>
      </c>
      <c r="Q1249" s="87" t="b">
        <f>(Requirements!K1251="Normative")</f>
        <v>1</v>
      </c>
      <c r="R1249" s="87" t="b">
        <f>AND(Requirements!L1251&lt;&gt;"Non-testable",Requirements!L1251&lt;&gt;"Deleted",Requirements!L1251&lt;&gt;"")</f>
        <v>1</v>
      </c>
      <c r="S1249" s="87" t="b">
        <f>(VLOOKUP(Requirements!I1251,Scope[[Role]:[Description]],2,FALSE)="In")</f>
        <v>1</v>
      </c>
      <c r="T1249" s="87">
        <f t="shared" si="79"/>
        <v>0</v>
      </c>
    </row>
    <row r="1250" spans="1:20">
      <c r="A1250" s="85" t="str">
        <f>Requirements!A1252</f>
        <v>MS-SMB_R4505</v>
      </c>
      <c r="B1250" s="87"/>
      <c r="C1250" s="87"/>
      <c r="D1250" s="87"/>
      <c r="E1250" s="87"/>
      <c r="F1250" s="87"/>
      <c r="G1250" s="87"/>
      <c r="H1250" s="87"/>
      <c r="I1250" s="87"/>
      <c r="J1250" s="87"/>
      <c r="K1250" s="87"/>
      <c r="L1250" s="87"/>
      <c r="M1250" s="87"/>
      <c r="N1250" s="87">
        <f t="shared" si="76"/>
        <v>0</v>
      </c>
      <c r="O1250" s="61">
        <f t="shared" si="77"/>
        <v>0</v>
      </c>
      <c r="P1250" s="61" t="b">
        <f t="shared" si="78"/>
        <v>1</v>
      </c>
      <c r="Q1250" s="87" t="b">
        <f>(Requirements!K1252="Normative")</f>
        <v>1</v>
      </c>
      <c r="R1250" s="87" t="b">
        <f>AND(Requirements!L1252&lt;&gt;"Non-testable",Requirements!L1252&lt;&gt;"Deleted",Requirements!L1252&lt;&gt;"")</f>
        <v>1</v>
      </c>
      <c r="S1250" s="87" t="b">
        <f>(VLOOKUP(Requirements!I1252,Scope[[Role]:[Description]],2,FALSE)="In")</f>
        <v>1</v>
      </c>
      <c r="T1250" s="87">
        <f t="shared" si="79"/>
        <v>0</v>
      </c>
    </row>
    <row r="1251" spans="1:20">
      <c r="A1251" s="85" t="str">
        <f>Requirements!A1253</f>
        <v>MS-SMB_R4506</v>
      </c>
      <c r="B1251" s="87"/>
      <c r="C1251" s="87"/>
      <c r="D1251" s="87"/>
      <c r="E1251" s="87"/>
      <c r="F1251" s="87"/>
      <c r="G1251" s="87"/>
      <c r="H1251" s="87"/>
      <c r="I1251" s="87"/>
      <c r="J1251" s="87"/>
      <c r="K1251" s="87"/>
      <c r="L1251" s="87"/>
      <c r="M1251" s="87"/>
      <c r="N1251" s="87">
        <f t="shared" si="76"/>
        <v>0</v>
      </c>
      <c r="O1251" s="61">
        <f t="shared" si="77"/>
        <v>0</v>
      </c>
      <c r="P1251" s="61" t="b">
        <f t="shared" si="78"/>
        <v>1</v>
      </c>
      <c r="Q1251" s="87" t="b">
        <f>(Requirements!K1253="Normative")</f>
        <v>1</v>
      </c>
      <c r="R1251" s="87" t="b">
        <f>AND(Requirements!L1253&lt;&gt;"Non-testable",Requirements!L1253&lt;&gt;"Deleted",Requirements!L1253&lt;&gt;"")</f>
        <v>1</v>
      </c>
      <c r="S1251" s="87" t="b">
        <f>(VLOOKUP(Requirements!I1253,Scope[[Role]:[Description]],2,FALSE)="In")</f>
        <v>1</v>
      </c>
      <c r="T1251" s="87">
        <f t="shared" si="79"/>
        <v>0</v>
      </c>
    </row>
    <row r="1252" spans="1:20">
      <c r="A1252" s="85" t="str">
        <f>Requirements!A1254</f>
        <v>MS-SMB_R4507</v>
      </c>
      <c r="B1252" s="87"/>
      <c r="C1252" s="87"/>
      <c r="D1252" s="87"/>
      <c r="E1252" s="87"/>
      <c r="F1252" s="87"/>
      <c r="G1252" s="87"/>
      <c r="H1252" s="87"/>
      <c r="I1252" s="87"/>
      <c r="J1252" s="87"/>
      <c r="K1252" s="87"/>
      <c r="L1252" s="87"/>
      <c r="M1252" s="87"/>
      <c r="N1252" s="87">
        <f t="shared" si="76"/>
        <v>0</v>
      </c>
      <c r="O1252" s="61">
        <f t="shared" si="77"/>
        <v>0</v>
      </c>
      <c r="P1252" s="61" t="b">
        <f t="shared" si="78"/>
        <v>1</v>
      </c>
      <c r="Q1252" s="87" t="b">
        <f>(Requirements!K1254="Normative")</f>
        <v>1</v>
      </c>
      <c r="R1252" s="87" t="b">
        <f>AND(Requirements!L1254&lt;&gt;"Non-testable",Requirements!L1254&lt;&gt;"Deleted",Requirements!L1254&lt;&gt;"")</f>
        <v>1</v>
      </c>
      <c r="S1252" s="87" t="b">
        <f>(VLOOKUP(Requirements!I1254,Scope[[Role]:[Description]],2,FALSE)="In")</f>
        <v>1</v>
      </c>
      <c r="T1252" s="87">
        <f t="shared" si="79"/>
        <v>0</v>
      </c>
    </row>
    <row r="1253" spans="1:20">
      <c r="A1253" s="84" t="str">
        <f>Requirements!A1255</f>
        <v>MS-SMB_R2193</v>
      </c>
      <c r="B1253" s="87">
        <v>1</v>
      </c>
      <c r="C1253" s="87"/>
      <c r="D1253" s="87"/>
      <c r="E1253" s="87"/>
      <c r="F1253" s="87"/>
      <c r="G1253" s="87"/>
      <c r="H1253" s="87"/>
      <c r="I1253" s="87"/>
      <c r="J1253" s="87"/>
      <c r="K1253" s="87"/>
      <c r="L1253" s="87"/>
      <c r="M1253" s="87"/>
      <c r="N1253" s="87">
        <f t="shared" si="76"/>
        <v>1</v>
      </c>
      <c r="O1253" s="60">
        <f t="shared" si="77"/>
        <v>1</v>
      </c>
      <c r="P1253" s="60" t="b">
        <f t="shared" si="78"/>
        <v>1</v>
      </c>
      <c r="Q1253" s="87" t="b">
        <f>(Requirements!K1255="Normative")</f>
        <v>1</v>
      </c>
      <c r="R1253" s="87" t="b">
        <f>AND(Requirements!L1255&lt;&gt;"Non-testable",Requirements!L1255&lt;&gt;"Deleted",Requirements!L1255&lt;&gt;"")</f>
        <v>1</v>
      </c>
      <c r="S1253" s="87" t="b">
        <f>(VLOOKUP(Requirements!I1255,Scope[[Role]:[Description]],2,FALSE)="In")</f>
        <v>1</v>
      </c>
      <c r="T1253" s="87">
        <f t="shared" si="79"/>
        <v>1</v>
      </c>
    </row>
    <row r="1254" spans="1:20">
      <c r="A1254" s="85" t="str">
        <f>Requirements!A1256</f>
        <v>MS-SMB_R4509</v>
      </c>
      <c r="B1254" s="87"/>
      <c r="C1254" s="87"/>
      <c r="D1254" s="87"/>
      <c r="E1254" s="87"/>
      <c r="F1254" s="87"/>
      <c r="G1254" s="87"/>
      <c r="H1254" s="87"/>
      <c r="I1254" s="87"/>
      <c r="J1254" s="87"/>
      <c r="K1254" s="87"/>
      <c r="L1254" s="87"/>
      <c r="M1254" s="87"/>
      <c r="N1254" s="87">
        <f t="shared" si="76"/>
        <v>0</v>
      </c>
      <c r="O1254" s="61">
        <f t="shared" si="77"/>
        <v>0</v>
      </c>
      <c r="P1254" s="61" t="b">
        <f t="shared" si="78"/>
        <v>1</v>
      </c>
      <c r="Q1254" s="87" t="b">
        <f>(Requirements!K1256="Normative")</f>
        <v>1</v>
      </c>
      <c r="R1254" s="87" t="b">
        <f>AND(Requirements!L1256&lt;&gt;"Non-testable",Requirements!L1256&lt;&gt;"Deleted",Requirements!L1256&lt;&gt;"")</f>
        <v>1</v>
      </c>
      <c r="S1254" s="87" t="b">
        <f>(VLOOKUP(Requirements!I1256,Scope[[Role]:[Description]],2,FALSE)="In")</f>
        <v>1</v>
      </c>
      <c r="T1254" s="87">
        <f t="shared" si="79"/>
        <v>0</v>
      </c>
    </row>
    <row r="1255" spans="1:20">
      <c r="A1255" s="85" t="str">
        <f>Requirements!A1257</f>
        <v>MS-SMB_R4510</v>
      </c>
      <c r="B1255" s="87"/>
      <c r="C1255" s="87"/>
      <c r="D1255" s="87"/>
      <c r="E1255" s="87"/>
      <c r="F1255" s="87"/>
      <c r="G1255" s="87"/>
      <c r="H1255" s="87"/>
      <c r="I1255" s="87"/>
      <c r="J1255" s="87"/>
      <c r="K1255" s="87"/>
      <c r="L1255" s="87"/>
      <c r="M1255" s="87"/>
      <c r="N1255" s="87">
        <f t="shared" si="76"/>
        <v>0</v>
      </c>
      <c r="O1255" s="61">
        <f t="shared" si="77"/>
        <v>0</v>
      </c>
      <c r="P1255" s="61" t="b">
        <f t="shared" si="78"/>
        <v>1</v>
      </c>
      <c r="Q1255" s="87" t="b">
        <f>(Requirements!K1257="Normative")</f>
        <v>1</v>
      </c>
      <c r="R1255" s="87" t="b">
        <f>AND(Requirements!L1257&lt;&gt;"Non-testable",Requirements!L1257&lt;&gt;"Deleted",Requirements!L1257&lt;&gt;"")</f>
        <v>1</v>
      </c>
      <c r="S1255" s="87" t="b">
        <f>(VLOOKUP(Requirements!I1257,Scope[[Role]:[Description]],2,FALSE)="In")</f>
        <v>1</v>
      </c>
      <c r="T1255" s="87">
        <f t="shared" si="79"/>
        <v>0</v>
      </c>
    </row>
    <row r="1256" spans="1:20">
      <c r="A1256" s="85" t="str">
        <f>Requirements!A1258</f>
        <v>MS-SMB_R4511</v>
      </c>
      <c r="B1256" s="87"/>
      <c r="C1256" s="87"/>
      <c r="D1256" s="87"/>
      <c r="E1256" s="87"/>
      <c r="F1256" s="87"/>
      <c r="G1256" s="87"/>
      <c r="H1256" s="87"/>
      <c r="I1256" s="87"/>
      <c r="J1256" s="87"/>
      <c r="K1256" s="87"/>
      <c r="L1256" s="87"/>
      <c r="M1256" s="87"/>
      <c r="N1256" s="87">
        <f t="shared" si="76"/>
        <v>0</v>
      </c>
      <c r="O1256" s="61">
        <f t="shared" si="77"/>
        <v>0</v>
      </c>
      <c r="P1256" s="61" t="b">
        <f t="shared" si="78"/>
        <v>1</v>
      </c>
      <c r="Q1256" s="87" t="b">
        <f>(Requirements!K1258="Normative")</f>
        <v>1</v>
      </c>
      <c r="R1256" s="87" t="b">
        <f>AND(Requirements!L1258&lt;&gt;"Non-testable",Requirements!L1258&lt;&gt;"Deleted",Requirements!L1258&lt;&gt;"")</f>
        <v>1</v>
      </c>
      <c r="S1256" s="87" t="b">
        <f>(VLOOKUP(Requirements!I1258,Scope[[Role]:[Description]],2,FALSE)="In")</f>
        <v>1</v>
      </c>
      <c r="T1256" s="87">
        <f t="shared" si="79"/>
        <v>0</v>
      </c>
    </row>
    <row r="1257" spans="1:20">
      <c r="A1257" s="85" t="str">
        <f>Requirements!A1259</f>
        <v>MS-SMB_R4512</v>
      </c>
      <c r="B1257" s="87"/>
      <c r="C1257" s="87"/>
      <c r="D1257" s="87"/>
      <c r="E1257" s="87"/>
      <c r="F1257" s="87"/>
      <c r="G1257" s="87"/>
      <c r="H1257" s="87"/>
      <c r="I1257" s="87"/>
      <c r="J1257" s="87"/>
      <c r="K1257" s="87"/>
      <c r="L1257" s="87"/>
      <c r="M1257" s="87"/>
      <c r="N1257" s="87">
        <f t="shared" si="76"/>
        <v>0</v>
      </c>
      <c r="O1257" s="61">
        <f t="shared" si="77"/>
        <v>0</v>
      </c>
      <c r="P1257" s="61" t="b">
        <f t="shared" si="78"/>
        <v>1</v>
      </c>
      <c r="Q1257" s="87" t="b">
        <f>(Requirements!K1259="Normative")</f>
        <v>1</v>
      </c>
      <c r="R1257" s="87" t="b">
        <f>AND(Requirements!L1259&lt;&gt;"Non-testable",Requirements!L1259&lt;&gt;"Deleted",Requirements!L1259&lt;&gt;"")</f>
        <v>1</v>
      </c>
      <c r="S1257" s="87" t="b">
        <f>(VLOOKUP(Requirements!I1259,Scope[[Role]:[Description]],2,FALSE)="In")</f>
        <v>1</v>
      </c>
      <c r="T1257" s="87">
        <f t="shared" si="79"/>
        <v>0</v>
      </c>
    </row>
    <row r="1258" spans="1:20">
      <c r="A1258" s="85" t="str">
        <f>Requirements!A1260</f>
        <v>MS-SMB_R8493</v>
      </c>
      <c r="B1258" s="87"/>
      <c r="C1258" s="87"/>
      <c r="D1258" s="87"/>
      <c r="E1258" s="87"/>
      <c r="F1258" s="87"/>
      <c r="G1258" s="87"/>
      <c r="H1258" s="87"/>
      <c r="I1258" s="87"/>
      <c r="J1258" s="87"/>
      <c r="K1258" s="87"/>
      <c r="L1258" s="87"/>
      <c r="M1258" s="87"/>
      <c r="N1258" s="87">
        <f t="shared" si="76"/>
        <v>0</v>
      </c>
      <c r="O1258" s="61">
        <f t="shared" si="77"/>
        <v>0</v>
      </c>
      <c r="P1258" s="61" t="b">
        <f t="shared" si="78"/>
        <v>1</v>
      </c>
      <c r="Q1258" s="87" t="b">
        <f>(Requirements!K1260="Normative")</f>
        <v>1</v>
      </c>
      <c r="R1258" s="87" t="b">
        <f>AND(Requirements!L1260&lt;&gt;"Non-testable",Requirements!L1260&lt;&gt;"Deleted",Requirements!L1260&lt;&gt;"")</f>
        <v>1</v>
      </c>
      <c r="S1258" s="87" t="b">
        <f>(VLOOKUP(Requirements!I1260,Scope[[Role]:[Description]],2,FALSE)="In")</f>
        <v>1</v>
      </c>
      <c r="T1258" s="87">
        <f t="shared" si="79"/>
        <v>0</v>
      </c>
    </row>
    <row r="1259" spans="1:20">
      <c r="A1259" s="85" t="str">
        <f>Requirements!A1261</f>
        <v>MS-SMB_R4513</v>
      </c>
      <c r="B1259" s="87"/>
      <c r="C1259" s="87"/>
      <c r="D1259" s="87"/>
      <c r="E1259" s="87"/>
      <c r="F1259" s="87"/>
      <c r="G1259" s="87"/>
      <c r="H1259" s="87"/>
      <c r="I1259" s="87"/>
      <c r="J1259" s="87"/>
      <c r="K1259" s="87"/>
      <c r="L1259" s="87"/>
      <c r="M1259" s="87"/>
      <c r="N1259" s="87">
        <f t="shared" si="76"/>
        <v>0</v>
      </c>
      <c r="O1259" s="61">
        <f t="shared" si="77"/>
        <v>0</v>
      </c>
      <c r="P1259" s="61" t="b">
        <f t="shared" si="78"/>
        <v>1</v>
      </c>
      <c r="Q1259" s="87" t="b">
        <f>(Requirements!K1261="Normative")</f>
        <v>1</v>
      </c>
      <c r="R1259" s="87" t="b">
        <f>AND(Requirements!L1261&lt;&gt;"Non-testable",Requirements!L1261&lt;&gt;"Deleted",Requirements!L1261&lt;&gt;"")</f>
        <v>1</v>
      </c>
      <c r="S1259" s="87" t="b">
        <f>(VLOOKUP(Requirements!I1261,Scope[[Role]:[Description]],2,FALSE)="In")</f>
        <v>1</v>
      </c>
      <c r="T1259" s="87">
        <f t="shared" si="79"/>
        <v>0</v>
      </c>
    </row>
    <row r="1260" spans="1:20">
      <c r="A1260" s="85" t="str">
        <f>Requirements!A1262</f>
        <v>MS-SMB_R4514</v>
      </c>
      <c r="B1260" s="87"/>
      <c r="C1260" s="87"/>
      <c r="D1260" s="87"/>
      <c r="E1260" s="87"/>
      <c r="F1260" s="87"/>
      <c r="G1260" s="87"/>
      <c r="H1260" s="87"/>
      <c r="I1260" s="87"/>
      <c r="J1260" s="87"/>
      <c r="K1260" s="87"/>
      <c r="L1260" s="87"/>
      <c r="M1260" s="87"/>
      <c r="N1260" s="87">
        <f t="shared" si="76"/>
        <v>0</v>
      </c>
      <c r="O1260" s="61">
        <f t="shared" si="77"/>
        <v>0</v>
      </c>
      <c r="P1260" s="61" t="b">
        <f t="shared" si="78"/>
        <v>1</v>
      </c>
      <c r="Q1260" s="87" t="b">
        <f>(Requirements!K1262="Normative")</f>
        <v>1</v>
      </c>
      <c r="R1260" s="87" t="b">
        <f>AND(Requirements!L1262&lt;&gt;"Non-testable",Requirements!L1262&lt;&gt;"Deleted",Requirements!L1262&lt;&gt;"")</f>
        <v>1</v>
      </c>
      <c r="S1260" s="87" t="b">
        <f>(VLOOKUP(Requirements!I1262,Scope[[Role]:[Description]],2,FALSE)="In")</f>
        <v>1</v>
      </c>
      <c r="T1260" s="87">
        <f t="shared" si="79"/>
        <v>0</v>
      </c>
    </row>
    <row r="1261" spans="1:20">
      <c r="A1261" s="85" t="str">
        <f>Requirements!A1263</f>
        <v>MS-SMB_R8494</v>
      </c>
      <c r="B1261" s="87"/>
      <c r="C1261" s="87"/>
      <c r="D1261" s="87"/>
      <c r="E1261" s="87"/>
      <c r="F1261" s="87"/>
      <c r="G1261" s="87"/>
      <c r="H1261" s="87"/>
      <c r="I1261" s="87"/>
      <c r="J1261" s="87"/>
      <c r="K1261" s="87"/>
      <c r="L1261" s="87"/>
      <c r="M1261" s="87"/>
      <c r="N1261" s="87">
        <f t="shared" si="76"/>
        <v>0</v>
      </c>
      <c r="O1261" s="61">
        <f t="shared" si="77"/>
        <v>0</v>
      </c>
      <c r="P1261" s="61" t="b">
        <f t="shared" si="78"/>
        <v>1</v>
      </c>
      <c r="Q1261" s="87" t="b">
        <f>(Requirements!K1263="Normative")</f>
        <v>1</v>
      </c>
      <c r="R1261" s="87" t="b">
        <f>AND(Requirements!L1263&lt;&gt;"Non-testable",Requirements!L1263&lt;&gt;"Deleted",Requirements!L1263&lt;&gt;"")</f>
        <v>1</v>
      </c>
      <c r="S1261" s="87" t="b">
        <f>(VLOOKUP(Requirements!I1263,Scope[[Role]:[Description]],2,FALSE)="In")</f>
        <v>1</v>
      </c>
      <c r="T1261" s="87">
        <f t="shared" si="79"/>
        <v>0</v>
      </c>
    </row>
    <row r="1262" spans="1:20">
      <c r="A1262" s="85" t="str">
        <f>Requirements!A1264</f>
        <v>MS-SMB_R8495</v>
      </c>
      <c r="B1262" s="87"/>
      <c r="C1262" s="87"/>
      <c r="D1262" s="87"/>
      <c r="E1262" s="87"/>
      <c r="F1262" s="87"/>
      <c r="G1262" s="87"/>
      <c r="H1262" s="87"/>
      <c r="I1262" s="87"/>
      <c r="J1262" s="87"/>
      <c r="K1262" s="87"/>
      <c r="L1262" s="87"/>
      <c r="M1262" s="87"/>
      <c r="N1262" s="87">
        <f t="shared" si="76"/>
        <v>0</v>
      </c>
      <c r="O1262" s="61">
        <f t="shared" si="77"/>
        <v>0</v>
      </c>
      <c r="P1262" s="61" t="b">
        <f t="shared" si="78"/>
        <v>1</v>
      </c>
      <c r="Q1262" s="87" t="b">
        <f>(Requirements!K1264="Normative")</f>
        <v>1</v>
      </c>
      <c r="R1262" s="87" t="b">
        <f>AND(Requirements!L1264&lt;&gt;"Non-testable",Requirements!L1264&lt;&gt;"Deleted",Requirements!L1264&lt;&gt;"")</f>
        <v>1</v>
      </c>
      <c r="S1262" s="87" t="b">
        <f>(VLOOKUP(Requirements!I1264,Scope[[Role]:[Description]],2,FALSE)="In")</f>
        <v>1</v>
      </c>
      <c r="T1262" s="87">
        <f t="shared" si="79"/>
        <v>0</v>
      </c>
    </row>
    <row r="1263" spans="1:20">
      <c r="A1263" s="85" t="str">
        <f>Requirements!A1265</f>
        <v>MS-SMB_R8496</v>
      </c>
      <c r="B1263" s="87"/>
      <c r="C1263" s="87"/>
      <c r="D1263" s="87"/>
      <c r="E1263" s="87"/>
      <c r="F1263" s="87"/>
      <c r="G1263" s="87"/>
      <c r="H1263" s="87"/>
      <c r="I1263" s="87"/>
      <c r="J1263" s="87"/>
      <c r="K1263" s="87"/>
      <c r="L1263" s="87"/>
      <c r="M1263" s="87"/>
      <c r="N1263" s="87">
        <f t="shared" si="76"/>
        <v>0</v>
      </c>
      <c r="O1263" s="61">
        <f t="shared" si="77"/>
        <v>0</v>
      </c>
      <c r="P1263" s="61" t="b">
        <f t="shared" si="78"/>
        <v>1</v>
      </c>
      <c r="Q1263" s="87" t="b">
        <f>(Requirements!K1265="Normative")</f>
        <v>1</v>
      </c>
      <c r="R1263" s="87" t="b">
        <f>AND(Requirements!L1265&lt;&gt;"Non-testable",Requirements!L1265&lt;&gt;"Deleted",Requirements!L1265&lt;&gt;"")</f>
        <v>1</v>
      </c>
      <c r="S1263" s="87" t="b">
        <f>(VLOOKUP(Requirements!I1265,Scope[[Role]:[Description]],2,FALSE)="In")</f>
        <v>1</v>
      </c>
      <c r="T1263" s="87">
        <f t="shared" si="79"/>
        <v>0</v>
      </c>
    </row>
    <row r="1264" spans="1:20">
      <c r="A1264" s="85" t="str">
        <f>Requirements!A1266</f>
        <v>MS-SMB_R4516</v>
      </c>
      <c r="B1264" s="87"/>
      <c r="C1264" s="87"/>
      <c r="D1264" s="87"/>
      <c r="E1264" s="87"/>
      <c r="F1264" s="87"/>
      <c r="G1264" s="87"/>
      <c r="H1264" s="87"/>
      <c r="I1264" s="87"/>
      <c r="J1264" s="87"/>
      <c r="K1264" s="87"/>
      <c r="L1264" s="87"/>
      <c r="M1264" s="87"/>
      <c r="N1264" s="87">
        <f t="shared" si="76"/>
        <v>0</v>
      </c>
      <c r="O1264" s="61">
        <f t="shared" si="77"/>
        <v>0</v>
      </c>
      <c r="P1264" s="61" t="b">
        <f t="shared" si="78"/>
        <v>1</v>
      </c>
      <c r="Q1264" s="87" t="b">
        <f>(Requirements!K1266="Normative")</f>
        <v>1</v>
      </c>
      <c r="R1264" s="87" t="b">
        <f>AND(Requirements!L1266&lt;&gt;"Non-testable",Requirements!L1266&lt;&gt;"Deleted",Requirements!L1266&lt;&gt;"")</f>
        <v>1</v>
      </c>
      <c r="S1264" s="87" t="b">
        <f>(VLOOKUP(Requirements!I1266,Scope[[Role]:[Description]],2,FALSE)="In")</f>
        <v>1</v>
      </c>
      <c r="T1264" s="87">
        <f t="shared" si="79"/>
        <v>0</v>
      </c>
    </row>
    <row r="1265" spans="1:20">
      <c r="A1265" s="85" t="str">
        <f>Requirements!A1267</f>
        <v>MS-SMB_R8497</v>
      </c>
      <c r="B1265" s="87"/>
      <c r="C1265" s="87"/>
      <c r="D1265" s="87"/>
      <c r="E1265" s="87"/>
      <c r="F1265" s="87"/>
      <c r="G1265" s="87"/>
      <c r="H1265" s="87"/>
      <c r="I1265" s="87"/>
      <c r="J1265" s="87"/>
      <c r="K1265" s="87"/>
      <c r="L1265" s="87"/>
      <c r="M1265" s="87"/>
      <c r="N1265" s="87">
        <f t="shared" si="76"/>
        <v>0</v>
      </c>
      <c r="O1265" s="61">
        <f t="shared" si="77"/>
        <v>0</v>
      </c>
      <c r="P1265" s="61" t="b">
        <f t="shared" si="78"/>
        <v>1</v>
      </c>
      <c r="Q1265" s="87" t="b">
        <f>(Requirements!K1267="Normative")</f>
        <v>1</v>
      </c>
      <c r="R1265" s="87" t="b">
        <f>AND(Requirements!L1267&lt;&gt;"Non-testable",Requirements!L1267&lt;&gt;"Deleted",Requirements!L1267&lt;&gt;"")</f>
        <v>1</v>
      </c>
      <c r="S1265" s="87" t="b">
        <f>(VLOOKUP(Requirements!I1267,Scope[[Role]:[Description]],2,FALSE)="In")</f>
        <v>1</v>
      </c>
      <c r="T1265" s="87">
        <f t="shared" si="79"/>
        <v>0</v>
      </c>
    </row>
    <row r="1266" spans="1:20">
      <c r="A1266" s="44" t="str">
        <f>Requirements!A1268</f>
        <v>MS-SMB_R8498</v>
      </c>
      <c r="B1266" s="87"/>
      <c r="C1266" s="87"/>
      <c r="D1266" s="87"/>
      <c r="E1266" s="87"/>
      <c r="F1266" s="87"/>
      <c r="G1266" s="87"/>
      <c r="H1266" s="87"/>
      <c r="I1266" s="87"/>
      <c r="J1266" s="87"/>
      <c r="K1266" s="87"/>
      <c r="L1266" s="87"/>
      <c r="M1266" s="87"/>
      <c r="N1266" s="87">
        <f t="shared" si="76"/>
        <v>0</v>
      </c>
      <c r="O1266" s="87">
        <f t="shared" si="77"/>
        <v>0</v>
      </c>
      <c r="P1266" s="87" t="b">
        <f t="shared" si="78"/>
        <v>0</v>
      </c>
      <c r="Q1266" s="87" t="b">
        <f>(Requirements!K1268="Normative")</f>
        <v>0</v>
      </c>
      <c r="R1266" s="87" t="b">
        <f>AND(Requirements!L1268&lt;&gt;"Non-testable",Requirements!L1268&lt;&gt;"Deleted",Requirements!L1268&lt;&gt;"")</f>
        <v>1</v>
      </c>
      <c r="S1266" s="87" t="b">
        <f>(VLOOKUP(Requirements!I1268,Scope[[Role]:[Description]],2,FALSE)="In")</f>
        <v>1</v>
      </c>
      <c r="T1266" s="87">
        <f t="shared" si="79"/>
        <v>0</v>
      </c>
    </row>
    <row r="1267" spans="1:20">
      <c r="A1267" s="44" t="str">
        <f>Requirements!A1269</f>
        <v>MS-SMB_R8499</v>
      </c>
      <c r="B1267" s="87"/>
      <c r="C1267" s="87"/>
      <c r="D1267" s="87"/>
      <c r="E1267" s="87"/>
      <c r="F1267" s="87"/>
      <c r="G1267" s="87"/>
      <c r="H1267" s="87"/>
      <c r="I1267" s="87"/>
      <c r="J1267" s="87"/>
      <c r="K1267" s="87"/>
      <c r="L1267" s="87"/>
      <c r="M1267" s="87"/>
      <c r="N1267" s="87">
        <f t="shared" si="76"/>
        <v>0</v>
      </c>
      <c r="O1267" s="87">
        <f t="shared" si="77"/>
        <v>0</v>
      </c>
      <c r="P1267" s="87" t="b">
        <f t="shared" si="78"/>
        <v>0</v>
      </c>
      <c r="Q1267" s="87" t="b">
        <f>(Requirements!K1269="Normative")</f>
        <v>0</v>
      </c>
      <c r="R1267" s="87" t="b">
        <f>AND(Requirements!L1269&lt;&gt;"Non-testable",Requirements!L1269&lt;&gt;"Deleted",Requirements!L1269&lt;&gt;"")</f>
        <v>1</v>
      </c>
      <c r="S1267" s="87" t="b">
        <f>(VLOOKUP(Requirements!I1269,Scope[[Role]:[Description]],2,FALSE)="In")</f>
        <v>1</v>
      </c>
      <c r="T1267" s="87">
        <f t="shared" si="79"/>
        <v>0</v>
      </c>
    </row>
    <row r="1268" spans="1:20">
      <c r="A1268" s="85" t="str">
        <f>Requirements!A1270</f>
        <v>MS-SMB_R4517</v>
      </c>
      <c r="B1268" s="87"/>
      <c r="C1268" s="87"/>
      <c r="D1268" s="87"/>
      <c r="E1268" s="87"/>
      <c r="F1268" s="87"/>
      <c r="G1268" s="87"/>
      <c r="H1268" s="87"/>
      <c r="I1268" s="87"/>
      <c r="J1268" s="87"/>
      <c r="K1268" s="87"/>
      <c r="L1268" s="87"/>
      <c r="M1268" s="87"/>
      <c r="N1268" s="87">
        <f t="shared" si="76"/>
        <v>0</v>
      </c>
      <c r="O1268" s="61">
        <f t="shared" si="77"/>
        <v>0</v>
      </c>
      <c r="P1268" s="61" t="b">
        <f t="shared" si="78"/>
        <v>1</v>
      </c>
      <c r="Q1268" s="87" t="b">
        <f>(Requirements!K1270="Normative")</f>
        <v>1</v>
      </c>
      <c r="R1268" s="87" t="b">
        <f>AND(Requirements!L1270&lt;&gt;"Non-testable",Requirements!L1270&lt;&gt;"Deleted",Requirements!L1270&lt;&gt;"")</f>
        <v>1</v>
      </c>
      <c r="S1268" s="87" t="b">
        <f>(VLOOKUP(Requirements!I1270,Scope[[Role]:[Description]],2,FALSE)="In")</f>
        <v>1</v>
      </c>
      <c r="T1268" s="87">
        <f t="shared" si="79"/>
        <v>0</v>
      </c>
    </row>
    <row r="1269" spans="1:20">
      <c r="A1269" s="85" t="str">
        <f>Requirements!A1271</f>
        <v>MS-SMB_R4518</v>
      </c>
      <c r="B1269" s="87"/>
      <c r="C1269" s="87"/>
      <c r="D1269" s="87"/>
      <c r="E1269" s="87"/>
      <c r="F1269" s="87"/>
      <c r="G1269" s="87"/>
      <c r="H1269" s="87"/>
      <c r="I1269" s="87"/>
      <c r="J1269" s="87"/>
      <c r="K1269" s="87"/>
      <c r="L1269" s="87"/>
      <c r="M1269" s="87"/>
      <c r="N1269" s="87">
        <f t="shared" si="76"/>
        <v>0</v>
      </c>
      <c r="O1269" s="61">
        <f t="shared" si="77"/>
        <v>0</v>
      </c>
      <c r="P1269" s="61" t="b">
        <f t="shared" si="78"/>
        <v>1</v>
      </c>
      <c r="Q1269" s="87" t="b">
        <f>(Requirements!K1271="Normative")</f>
        <v>1</v>
      </c>
      <c r="R1269" s="87" t="b">
        <f>AND(Requirements!L1271&lt;&gt;"Non-testable",Requirements!L1271&lt;&gt;"Deleted",Requirements!L1271&lt;&gt;"")</f>
        <v>1</v>
      </c>
      <c r="S1269" s="87" t="b">
        <f>(VLOOKUP(Requirements!I1271,Scope[[Role]:[Description]],2,FALSE)="In")</f>
        <v>1</v>
      </c>
      <c r="T1269" s="87">
        <f t="shared" si="79"/>
        <v>0</v>
      </c>
    </row>
    <row r="1270" spans="1:20">
      <c r="A1270" s="85" t="str">
        <f>Requirements!A1272</f>
        <v>MS-SMB_R4519</v>
      </c>
      <c r="B1270" s="87"/>
      <c r="C1270" s="87"/>
      <c r="D1270" s="87"/>
      <c r="E1270" s="87"/>
      <c r="F1270" s="87"/>
      <c r="G1270" s="87"/>
      <c r="H1270" s="87"/>
      <c r="I1270" s="87"/>
      <c r="J1270" s="87"/>
      <c r="K1270" s="87"/>
      <c r="L1270" s="87"/>
      <c r="M1270" s="87"/>
      <c r="N1270" s="87">
        <f t="shared" si="76"/>
        <v>0</v>
      </c>
      <c r="O1270" s="61">
        <f t="shared" si="77"/>
        <v>0</v>
      </c>
      <c r="P1270" s="61" t="b">
        <f t="shared" si="78"/>
        <v>1</v>
      </c>
      <c r="Q1270" s="87" t="b">
        <f>(Requirements!K1272="Normative")</f>
        <v>1</v>
      </c>
      <c r="R1270" s="87" t="b">
        <f>AND(Requirements!L1272&lt;&gt;"Non-testable",Requirements!L1272&lt;&gt;"Deleted",Requirements!L1272&lt;&gt;"")</f>
        <v>1</v>
      </c>
      <c r="S1270" s="87" t="b">
        <f>(VLOOKUP(Requirements!I1272,Scope[[Role]:[Description]],2,FALSE)="In")</f>
        <v>1</v>
      </c>
      <c r="T1270" s="87">
        <f t="shared" si="79"/>
        <v>0</v>
      </c>
    </row>
    <row r="1271" spans="1:20">
      <c r="A1271" s="85" t="str">
        <f>Requirements!A1273</f>
        <v>MS-SMB_R4521</v>
      </c>
      <c r="B1271" s="87"/>
      <c r="C1271" s="87"/>
      <c r="D1271" s="87"/>
      <c r="E1271" s="87"/>
      <c r="F1271" s="87"/>
      <c r="G1271" s="87"/>
      <c r="H1271" s="87"/>
      <c r="I1271" s="87"/>
      <c r="J1271" s="87"/>
      <c r="K1271" s="87"/>
      <c r="L1271" s="87"/>
      <c r="M1271" s="87"/>
      <c r="N1271" s="87">
        <f t="shared" si="76"/>
        <v>0</v>
      </c>
      <c r="O1271" s="61">
        <f t="shared" si="77"/>
        <v>0</v>
      </c>
      <c r="P1271" s="61" t="b">
        <f t="shared" si="78"/>
        <v>1</v>
      </c>
      <c r="Q1271" s="87" t="b">
        <f>(Requirements!K1273="Normative")</f>
        <v>1</v>
      </c>
      <c r="R1271" s="87" t="b">
        <f>AND(Requirements!L1273&lt;&gt;"Non-testable",Requirements!L1273&lt;&gt;"Deleted",Requirements!L1273&lt;&gt;"")</f>
        <v>1</v>
      </c>
      <c r="S1271" s="87" t="b">
        <f>(VLOOKUP(Requirements!I1273,Scope[[Role]:[Description]],2,FALSE)="In")</f>
        <v>1</v>
      </c>
      <c r="T1271" s="87">
        <f t="shared" si="79"/>
        <v>0</v>
      </c>
    </row>
    <row r="1272" spans="1:20">
      <c r="A1272" s="85" t="str">
        <f>Requirements!A1274</f>
        <v>MS-SMB_R4522</v>
      </c>
      <c r="B1272" s="87"/>
      <c r="C1272" s="87"/>
      <c r="D1272" s="87"/>
      <c r="E1272" s="87"/>
      <c r="F1272" s="87"/>
      <c r="G1272" s="87"/>
      <c r="H1272" s="87"/>
      <c r="I1272" s="87"/>
      <c r="J1272" s="87"/>
      <c r="K1272" s="87"/>
      <c r="L1272" s="87"/>
      <c r="M1272" s="87"/>
      <c r="N1272" s="87">
        <f t="shared" si="76"/>
        <v>0</v>
      </c>
      <c r="O1272" s="61">
        <f t="shared" si="77"/>
        <v>0</v>
      </c>
      <c r="P1272" s="61" t="b">
        <f t="shared" si="78"/>
        <v>1</v>
      </c>
      <c r="Q1272" s="87" t="b">
        <f>(Requirements!K1274="Normative")</f>
        <v>1</v>
      </c>
      <c r="R1272" s="87" t="b">
        <f>AND(Requirements!L1274&lt;&gt;"Non-testable",Requirements!L1274&lt;&gt;"Deleted",Requirements!L1274&lt;&gt;"")</f>
        <v>1</v>
      </c>
      <c r="S1272" s="87" t="b">
        <f>(VLOOKUP(Requirements!I1274,Scope[[Role]:[Description]],2,FALSE)="In")</f>
        <v>1</v>
      </c>
      <c r="T1272" s="87">
        <f t="shared" si="79"/>
        <v>0</v>
      </c>
    </row>
    <row r="1273" spans="1:20">
      <c r="A1273" s="85" t="str">
        <f>Requirements!A1275</f>
        <v>MS-SMB_R4523</v>
      </c>
      <c r="B1273" s="87"/>
      <c r="C1273" s="87"/>
      <c r="D1273" s="87"/>
      <c r="E1273" s="87"/>
      <c r="F1273" s="87"/>
      <c r="G1273" s="87"/>
      <c r="H1273" s="87"/>
      <c r="I1273" s="87"/>
      <c r="J1273" s="87"/>
      <c r="K1273" s="87"/>
      <c r="L1273" s="87"/>
      <c r="M1273" s="87"/>
      <c r="N1273" s="87">
        <f t="shared" si="76"/>
        <v>0</v>
      </c>
      <c r="O1273" s="61">
        <f t="shared" si="77"/>
        <v>0</v>
      </c>
      <c r="P1273" s="61" t="b">
        <f t="shared" si="78"/>
        <v>1</v>
      </c>
      <c r="Q1273" s="87" t="b">
        <f>(Requirements!K1275="Normative")</f>
        <v>1</v>
      </c>
      <c r="R1273" s="87" t="b">
        <f>AND(Requirements!L1275&lt;&gt;"Non-testable",Requirements!L1275&lt;&gt;"Deleted",Requirements!L1275&lt;&gt;"")</f>
        <v>1</v>
      </c>
      <c r="S1273" s="87" t="b">
        <f>(VLOOKUP(Requirements!I1275,Scope[[Role]:[Description]],2,FALSE)="In")</f>
        <v>1</v>
      </c>
      <c r="T1273" s="87">
        <f t="shared" si="79"/>
        <v>0</v>
      </c>
    </row>
    <row r="1274" spans="1:20">
      <c r="A1274" s="85" t="str">
        <f>Requirements!A1276</f>
        <v>MS-SMB_R8500</v>
      </c>
      <c r="B1274" s="87"/>
      <c r="C1274" s="87"/>
      <c r="D1274" s="87"/>
      <c r="E1274" s="87"/>
      <c r="F1274" s="87"/>
      <c r="G1274" s="87"/>
      <c r="H1274" s="87"/>
      <c r="I1274" s="87"/>
      <c r="J1274" s="87"/>
      <c r="K1274" s="87"/>
      <c r="L1274" s="87"/>
      <c r="M1274" s="87"/>
      <c r="N1274" s="87">
        <f t="shared" si="76"/>
        <v>0</v>
      </c>
      <c r="O1274" s="61">
        <f t="shared" si="77"/>
        <v>0</v>
      </c>
      <c r="P1274" s="61" t="b">
        <f t="shared" si="78"/>
        <v>1</v>
      </c>
      <c r="Q1274" s="87" t="b">
        <f>(Requirements!K1276="Normative")</f>
        <v>1</v>
      </c>
      <c r="R1274" s="87" t="b">
        <f>AND(Requirements!L1276&lt;&gt;"Non-testable",Requirements!L1276&lt;&gt;"Deleted",Requirements!L1276&lt;&gt;"")</f>
        <v>1</v>
      </c>
      <c r="S1274" s="87" t="b">
        <f>(VLOOKUP(Requirements!I1276,Scope[[Role]:[Description]],2,FALSE)="In")</f>
        <v>1</v>
      </c>
      <c r="T1274" s="87">
        <f t="shared" si="79"/>
        <v>0</v>
      </c>
    </row>
    <row r="1275" spans="1:20">
      <c r="A1275" s="85" t="str">
        <f>Requirements!A1277</f>
        <v>MS-SMB_R4527</v>
      </c>
      <c r="B1275" s="87"/>
      <c r="C1275" s="87"/>
      <c r="D1275" s="87"/>
      <c r="E1275" s="87"/>
      <c r="F1275" s="87"/>
      <c r="G1275" s="87"/>
      <c r="H1275" s="87"/>
      <c r="I1275" s="87"/>
      <c r="J1275" s="87"/>
      <c r="K1275" s="87"/>
      <c r="L1275" s="87"/>
      <c r="M1275" s="87"/>
      <c r="N1275" s="87">
        <f t="shared" si="76"/>
        <v>0</v>
      </c>
      <c r="O1275" s="61">
        <f t="shared" si="77"/>
        <v>0</v>
      </c>
      <c r="P1275" s="61" t="b">
        <f t="shared" si="78"/>
        <v>1</v>
      </c>
      <c r="Q1275" s="87" t="b">
        <f>(Requirements!K1277="Normative")</f>
        <v>1</v>
      </c>
      <c r="R1275" s="87" t="b">
        <f>AND(Requirements!L1277&lt;&gt;"Non-testable",Requirements!L1277&lt;&gt;"Deleted",Requirements!L1277&lt;&gt;"")</f>
        <v>1</v>
      </c>
      <c r="S1275" s="87" t="b">
        <f>(VLOOKUP(Requirements!I1277,Scope[[Role]:[Description]],2,FALSE)="In")</f>
        <v>1</v>
      </c>
      <c r="T1275" s="87">
        <f t="shared" si="79"/>
        <v>0</v>
      </c>
    </row>
    <row r="1276" spans="1:20">
      <c r="A1276" s="85" t="str">
        <f>Requirements!A1278</f>
        <v>MS-SMB_R4528</v>
      </c>
      <c r="B1276" s="87"/>
      <c r="C1276" s="87"/>
      <c r="D1276" s="87"/>
      <c r="E1276" s="87"/>
      <c r="F1276" s="87"/>
      <c r="G1276" s="87"/>
      <c r="H1276" s="87"/>
      <c r="I1276" s="87"/>
      <c r="J1276" s="87"/>
      <c r="K1276" s="87"/>
      <c r="L1276" s="87"/>
      <c r="M1276" s="87"/>
      <c r="N1276" s="87">
        <f t="shared" si="76"/>
        <v>0</v>
      </c>
      <c r="O1276" s="61">
        <f t="shared" si="77"/>
        <v>0</v>
      </c>
      <c r="P1276" s="61" t="b">
        <f t="shared" si="78"/>
        <v>1</v>
      </c>
      <c r="Q1276" s="87" t="b">
        <f>(Requirements!K1278="Normative")</f>
        <v>1</v>
      </c>
      <c r="R1276" s="87" t="b">
        <f>AND(Requirements!L1278&lt;&gt;"Non-testable",Requirements!L1278&lt;&gt;"Deleted",Requirements!L1278&lt;&gt;"")</f>
        <v>1</v>
      </c>
      <c r="S1276" s="87" t="b">
        <f>(VLOOKUP(Requirements!I1278,Scope[[Role]:[Description]],2,FALSE)="In")</f>
        <v>1</v>
      </c>
      <c r="T1276" s="87">
        <f t="shared" si="79"/>
        <v>0</v>
      </c>
    </row>
    <row r="1277" spans="1:20">
      <c r="A1277" s="85" t="str">
        <f>Requirements!A1279</f>
        <v>MS-SMB_R4529</v>
      </c>
      <c r="B1277" s="87"/>
      <c r="C1277" s="87"/>
      <c r="D1277" s="87"/>
      <c r="E1277" s="87"/>
      <c r="F1277" s="87"/>
      <c r="G1277" s="87"/>
      <c r="H1277" s="87"/>
      <c r="I1277" s="87"/>
      <c r="J1277" s="87"/>
      <c r="K1277" s="87"/>
      <c r="L1277" s="87"/>
      <c r="M1277" s="87"/>
      <c r="N1277" s="87">
        <f t="shared" si="76"/>
        <v>0</v>
      </c>
      <c r="O1277" s="61">
        <f t="shared" si="77"/>
        <v>0</v>
      </c>
      <c r="P1277" s="61" t="b">
        <f t="shared" si="78"/>
        <v>1</v>
      </c>
      <c r="Q1277" s="87" t="b">
        <f>(Requirements!K1279="Normative")</f>
        <v>1</v>
      </c>
      <c r="R1277" s="87" t="b">
        <f>AND(Requirements!L1279&lt;&gt;"Non-testable",Requirements!L1279&lt;&gt;"Deleted",Requirements!L1279&lt;&gt;"")</f>
        <v>1</v>
      </c>
      <c r="S1277" s="87" t="b">
        <f>(VLOOKUP(Requirements!I1279,Scope[[Role]:[Description]],2,FALSE)="In")</f>
        <v>1</v>
      </c>
      <c r="T1277" s="87">
        <f t="shared" si="79"/>
        <v>0</v>
      </c>
    </row>
    <row r="1278" spans="1:20">
      <c r="A1278" s="85" t="str">
        <f>Requirements!A1280</f>
        <v>MS-SMB_R4530</v>
      </c>
      <c r="B1278" s="87"/>
      <c r="C1278" s="87"/>
      <c r="D1278" s="87"/>
      <c r="E1278" s="87"/>
      <c r="F1278" s="87"/>
      <c r="G1278" s="87"/>
      <c r="H1278" s="87"/>
      <c r="I1278" s="87"/>
      <c r="J1278" s="87"/>
      <c r="K1278" s="87"/>
      <c r="L1278" s="87"/>
      <c r="M1278" s="87"/>
      <c r="N1278" s="87">
        <f t="shared" si="76"/>
        <v>0</v>
      </c>
      <c r="O1278" s="61">
        <f t="shared" si="77"/>
        <v>0</v>
      </c>
      <c r="P1278" s="61" t="b">
        <f t="shared" si="78"/>
        <v>1</v>
      </c>
      <c r="Q1278" s="87" t="b">
        <f>(Requirements!K1280="Normative")</f>
        <v>1</v>
      </c>
      <c r="R1278" s="87" t="b">
        <f>AND(Requirements!L1280&lt;&gt;"Non-testable",Requirements!L1280&lt;&gt;"Deleted",Requirements!L1280&lt;&gt;"")</f>
        <v>1</v>
      </c>
      <c r="S1278" s="87" t="b">
        <f>(VLOOKUP(Requirements!I1280,Scope[[Role]:[Description]],2,FALSE)="In")</f>
        <v>1</v>
      </c>
      <c r="T1278" s="87">
        <f t="shared" si="79"/>
        <v>0</v>
      </c>
    </row>
    <row r="1279" spans="1:20">
      <c r="A1279" s="44" t="str">
        <f>Requirements!A1281</f>
        <v>MS-SMB_R4531</v>
      </c>
      <c r="B1279" s="87"/>
      <c r="C1279" s="87"/>
      <c r="D1279" s="87"/>
      <c r="E1279" s="87"/>
      <c r="F1279" s="87"/>
      <c r="G1279" s="87"/>
      <c r="H1279" s="87"/>
      <c r="I1279" s="87"/>
      <c r="J1279" s="87"/>
      <c r="K1279" s="87"/>
      <c r="L1279" s="87"/>
      <c r="M1279" s="87"/>
      <c r="N1279" s="87">
        <f t="shared" si="76"/>
        <v>0</v>
      </c>
      <c r="O1279" s="87">
        <f t="shared" si="77"/>
        <v>0</v>
      </c>
      <c r="P1279" s="87" t="b">
        <f t="shared" si="78"/>
        <v>0</v>
      </c>
      <c r="Q1279" s="87" t="b">
        <f>(Requirements!K1281="Normative")</f>
        <v>0</v>
      </c>
      <c r="R1279" s="87" t="b">
        <f>AND(Requirements!L1281&lt;&gt;"Non-testable",Requirements!L1281&lt;&gt;"Deleted",Requirements!L1281&lt;&gt;"")</f>
        <v>1</v>
      </c>
      <c r="S1279" s="87" t="b">
        <f>(VLOOKUP(Requirements!I1281,Scope[[Role]:[Description]],2,FALSE)="In")</f>
        <v>1</v>
      </c>
      <c r="T1279" s="87">
        <f t="shared" si="79"/>
        <v>0</v>
      </c>
    </row>
    <row r="1280" spans="1:20">
      <c r="A1280" s="85" t="str">
        <f>Requirements!A1282</f>
        <v>MS-SMB_R4532</v>
      </c>
      <c r="B1280" s="87"/>
      <c r="C1280" s="87"/>
      <c r="D1280" s="87"/>
      <c r="E1280" s="87"/>
      <c r="F1280" s="87"/>
      <c r="G1280" s="87"/>
      <c r="H1280" s="87"/>
      <c r="I1280" s="87"/>
      <c r="J1280" s="87"/>
      <c r="K1280" s="87"/>
      <c r="L1280" s="87"/>
      <c r="M1280" s="87"/>
      <c r="N1280" s="87">
        <f t="shared" si="76"/>
        <v>0</v>
      </c>
      <c r="O1280" s="61">
        <f t="shared" si="77"/>
        <v>0</v>
      </c>
      <c r="P1280" s="61" t="b">
        <f t="shared" si="78"/>
        <v>1</v>
      </c>
      <c r="Q1280" s="87" t="b">
        <f>(Requirements!K1282="Normative")</f>
        <v>1</v>
      </c>
      <c r="R1280" s="87" t="b">
        <f>AND(Requirements!L1282&lt;&gt;"Non-testable",Requirements!L1282&lt;&gt;"Deleted",Requirements!L1282&lt;&gt;"")</f>
        <v>1</v>
      </c>
      <c r="S1280" s="87" t="b">
        <f>(VLOOKUP(Requirements!I1282,Scope[[Role]:[Description]],2,FALSE)="In")</f>
        <v>1</v>
      </c>
      <c r="T1280" s="87">
        <f t="shared" si="79"/>
        <v>0</v>
      </c>
    </row>
    <row r="1281" spans="1:20">
      <c r="A1281" s="85" t="str">
        <f>Requirements!A1283</f>
        <v>MS-SMB_R4533</v>
      </c>
      <c r="B1281" s="87"/>
      <c r="C1281" s="87"/>
      <c r="D1281" s="87"/>
      <c r="E1281" s="87"/>
      <c r="F1281" s="87"/>
      <c r="G1281" s="87"/>
      <c r="H1281" s="87"/>
      <c r="I1281" s="87"/>
      <c r="J1281" s="87"/>
      <c r="K1281" s="87"/>
      <c r="L1281" s="87"/>
      <c r="M1281" s="87"/>
      <c r="N1281" s="87">
        <f t="shared" si="76"/>
        <v>0</v>
      </c>
      <c r="O1281" s="61">
        <f t="shared" si="77"/>
        <v>0</v>
      </c>
      <c r="P1281" s="61" t="b">
        <f t="shared" si="78"/>
        <v>1</v>
      </c>
      <c r="Q1281" s="87" t="b">
        <f>(Requirements!K1283="Normative")</f>
        <v>1</v>
      </c>
      <c r="R1281" s="87" t="b">
        <f>AND(Requirements!L1283&lt;&gt;"Non-testable",Requirements!L1283&lt;&gt;"Deleted",Requirements!L1283&lt;&gt;"")</f>
        <v>1</v>
      </c>
      <c r="S1281" s="87" t="b">
        <f>(VLOOKUP(Requirements!I1283,Scope[[Role]:[Description]],2,FALSE)="In")</f>
        <v>1</v>
      </c>
      <c r="T1281" s="87">
        <f t="shared" si="79"/>
        <v>0</v>
      </c>
    </row>
    <row r="1282" spans="1:20">
      <c r="A1282" s="85" t="str">
        <f>Requirements!A1284</f>
        <v>MS-SMB_R4534</v>
      </c>
      <c r="B1282" s="87"/>
      <c r="C1282" s="87"/>
      <c r="D1282" s="87"/>
      <c r="E1282" s="87"/>
      <c r="F1282" s="87"/>
      <c r="G1282" s="87"/>
      <c r="H1282" s="87"/>
      <c r="I1282" s="87"/>
      <c r="J1282" s="87"/>
      <c r="K1282" s="87"/>
      <c r="L1282" s="87"/>
      <c r="M1282" s="87"/>
      <c r="N1282" s="87">
        <f t="shared" si="76"/>
        <v>0</v>
      </c>
      <c r="O1282" s="61">
        <f t="shared" si="77"/>
        <v>0</v>
      </c>
      <c r="P1282" s="61" t="b">
        <f t="shared" si="78"/>
        <v>1</v>
      </c>
      <c r="Q1282" s="87" t="b">
        <f>(Requirements!K1284="Normative")</f>
        <v>1</v>
      </c>
      <c r="R1282" s="87" t="b">
        <f>AND(Requirements!L1284&lt;&gt;"Non-testable",Requirements!L1284&lt;&gt;"Deleted",Requirements!L1284&lt;&gt;"")</f>
        <v>1</v>
      </c>
      <c r="S1282" s="87" t="b">
        <f>(VLOOKUP(Requirements!I1284,Scope[[Role]:[Description]],2,FALSE)="In")</f>
        <v>1</v>
      </c>
      <c r="T1282" s="87">
        <f t="shared" si="79"/>
        <v>0</v>
      </c>
    </row>
    <row r="1283" spans="1:20">
      <c r="A1283" s="85" t="str">
        <f>Requirements!A1285</f>
        <v>MS-SMB_R4535</v>
      </c>
      <c r="B1283" s="87"/>
      <c r="C1283" s="87"/>
      <c r="D1283" s="87"/>
      <c r="E1283" s="87"/>
      <c r="F1283" s="87"/>
      <c r="G1283" s="87"/>
      <c r="H1283" s="87"/>
      <c r="I1283" s="87"/>
      <c r="J1283" s="87"/>
      <c r="K1283" s="87"/>
      <c r="L1283" s="87"/>
      <c r="M1283" s="87"/>
      <c r="N1283" s="87">
        <f t="shared" si="76"/>
        <v>0</v>
      </c>
      <c r="O1283" s="61">
        <f t="shared" si="77"/>
        <v>0</v>
      </c>
      <c r="P1283" s="61" t="b">
        <f t="shared" si="78"/>
        <v>1</v>
      </c>
      <c r="Q1283" s="87" t="b">
        <f>(Requirements!K1285="Normative")</f>
        <v>1</v>
      </c>
      <c r="R1283" s="87" t="b">
        <f>AND(Requirements!L1285&lt;&gt;"Non-testable",Requirements!L1285&lt;&gt;"Deleted",Requirements!L1285&lt;&gt;"")</f>
        <v>1</v>
      </c>
      <c r="S1283" s="87" t="b">
        <f>(VLOOKUP(Requirements!I1285,Scope[[Role]:[Description]],2,FALSE)="In")</f>
        <v>1</v>
      </c>
      <c r="T1283" s="87">
        <f t="shared" si="79"/>
        <v>0</v>
      </c>
    </row>
    <row r="1284" spans="1:20">
      <c r="A1284" s="85" t="str">
        <f>Requirements!A1286</f>
        <v>MS-SMB_R4537</v>
      </c>
      <c r="B1284" s="87"/>
      <c r="C1284" s="87"/>
      <c r="D1284" s="87"/>
      <c r="E1284" s="87"/>
      <c r="F1284" s="87"/>
      <c r="G1284" s="87"/>
      <c r="H1284" s="87"/>
      <c r="I1284" s="87"/>
      <c r="J1284" s="87"/>
      <c r="K1284" s="87"/>
      <c r="L1284" s="87"/>
      <c r="M1284" s="87"/>
      <c r="N1284" s="87">
        <f t="shared" si="76"/>
        <v>0</v>
      </c>
      <c r="O1284" s="61">
        <f t="shared" si="77"/>
        <v>0</v>
      </c>
      <c r="P1284" s="61" t="b">
        <f t="shared" si="78"/>
        <v>1</v>
      </c>
      <c r="Q1284" s="87" t="b">
        <f>(Requirements!K1286="Normative")</f>
        <v>1</v>
      </c>
      <c r="R1284" s="87" t="b">
        <f>AND(Requirements!L1286&lt;&gt;"Non-testable",Requirements!L1286&lt;&gt;"Deleted",Requirements!L1286&lt;&gt;"")</f>
        <v>1</v>
      </c>
      <c r="S1284" s="87" t="b">
        <f>(VLOOKUP(Requirements!I1286,Scope[[Role]:[Description]],2,FALSE)="In")</f>
        <v>1</v>
      </c>
      <c r="T1284" s="87">
        <f t="shared" si="79"/>
        <v>0</v>
      </c>
    </row>
    <row r="1285" spans="1:20">
      <c r="A1285" s="44" t="str">
        <f>Requirements!A1287</f>
        <v>MS-SMB_R8501</v>
      </c>
      <c r="B1285" s="87"/>
      <c r="C1285" s="87"/>
      <c r="D1285" s="87"/>
      <c r="E1285" s="87"/>
      <c r="F1285" s="87"/>
      <c r="G1285" s="87"/>
      <c r="H1285" s="87"/>
      <c r="I1285" s="87"/>
      <c r="J1285" s="87"/>
      <c r="K1285" s="87"/>
      <c r="L1285" s="87"/>
      <c r="M1285" s="87"/>
      <c r="N1285" s="87">
        <f t="shared" si="76"/>
        <v>0</v>
      </c>
      <c r="O1285" s="87">
        <f t="shared" si="77"/>
        <v>0</v>
      </c>
      <c r="P1285" s="87" t="b">
        <f t="shared" si="78"/>
        <v>0</v>
      </c>
      <c r="Q1285" s="87" t="b">
        <f>(Requirements!K1287="Normative")</f>
        <v>0</v>
      </c>
      <c r="R1285" s="87" t="b">
        <f>AND(Requirements!L1287&lt;&gt;"Non-testable",Requirements!L1287&lt;&gt;"Deleted",Requirements!L1287&lt;&gt;"")</f>
        <v>1</v>
      </c>
      <c r="S1285" s="87" t="b">
        <f>(VLOOKUP(Requirements!I1287,Scope[[Role]:[Description]],2,FALSE)="In")</f>
        <v>1</v>
      </c>
      <c r="T1285" s="87">
        <f t="shared" si="79"/>
        <v>0</v>
      </c>
    </row>
    <row r="1286" spans="1:20">
      <c r="A1286" s="85" t="str">
        <f>Requirements!A1288</f>
        <v>MS-SMB_R4538</v>
      </c>
      <c r="B1286" s="87"/>
      <c r="C1286" s="87"/>
      <c r="D1286" s="87"/>
      <c r="E1286" s="87"/>
      <c r="F1286" s="87"/>
      <c r="G1286" s="87"/>
      <c r="H1286" s="87"/>
      <c r="I1286" s="87"/>
      <c r="J1286" s="87"/>
      <c r="K1286" s="87"/>
      <c r="L1286" s="87"/>
      <c r="M1286" s="87"/>
      <c r="N1286" s="87">
        <f t="shared" si="76"/>
        <v>0</v>
      </c>
      <c r="O1286" s="61">
        <f t="shared" si="77"/>
        <v>0</v>
      </c>
      <c r="P1286" s="61" t="b">
        <f t="shared" si="78"/>
        <v>1</v>
      </c>
      <c r="Q1286" s="87" t="b">
        <f>(Requirements!K1288="Normative")</f>
        <v>1</v>
      </c>
      <c r="R1286" s="87" t="b">
        <f>AND(Requirements!L1288&lt;&gt;"Non-testable",Requirements!L1288&lt;&gt;"Deleted",Requirements!L1288&lt;&gt;"")</f>
        <v>1</v>
      </c>
      <c r="S1286" s="87" t="b">
        <f>(VLOOKUP(Requirements!I1288,Scope[[Role]:[Description]],2,FALSE)="In")</f>
        <v>1</v>
      </c>
      <c r="T1286" s="87">
        <f t="shared" si="79"/>
        <v>0</v>
      </c>
    </row>
    <row r="1287" spans="1:20">
      <c r="A1287" s="85" t="str">
        <f>Requirements!A1289</f>
        <v>MS-SMB_R8502</v>
      </c>
      <c r="B1287" s="87"/>
      <c r="C1287" s="87"/>
      <c r="D1287" s="87"/>
      <c r="E1287" s="87"/>
      <c r="F1287" s="87"/>
      <c r="G1287" s="87"/>
      <c r="H1287" s="87"/>
      <c r="I1287" s="87"/>
      <c r="J1287" s="87"/>
      <c r="K1287" s="87"/>
      <c r="L1287" s="87"/>
      <c r="M1287" s="87"/>
      <c r="N1287" s="87">
        <f t="shared" si="76"/>
        <v>0</v>
      </c>
      <c r="O1287" s="61">
        <f t="shared" si="77"/>
        <v>0</v>
      </c>
      <c r="P1287" s="61" t="b">
        <f t="shared" si="78"/>
        <v>1</v>
      </c>
      <c r="Q1287" s="87" t="b">
        <f>(Requirements!K1289="Normative")</f>
        <v>1</v>
      </c>
      <c r="R1287" s="87" t="b">
        <f>AND(Requirements!L1289&lt;&gt;"Non-testable",Requirements!L1289&lt;&gt;"Deleted",Requirements!L1289&lt;&gt;"")</f>
        <v>1</v>
      </c>
      <c r="S1287" s="87" t="b">
        <f>(VLOOKUP(Requirements!I1289,Scope[[Role]:[Description]],2,FALSE)="In")</f>
        <v>1</v>
      </c>
      <c r="T1287" s="87">
        <f t="shared" si="79"/>
        <v>0</v>
      </c>
    </row>
    <row r="1288" spans="1:20">
      <c r="A1288" s="85" t="str">
        <f>Requirements!A1290</f>
        <v>MS-SMB_R4539</v>
      </c>
      <c r="B1288" s="87"/>
      <c r="C1288" s="87"/>
      <c r="D1288" s="87"/>
      <c r="E1288" s="87"/>
      <c r="F1288" s="87"/>
      <c r="G1288" s="87"/>
      <c r="H1288" s="87"/>
      <c r="I1288" s="87"/>
      <c r="J1288" s="87"/>
      <c r="K1288" s="87"/>
      <c r="L1288" s="87"/>
      <c r="M1288" s="87"/>
      <c r="N1288" s="87">
        <f t="shared" si="76"/>
        <v>0</v>
      </c>
      <c r="O1288" s="61">
        <f t="shared" si="77"/>
        <v>0</v>
      </c>
      <c r="P1288" s="61" t="b">
        <f t="shared" si="78"/>
        <v>1</v>
      </c>
      <c r="Q1288" s="87" t="b">
        <f>(Requirements!K1290="Normative")</f>
        <v>1</v>
      </c>
      <c r="R1288" s="87" t="b">
        <f>AND(Requirements!L1290&lt;&gt;"Non-testable",Requirements!L1290&lt;&gt;"Deleted",Requirements!L1290&lt;&gt;"")</f>
        <v>1</v>
      </c>
      <c r="S1288" s="87" t="b">
        <f>(VLOOKUP(Requirements!I1290,Scope[[Role]:[Description]],2,FALSE)="In")</f>
        <v>1</v>
      </c>
      <c r="T1288" s="87">
        <f t="shared" si="79"/>
        <v>0</v>
      </c>
    </row>
    <row r="1289" spans="1:20">
      <c r="A1289" s="85" t="str">
        <f>Requirements!A1291</f>
        <v>MS-SMB_R4540</v>
      </c>
      <c r="B1289" s="87"/>
      <c r="C1289" s="87"/>
      <c r="D1289" s="87"/>
      <c r="E1289" s="87"/>
      <c r="F1289" s="87"/>
      <c r="G1289" s="87"/>
      <c r="H1289" s="87"/>
      <c r="I1289" s="87"/>
      <c r="J1289" s="87"/>
      <c r="K1289" s="87"/>
      <c r="L1289" s="87"/>
      <c r="M1289" s="87"/>
      <c r="N1289" s="87">
        <f t="shared" si="76"/>
        <v>0</v>
      </c>
      <c r="O1289" s="61">
        <f t="shared" si="77"/>
        <v>0</v>
      </c>
      <c r="P1289" s="61" t="b">
        <f t="shared" si="78"/>
        <v>1</v>
      </c>
      <c r="Q1289" s="87" t="b">
        <f>(Requirements!K1291="Normative")</f>
        <v>1</v>
      </c>
      <c r="R1289" s="87" t="b">
        <f>AND(Requirements!L1291&lt;&gt;"Non-testable",Requirements!L1291&lt;&gt;"Deleted",Requirements!L1291&lt;&gt;"")</f>
        <v>1</v>
      </c>
      <c r="S1289" s="87" t="b">
        <f>(VLOOKUP(Requirements!I1291,Scope[[Role]:[Description]],2,FALSE)="In")</f>
        <v>1</v>
      </c>
      <c r="T1289" s="87">
        <f t="shared" si="79"/>
        <v>0</v>
      </c>
    </row>
    <row r="1290" spans="1:20">
      <c r="A1290" s="85" t="str">
        <f>Requirements!A1292</f>
        <v>MS-SMB_R4541</v>
      </c>
      <c r="B1290" s="87"/>
      <c r="C1290" s="87"/>
      <c r="D1290" s="87"/>
      <c r="E1290" s="87"/>
      <c r="F1290" s="87"/>
      <c r="G1290" s="87"/>
      <c r="H1290" s="87"/>
      <c r="I1290" s="87"/>
      <c r="J1290" s="87"/>
      <c r="K1290" s="87"/>
      <c r="L1290" s="87"/>
      <c r="M1290" s="87"/>
      <c r="N1290" s="87">
        <f t="shared" si="76"/>
        <v>0</v>
      </c>
      <c r="O1290" s="61">
        <f t="shared" si="77"/>
        <v>0</v>
      </c>
      <c r="P1290" s="61" t="b">
        <f t="shared" si="78"/>
        <v>1</v>
      </c>
      <c r="Q1290" s="87" t="b">
        <f>(Requirements!K1292="Normative")</f>
        <v>1</v>
      </c>
      <c r="R1290" s="87" t="b">
        <f>AND(Requirements!L1292&lt;&gt;"Non-testable",Requirements!L1292&lt;&gt;"Deleted",Requirements!L1292&lt;&gt;"")</f>
        <v>1</v>
      </c>
      <c r="S1290" s="87" t="b">
        <f>(VLOOKUP(Requirements!I1292,Scope[[Role]:[Description]],2,FALSE)="In")</f>
        <v>1</v>
      </c>
      <c r="T1290" s="87">
        <f t="shared" si="79"/>
        <v>0</v>
      </c>
    </row>
    <row r="1291" spans="1:20">
      <c r="A1291" s="85" t="str">
        <f>Requirements!A1293</f>
        <v>MS-SMB_R4542</v>
      </c>
      <c r="B1291" s="87"/>
      <c r="C1291" s="87"/>
      <c r="D1291" s="87"/>
      <c r="E1291" s="87"/>
      <c r="F1291" s="87"/>
      <c r="G1291" s="87"/>
      <c r="H1291" s="87"/>
      <c r="I1291" s="87"/>
      <c r="J1291" s="87"/>
      <c r="K1291" s="87"/>
      <c r="L1291" s="87"/>
      <c r="M1291" s="87"/>
      <c r="N1291" s="87">
        <f t="shared" si="76"/>
        <v>0</v>
      </c>
      <c r="O1291" s="61">
        <f t="shared" si="77"/>
        <v>0</v>
      </c>
      <c r="P1291" s="61" t="b">
        <f t="shared" si="78"/>
        <v>1</v>
      </c>
      <c r="Q1291" s="87" t="b">
        <f>(Requirements!K1293="Normative")</f>
        <v>1</v>
      </c>
      <c r="R1291" s="87" t="b">
        <f>AND(Requirements!L1293&lt;&gt;"Non-testable",Requirements!L1293&lt;&gt;"Deleted",Requirements!L1293&lt;&gt;"")</f>
        <v>1</v>
      </c>
      <c r="S1291" s="87" t="b">
        <f>(VLOOKUP(Requirements!I1293,Scope[[Role]:[Description]],2,FALSE)="In")</f>
        <v>1</v>
      </c>
      <c r="T1291" s="87">
        <f t="shared" si="79"/>
        <v>0</v>
      </c>
    </row>
    <row r="1292" spans="1:20">
      <c r="A1292" s="85" t="str">
        <f>Requirements!A1294</f>
        <v>MS-SMB_R4543</v>
      </c>
      <c r="B1292" s="87"/>
      <c r="C1292" s="87"/>
      <c r="D1292" s="87"/>
      <c r="E1292" s="87"/>
      <c r="F1292" s="87"/>
      <c r="G1292" s="87"/>
      <c r="H1292" s="87"/>
      <c r="I1292" s="87"/>
      <c r="J1292" s="87"/>
      <c r="K1292" s="87"/>
      <c r="L1292" s="87"/>
      <c r="M1292" s="87"/>
      <c r="N1292" s="87">
        <f t="shared" si="76"/>
        <v>0</v>
      </c>
      <c r="O1292" s="61">
        <f t="shared" si="77"/>
        <v>0</v>
      </c>
      <c r="P1292" s="61" t="b">
        <f t="shared" si="78"/>
        <v>1</v>
      </c>
      <c r="Q1292" s="87" t="b">
        <f>(Requirements!K1294="Normative")</f>
        <v>1</v>
      </c>
      <c r="R1292" s="87" t="b">
        <f>AND(Requirements!L1294&lt;&gt;"Non-testable",Requirements!L1294&lt;&gt;"Deleted",Requirements!L1294&lt;&gt;"")</f>
        <v>1</v>
      </c>
      <c r="S1292" s="87" t="b">
        <f>(VLOOKUP(Requirements!I1294,Scope[[Role]:[Description]],2,FALSE)="In")</f>
        <v>1</v>
      </c>
      <c r="T1292" s="87">
        <f t="shared" si="79"/>
        <v>0</v>
      </c>
    </row>
    <row r="1293" spans="1:20">
      <c r="A1293" s="44" t="str">
        <f>Requirements!A1295</f>
        <v>MS-SMB_R4544</v>
      </c>
      <c r="B1293" s="87"/>
      <c r="C1293" s="87"/>
      <c r="D1293" s="87"/>
      <c r="E1293" s="87"/>
      <c r="F1293" s="87"/>
      <c r="G1293" s="87"/>
      <c r="H1293" s="87"/>
      <c r="I1293" s="87"/>
      <c r="J1293" s="87"/>
      <c r="K1293" s="87"/>
      <c r="L1293" s="87"/>
      <c r="M1293" s="87"/>
      <c r="N1293" s="87">
        <f t="shared" si="76"/>
        <v>0</v>
      </c>
      <c r="O1293" s="87">
        <f t="shared" si="77"/>
        <v>0</v>
      </c>
      <c r="P1293" s="87" t="b">
        <f t="shared" si="78"/>
        <v>0</v>
      </c>
      <c r="Q1293" s="87" t="b">
        <f>(Requirements!K1295="Normative")</f>
        <v>0</v>
      </c>
      <c r="R1293" s="87" t="b">
        <f>AND(Requirements!L1295&lt;&gt;"Non-testable",Requirements!L1295&lt;&gt;"Deleted",Requirements!L1295&lt;&gt;"")</f>
        <v>1</v>
      </c>
      <c r="S1293" s="87" t="b">
        <f>(VLOOKUP(Requirements!I1295,Scope[[Role]:[Description]],2,FALSE)="In")</f>
        <v>1</v>
      </c>
      <c r="T1293" s="87">
        <f t="shared" si="79"/>
        <v>0</v>
      </c>
    </row>
    <row r="1294" spans="1:20">
      <c r="A1294" s="85" t="str">
        <f>Requirements!A1296</f>
        <v>MS-SMB_R4545</v>
      </c>
      <c r="B1294" s="87"/>
      <c r="C1294" s="87"/>
      <c r="D1294" s="87"/>
      <c r="E1294" s="87"/>
      <c r="F1294" s="87"/>
      <c r="G1294" s="87"/>
      <c r="H1294" s="87"/>
      <c r="I1294" s="87"/>
      <c r="J1294" s="87"/>
      <c r="K1294" s="87"/>
      <c r="L1294" s="87"/>
      <c r="M1294" s="87"/>
      <c r="N1294" s="87">
        <f t="shared" si="76"/>
        <v>0</v>
      </c>
      <c r="O1294" s="61">
        <f t="shared" si="77"/>
        <v>0</v>
      </c>
      <c r="P1294" s="61" t="b">
        <f t="shared" si="78"/>
        <v>1</v>
      </c>
      <c r="Q1294" s="87" t="b">
        <f>(Requirements!K1296="Normative")</f>
        <v>1</v>
      </c>
      <c r="R1294" s="87" t="b">
        <f>AND(Requirements!L1296&lt;&gt;"Non-testable",Requirements!L1296&lt;&gt;"Deleted",Requirements!L1296&lt;&gt;"")</f>
        <v>1</v>
      </c>
      <c r="S1294" s="87" t="b">
        <f>(VLOOKUP(Requirements!I1296,Scope[[Role]:[Description]],2,FALSE)="In")</f>
        <v>1</v>
      </c>
      <c r="T1294" s="87">
        <f t="shared" si="79"/>
        <v>0</v>
      </c>
    </row>
    <row r="1295" spans="1:20">
      <c r="A1295" s="85" t="str">
        <f>Requirements!A1297</f>
        <v>MS-SMB_R4546</v>
      </c>
      <c r="B1295" s="87"/>
      <c r="C1295" s="87"/>
      <c r="D1295" s="87"/>
      <c r="E1295" s="87"/>
      <c r="F1295" s="87"/>
      <c r="G1295" s="87"/>
      <c r="H1295" s="87"/>
      <c r="I1295" s="87"/>
      <c r="J1295" s="87"/>
      <c r="K1295" s="87"/>
      <c r="L1295" s="87"/>
      <c r="M1295" s="87"/>
      <c r="N1295" s="87">
        <f t="shared" si="76"/>
        <v>0</v>
      </c>
      <c r="O1295" s="61">
        <f t="shared" si="77"/>
        <v>0</v>
      </c>
      <c r="P1295" s="61" t="b">
        <f t="shared" si="78"/>
        <v>1</v>
      </c>
      <c r="Q1295" s="87" t="b">
        <f>(Requirements!K1297="Normative")</f>
        <v>1</v>
      </c>
      <c r="R1295" s="87" t="b">
        <f>AND(Requirements!L1297&lt;&gt;"Non-testable",Requirements!L1297&lt;&gt;"Deleted",Requirements!L1297&lt;&gt;"")</f>
        <v>1</v>
      </c>
      <c r="S1295" s="87" t="b">
        <f>(VLOOKUP(Requirements!I1297,Scope[[Role]:[Description]],2,FALSE)="In")</f>
        <v>1</v>
      </c>
      <c r="T1295" s="87">
        <f t="shared" si="79"/>
        <v>0</v>
      </c>
    </row>
    <row r="1296" spans="1:20">
      <c r="A1296" s="85" t="str">
        <f>Requirements!A1298</f>
        <v>MS-SMB_R4552</v>
      </c>
      <c r="B1296" s="87"/>
      <c r="C1296" s="87"/>
      <c r="D1296" s="87"/>
      <c r="E1296" s="87"/>
      <c r="F1296" s="87"/>
      <c r="G1296" s="87"/>
      <c r="H1296" s="87"/>
      <c r="I1296" s="87"/>
      <c r="J1296" s="87"/>
      <c r="K1296" s="87"/>
      <c r="L1296" s="87"/>
      <c r="M1296" s="87"/>
      <c r="N1296" s="87">
        <f t="shared" si="76"/>
        <v>0</v>
      </c>
      <c r="O1296" s="61">
        <f t="shared" si="77"/>
        <v>0</v>
      </c>
      <c r="P1296" s="61" t="b">
        <f t="shared" si="78"/>
        <v>1</v>
      </c>
      <c r="Q1296" s="87" t="b">
        <f>(Requirements!K1298="Normative")</f>
        <v>1</v>
      </c>
      <c r="R1296" s="87" t="b">
        <f>AND(Requirements!L1298&lt;&gt;"Non-testable",Requirements!L1298&lt;&gt;"Deleted",Requirements!L1298&lt;&gt;"")</f>
        <v>1</v>
      </c>
      <c r="S1296" s="87" t="b">
        <f>(VLOOKUP(Requirements!I1298,Scope[[Role]:[Description]],2,FALSE)="In")</f>
        <v>1</v>
      </c>
      <c r="T1296" s="87">
        <f t="shared" si="79"/>
        <v>0</v>
      </c>
    </row>
    <row r="1297" spans="1:20">
      <c r="A1297" s="85" t="str">
        <f>Requirements!A1299</f>
        <v>MS-SMB_R8503</v>
      </c>
      <c r="B1297" s="87"/>
      <c r="C1297" s="87"/>
      <c r="D1297" s="87"/>
      <c r="E1297" s="87"/>
      <c r="F1297" s="87"/>
      <c r="G1297" s="87"/>
      <c r="H1297" s="87"/>
      <c r="I1297" s="87"/>
      <c r="J1297" s="87"/>
      <c r="K1297" s="87"/>
      <c r="L1297" s="87"/>
      <c r="M1297" s="87"/>
      <c r="N1297" s="87">
        <f t="shared" si="76"/>
        <v>0</v>
      </c>
      <c r="O1297" s="61">
        <f t="shared" si="77"/>
        <v>0</v>
      </c>
      <c r="P1297" s="61" t="b">
        <f t="shared" si="78"/>
        <v>1</v>
      </c>
      <c r="Q1297" s="87" t="b">
        <f>(Requirements!K1299="Normative")</f>
        <v>1</v>
      </c>
      <c r="R1297" s="87" t="b">
        <f>AND(Requirements!L1299&lt;&gt;"Non-testable",Requirements!L1299&lt;&gt;"Deleted",Requirements!L1299&lt;&gt;"")</f>
        <v>1</v>
      </c>
      <c r="S1297" s="87" t="b">
        <f>(VLOOKUP(Requirements!I1299,Scope[[Role]:[Description]],2,FALSE)="In")</f>
        <v>1</v>
      </c>
      <c r="T1297" s="87">
        <f t="shared" si="79"/>
        <v>0</v>
      </c>
    </row>
    <row r="1298" spans="1:20">
      <c r="A1298" s="44" t="str">
        <f>Requirements!A1300</f>
        <v>MS-SMB_R8504</v>
      </c>
      <c r="B1298" s="87"/>
      <c r="C1298" s="87"/>
      <c r="D1298" s="87"/>
      <c r="E1298" s="87"/>
      <c r="F1298" s="87"/>
      <c r="G1298" s="87"/>
      <c r="H1298" s="87"/>
      <c r="I1298" s="87"/>
      <c r="J1298" s="87"/>
      <c r="K1298" s="87"/>
      <c r="L1298" s="87"/>
      <c r="M1298" s="87"/>
      <c r="N1298" s="87">
        <f t="shared" si="76"/>
        <v>0</v>
      </c>
      <c r="O1298" s="87">
        <f t="shared" si="77"/>
        <v>0</v>
      </c>
      <c r="P1298" s="87" t="b">
        <f t="shared" si="78"/>
        <v>0</v>
      </c>
      <c r="Q1298" s="87" t="b">
        <f>(Requirements!K1300="Normative")</f>
        <v>1</v>
      </c>
      <c r="R1298" s="87" t="b">
        <f>AND(Requirements!L1300&lt;&gt;"Non-testable",Requirements!L1300&lt;&gt;"Deleted",Requirements!L1300&lt;&gt;"")</f>
        <v>0</v>
      </c>
      <c r="S1298" s="87" t="b">
        <f>(VLOOKUP(Requirements!I1300,Scope[[Role]:[Description]],2,FALSE)="In")</f>
        <v>1</v>
      </c>
      <c r="T1298" s="87">
        <f t="shared" si="79"/>
        <v>0</v>
      </c>
    </row>
    <row r="1299" spans="1:20">
      <c r="A1299" s="84" t="str">
        <f>Requirements!A1301</f>
        <v>MS-SMB_R8505</v>
      </c>
      <c r="B1299" s="87"/>
      <c r="C1299" s="87"/>
      <c r="D1299" s="87"/>
      <c r="E1299" s="87"/>
      <c r="F1299" s="87"/>
      <c r="G1299" s="87"/>
      <c r="H1299" s="87"/>
      <c r="I1299" s="87"/>
      <c r="J1299" s="87">
        <v>1</v>
      </c>
      <c r="K1299" s="87"/>
      <c r="L1299" s="87"/>
      <c r="M1299" s="87"/>
      <c r="N1299" s="87">
        <f t="shared" si="76"/>
        <v>1</v>
      </c>
      <c r="O1299" s="60">
        <f t="shared" si="77"/>
        <v>1</v>
      </c>
      <c r="P1299" s="60" t="b">
        <f t="shared" si="78"/>
        <v>1</v>
      </c>
      <c r="Q1299" s="87" t="b">
        <f>(Requirements!K1301="Normative")</f>
        <v>1</v>
      </c>
      <c r="R1299" s="87" t="b">
        <f>AND(Requirements!L1301&lt;&gt;"Non-testable",Requirements!L1301&lt;&gt;"Deleted",Requirements!L1301&lt;&gt;"")</f>
        <v>1</v>
      </c>
      <c r="S1299" s="87" t="b">
        <f>(VLOOKUP(Requirements!I1301,Scope[[Role]:[Description]],2,FALSE)="In")</f>
        <v>1</v>
      </c>
      <c r="T1299" s="87">
        <f t="shared" si="79"/>
        <v>1</v>
      </c>
    </row>
    <row r="1300" spans="1:20">
      <c r="A1300" s="85" t="str">
        <f>Requirements!A1302</f>
        <v>MS-SMB_R8506</v>
      </c>
      <c r="B1300" s="87"/>
      <c r="C1300" s="87"/>
      <c r="D1300" s="87"/>
      <c r="E1300" s="87"/>
      <c r="F1300" s="87"/>
      <c r="G1300" s="87"/>
      <c r="H1300" s="87"/>
      <c r="I1300" s="87"/>
      <c r="J1300" s="87"/>
      <c r="K1300" s="87"/>
      <c r="L1300" s="87"/>
      <c r="M1300" s="87"/>
      <c r="N1300" s="87">
        <f t="shared" ref="N1300:N1363" si="80">SUM(B1300:M1300)</f>
        <v>0</v>
      </c>
      <c r="O1300" s="61">
        <f t="shared" ref="O1300:O1363" si="81">IF(N1300=0,0,1)</f>
        <v>0</v>
      </c>
      <c r="P1300" s="61" t="b">
        <f t="shared" ref="P1300:P1363" si="82">AND(Q1300:S1300)</f>
        <v>1</v>
      </c>
      <c r="Q1300" s="87" t="b">
        <f>(Requirements!K1302="Normative")</f>
        <v>1</v>
      </c>
      <c r="R1300" s="87" t="b">
        <f>AND(Requirements!L1302&lt;&gt;"Non-testable",Requirements!L1302&lt;&gt;"Deleted",Requirements!L1302&lt;&gt;"")</f>
        <v>1</v>
      </c>
      <c r="S1300" s="87" t="b">
        <f>(VLOOKUP(Requirements!I1302,Scope[[Role]:[Description]],2,FALSE)="In")</f>
        <v>1</v>
      </c>
      <c r="T1300" s="87">
        <f t="shared" ref="T1300:T1363" si="83">IF(P1300,O1300, 0)</f>
        <v>0</v>
      </c>
    </row>
    <row r="1301" spans="1:20">
      <c r="A1301" s="85" t="str">
        <f>Requirements!A1303</f>
        <v>MS-SMB_R8507</v>
      </c>
      <c r="B1301" s="87"/>
      <c r="C1301" s="87"/>
      <c r="D1301" s="87"/>
      <c r="E1301" s="87"/>
      <c r="F1301" s="87"/>
      <c r="G1301" s="87"/>
      <c r="H1301" s="87"/>
      <c r="I1301" s="87"/>
      <c r="J1301" s="87"/>
      <c r="K1301" s="87"/>
      <c r="L1301" s="87"/>
      <c r="M1301" s="87"/>
      <c r="N1301" s="87">
        <f t="shared" si="80"/>
        <v>0</v>
      </c>
      <c r="O1301" s="61">
        <f t="shared" si="81"/>
        <v>0</v>
      </c>
      <c r="P1301" s="61" t="b">
        <f t="shared" si="82"/>
        <v>1</v>
      </c>
      <c r="Q1301" s="87" t="b">
        <f>(Requirements!K1303="Normative")</f>
        <v>1</v>
      </c>
      <c r="R1301" s="87" t="b">
        <f>AND(Requirements!L1303&lt;&gt;"Non-testable",Requirements!L1303&lt;&gt;"Deleted",Requirements!L1303&lt;&gt;"")</f>
        <v>1</v>
      </c>
      <c r="S1301" s="87" t="b">
        <f>(VLOOKUP(Requirements!I1303,Scope[[Role]:[Description]],2,FALSE)="In")</f>
        <v>1</v>
      </c>
      <c r="T1301" s="87">
        <f t="shared" si="83"/>
        <v>0</v>
      </c>
    </row>
    <row r="1302" spans="1:20">
      <c r="A1302" s="85" t="str">
        <f>Requirements!A1304</f>
        <v>MS-SMB_R8508</v>
      </c>
      <c r="B1302" s="87"/>
      <c r="C1302" s="87"/>
      <c r="D1302" s="87"/>
      <c r="E1302" s="87"/>
      <c r="F1302" s="87"/>
      <c r="G1302" s="87"/>
      <c r="H1302" s="87"/>
      <c r="I1302" s="87"/>
      <c r="J1302" s="87"/>
      <c r="K1302" s="87"/>
      <c r="L1302" s="87"/>
      <c r="M1302" s="87"/>
      <c r="N1302" s="87">
        <f t="shared" si="80"/>
        <v>0</v>
      </c>
      <c r="O1302" s="61">
        <f t="shared" si="81"/>
        <v>0</v>
      </c>
      <c r="P1302" s="61" t="b">
        <f t="shared" si="82"/>
        <v>1</v>
      </c>
      <c r="Q1302" s="87" t="b">
        <f>(Requirements!K1304="Normative")</f>
        <v>1</v>
      </c>
      <c r="R1302" s="87" t="b">
        <f>AND(Requirements!L1304&lt;&gt;"Non-testable",Requirements!L1304&lt;&gt;"Deleted",Requirements!L1304&lt;&gt;"")</f>
        <v>1</v>
      </c>
      <c r="S1302" s="87" t="b">
        <f>(VLOOKUP(Requirements!I1304,Scope[[Role]:[Description]],2,FALSE)="In")</f>
        <v>1</v>
      </c>
      <c r="T1302" s="87">
        <f t="shared" si="83"/>
        <v>0</v>
      </c>
    </row>
    <row r="1303" spans="1:20">
      <c r="A1303" s="85" t="str">
        <f>Requirements!A1305</f>
        <v>MS-SMB_R8509</v>
      </c>
      <c r="B1303" s="87"/>
      <c r="C1303" s="87"/>
      <c r="D1303" s="87"/>
      <c r="E1303" s="87"/>
      <c r="F1303" s="87"/>
      <c r="G1303" s="87"/>
      <c r="H1303" s="87"/>
      <c r="I1303" s="87"/>
      <c r="J1303" s="87"/>
      <c r="K1303" s="87"/>
      <c r="L1303" s="87"/>
      <c r="M1303" s="87"/>
      <c r="N1303" s="87">
        <f t="shared" si="80"/>
        <v>0</v>
      </c>
      <c r="O1303" s="61">
        <f t="shared" si="81"/>
        <v>0</v>
      </c>
      <c r="P1303" s="61" t="b">
        <f t="shared" si="82"/>
        <v>1</v>
      </c>
      <c r="Q1303" s="87" t="b">
        <f>(Requirements!K1305="Normative")</f>
        <v>1</v>
      </c>
      <c r="R1303" s="87" t="b">
        <f>AND(Requirements!L1305&lt;&gt;"Non-testable",Requirements!L1305&lt;&gt;"Deleted",Requirements!L1305&lt;&gt;"")</f>
        <v>1</v>
      </c>
      <c r="S1303" s="87" t="b">
        <f>(VLOOKUP(Requirements!I1305,Scope[[Role]:[Description]],2,FALSE)="In")</f>
        <v>1</v>
      </c>
      <c r="T1303" s="87">
        <f t="shared" si="83"/>
        <v>0</v>
      </c>
    </row>
    <row r="1304" spans="1:20">
      <c r="A1304" s="85" t="str">
        <f>Requirements!A1306</f>
        <v>MS-SMB_R8510</v>
      </c>
      <c r="B1304" s="87"/>
      <c r="C1304" s="87"/>
      <c r="D1304" s="87"/>
      <c r="E1304" s="87"/>
      <c r="F1304" s="87"/>
      <c r="G1304" s="87"/>
      <c r="H1304" s="87"/>
      <c r="I1304" s="87"/>
      <c r="J1304" s="87"/>
      <c r="K1304" s="87"/>
      <c r="L1304" s="87"/>
      <c r="M1304" s="87"/>
      <c r="N1304" s="87">
        <f t="shared" si="80"/>
        <v>0</v>
      </c>
      <c r="O1304" s="61">
        <f t="shared" si="81"/>
        <v>0</v>
      </c>
      <c r="P1304" s="61" t="b">
        <f t="shared" si="82"/>
        <v>1</v>
      </c>
      <c r="Q1304" s="87" t="b">
        <f>(Requirements!K1306="Normative")</f>
        <v>1</v>
      </c>
      <c r="R1304" s="87" t="b">
        <f>AND(Requirements!L1306&lt;&gt;"Non-testable",Requirements!L1306&lt;&gt;"Deleted",Requirements!L1306&lt;&gt;"")</f>
        <v>1</v>
      </c>
      <c r="S1304" s="87" t="b">
        <f>(VLOOKUP(Requirements!I1306,Scope[[Role]:[Description]],2,FALSE)="In")</f>
        <v>1</v>
      </c>
      <c r="T1304" s="87">
        <f t="shared" si="83"/>
        <v>0</v>
      </c>
    </row>
    <row r="1305" spans="1:20">
      <c r="A1305" s="85" t="str">
        <f>Requirements!A1307</f>
        <v>MS-SMB_R4606</v>
      </c>
      <c r="B1305" s="87"/>
      <c r="C1305" s="87"/>
      <c r="D1305" s="87"/>
      <c r="E1305" s="87"/>
      <c r="F1305" s="87"/>
      <c r="G1305" s="87"/>
      <c r="H1305" s="87"/>
      <c r="I1305" s="87"/>
      <c r="J1305" s="87"/>
      <c r="K1305" s="87"/>
      <c r="L1305" s="87"/>
      <c r="M1305" s="87"/>
      <c r="N1305" s="87">
        <f t="shared" si="80"/>
        <v>0</v>
      </c>
      <c r="O1305" s="61">
        <f t="shared" si="81"/>
        <v>0</v>
      </c>
      <c r="P1305" s="61" t="b">
        <f t="shared" si="82"/>
        <v>1</v>
      </c>
      <c r="Q1305" s="87" t="b">
        <f>(Requirements!K1307="Normative")</f>
        <v>1</v>
      </c>
      <c r="R1305" s="87" t="b">
        <f>AND(Requirements!L1307&lt;&gt;"Non-testable",Requirements!L1307&lt;&gt;"Deleted",Requirements!L1307&lt;&gt;"")</f>
        <v>1</v>
      </c>
      <c r="S1305" s="87" t="b">
        <f>(VLOOKUP(Requirements!I1307,Scope[[Role]:[Description]],2,FALSE)="In")</f>
        <v>1</v>
      </c>
      <c r="T1305" s="87">
        <f t="shared" si="83"/>
        <v>0</v>
      </c>
    </row>
    <row r="1306" spans="1:20">
      <c r="A1306" s="85" t="str">
        <f>Requirements!A1308</f>
        <v>MS-SMB_R4607</v>
      </c>
      <c r="B1306" s="87"/>
      <c r="C1306" s="87"/>
      <c r="D1306" s="87"/>
      <c r="E1306" s="87"/>
      <c r="F1306" s="87"/>
      <c r="G1306" s="87"/>
      <c r="H1306" s="87"/>
      <c r="I1306" s="87"/>
      <c r="J1306" s="87"/>
      <c r="K1306" s="87"/>
      <c r="L1306" s="87"/>
      <c r="M1306" s="87"/>
      <c r="N1306" s="87">
        <f t="shared" si="80"/>
        <v>0</v>
      </c>
      <c r="O1306" s="61">
        <f t="shared" si="81"/>
        <v>0</v>
      </c>
      <c r="P1306" s="61" t="b">
        <f t="shared" si="82"/>
        <v>1</v>
      </c>
      <c r="Q1306" s="87" t="b">
        <f>(Requirements!K1308="Normative")</f>
        <v>1</v>
      </c>
      <c r="R1306" s="87" t="b">
        <f>AND(Requirements!L1308&lt;&gt;"Non-testable",Requirements!L1308&lt;&gt;"Deleted",Requirements!L1308&lt;&gt;"")</f>
        <v>1</v>
      </c>
      <c r="S1306" s="87" t="b">
        <f>(VLOOKUP(Requirements!I1308,Scope[[Role]:[Description]],2,FALSE)="In")</f>
        <v>1</v>
      </c>
      <c r="T1306" s="87">
        <f t="shared" si="83"/>
        <v>0</v>
      </c>
    </row>
    <row r="1307" spans="1:20">
      <c r="A1307" s="85" t="str">
        <f>Requirements!A1309</f>
        <v>MS-SMB_R4608</v>
      </c>
      <c r="B1307" s="87"/>
      <c r="C1307" s="87"/>
      <c r="D1307" s="87"/>
      <c r="E1307" s="87"/>
      <c r="F1307" s="87"/>
      <c r="G1307" s="87"/>
      <c r="H1307" s="87"/>
      <c r="I1307" s="87"/>
      <c r="J1307" s="87"/>
      <c r="K1307" s="87"/>
      <c r="L1307" s="87"/>
      <c r="M1307" s="87"/>
      <c r="N1307" s="87">
        <f t="shared" si="80"/>
        <v>0</v>
      </c>
      <c r="O1307" s="61">
        <f t="shared" si="81"/>
        <v>0</v>
      </c>
      <c r="P1307" s="61" t="b">
        <f t="shared" si="82"/>
        <v>1</v>
      </c>
      <c r="Q1307" s="87" t="b">
        <f>(Requirements!K1309="Normative")</f>
        <v>1</v>
      </c>
      <c r="R1307" s="87" t="b">
        <f>AND(Requirements!L1309&lt;&gt;"Non-testable",Requirements!L1309&lt;&gt;"Deleted",Requirements!L1309&lt;&gt;"")</f>
        <v>1</v>
      </c>
      <c r="S1307" s="87" t="b">
        <f>(VLOOKUP(Requirements!I1309,Scope[[Role]:[Description]],2,FALSE)="In")</f>
        <v>1</v>
      </c>
      <c r="T1307" s="87">
        <f t="shared" si="83"/>
        <v>0</v>
      </c>
    </row>
    <row r="1308" spans="1:20">
      <c r="A1308" s="85" t="str">
        <f>Requirements!A1310</f>
        <v>MS-SMB_R4609</v>
      </c>
      <c r="B1308" s="87"/>
      <c r="C1308" s="87"/>
      <c r="D1308" s="87"/>
      <c r="E1308" s="87"/>
      <c r="F1308" s="87"/>
      <c r="G1308" s="87"/>
      <c r="H1308" s="87"/>
      <c r="I1308" s="87"/>
      <c r="J1308" s="87"/>
      <c r="K1308" s="87"/>
      <c r="L1308" s="87"/>
      <c r="M1308" s="87"/>
      <c r="N1308" s="87">
        <f t="shared" si="80"/>
        <v>0</v>
      </c>
      <c r="O1308" s="61">
        <f t="shared" si="81"/>
        <v>0</v>
      </c>
      <c r="P1308" s="61" t="b">
        <f t="shared" si="82"/>
        <v>1</v>
      </c>
      <c r="Q1308" s="87" t="b">
        <f>(Requirements!K1310="Normative")</f>
        <v>1</v>
      </c>
      <c r="R1308" s="87" t="b">
        <f>AND(Requirements!L1310&lt;&gt;"Non-testable",Requirements!L1310&lt;&gt;"Deleted",Requirements!L1310&lt;&gt;"")</f>
        <v>1</v>
      </c>
      <c r="S1308" s="87" t="b">
        <f>(VLOOKUP(Requirements!I1310,Scope[[Role]:[Description]],2,FALSE)="In")</f>
        <v>1</v>
      </c>
      <c r="T1308" s="87">
        <f t="shared" si="83"/>
        <v>0</v>
      </c>
    </row>
    <row r="1309" spans="1:20">
      <c r="A1309" s="85" t="str">
        <f>Requirements!A1311</f>
        <v>MS-SMB_R4610</v>
      </c>
      <c r="B1309" s="87"/>
      <c r="C1309" s="87"/>
      <c r="D1309" s="87"/>
      <c r="E1309" s="87"/>
      <c r="F1309" s="87"/>
      <c r="G1309" s="87"/>
      <c r="H1309" s="87"/>
      <c r="I1309" s="87"/>
      <c r="J1309" s="87"/>
      <c r="K1309" s="87"/>
      <c r="L1309" s="87"/>
      <c r="M1309" s="87"/>
      <c r="N1309" s="87">
        <f t="shared" si="80"/>
        <v>0</v>
      </c>
      <c r="O1309" s="61">
        <f t="shared" si="81"/>
        <v>0</v>
      </c>
      <c r="P1309" s="61" t="b">
        <f t="shared" si="82"/>
        <v>1</v>
      </c>
      <c r="Q1309" s="87" t="b">
        <f>(Requirements!K1311="Normative")</f>
        <v>1</v>
      </c>
      <c r="R1309" s="87" t="b">
        <f>AND(Requirements!L1311&lt;&gt;"Non-testable",Requirements!L1311&lt;&gt;"Deleted",Requirements!L1311&lt;&gt;"")</f>
        <v>1</v>
      </c>
      <c r="S1309" s="87" t="b">
        <f>(VLOOKUP(Requirements!I1311,Scope[[Role]:[Description]],2,FALSE)="In")</f>
        <v>1</v>
      </c>
      <c r="T1309" s="87">
        <f t="shared" si="83"/>
        <v>0</v>
      </c>
    </row>
    <row r="1310" spans="1:20">
      <c r="A1310" s="85" t="str">
        <f>Requirements!A1312</f>
        <v>MS-SMB_R4611</v>
      </c>
      <c r="B1310" s="87"/>
      <c r="C1310" s="87"/>
      <c r="D1310" s="87"/>
      <c r="E1310" s="87"/>
      <c r="F1310" s="87"/>
      <c r="G1310" s="87"/>
      <c r="H1310" s="87"/>
      <c r="I1310" s="87"/>
      <c r="J1310" s="87"/>
      <c r="K1310" s="87"/>
      <c r="L1310" s="87"/>
      <c r="M1310" s="87"/>
      <c r="N1310" s="87">
        <f t="shared" si="80"/>
        <v>0</v>
      </c>
      <c r="O1310" s="61">
        <f t="shared" si="81"/>
        <v>0</v>
      </c>
      <c r="P1310" s="61" t="b">
        <f t="shared" si="82"/>
        <v>1</v>
      </c>
      <c r="Q1310" s="87" t="b">
        <f>(Requirements!K1312="Normative")</f>
        <v>1</v>
      </c>
      <c r="R1310" s="87" t="b">
        <f>AND(Requirements!L1312&lt;&gt;"Non-testable",Requirements!L1312&lt;&gt;"Deleted",Requirements!L1312&lt;&gt;"")</f>
        <v>1</v>
      </c>
      <c r="S1310" s="87" t="b">
        <f>(VLOOKUP(Requirements!I1312,Scope[[Role]:[Description]],2,FALSE)="In")</f>
        <v>1</v>
      </c>
      <c r="T1310" s="87">
        <f t="shared" si="83"/>
        <v>0</v>
      </c>
    </row>
    <row r="1311" spans="1:20">
      <c r="A1311" s="85" t="str">
        <f>Requirements!A1313</f>
        <v>MS-SMB_R4612</v>
      </c>
      <c r="B1311" s="87"/>
      <c r="C1311" s="87"/>
      <c r="D1311" s="87"/>
      <c r="E1311" s="87"/>
      <c r="F1311" s="87"/>
      <c r="G1311" s="87"/>
      <c r="H1311" s="87"/>
      <c r="I1311" s="87"/>
      <c r="J1311" s="87"/>
      <c r="K1311" s="87"/>
      <c r="L1311" s="87"/>
      <c r="M1311" s="87"/>
      <c r="N1311" s="87">
        <f t="shared" si="80"/>
        <v>0</v>
      </c>
      <c r="O1311" s="61">
        <f t="shared" si="81"/>
        <v>0</v>
      </c>
      <c r="P1311" s="61" t="b">
        <f t="shared" si="82"/>
        <v>1</v>
      </c>
      <c r="Q1311" s="87" t="b">
        <f>(Requirements!K1313="Normative")</f>
        <v>1</v>
      </c>
      <c r="R1311" s="87" t="b">
        <f>AND(Requirements!L1313&lt;&gt;"Non-testable",Requirements!L1313&lt;&gt;"Deleted",Requirements!L1313&lt;&gt;"")</f>
        <v>1</v>
      </c>
      <c r="S1311" s="87" t="b">
        <f>(VLOOKUP(Requirements!I1313,Scope[[Role]:[Description]],2,FALSE)="In")</f>
        <v>1</v>
      </c>
      <c r="T1311" s="87">
        <f t="shared" si="83"/>
        <v>0</v>
      </c>
    </row>
    <row r="1312" spans="1:20">
      <c r="A1312" s="85" t="str">
        <f>Requirements!A1314</f>
        <v>MS-SMB_R4613</v>
      </c>
      <c r="B1312" s="87"/>
      <c r="C1312" s="87"/>
      <c r="D1312" s="87"/>
      <c r="E1312" s="87"/>
      <c r="F1312" s="87"/>
      <c r="G1312" s="87"/>
      <c r="H1312" s="87"/>
      <c r="I1312" s="87"/>
      <c r="J1312" s="87"/>
      <c r="K1312" s="87"/>
      <c r="L1312" s="87"/>
      <c r="M1312" s="87"/>
      <c r="N1312" s="87">
        <f t="shared" si="80"/>
        <v>0</v>
      </c>
      <c r="O1312" s="61">
        <f t="shared" si="81"/>
        <v>0</v>
      </c>
      <c r="P1312" s="61" t="b">
        <f t="shared" si="82"/>
        <v>1</v>
      </c>
      <c r="Q1312" s="87" t="b">
        <f>(Requirements!K1314="Normative")</f>
        <v>1</v>
      </c>
      <c r="R1312" s="87" t="b">
        <f>AND(Requirements!L1314&lt;&gt;"Non-testable",Requirements!L1314&lt;&gt;"Deleted",Requirements!L1314&lt;&gt;"")</f>
        <v>1</v>
      </c>
      <c r="S1312" s="87" t="b">
        <f>(VLOOKUP(Requirements!I1314,Scope[[Role]:[Description]],2,FALSE)="In")</f>
        <v>1</v>
      </c>
      <c r="T1312" s="87">
        <f t="shared" si="83"/>
        <v>0</v>
      </c>
    </row>
    <row r="1313" spans="1:20">
      <c r="A1313" s="85" t="str">
        <f>Requirements!A1315</f>
        <v>MS-SMB_R4616</v>
      </c>
      <c r="B1313" s="87"/>
      <c r="C1313" s="87"/>
      <c r="D1313" s="87"/>
      <c r="E1313" s="87"/>
      <c r="F1313" s="87"/>
      <c r="G1313" s="87"/>
      <c r="H1313" s="87"/>
      <c r="I1313" s="87"/>
      <c r="J1313" s="87"/>
      <c r="K1313" s="87"/>
      <c r="L1313" s="87"/>
      <c r="M1313" s="87"/>
      <c r="N1313" s="87">
        <f t="shared" si="80"/>
        <v>0</v>
      </c>
      <c r="O1313" s="61">
        <f t="shared" si="81"/>
        <v>0</v>
      </c>
      <c r="P1313" s="61" t="b">
        <f t="shared" si="82"/>
        <v>1</v>
      </c>
      <c r="Q1313" s="87" t="b">
        <f>(Requirements!K1315="Normative")</f>
        <v>1</v>
      </c>
      <c r="R1313" s="87" t="b">
        <f>AND(Requirements!L1315&lt;&gt;"Non-testable",Requirements!L1315&lt;&gt;"Deleted",Requirements!L1315&lt;&gt;"")</f>
        <v>1</v>
      </c>
      <c r="S1313" s="87" t="b">
        <f>(VLOOKUP(Requirements!I1315,Scope[[Role]:[Description]],2,FALSE)="In")</f>
        <v>1</v>
      </c>
      <c r="T1313" s="87">
        <f t="shared" si="83"/>
        <v>0</v>
      </c>
    </row>
    <row r="1314" spans="1:20">
      <c r="A1314" s="44" t="str">
        <f>Requirements!A1316</f>
        <v>MS-SMB_R4632</v>
      </c>
      <c r="B1314" s="87"/>
      <c r="C1314" s="87"/>
      <c r="D1314" s="87"/>
      <c r="E1314" s="87"/>
      <c r="F1314" s="87"/>
      <c r="G1314" s="87"/>
      <c r="H1314" s="87"/>
      <c r="I1314" s="87"/>
      <c r="J1314" s="87"/>
      <c r="K1314" s="87"/>
      <c r="L1314" s="87"/>
      <c r="M1314" s="87"/>
      <c r="N1314" s="87">
        <f t="shared" si="80"/>
        <v>0</v>
      </c>
      <c r="O1314" s="87">
        <f t="shared" si="81"/>
        <v>0</v>
      </c>
      <c r="P1314" s="87" t="b">
        <f t="shared" si="82"/>
        <v>0</v>
      </c>
      <c r="Q1314" s="87" t="b">
        <f>(Requirements!K1316="Normative")</f>
        <v>0</v>
      </c>
      <c r="R1314" s="87" t="b">
        <f>AND(Requirements!L1316&lt;&gt;"Non-testable",Requirements!L1316&lt;&gt;"Deleted",Requirements!L1316&lt;&gt;"")</f>
        <v>1</v>
      </c>
      <c r="S1314" s="87" t="b">
        <f>(VLOOKUP(Requirements!I1316,Scope[[Role]:[Description]],2,FALSE)="In")</f>
        <v>1</v>
      </c>
      <c r="T1314" s="87">
        <f t="shared" si="83"/>
        <v>0</v>
      </c>
    </row>
    <row r="1315" spans="1:20">
      <c r="A1315" s="44" t="str">
        <f>Requirements!A1317</f>
        <v>MS-SMB_R4633</v>
      </c>
      <c r="B1315" s="87"/>
      <c r="C1315" s="87"/>
      <c r="D1315" s="87"/>
      <c r="E1315" s="87"/>
      <c r="F1315" s="87"/>
      <c r="G1315" s="87"/>
      <c r="H1315" s="87"/>
      <c r="I1315" s="87"/>
      <c r="J1315" s="87"/>
      <c r="K1315" s="87"/>
      <c r="L1315" s="87"/>
      <c r="M1315" s="87"/>
      <c r="N1315" s="87">
        <f t="shared" si="80"/>
        <v>0</v>
      </c>
      <c r="O1315" s="87">
        <f t="shared" si="81"/>
        <v>0</v>
      </c>
      <c r="P1315" s="87" t="b">
        <f t="shared" si="82"/>
        <v>0</v>
      </c>
      <c r="Q1315" s="87" t="b">
        <f>(Requirements!K1317="Normative")</f>
        <v>0</v>
      </c>
      <c r="R1315" s="87" t="b">
        <f>AND(Requirements!L1317&lt;&gt;"Non-testable",Requirements!L1317&lt;&gt;"Deleted",Requirements!L1317&lt;&gt;"")</f>
        <v>1</v>
      </c>
      <c r="S1315" s="87" t="b">
        <f>(VLOOKUP(Requirements!I1317,Scope[[Role]:[Description]],2,FALSE)="In")</f>
        <v>1</v>
      </c>
      <c r="T1315" s="87">
        <f t="shared" si="83"/>
        <v>0</v>
      </c>
    </row>
    <row r="1316" spans="1:20">
      <c r="A1316" s="44" t="str">
        <f>Requirements!A1318</f>
        <v>MS-SMB_R8511</v>
      </c>
      <c r="B1316" s="87"/>
      <c r="C1316" s="87"/>
      <c r="D1316" s="87"/>
      <c r="E1316" s="87"/>
      <c r="F1316" s="87"/>
      <c r="G1316" s="87"/>
      <c r="H1316" s="87"/>
      <c r="I1316" s="87"/>
      <c r="J1316" s="87"/>
      <c r="K1316" s="87"/>
      <c r="L1316" s="87"/>
      <c r="M1316" s="87"/>
      <c r="N1316" s="87">
        <f t="shared" si="80"/>
        <v>0</v>
      </c>
      <c r="O1316" s="87">
        <f t="shared" si="81"/>
        <v>0</v>
      </c>
      <c r="P1316" s="87" t="b">
        <f t="shared" si="82"/>
        <v>0</v>
      </c>
      <c r="Q1316" s="87" t="b">
        <f>(Requirements!K1318="Normative")</f>
        <v>0</v>
      </c>
      <c r="R1316" s="87" t="b">
        <f>AND(Requirements!L1318&lt;&gt;"Non-testable",Requirements!L1318&lt;&gt;"Deleted",Requirements!L1318&lt;&gt;"")</f>
        <v>1</v>
      </c>
      <c r="S1316" s="87" t="b">
        <f>(VLOOKUP(Requirements!I1318,Scope[[Role]:[Description]],2,FALSE)="In")</f>
        <v>1</v>
      </c>
      <c r="T1316" s="87">
        <f t="shared" si="83"/>
        <v>0</v>
      </c>
    </row>
    <row r="1317" spans="1:20">
      <c r="A1317" s="44" t="str">
        <f>Requirements!A1319</f>
        <v>MS-SMB_R8512</v>
      </c>
      <c r="B1317" s="87"/>
      <c r="C1317" s="87"/>
      <c r="D1317" s="87"/>
      <c r="E1317" s="87"/>
      <c r="F1317" s="87"/>
      <c r="G1317" s="87"/>
      <c r="H1317" s="87"/>
      <c r="I1317" s="87"/>
      <c r="J1317" s="87"/>
      <c r="K1317" s="87"/>
      <c r="L1317" s="87"/>
      <c r="M1317" s="87"/>
      <c r="N1317" s="87">
        <f t="shared" si="80"/>
        <v>0</v>
      </c>
      <c r="O1317" s="87">
        <f t="shared" si="81"/>
        <v>0</v>
      </c>
      <c r="P1317" s="87" t="b">
        <f t="shared" si="82"/>
        <v>0</v>
      </c>
      <c r="Q1317" s="87" t="b">
        <f>(Requirements!K1319="Normative")</f>
        <v>0</v>
      </c>
      <c r="R1317" s="87" t="b">
        <f>AND(Requirements!L1319&lt;&gt;"Non-testable",Requirements!L1319&lt;&gt;"Deleted",Requirements!L1319&lt;&gt;"")</f>
        <v>1</v>
      </c>
      <c r="S1317" s="87" t="b">
        <f>(VLOOKUP(Requirements!I1319,Scope[[Role]:[Description]],2,FALSE)="In")</f>
        <v>1</v>
      </c>
      <c r="T1317" s="87">
        <f t="shared" si="83"/>
        <v>0</v>
      </c>
    </row>
    <row r="1318" spans="1:20">
      <c r="A1318" s="44" t="str">
        <f>Requirements!A1320</f>
        <v>MS-SMB_R8513</v>
      </c>
      <c r="B1318" s="87"/>
      <c r="C1318" s="87"/>
      <c r="D1318" s="87"/>
      <c r="E1318" s="87"/>
      <c r="F1318" s="87"/>
      <c r="G1318" s="87"/>
      <c r="H1318" s="87"/>
      <c r="I1318" s="87"/>
      <c r="J1318" s="87"/>
      <c r="K1318" s="87"/>
      <c r="L1318" s="87"/>
      <c r="M1318" s="87"/>
      <c r="N1318" s="87">
        <f t="shared" si="80"/>
        <v>0</v>
      </c>
      <c r="O1318" s="87">
        <f t="shared" si="81"/>
        <v>0</v>
      </c>
      <c r="P1318" s="87" t="b">
        <f t="shared" si="82"/>
        <v>0</v>
      </c>
      <c r="Q1318" s="87" t="b">
        <f>(Requirements!K1320="Normative")</f>
        <v>0</v>
      </c>
      <c r="R1318" s="87" t="b">
        <f>AND(Requirements!L1320&lt;&gt;"Non-testable",Requirements!L1320&lt;&gt;"Deleted",Requirements!L1320&lt;&gt;"")</f>
        <v>1</v>
      </c>
      <c r="S1318" s="87" t="b">
        <f>(VLOOKUP(Requirements!I1320,Scope[[Role]:[Description]],2,FALSE)="In")</f>
        <v>1</v>
      </c>
      <c r="T1318" s="87">
        <f t="shared" si="83"/>
        <v>0</v>
      </c>
    </row>
    <row r="1319" spans="1:20">
      <c r="A1319" s="44" t="str">
        <f>Requirements!A1321</f>
        <v>MS-SMB_R8514</v>
      </c>
      <c r="B1319" s="87"/>
      <c r="C1319" s="87"/>
      <c r="D1319" s="87"/>
      <c r="E1319" s="87"/>
      <c r="F1319" s="87"/>
      <c r="G1319" s="87"/>
      <c r="H1319" s="87"/>
      <c r="I1319" s="87"/>
      <c r="J1319" s="87"/>
      <c r="K1319" s="87"/>
      <c r="L1319" s="87"/>
      <c r="M1319" s="87"/>
      <c r="N1319" s="87">
        <f t="shared" si="80"/>
        <v>0</v>
      </c>
      <c r="O1319" s="87">
        <f t="shared" si="81"/>
        <v>0</v>
      </c>
      <c r="P1319" s="87" t="b">
        <f t="shared" si="82"/>
        <v>0</v>
      </c>
      <c r="Q1319" s="87" t="b">
        <f>(Requirements!K1321="Normative")</f>
        <v>0</v>
      </c>
      <c r="R1319" s="87" t="b">
        <f>AND(Requirements!L1321&lt;&gt;"Non-testable",Requirements!L1321&lt;&gt;"Deleted",Requirements!L1321&lt;&gt;"")</f>
        <v>1</v>
      </c>
      <c r="S1319" s="87" t="b">
        <f>(VLOOKUP(Requirements!I1321,Scope[[Role]:[Description]],2,FALSE)="In")</f>
        <v>1</v>
      </c>
      <c r="T1319" s="87">
        <f t="shared" si="83"/>
        <v>0</v>
      </c>
    </row>
    <row r="1320" spans="1:20">
      <c r="A1320" s="44" t="str">
        <f>Requirements!A1322</f>
        <v>MS-SMB_R8515</v>
      </c>
      <c r="B1320" s="87"/>
      <c r="C1320" s="87"/>
      <c r="D1320" s="87"/>
      <c r="E1320" s="87"/>
      <c r="F1320" s="87"/>
      <c r="G1320" s="87"/>
      <c r="H1320" s="87"/>
      <c r="I1320" s="87"/>
      <c r="J1320" s="87"/>
      <c r="K1320" s="87"/>
      <c r="L1320" s="87"/>
      <c r="M1320" s="87"/>
      <c r="N1320" s="87">
        <f t="shared" si="80"/>
        <v>0</v>
      </c>
      <c r="O1320" s="87">
        <f t="shared" si="81"/>
        <v>0</v>
      </c>
      <c r="P1320" s="87" t="b">
        <f t="shared" si="82"/>
        <v>0</v>
      </c>
      <c r="Q1320" s="87" t="b">
        <f>(Requirements!K1322="Normative")</f>
        <v>0</v>
      </c>
      <c r="R1320" s="87" t="b">
        <f>AND(Requirements!L1322&lt;&gt;"Non-testable",Requirements!L1322&lt;&gt;"Deleted",Requirements!L1322&lt;&gt;"")</f>
        <v>1</v>
      </c>
      <c r="S1320" s="87" t="b">
        <f>(VLOOKUP(Requirements!I1322,Scope[[Role]:[Description]],2,FALSE)="In")</f>
        <v>1</v>
      </c>
      <c r="T1320" s="87">
        <f t="shared" si="83"/>
        <v>0</v>
      </c>
    </row>
    <row r="1321" spans="1:20">
      <c r="A1321" s="44" t="str">
        <f>Requirements!A1323</f>
        <v>MS-SMB_R8516</v>
      </c>
      <c r="B1321" s="87"/>
      <c r="C1321" s="87"/>
      <c r="D1321" s="87"/>
      <c r="E1321" s="87"/>
      <c r="F1321" s="87"/>
      <c r="G1321" s="87"/>
      <c r="H1321" s="87"/>
      <c r="I1321" s="87"/>
      <c r="J1321" s="87"/>
      <c r="K1321" s="87"/>
      <c r="L1321" s="87"/>
      <c r="M1321" s="87"/>
      <c r="N1321" s="87">
        <f t="shared" si="80"/>
        <v>0</v>
      </c>
      <c r="O1321" s="87">
        <f t="shared" si="81"/>
        <v>0</v>
      </c>
      <c r="P1321" s="87" t="b">
        <f t="shared" si="82"/>
        <v>0</v>
      </c>
      <c r="Q1321" s="87" t="b">
        <f>(Requirements!K1323="Normative")</f>
        <v>1</v>
      </c>
      <c r="R1321" s="87" t="b">
        <f>AND(Requirements!L1323&lt;&gt;"Non-testable",Requirements!L1323&lt;&gt;"Deleted",Requirements!L1323&lt;&gt;"")</f>
        <v>0</v>
      </c>
      <c r="S1321" s="87" t="b">
        <f>(VLOOKUP(Requirements!I1323,Scope[[Role]:[Description]],2,FALSE)="In")</f>
        <v>1</v>
      </c>
      <c r="T1321" s="87">
        <f t="shared" si="83"/>
        <v>0</v>
      </c>
    </row>
    <row r="1322" spans="1:20">
      <c r="A1322" s="44" t="str">
        <f>Requirements!A1324</f>
        <v>MS-SMB_R8517</v>
      </c>
      <c r="B1322" s="87"/>
      <c r="C1322" s="87"/>
      <c r="D1322" s="87"/>
      <c r="E1322" s="87"/>
      <c r="F1322" s="87"/>
      <c r="G1322" s="87"/>
      <c r="H1322" s="87"/>
      <c r="I1322" s="87"/>
      <c r="J1322" s="87"/>
      <c r="K1322" s="87"/>
      <c r="L1322" s="87"/>
      <c r="M1322" s="87"/>
      <c r="N1322" s="87">
        <f t="shared" si="80"/>
        <v>0</v>
      </c>
      <c r="O1322" s="87">
        <f t="shared" si="81"/>
        <v>0</v>
      </c>
      <c r="P1322" s="87" t="b">
        <f t="shared" si="82"/>
        <v>0</v>
      </c>
      <c r="Q1322" s="87" t="b">
        <f>(Requirements!K1324="Normative")</f>
        <v>0</v>
      </c>
      <c r="R1322" s="87" t="b">
        <f>AND(Requirements!L1324&lt;&gt;"Non-testable",Requirements!L1324&lt;&gt;"Deleted",Requirements!L1324&lt;&gt;"")</f>
        <v>1</v>
      </c>
      <c r="S1322" s="87" t="b">
        <f>(VLOOKUP(Requirements!I1324,Scope[[Role]:[Description]],2,FALSE)="In")</f>
        <v>1</v>
      </c>
      <c r="T1322" s="87">
        <f t="shared" si="83"/>
        <v>0</v>
      </c>
    </row>
    <row r="1323" spans="1:20">
      <c r="A1323" s="44" t="str">
        <f>Requirements!A1325</f>
        <v>MS-SMB_R8518</v>
      </c>
      <c r="B1323" s="87"/>
      <c r="C1323" s="87"/>
      <c r="D1323" s="87"/>
      <c r="E1323" s="87"/>
      <c r="F1323" s="87"/>
      <c r="G1323" s="87"/>
      <c r="H1323" s="87"/>
      <c r="I1323" s="87"/>
      <c r="J1323" s="87"/>
      <c r="K1323" s="87"/>
      <c r="L1323" s="87"/>
      <c r="M1323" s="87"/>
      <c r="N1323" s="87">
        <f t="shared" si="80"/>
        <v>0</v>
      </c>
      <c r="O1323" s="87">
        <f t="shared" si="81"/>
        <v>0</v>
      </c>
      <c r="P1323" s="87" t="b">
        <f t="shared" si="82"/>
        <v>0</v>
      </c>
      <c r="Q1323" s="87" t="b">
        <f>(Requirements!K1325="Normative")</f>
        <v>0</v>
      </c>
      <c r="R1323" s="87" t="b">
        <f>AND(Requirements!L1325&lt;&gt;"Non-testable",Requirements!L1325&lt;&gt;"Deleted",Requirements!L1325&lt;&gt;"")</f>
        <v>1</v>
      </c>
      <c r="S1323" s="87" t="b">
        <f>(VLOOKUP(Requirements!I1325,Scope[[Role]:[Description]],2,FALSE)="In")</f>
        <v>1</v>
      </c>
      <c r="T1323" s="87">
        <f t="shared" si="83"/>
        <v>0</v>
      </c>
    </row>
    <row r="1324" spans="1:20">
      <c r="A1324" s="44" t="str">
        <f>Requirements!A1326</f>
        <v>MS-SMB_R4677</v>
      </c>
      <c r="B1324" s="87"/>
      <c r="C1324" s="87"/>
      <c r="D1324" s="87"/>
      <c r="E1324" s="87"/>
      <c r="F1324" s="87"/>
      <c r="G1324" s="87"/>
      <c r="H1324" s="87"/>
      <c r="I1324" s="87"/>
      <c r="J1324" s="87"/>
      <c r="K1324" s="87"/>
      <c r="L1324" s="87"/>
      <c r="M1324" s="87"/>
      <c r="N1324" s="87">
        <f t="shared" si="80"/>
        <v>0</v>
      </c>
      <c r="O1324" s="87">
        <f t="shared" si="81"/>
        <v>0</v>
      </c>
      <c r="P1324" s="87" t="b">
        <f t="shared" si="82"/>
        <v>0</v>
      </c>
      <c r="Q1324" s="87" t="b">
        <f>(Requirements!K1326="Normative")</f>
        <v>0</v>
      </c>
      <c r="R1324" s="87" t="b">
        <f>AND(Requirements!L1326&lt;&gt;"Non-testable",Requirements!L1326&lt;&gt;"Deleted",Requirements!L1326&lt;&gt;"")</f>
        <v>1</v>
      </c>
      <c r="S1324" s="87" t="b">
        <f>(VLOOKUP(Requirements!I1326,Scope[[Role]:[Description]],2,FALSE)="In")</f>
        <v>1</v>
      </c>
      <c r="T1324" s="87">
        <f t="shared" si="83"/>
        <v>0</v>
      </c>
    </row>
    <row r="1325" spans="1:20">
      <c r="A1325" s="44" t="str">
        <f>Requirements!A1327</f>
        <v>MS-SMB_R80012</v>
      </c>
      <c r="B1325" s="87"/>
      <c r="C1325" s="87"/>
      <c r="D1325" s="87"/>
      <c r="E1325" s="87"/>
      <c r="F1325" s="87"/>
      <c r="G1325" s="87"/>
      <c r="H1325" s="87"/>
      <c r="I1325" s="87"/>
      <c r="J1325" s="87"/>
      <c r="K1325" s="87"/>
      <c r="L1325" s="87"/>
      <c r="M1325" s="87"/>
      <c r="N1325" s="87">
        <f t="shared" si="80"/>
        <v>0</v>
      </c>
      <c r="O1325" s="87">
        <f t="shared" si="81"/>
        <v>0</v>
      </c>
      <c r="P1325" s="87" t="b">
        <f t="shared" si="82"/>
        <v>0</v>
      </c>
      <c r="Q1325" s="87" t="b">
        <f>(Requirements!K1327="Normative")</f>
        <v>1</v>
      </c>
      <c r="R1325" s="87" t="b">
        <f>AND(Requirements!L1327&lt;&gt;"Non-testable",Requirements!L1327&lt;&gt;"Deleted",Requirements!L1327&lt;&gt;"")</f>
        <v>0</v>
      </c>
      <c r="S1325" s="87" t="b">
        <f>(VLOOKUP(Requirements!I1327,Scope[[Role]:[Description]],2,FALSE)="In")</f>
        <v>1</v>
      </c>
      <c r="T1325" s="87">
        <f t="shared" si="83"/>
        <v>0</v>
      </c>
    </row>
    <row r="1326" spans="1:20">
      <c r="A1326" s="44" t="str">
        <f>Requirements!A1328</f>
        <v>MS-SMB_R8519</v>
      </c>
      <c r="B1326" s="87"/>
      <c r="C1326" s="87"/>
      <c r="D1326" s="87"/>
      <c r="E1326" s="87"/>
      <c r="F1326" s="87"/>
      <c r="G1326" s="87"/>
      <c r="H1326" s="87"/>
      <c r="I1326" s="87"/>
      <c r="J1326" s="87"/>
      <c r="K1326" s="87"/>
      <c r="L1326" s="87"/>
      <c r="M1326" s="87"/>
      <c r="N1326" s="87">
        <f t="shared" si="80"/>
        <v>0</v>
      </c>
      <c r="O1326" s="87">
        <f t="shared" si="81"/>
        <v>0</v>
      </c>
      <c r="P1326" s="87" t="b">
        <f t="shared" si="82"/>
        <v>0</v>
      </c>
      <c r="Q1326" s="87" t="b">
        <f>(Requirements!K1328="Normative")</f>
        <v>1</v>
      </c>
      <c r="R1326" s="87" t="b">
        <f>AND(Requirements!L1328&lt;&gt;"Non-testable",Requirements!L1328&lt;&gt;"Deleted",Requirements!L1328&lt;&gt;"")</f>
        <v>0</v>
      </c>
      <c r="S1326" s="87" t="b">
        <f>(VLOOKUP(Requirements!I1328,Scope[[Role]:[Description]],2,FALSE)="In")</f>
        <v>1</v>
      </c>
      <c r="T1326" s="87">
        <f t="shared" si="83"/>
        <v>0</v>
      </c>
    </row>
    <row r="1327" spans="1:20">
      <c r="A1327" s="44" t="str">
        <f>Requirements!A1329</f>
        <v>MS-SMB_R8520</v>
      </c>
      <c r="B1327" s="87"/>
      <c r="C1327" s="87"/>
      <c r="D1327" s="87"/>
      <c r="E1327" s="87"/>
      <c r="F1327" s="87"/>
      <c r="G1327" s="87"/>
      <c r="H1327" s="87"/>
      <c r="I1327" s="87"/>
      <c r="J1327" s="87"/>
      <c r="K1327" s="87"/>
      <c r="L1327" s="87"/>
      <c r="M1327" s="87"/>
      <c r="N1327" s="87">
        <f t="shared" si="80"/>
        <v>0</v>
      </c>
      <c r="O1327" s="87">
        <f t="shared" si="81"/>
        <v>0</v>
      </c>
      <c r="P1327" s="87" t="b">
        <f t="shared" si="82"/>
        <v>0</v>
      </c>
      <c r="Q1327" s="87" t="b">
        <f>(Requirements!K1329="Normative")</f>
        <v>1</v>
      </c>
      <c r="R1327" s="87" t="b">
        <f>AND(Requirements!L1329&lt;&gt;"Non-testable",Requirements!L1329&lt;&gt;"Deleted",Requirements!L1329&lt;&gt;"")</f>
        <v>0</v>
      </c>
      <c r="S1327" s="87" t="b">
        <f>(VLOOKUP(Requirements!I1329,Scope[[Role]:[Description]],2,FALSE)="In")</f>
        <v>1</v>
      </c>
      <c r="T1327" s="87">
        <f t="shared" si="83"/>
        <v>0</v>
      </c>
    </row>
    <row r="1328" spans="1:20">
      <c r="A1328" s="44" t="str">
        <f>Requirements!A1330</f>
        <v>MS-SMB_R8521</v>
      </c>
      <c r="B1328" s="87"/>
      <c r="C1328" s="87"/>
      <c r="D1328" s="87"/>
      <c r="E1328" s="87"/>
      <c r="F1328" s="87"/>
      <c r="G1328" s="87"/>
      <c r="H1328" s="87"/>
      <c r="I1328" s="87"/>
      <c r="J1328" s="87"/>
      <c r="K1328" s="87"/>
      <c r="L1328" s="87"/>
      <c r="M1328" s="87"/>
      <c r="N1328" s="87">
        <f t="shared" si="80"/>
        <v>0</v>
      </c>
      <c r="O1328" s="87">
        <f t="shared" si="81"/>
        <v>0</v>
      </c>
      <c r="P1328" s="87" t="b">
        <f t="shared" si="82"/>
        <v>0</v>
      </c>
      <c r="Q1328" s="87" t="b">
        <f>(Requirements!K1330="Normative")</f>
        <v>1</v>
      </c>
      <c r="R1328" s="87" t="b">
        <f>AND(Requirements!L1330&lt;&gt;"Non-testable",Requirements!L1330&lt;&gt;"Deleted",Requirements!L1330&lt;&gt;"")</f>
        <v>0</v>
      </c>
      <c r="S1328" s="87" t="b">
        <f>(VLOOKUP(Requirements!I1330,Scope[[Role]:[Description]],2,FALSE)="In")</f>
        <v>1</v>
      </c>
      <c r="T1328" s="87">
        <f t="shared" si="83"/>
        <v>0</v>
      </c>
    </row>
    <row r="1329" spans="1:20">
      <c r="A1329" s="44" t="str">
        <f>Requirements!A1331</f>
        <v>MS-SMB_R8522</v>
      </c>
      <c r="B1329" s="87"/>
      <c r="C1329" s="87"/>
      <c r="D1329" s="87"/>
      <c r="E1329" s="87"/>
      <c r="F1329" s="87"/>
      <c r="G1329" s="87"/>
      <c r="H1329" s="87"/>
      <c r="I1329" s="87"/>
      <c r="J1329" s="87"/>
      <c r="K1329" s="87"/>
      <c r="L1329" s="87"/>
      <c r="M1329" s="87"/>
      <c r="N1329" s="87">
        <f t="shared" si="80"/>
        <v>0</v>
      </c>
      <c r="O1329" s="87">
        <f t="shared" si="81"/>
        <v>0</v>
      </c>
      <c r="P1329" s="87" t="b">
        <f t="shared" si="82"/>
        <v>0</v>
      </c>
      <c r="Q1329" s="87" t="b">
        <f>(Requirements!K1331="Normative")</f>
        <v>0</v>
      </c>
      <c r="R1329" s="87" t="b">
        <f>AND(Requirements!L1331&lt;&gt;"Non-testable",Requirements!L1331&lt;&gt;"Deleted",Requirements!L1331&lt;&gt;"")</f>
        <v>1</v>
      </c>
      <c r="S1329" s="87" t="b">
        <f>(VLOOKUP(Requirements!I1331,Scope[[Role]:[Description]],2,FALSE)="In")</f>
        <v>1</v>
      </c>
      <c r="T1329" s="87">
        <f t="shared" si="83"/>
        <v>0</v>
      </c>
    </row>
    <row r="1330" spans="1:20">
      <c r="A1330" s="44" t="str">
        <f>Requirements!A1332</f>
        <v>MS-SMB_R8523</v>
      </c>
      <c r="B1330" s="87"/>
      <c r="C1330" s="87"/>
      <c r="D1330" s="87"/>
      <c r="E1330" s="87"/>
      <c r="F1330" s="87"/>
      <c r="G1330" s="87"/>
      <c r="H1330" s="87"/>
      <c r="I1330" s="87"/>
      <c r="J1330" s="87"/>
      <c r="K1330" s="87"/>
      <c r="L1330" s="87"/>
      <c r="M1330" s="87"/>
      <c r="N1330" s="87">
        <f t="shared" si="80"/>
        <v>0</v>
      </c>
      <c r="O1330" s="87">
        <f t="shared" si="81"/>
        <v>0</v>
      </c>
      <c r="P1330" s="87" t="b">
        <f t="shared" si="82"/>
        <v>0</v>
      </c>
      <c r="Q1330" s="87" t="b">
        <f>(Requirements!K1332="Normative")</f>
        <v>0</v>
      </c>
      <c r="R1330" s="87" t="b">
        <f>AND(Requirements!L1332&lt;&gt;"Non-testable",Requirements!L1332&lt;&gt;"Deleted",Requirements!L1332&lt;&gt;"")</f>
        <v>1</v>
      </c>
      <c r="S1330" s="87" t="b">
        <f>(VLOOKUP(Requirements!I1332,Scope[[Role]:[Description]],2,FALSE)="In")</f>
        <v>1</v>
      </c>
      <c r="T1330" s="87">
        <f t="shared" si="83"/>
        <v>0</v>
      </c>
    </row>
    <row r="1331" spans="1:20">
      <c r="A1331" s="44" t="str">
        <f>Requirements!A1333</f>
        <v>MS-SMB_R8524</v>
      </c>
      <c r="B1331" s="87"/>
      <c r="C1331" s="87"/>
      <c r="D1331" s="87"/>
      <c r="E1331" s="87"/>
      <c r="F1331" s="87"/>
      <c r="G1331" s="87"/>
      <c r="H1331" s="87"/>
      <c r="I1331" s="87"/>
      <c r="J1331" s="87"/>
      <c r="K1331" s="87"/>
      <c r="L1331" s="87"/>
      <c r="M1331" s="87"/>
      <c r="N1331" s="87">
        <f t="shared" si="80"/>
        <v>0</v>
      </c>
      <c r="O1331" s="87">
        <f t="shared" si="81"/>
        <v>0</v>
      </c>
      <c r="P1331" s="87" t="b">
        <f t="shared" si="82"/>
        <v>0</v>
      </c>
      <c r="Q1331" s="87" t="b">
        <f>(Requirements!K1333="Normative")</f>
        <v>0</v>
      </c>
      <c r="R1331" s="87" t="b">
        <f>AND(Requirements!L1333&lt;&gt;"Non-testable",Requirements!L1333&lt;&gt;"Deleted",Requirements!L1333&lt;&gt;"")</f>
        <v>1</v>
      </c>
      <c r="S1331" s="87" t="b">
        <f>(VLOOKUP(Requirements!I1333,Scope[[Role]:[Description]],2,FALSE)="In")</f>
        <v>1</v>
      </c>
      <c r="T1331" s="87">
        <f t="shared" si="83"/>
        <v>0</v>
      </c>
    </row>
    <row r="1332" spans="1:20">
      <c r="A1332" s="44" t="str">
        <f>Requirements!A1334</f>
        <v>MS-SMB_R8525</v>
      </c>
      <c r="B1332" s="87"/>
      <c r="C1332" s="87"/>
      <c r="D1332" s="87"/>
      <c r="E1332" s="87"/>
      <c r="F1332" s="87"/>
      <c r="G1332" s="87"/>
      <c r="H1332" s="87"/>
      <c r="I1332" s="87"/>
      <c r="J1332" s="87"/>
      <c r="K1332" s="87"/>
      <c r="L1332" s="87"/>
      <c r="M1332" s="87"/>
      <c r="N1332" s="87">
        <f t="shared" si="80"/>
        <v>0</v>
      </c>
      <c r="O1332" s="87">
        <f t="shared" si="81"/>
        <v>0</v>
      </c>
      <c r="P1332" s="87" t="b">
        <f t="shared" si="82"/>
        <v>0</v>
      </c>
      <c r="Q1332" s="87" t="b">
        <f>(Requirements!K1334="Normative")</f>
        <v>1</v>
      </c>
      <c r="R1332" s="87" t="b">
        <f>AND(Requirements!L1334&lt;&gt;"Non-testable",Requirements!L1334&lt;&gt;"Deleted",Requirements!L1334&lt;&gt;"")</f>
        <v>0</v>
      </c>
      <c r="S1332" s="87" t="b">
        <f>(VLOOKUP(Requirements!I1334,Scope[[Role]:[Description]],2,FALSE)="In")</f>
        <v>1</v>
      </c>
      <c r="T1332" s="87">
        <f t="shared" si="83"/>
        <v>0</v>
      </c>
    </row>
    <row r="1333" spans="1:20">
      <c r="A1333" s="44" t="str">
        <f>Requirements!A1335</f>
        <v>MS-SMB_R8526</v>
      </c>
      <c r="B1333" s="87"/>
      <c r="C1333" s="87"/>
      <c r="D1333" s="87"/>
      <c r="E1333" s="87"/>
      <c r="F1333" s="87"/>
      <c r="G1333" s="87"/>
      <c r="H1333" s="87"/>
      <c r="I1333" s="87"/>
      <c r="J1333" s="87"/>
      <c r="K1333" s="87"/>
      <c r="L1333" s="87"/>
      <c r="M1333" s="87"/>
      <c r="N1333" s="87">
        <f t="shared" si="80"/>
        <v>0</v>
      </c>
      <c r="O1333" s="87">
        <f t="shared" si="81"/>
        <v>0</v>
      </c>
      <c r="P1333" s="87" t="b">
        <f t="shared" si="82"/>
        <v>0</v>
      </c>
      <c r="Q1333" s="87" t="b">
        <f>(Requirements!K1335="Normative")</f>
        <v>0</v>
      </c>
      <c r="R1333" s="87" t="b">
        <f>AND(Requirements!L1335&lt;&gt;"Non-testable",Requirements!L1335&lt;&gt;"Deleted",Requirements!L1335&lt;&gt;"")</f>
        <v>1</v>
      </c>
      <c r="S1333" s="87" t="b">
        <f>(VLOOKUP(Requirements!I1335,Scope[[Role]:[Description]],2,FALSE)="In")</f>
        <v>1</v>
      </c>
      <c r="T1333" s="87">
        <f t="shared" si="83"/>
        <v>0</v>
      </c>
    </row>
    <row r="1334" spans="1:20">
      <c r="A1334" s="44" t="str">
        <f>Requirements!A1336</f>
        <v>MS-SMB_R8527</v>
      </c>
      <c r="B1334" s="87"/>
      <c r="C1334" s="87"/>
      <c r="D1334" s="87"/>
      <c r="E1334" s="87"/>
      <c r="F1334" s="87"/>
      <c r="G1334" s="87"/>
      <c r="H1334" s="87"/>
      <c r="I1334" s="87"/>
      <c r="J1334" s="87"/>
      <c r="K1334" s="87"/>
      <c r="L1334" s="87"/>
      <c r="M1334" s="87"/>
      <c r="N1334" s="87">
        <f t="shared" si="80"/>
        <v>0</v>
      </c>
      <c r="O1334" s="87">
        <f t="shared" si="81"/>
        <v>0</v>
      </c>
      <c r="P1334" s="87" t="b">
        <f t="shared" si="82"/>
        <v>0</v>
      </c>
      <c r="Q1334" s="87" t="b">
        <f>(Requirements!K1336="Normative")</f>
        <v>0</v>
      </c>
      <c r="R1334" s="87" t="b">
        <f>AND(Requirements!L1336&lt;&gt;"Non-testable",Requirements!L1336&lt;&gt;"Deleted",Requirements!L1336&lt;&gt;"")</f>
        <v>1</v>
      </c>
      <c r="S1334" s="87" t="b">
        <f>(VLOOKUP(Requirements!I1336,Scope[[Role]:[Description]],2,FALSE)="In")</f>
        <v>1</v>
      </c>
      <c r="T1334" s="87">
        <f t="shared" si="83"/>
        <v>0</v>
      </c>
    </row>
    <row r="1335" spans="1:20">
      <c r="A1335" s="44" t="str">
        <f>Requirements!A1337</f>
        <v>MS-SMB_R8528</v>
      </c>
      <c r="B1335" s="87"/>
      <c r="C1335" s="87"/>
      <c r="D1335" s="87"/>
      <c r="E1335" s="87"/>
      <c r="F1335" s="87"/>
      <c r="G1335" s="87"/>
      <c r="H1335" s="87"/>
      <c r="I1335" s="87"/>
      <c r="J1335" s="87"/>
      <c r="K1335" s="87"/>
      <c r="L1335" s="87"/>
      <c r="M1335" s="87"/>
      <c r="N1335" s="87">
        <f t="shared" si="80"/>
        <v>0</v>
      </c>
      <c r="O1335" s="87">
        <f t="shared" si="81"/>
        <v>0</v>
      </c>
      <c r="P1335" s="87" t="b">
        <f t="shared" si="82"/>
        <v>0</v>
      </c>
      <c r="Q1335" s="87" t="b">
        <f>(Requirements!K1337="Normative")</f>
        <v>0</v>
      </c>
      <c r="R1335" s="87" t="b">
        <f>AND(Requirements!L1337&lt;&gt;"Non-testable",Requirements!L1337&lt;&gt;"Deleted",Requirements!L1337&lt;&gt;"")</f>
        <v>1</v>
      </c>
      <c r="S1335" s="87" t="b">
        <f>(VLOOKUP(Requirements!I1337,Scope[[Role]:[Description]],2,FALSE)="In")</f>
        <v>1</v>
      </c>
      <c r="T1335" s="87">
        <f t="shared" si="83"/>
        <v>0</v>
      </c>
    </row>
    <row r="1336" spans="1:20">
      <c r="A1336" s="44" t="str">
        <f>Requirements!A1338</f>
        <v>MS-SMB_R8529</v>
      </c>
      <c r="B1336" s="87"/>
      <c r="C1336" s="87"/>
      <c r="D1336" s="87"/>
      <c r="E1336" s="87"/>
      <c r="F1336" s="87"/>
      <c r="G1336" s="87"/>
      <c r="H1336" s="87"/>
      <c r="I1336" s="87"/>
      <c r="J1336" s="87"/>
      <c r="K1336" s="87"/>
      <c r="L1336" s="87"/>
      <c r="M1336" s="87"/>
      <c r="N1336" s="87">
        <f t="shared" si="80"/>
        <v>0</v>
      </c>
      <c r="O1336" s="87">
        <f t="shared" si="81"/>
        <v>0</v>
      </c>
      <c r="P1336" s="87" t="b">
        <f t="shared" si="82"/>
        <v>0</v>
      </c>
      <c r="Q1336" s="87" t="b">
        <f>(Requirements!K1338="Normative")</f>
        <v>0</v>
      </c>
      <c r="R1336" s="87" t="b">
        <f>AND(Requirements!L1338&lt;&gt;"Non-testable",Requirements!L1338&lt;&gt;"Deleted",Requirements!L1338&lt;&gt;"")</f>
        <v>1</v>
      </c>
      <c r="S1336" s="87" t="b">
        <f>(VLOOKUP(Requirements!I1338,Scope[[Role]:[Description]],2,FALSE)="In")</f>
        <v>1</v>
      </c>
      <c r="T1336" s="87">
        <f t="shared" si="83"/>
        <v>0</v>
      </c>
    </row>
    <row r="1337" spans="1:20">
      <c r="A1337" s="44" t="str">
        <f>Requirements!A1339</f>
        <v>MS-SMB_R8530</v>
      </c>
      <c r="B1337" s="87"/>
      <c r="C1337" s="87"/>
      <c r="D1337" s="87"/>
      <c r="E1337" s="87"/>
      <c r="F1337" s="87"/>
      <c r="G1337" s="87"/>
      <c r="H1337" s="87"/>
      <c r="I1337" s="87"/>
      <c r="J1337" s="87"/>
      <c r="K1337" s="87"/>
      <c r="L1337" s="87"/>
      <c r="M1337" s="87"/>
      <c r="N1337" s="87">
        <f t="shared" si="80"/>
        <v>0</v>
      </c>
      <c r="O1337" s="87">
        <f t="shared" si="81"/>
        <v>0</v>
      </c>
      <c r="P1337" s="87" t="b">
        <f t="shared" si="82"/>
        <v>0</v>
      </c>
      <c r="Q1337" s="87" t="b">
        <f>(Requirements!K1339="Normative")</f>
        <v>1</v>
      </c>
      <c r="R1337" s="87" t="b">
        <f>AND(Requirements!L1339&lt;&gt;"Non-testable",Requirements!L1339&lt;&gt;"Deleted",Requirements!L1339&lt;&gt;"")</f>
        <v>0</v>
      </c>
      <c r="S1337" s="87" t="b">
        <f>(VLOOKUP(Requirements!I1339,Scope[[Role]:[Description]],2,FALSE)="In")</f>
        <v>1</v>
      </c>
      <c r="T1337" s="87">
        <f t="shared" si="83"/>
        <v>0</v>
      </c>
    </row>
    <row r="1338" spans="1:20">
      <c r="A1338" s="44" t="str">
        <f>Requirements!A1340</f>
        <v>MS-SMB_R8531</v>
      </c>
      <c r="B1338" s="87"/>
      <c r="C1338" s="87"/>
      <c r="D1338" s="87"/>
      <c r="E1338" s="87"/>
      <c r="F1338" s="87"/>
      <c r="G1338" s="87"/>
      <c r="H1338" s="87"/>
      <c r="I1338" s="87"/>
      <c r="J1338" s="87"/>
      <c r="K1338" s="87"/>
      <c r="L1338" s="87"/>
      <c r="M1338" s="87"/>
      <c r="N1338" s="87">
        <f t="shared" si="80"/>
        <v>0</v>
      </c>
      <c r="O1338" s="87">
        <f t="shared" si="81"/>
        <v>0</v>
      </c>
      <c r="P1338" s="87" t="b">
        <f t="shared" si="82"/>
        <v>0</v>
      </c>
      <c r="Q1338" s="87" t="b">
        <f>(Requirements!K1340="Normative")</f>
        <v>0</v>
      </c>
      <c r="R1338" s="87" t="b">
        <f>AND(Requirements!L1340&lt;&gt;"Non-testable",Requirements!L1340&lt;&gt;"Deleted",Requirements!L1340&lt;&gt;"")</f>
        <v>1</v>
      </c>
      <c r="S1338" s="87" t="b">
        <f>(VLOOKUP(Requirements!I1340,Scope[[Role]:[Description]],2,FALSE)="In")</f>
        <v>1</v>
      </c>
      <c r="T1338" s="87">
        <f t="shared" si="83"/>
        <v>0</v>
      </c>
    </row>
    <row r="1339" spans="1:20">
      <c r="A1339" s="44" t="str">
        <f>Requirements!A1341</f>
        <v>MS-SMB_R8532</v>
      </c>
      <c r="B1339" s="87"/>
      <c r="C1339" s="87"/>
      <c r="D1339" s="87"/>
      <c r="E1339" s="87"/>
      <c r="F1339" s="87"/>
      <c r="G1339" s="87"/>
      <c r="H1339" s="87"/>
      <c r="I1339" s="87"/>
      <c r="J1339" s="87"/>
      <c r="K1339" s="87"/>
      <c r="L1339" s="87"/>
      <c r="M1339" s="87"/>
      <c r="N1339" s="87">
        <f t="shared" si="80"/>
        <v>0</v>
      </c>
      <c r="O1339" s="87">
        <f t="shared" si="81"/>
        <v>0</v>
      </c>
      <c r="P1339" s="87" t="b">
        <f t="shared" si="82"/>
        <v>0</v>
      </c>
      <c r="Q1339" s="87" t="b">
        <f>(Requirements!K1341="Normative")</f>
        <v>0</v>
      </c>
      <c r="R1339" s="87" t="b">
        <f>AND(Requirements!L1341&lt;&gt;"Non-testable",Requirements!L1341&lt;&gt;"Deleted",Requirements!L1341&lt;&gt;"")</f>
        <v>1</v>
      </c>
      <c r="S1339" s="87" t="b">
        <f>(VLOOKUP(Requirements!I1341,Scope[[Role]:[Description]],2,FALSE)="In")</f>
        <v>1</v>
      </c>
      <c r="T1339" s="87">
        <f t="shared" si="83"/>
        <v>0</v>
      </c>
    </row>
    <row r="1340" spans="1:20">
      <c r="A1340" s="44" t="str">
        <f>Requirements!A1342</f>
        <v>MS-SMB_R4686</v>
      </c>
      <c r="B1340" s="87"/>
      <c r="C1340" s="87"/>
      <c r="D1340" s="87"/>
      <c r="E1340" s="87"/>
      <c r="F1340" s="87"/>
      <c r="G1340" s="87"/>
      <c r="H1340" s="87"/>
      <c r="I1340" s="87"/>
      <c r="J1340" s="87"/>
      <c r="K1340" s="87"/>
      <c r="L1340" s="87"/>
      <c r="M1340" s="87"/>
      <c r="N1340" s="87">
        <f t="shared" si="80"/>
        <v>0</v>
      </c>
      <c r="O1340" s="87">
        <f t="shared" si="81"/>
        <v>0</v>
      </c>
      <c r="P1340" s="87" t="b">
        <f t="shared" si="82"/>
        <v>0</v>
      </c>
      <c r="Q1340" s="87" t="b">
        <f>(Requirements!K1342="Normative")</f>
        <v>0</v>
      </c>
      <c r="R1340" s="87" t="b">
        <f>AND(Requirements!L1342&lt;&gt;"Non-testable",Requirements!L1342&lt;&gt;"Deleted",Requirements!L1342&lt;&gt;"")</f>
        <v>1</v>
      </c>
      <c r="S1340" s="87" t="b">
        <f>(VLOOKUP(Requirements!I1342,Scope[[Role]:[Description]],2,FALSE)="In")</f>
        <v>1</v>
      </c>
      <c r="T1340" s="87">
        <f t="shared" si="83"/>
        <v>0</v>
      </c>
    </row>
    <row r="1341" spans="1:20">
      <c r="A1341" s="44" t="str">
        <f>Requirements!A1343</f>
        <v>MS-SMB_R4687</v>
      </c>
      <c r="B1341" s="87"/>
      <c r="C1341" s="87"/>
      <c r="D1341" s="87"/>
      <c r="E1341" s="87"/>
      <c r="F1341" s="87"/>
      <c r="G1341" s="87"/>
      <c r="H1341" s="87"/>
      <c r="I1341" s="87"/>
      <c r="J1341" s="87"/>
      <c r="K1341" s="87"/>
      <c r="L1341" s="87"/>
      <c r="M1341" s="87"/>
      <c r="N1341" s="87">
        <f t="shared" si="80"/>
        <v>0</v>
      </c>
      <c r="O1341" s="87">
        <f t="shared" si="81"/>
        <v>0</v>
      </c>
      <c r="P1341" s="87" t="b">
        <f t="shared" si="82"/>
        <v>0</v>
      </c>
      <c r="Q1341" s="87" t="b">
        <f>(Requirements!K1343="Normative")</f>
        <v>0</v>
      </c>
      <c r="R1341" s="87" t="b">
        <f>AND(Requirements!L1343&lt;&gt;"Non-testable",Requirements!L1343&lt;&gt;"Deleted",Requirements!L1343&lt;&gt;"")</f>
        <v>1</v>
      </c>
      <c r="S1341" s="87" t="b">
        <f>(VLOOKUP(Requirements!I1343,Scope[[Role]:[Description]],2,FALSE)="In")</f>
        <v>1</v>
      </c>
      <c r="T1341" s="87">
        <f t="shared" si="83"/>
        <v>0</v>
      </c>
    </row>
    <row r="1342" spans="1:20">
      <c r="A1342" s="44" t="str">
        <f>Requirements!A1344</f>
        <v>MS-SMB_R4688</v>
      </c>
      <c r="B1342" s="87"/>
      <c r="C1342" s="87"/>
      <c r="D1342" s="87"/>
      <c r="E1342" s="87"/>
      <c r="F1342" s="87"/>
      <c r="G1342" s="87"/>
      <c r="H1342" s="87"/>
      <c r="I1342" s="87"/>
      <c r="J1342" s="87"/>
      <c r="K1342" s="87"/>
      <c r="L1342" s="87"/>
      <c r="M1342" s="87"/>
      <c r="N1342" s="87">
        <f t="shared" si="80"/>
        <v>0</v>
      </c>
      <c r="O1342" s="87">
        <f t="shared" si="81"/>
        <v>0</v>
      </c>
      <c r="P1342" s="87" t="b">
        <f t="shared" si="82"/>
        <v>0</v>
      </c>
      <c r="Q1342" s="87" t="b">
        <f>(Requirements!K1344="Normative")</f>
        <v>0</v>
      </c>
      <c r="R1342" s="87" t="b">
        <f>AND(Requirements!L1344&lt;&gt;"Non-testable",Requirements!L1344&lt;&gt;"Deleted",Requirements!L1344&lt;&gt;"")</f>
        <v>1</v>
      </c>
      <c r="S1342" s="87" t="b">
        <f>(VLOOKUP(Requirements!I1344,Scope[[Role]:[Description]],2,FALSE)="In")</f>
        <v>1</v>
      </c>
      <c r="T1342" s="87">
        <f t="shared" si="83"/>
        <v>0</v>
      </c>
    </row>
    <row r="1343" spans="1:20">
      <c r="A1343" s="44" t="str">
        <f>Requirements!A1345</f>
        <v>MS-SMB_R8533</v>
      </c>
      <c r="B1343" s="87"/>
      <c r="C1343" s="87"/>
      <c r="D1343" s="87"/>
      <c r="E1343" s="87"/>
      <c r="F1343" s="87"/>
      <c r="G1343" s="87"/>
      <c r="H1343" s="87"/>
      <c r="I1343" s="87"/>
      <c r="J1343" s="87"/>
      <c r="K1343" s="87"/>
      <c r="L1343" s="87"/>
      <c r="M1343" s="87"/>
      <c r="N1343" s="87">
        <f t="shared" si="80"/>
        <v>0</v>
      </c>
      <c r="O1343" s="87">
        <f t="shared" si="81"/>
        <v>0</v>
      </c>
      <c r="P1343" s="87" t="b">
        <f t="shared" si="82"/>
        <v>0</v>
      </c>
      <c r="Q1343" s="87" t="b">
        <f>(Requirements!K1345="Normative")</f>
        <v>1</v>
      </c>
      <c r="R1343" s="87" t="b">
        <f>AND(Requirements!L1345&lt;&gt;"Non-testable",Requirements!L1345&lt;&gt;"Deleted",Requirements!L1345&lt;&gt;"")</f>
        <v>0</v>
      </c>
      <c r="S1343" s="87" t="b">
        <f>(VLOOKUP(Requirements!I1345,Scope[[Role]:[Description]],2,FALSE)="In")</f>
        <v>1</v>
      </c>
      <c r="T1343" s="87">
        <f t="shared" si="83"/>
        <v>0</v>
      </c>
    </row>
    <row r="1344" spans="1:20">
      <c r="A1344" s="44" t="str">
        <f>Requirements!A1346</f>
        <v>MS-SMB_R8534</v>
      </c>
      <c r="B1344" s="87"/>
      <c r="C1344" s="87"/>
      <c r="D1344" s="87"/>
      <c r="E1344" s="87"/>
      <c r="F1344" s="87"/>
      <c r="G1344" s="87"/>
      <c r="H1344" s="87"/>
      <c r="I1344" s="87"/>
      <c r="J1344" s="87"/>
      <c r="K1344" s="87"/>
      <c r="L1344" s="87"/>
      <c r="M1344" s="87"/>
      <c r="N1344" s="87">
        <f t="shared" si="80"/>
        <v>0</v>
      </c>
      <c r="O1344" s="87">
        <f t="shared" si="81"/>
        <v>0</v>
      </c>
      <c r="P1344" s="87" t="b">
        <f t="shared" si="82"/>
        <v>0</v>
      </c>
      <c r="Q1344" s="87" t="b">
        <f>(Requirements!K1346="Normative")</f>
        <v>1</v>
      </c>
      <c r="R1344" s="87" t="b">
        <f>AND(Requirements!L1346&lt;&gt;"Non-testable",Requirements!L1346&lt;&gt;"Deleted",Requirements!L1346&lt;&gt;"")</f>
        <v>0</v>
      </c>
      <c r="S1344" s="87" t="b">
        <f>(VLOOKUP(Requirements!I1346,Scope[[Role]:[Description]],2,FALSE)="In")</f>
        <v>1</v>
      </c>
      <c r="T1344" s="87">
        <f t="shared" si="83"/>
        <v>0</v>
      </c>
    </row>
    <row r="1345" spans="1:20">
      <c r="A1345" s="44" t="str">
        <f>Requirements!A1347</f>
        <v>MS-SMB_R8535</v>
      </c>
      <c r="B1345" s="87"/>
      <c r="C1345" s="87"/>
      <c r="D1345" s="87"/>
      <c r="E1345" s="87"/>
      <c r="F1345" s="87"/>
      <c r="G1345" s="87"/>
      <c r="H1345" s="87"/>
      <c r="I1345" s="87"/>
      <c r="J1345" s="87"/>
      <c r="K1345" s="87"/>
      <c r="L1345" s="87"/>
      <c r="M1345" s="87"/>
      <c r="N1345" s="87">
        <f t="shared" si="80"/>
        <v>0</v>
      </c>
      <c r="O1345" s="87">
        <f t="shared" si="81"/>
        <v>0</v>
      </c>
      <c r="P1345" s="87" t="b">
        <f t="shared" si="82"/>
        <v>0</v>
      </c>
      <c r="Q1345" s="87" t="b">
        <f>(Requirements!K1347="Normative")</f>
        <v>1</v>
      </c>
      <c r="R1345" s="87" t="b">
        <f>AND(Requirements!L1347&lt;&gt;"Non-testable",Requirements!L1347&lt;&gt;"Deleted",Requirements!L1347&lt;&gt;"")</f>
        <v>0</v>
      </c>
      <c r="S1345" s="87" t="b">
        <f>(VLOOKUP(Requirements!I1347,Scope[[Role]:[Description]],2,FALSE)="In")</f>
        <v>1</v>
      </c>
      <c r="T1345" s="87">
        <f t="shared" si="83"/>
        <v>0</v>
      </c>
    </row>
    <row r="1346" spans="1:20">
      <c r="A1346" s="44" t="str">
        <f>Requirements!A1348</f>
        <v>MS-SMB_R8536</v>
      </c>
      <c r="B1346" s="87"/>
      <c r="C1346" s="87"/>
      <c r="D1346" s="87"/>
      <c r="E1346" s="87"/>
      <c r="F1346" s="87"/>
      <c r="G1346" s="87"/>
      <c r="H1346" s="87"/>
      <c r="I1346" s="87"/>
      <c r="J1346" s="87"/>
      <c r="K1346" s="87"/>
      <c r="L1346" s="87"/>
      <c r="M1346" s="87"/>
      <c r="N1346" s="87">
        <f t="shared" si="80"/>
        <v>0</v>
      </c>
      <c r="O1346" s="87">
        <f t="shared" si="81"/>
        <v>0</v>
      </c>
      <c r="P1346" s="87" t="b">
        <f t="shared" si="82"/>
        <v>0</v>
      </c>
      <c r="Q1346" s="87" t="b">
        <f>(Requirements!K1348="Normative")</f>
        <v>1</v>
      </c>
      <c r="R1346" s="87" t="b">
        <f>AND(Requirements!L1348&lt;&gt;"Non-testable",Requirements!L1348&lt;&gt;"Deleted",Requirements!L1348&lt;&gt;"")</f>
        <v>0</v>
      </c>
      <c r="S1346" s="87" t="b">
        <f>(VLOOKUP(Requirements!I1348,Scope[[Role]:[Description]],2,FALSE)="In")</f>
        <v>1</v>
      </c>
      <c r="T1346" s="87">
        <f t="shared" si="83"/>
        <v>0</v>
      </c>
    </row>
    <row r="1347" spans="1:20">
      <c r="A1347" s="44" t="str">
        <f>Requirements!A1349</f>
        <v>MS-SMB_R8537</v>
      </c>
      <c r="B1347" s="87"/>
      <c r="C1347" s="87"/>
      <c r="D1347" s="87"/>
      <c r="E1347" s="87"/>
      <c r="F1347" s="87"/>
      <c r="G1347" s="87"/>
      <c r="H1347" s="87"/>
      <c r="I1347" s="87"/>
      <c r="J1347" s="87"/>
      <c r="K1347" s="87"/>
      <c r="L1347" s="87"/>
      <c r="M1347" s="87"/>
      <c r="N1347" s="87">
        <f t="shared" si="80"/>
        <v>0</v>
      </c>
      <c r="O1347" s="87">
        <f t="shared" si="81"/>
        <v>0</v>
      </c>
      <c r="P1347" s="87" t="b">
        <f t="shared" si="82"/>
        <v>0</v>
      </c>
      <c r="Q1347" s="87" t="b">
        <f>(Requirements!K1349="Normative")</f>
        <v>1</v>
      </c>
      <c r="R1347" s="87" t="b">
        <f>AND(Requirements!L1349&lt;&gt;"Non-testable",Requirements!L1349&lt;&gt;"Deleted",Requirements!L1349&lt;&gt;"")</f>
        <v>0</v>
      </c>
      <c r="S1347" s="87" t="b">
        <f>(VLOOKUP(Requirements!I1349,Scope[[Role]:[Description]],2,FALSE)="In")</f>
        <v>1</v>
      </c>
      <c r="T1347" s="87">
        <f t="shared" si="83"/>
        <v>0</v>
      </c>
    </row>
    <row r="1348" spans="1:20">
      <c r="A1348" s="44" t="str">
        <f>Requirements!A1350</f>
        <v>MS-SMB_R8538</v>
      </c>
      <c r="B1348" s="87"/>
      <c r="C1348" s="87"/>
      <c r="D1348" s="87"/>
      <c r="E1348" s="87"/>
      <c r="F1348" s="87"/>
      <c r="G1348" s="87"/>
      <c r="H1348" s="87"/>
      <c r="I1348" s="87"/>
      <c r="J1348" s="87"/>
      <c r="K1348" s="87"/>
      <c r="L1348" s="87"/>
      <c r="M1348" s="87"/>
      <c r="N1348" s="87">
        <f t="shared" si="80"/>
        <v>0</v>
      </c>
      <c r="O1348" s="87">
        <f t="shared" si="81"/>
        <v>0</v>
      </c>
      <c r="P1348" s="87" t="b">
        <f t="shared" si="82"/>
        <v>0</v>
      </c>
      <c r="Q1348" s="87" t="b">
        <f>(Requirements!K1350="Normative")</f>
        <v>1</v>
      </c>
      <c r="R1348" s="87" t="b">
        <f>AND(Requirements!L1350&lt;&gt;"Non-testable",Requirements!L1350&lt;&gt;"Deleted",Requirements!L1350&lt;&gt;"")</f>
        <v>0</v>
      </c>
      <c r="S1348" s="87" t="b">
        <f>(VLOOKUP(Requirements!I1350,Scope[[Role]:[Description]],2,FALSE)="In")</f>
        <v>1</v>
      </c>
      <c r="T1348" s="87">
        <f t="shared" si="83"/>
        <v>0</v>
      </c>
    </row>
    <row r="1349" spans="1:20">
      <c r="A1349" s="44" t="str">
        <f>Requirements!A1351</f>
        <v>MS-SMB_R8539</v>
      </c>
      <c r="B1349" s="87"/>
      <c r="C1349" s="87"/>
      <c r="D1349" s="87"/>
      <c r="E1349" s="87"/>
      <c r="F1349" s="87"/>
      <c r="G1349" s="87"/>
      <c r="H1349" s="87"/>
      <c r="I1349" s="87"/>
      <c r="J1349" s="87"/>
      <c r="K1349" s="87"/>
      <c r="L1349" s="87"/>
      <c r="M1349" s="87"/>
      <c r="N1349" s="87">
        <f t="shared" si="80"/>
        <v>0</v>
      </c>
      <c r="O1349" s="87">
        <f t="shared" si="81"/>
        <v>0</v>
      </c>
      <c r="P1349" s="87" t="b">
        <f t="shared" si="82"/>
        <v>0</v>
      </c>
      <c r="Q1349" s="87" t="b">
        <f>(Requirements!K1351="Normative")</f>
        <v>1</v>
      </c>
      <c r="R1349" s="87" t="b">
        <f>AND(Requirements!L1351&lt;&gt;"Non-testable",Requirements!L1351&lt;&gt;"Deleted",Requirements!L1351&lt;&gt;"")</f>
        <v>0</v>
      </c>
      <c r="S1349" s="87" t="b">
        <f>(VLOOKUP(Requirements!I1351,Scope[[Role]:[Description]],2,FALSE)="In")</f>
        <v>1</v>
      </c>
      <c r="T1349" s="87">
        <f t="shared" si="83"/>
        <v>0</v>
      </c>
    </row>
    <row r="1350" spans="1:20">
      <c r="A1350" s="44" t="str">
        <f>Requirements!A1352</f>
        <v>MS-SMB_R8540</v>
      </c>
      <c r="B1350" s="87"/>
      <c r="C1350" s="87"/>
      <c r="D1350" s="87"/>
      <c r="E1350" s="87"/>
      <c r="F1350" s="87"/>
      <c r="G1350" s="87"/>
      <c r="H1350" s="87"/>
      <c r="I1350" s="87"/>
      <c r="J1350" s="87"/>
      <c r="K1350" s="87"/>
      <c r="L1350" s="87"/>
      <c r="M1350" s="87"/>
      <c r="N1350" s="87">
        <f t="shared" si="80"/>
        <v>0</v>
      </c>
      <c r="O1350" s="87">
        <f t="shared" si="81"/>
        <v>0</v>
      </c>
      <c r="P1350" s="87" t="b">
        <f t="shared" si="82"/>
        <v>0</v>
      </c>
      <c r="Q1350" s="87" t="b">
        <f>(Requirements!K1352="Normative")</f>
        <v>1</v>
      </c>
      <c r="R1350" s="87" t="b">
        <f>AND(Requirements!L1352&lt;&gt;"Non-testable",Requirements!L1352&lt;&gt;"Deleted",Requirements!L1352&lt;&gt;"")</f>
        <v>0</v>
      </c>
      <c r="S1350" s="87" t="b">
        <f>(VLOOKUP(Requirements!I1352,Scope[[Role]:[Description]],2,FALSE)="In")</f>
        <v>1</v>
      </c>
      <c r="T1350" s="87">
        <f t="shared" si="83"/>
        <v>0</v>
      </c>
    </row>
    <row r="1351" spans="1:20">
      <c r="A1351" s="44" t="str">
        <f>Requirements!A1353</f>
        <v>MS-SMB_R8541</v>
      </c>
      <c r="B1351" s="87"/>
      <c r="C1351" s="87"/>
      <c r="D1351" s="87"/>
      <c r="E1351" s="87"/>
      <c r="F1351" s="87"/>
      <c r="G1351" s="87"/>
      <c r="H1351" s="87"/>
      <c r="I1351" s="87"/>
      <c r="J1351" s="87"/>
      <c r="K1351" s="87"/>
      <c r="L1351" s="87"/>
      <c r="M1351" s="87"/>
      <c r="N1351" s="87">
        <f t="shared" si="80"/>
        <v>0</v>
      </c>
      <c r="O1351" s="87">
        <f t="shared" si="81"/>
        <v>0</v>
      </c>
      <c r="P1351" s="87" t="b">
        <f t="shared" si="82"/>
        <v>0</v>
      </c>
      <c r="Q1351" s="87" t="b">
        <f>(Requirements!K1353="Normative")</f>
        <v>0</v>
      </c>
      <c r="R1351" s="87" t="b">
        <f>AND(Requirements!L1353&lt;&gt;"Non-testable",Requirements!L1353&lt;&gt;"Deleted",Requirements!L1353&lt;&gt;"")</f>
        <v>1</v>
      </c>
      <c r="S1351" s="87" t="b">
        <f>(VLOOKUP(Requirements!I1353,Scope[[Role]:[Description]],2,FALSE)="In")</f>
        <v>1</v>
      </c>
      <c r="T1351" s="87">
        <f t="shared" si="83"/>
        <v>0</v>
      </c>
    </row>
    <row r="1352" spans="1:20">
      <c r="A1352" s="44" t="str">
        <f>Requirements!A1354</f>
        <v>MS-SMB_R8542</v>
      </c>
      <c r="B1352" s="87"/>
      <c r="C1352" s="87"/>
      <c r="D1352" s="87"/>
      <c r="E1352" s="87"/>
      <c r="F1352" s="87"/>
      <c r="G1352" s="87"/>
      <c r="H1352" s="87"/>
      <c r="I1352" s="87"/>
      <c r="J1352" s="87"/>
      <c r="K1352" s="87"/>
      <c r="L1352" s="87"/>
      <c r="M1352" s="87"/>
      <c r="N1352" s="87">
        <f t="shared" si="80"/>
        <v>0</v>
      </c>
      <c r="O1352" s="87">
        <f t="shared" si="81"/>
        <v>0</v>
      </c>
      <c r="P1352" s="87" t="b">
        <f t="shared" si="82"/>
        <v>0</v>
      </c>
      <c r="Q1352" s="87" t="b">
        <f>(Requirements!K1354="Normative")</f>
        <v>0</v>
      </c>
      <c r="R1352" s="87" t="b">
        <f>AND(Requirements!L1354&lt;&gt;"Non-testable",Requirements!L1354&lt;&gt;"Deleted",Requirements!L1354&lt;&gt;"")</f>
        <v>1</v>
      </c>
      <c r="S1352" s="87" t="b">
        <f>(VLOOKUP(Requirements!I1354,Scope[[Role]:[Description]],2,FALSE)="In")</f>
        <v>1</v>
      </c>
      <c r="T1352" s="87">
        <f t="shared" si="83"/>
        <v>0</v>
      </c>
    </row>
    <row r="1353" spans="1:20">
      <c r="A1353" s="44" t="str">
        <f>Requirements!A1355</f>
        <v>MS-SMB_R8543</v>
      </c>
      <c r="B1353" s="87"/>
      <c r="C1353" s="87"/>
      <c r="D1353" s="87"/>
      <c r="E1353" s="87"/>
      <c r="F1353" s="87"/>
      <c r="G1353" s="87"/>
      <c r="H1353" s="87"/>
      <c r="I1353" s="87"/>
      <c r="J1353" s="87"/>
      <c r="K1353" s="87"/>
      <c r="L1353" s="87"/>
      <c r="M1353" s="87"/>
      <c r="N1353" s="87">
        <f t="shared" si="80"/>
        <v>0</v>
      </c>
      <c r="O1353" s="87">
        <f t="shared" si="81"/>
        <v>0</v>
      </c>
      <c r="P1353" s="87" t="b">
        <f t="shared" si="82"/>
        <v>0</v>
      </c>
      <c r="Q1353" s="87" t="b">
        <f>(Requirements!K1355="Normative")</f>
        <v>0</v>
      </c>
      <c r="R1353" s="87" t="b">
        <f>AND(Requirements!L1355&lt;&gt;"Non-testable",Requirements!L1355&lt;&gt;"Deleted",Requirements!L1355&lt;&gt;"")</f>
        <v>1</v>
      </c>
      <c r="S1353" s="87" t="b">
        <f>(VLOOKUP(Requirements!I1355,Scope[[Role]:[Description]],2,FALSE)="In")</f>
        <v>1</v>
      </c>
      <c r="T1353" s="87">
        <f t="shared" si="83"/>
        <v>0</v>
      </c>
    </row>
    <row r="1354" spans="1:20">
      <c r="A1354" s="44" t="str">
        <f>Requirements!A1356</f>
        <v>MS-SMB_R8544</v>
      </c>
      <c r="B1354" s="87"/>
      <c r="C1354" s="87"/>
      <c r="D1354" s="87"/>
      <c r="E1354" s="87"/>
      <c r="F1354" s="87"/>
      <c r="G1354" s="87"/>
      <c r="H1354" s="87"/>
      <c r="I1354" s="87"/>
      <c r="J1354" s="87"/>
      <c r="K1354" s="87"/>
      <c r="L1354" s="87"/>
      <c r="M1354" s="87"/>
      <c r="N1354" s="87">
        <f t="shared" si="80"/>
        <v>0</v>
      </c>
      <c r="O1354" s="87">
        <f t="shared" si="81"/>
        <v>0</v>
      </c>
      <c r="P1354" s="87" t="b">
        <f t="shared" si="82"/>
        <v>0</v>
      </c>
      <c r="Q1354" s="87" t="b">
        <f>(Requirements!K1356="Normative")</f>
        <v>1</v>
      </c>
      <c r="R1354" s="87" t="b">
        <f>AND(Requirements!L1356&lt;&gt;"Non-testable",Requirements!L1356&lt;&gt;"Deleted",Requirements!L1356&lt;&gt;"")</f>
        <v>0</v>
      </c>
      <c r="S1354" s="87" t="b">
        <f>(VLOOKUP(Requirements!I1356,Scope[[Role]:[Description]],2,FALSE)="In")</f>
        <v>1</v>
      </c>
      <c r="T1354" s="87">
        <f t="shared" si="83"/>
        <v>0</v>
      </c>
    </row>
    <row r="1355" spans="1:20">
      <c r="A1355" s="44" t="str">
        <f>Requirements!A1357</f>
        <v>MS-SMB_R8545</v>
      </c>
      <c r="B1355" s="87"/>
      <c r="C1355" s="87"/>
      <c r="D1355" s="87"/>
      <c r="E1355" s="87"/>
      <c r="F1355" s="87"/>
      <c r="G1355" s="87"/>
      <c r="H1355" s="87"/>
      <c r="I1355" s="87"/>
      <c r="J1355" s="87"/>
      <c r="K1355" s="87"/>
      <c r="L1355" s="87"/>
      <c r="M1355" s="87"/>
      <c r="N1355" s="87">
        <f t="shared" si="80"/>
        <v>0</v>
      </c>
      <c r="O1355" s="87">
        <f t="shared" si="81"/>
        <v>0</v>
      </c>
      <c r="P1355" s="87" t="b">
        <f t="shared" si="82"/>
        <v>0</v>
      </c>
      <c r="Q1355" s="87" t="b">
        <f>(Requirements!K1357="Normative")</f>
        <v>1</v>
      </c>
      <c r="R1355" s="87" t="b">
        <f>AND(Requirements!L1357&lt;&gt;"Non-testable",Requirements!L1357&lt;&gt;"Deleted",Requirements!L1357&lt;&gt;"")</f>
        <v>0</v>
      </c>
      <c r="S1355" s="87" t="b">
        <f>(VLOOKUP(Requirements!I1357,Scope[[Role]:[Description]],2,FALSE)="In")</f>
        <v>1</v>
      </c>
      <c r="T1355" s="87">
        <f t="shared" si="83"/>
        <v>0</v>
      </c>
    </row>
    <row r="1356" spans="1:20">
      <c r="A1356" s="44" t="str">
        <f>Requirements!A1358</f>
        <v>MS-SMB_R8546</v>
      </c>
      <c r="B1356" s="87"/>
      <c r="C1356" s="87"/>
      <c r="D1356" s="87"/>
      <c r="E1356" s="87"/>
      <c r="F1356" s="87"/>
      <c r="G1356" s="87"/>
      <c r="H1356" s="87"/>
      <c r="I1356" s="87"/>
      <c r="J1356" s="87"/>
      <c r="K1356" s="87"/>
      <c r="L1356" s="87"/>
      <c r="M1356" s="87"/>
      <c r="N1356" s="87">
        <f t="shared" si="80"/>
        <v>0</v>
      </c>
      <c r="O1356" s="87">
        <f t="shared" si="81"/>
        <v>0</v>
      </c>
      <c r="P1356" s="87" t="b">
        <f t="shared" si="82"/>
        <v>0</v>
      </c>
      <c r="Q1356" s="87" t="b">
        <f>(Requirements!K1358="Normative")</f>
        <v>1</v>
      </c>
      <c r="R1356" s="87" t="b">
        <f>AND(Requirements!L1358&lt;&gt;"Non-testable",Requirements!L1358&lt;&gt;"Deleted",Requirements!L1358&lt;&gt;"")</f>
        <v>0</v>
      </c>
      <c r="S1356" s="87" t="b">
        <f>(VLOOKUP(Requirements!I1358,Scope[[Role]:[Description]],2,FALSE)="In")</f>
        <v>1</v>
      </c>
      <c r="T1356" s="87">
        <f t="shared" si="83"/>
        <v>0</v>
      </c>
    </row>
    <row r="1357" spans="1:20">
      <c r="A1357" s="44" t="str">
        <f>Requirements!A1359</f>
        <v>MS-SMB_R8547</v>
      </c>
      <c r="B1357" s="87"/>
      <c r="C1357" s="87"/>
      <c r="D1357" s="87"/>
      <c r="E1357" s="87"/>
      <c r="F1357" s="87"/>
      <c r="G1357" s="87"/>
      <c r="H1357" s="87"/>
      <c r="I1357" s="87"/>
      <c r="J1357" s="87"/>
      <c r="K1357" s="87"/>
      <c r="L1357" s="87"/>
      <c r="M1357" s="87"/>
      <c r="N1357" s="87">
        <f t="shared" si="80"/>
        <v>0</v>
      </c>
      <c r="O1357" s="87">
        <f t="shared" si="81"/>
        <v>0</v>
      </c>
      <c r="P1357" s="87" t="b">
        <f t="shared" si="82"/>
        <v>0</v>
      </c>
      <c r="Q1357" s="87" t="b">
        <f>(Requirements!K1359="Normative")</f>
        <v>1</v>
      </c>
      <c r="R1357" s="87" t="b">
        <f>AND(Requirements!L1359&lt;&gt;"Non-testable",Requirements!L1359&lt;&gt;"Deleted",Requirements!L1359&lt;&gt;"")</f>
        <v>0</v>
      </c>
      <c r="S1357" s="87" t="b">
        <f>(VLOOKUP(Requirements!I1359,Scope[[Role]:[Description]],2,FALSE)="In")</f>
        <v>1</v>
      </c>
      <c r="T1357" s="87">
        <f t="shared" si="83"/>
        <v>0</v>
      </c>
    </row>
    <row r="1358" spans="1:20">
      <c r="A1358" s="44" t="str">
        <f>Requirements!A1360</f>
        <v>MS-SMB_R8548</v>
      </c>
      <c r="B1358" s="87"/>
      <c r="C1358" s="87"/>
      <c r="D1358" s="87"/>
      <c r="E1358" s="87"/>
      <c r="F1358" s="87"/>
      <c r="G1358" s="87"/>
      <c r="H1358" s="87"/>
      <c r="I1358" s="87"/>
      <c r="J1358" s="87"/>
      <c r="K1358" s="87"/>
      <c r="L1358" s="87"/>
      <c r="M1358" s="87"/>
      <c r="N1358" s="87">
        <f t="shared" si="80"/>
        <v>0</v>
      </c>
      <c r="O1358" s="87">
        <f t="shared" si="81"/>
        <v>0</v>
      </c>
      <c r="P1358" s="87" t="b">
        <f t="shared" si="82"/>
        <v>0</v>
      </c>
      <c r="Q1358" s="87" t="b">
        <f>(Requirements!K1360="Normative")</f>
        <v>1</v>
      </c>
      <c r="R1358" s="87" t="b">
        <f>AND(Requirements!L1360&lt;&gt;"Non-testable",Requirements!L1360&lt;&gt;"Deleted",Requirements!L1360&lt;&gt;"")</f>
        <v>0</v>
      </c>
      <c r="S1358" s="87" t="b">
        <f>(VLOOKUP(Requirements!I1360,Scope[[Role]:[Description]],2,FALSE)="In")</f>
        <v>1</v>
      </c>
      <c r="T1358" s="87">
        <f t="shared" si="83"/>
        <v>0</v>
      </c>
    </row>
    <row r="1359" spans="1:20">
      <c r="A1359" s="44" t="str">
        <f>Requirements!A1361</f>
        <v>MS-SMB_R8549</v>
      </c>
      <c r="B1359" s="87"/>
      <c r="C1359" s="87"/>
      <c r="D1359" s="87"/>
      <c r="E1359" s="87"/>
      <c r="F1359" s="87"/>
      <c r="G1359" s="87"/>
      <c r="H1359" s="87"/>
      <c r="I1359" s="87"/>
      <c r="J1359" s="87"/>
      <c r="K1359" s="87"/>
      <c r="L1359" s="87"/>
      <c r="M1359" s="87"/>
      <c r="N1359" s="87">
        <f t="shared" si="80"/>
        <v>0</v>
      </c>
      <c r="O1359" s="87">
        <f t="shared" si="81"/>
        <v>0</v>
      </c>
      <c r="P1359" s="87" t="b">
        <f t="shared" si="82"/>
        <v>0</v>
      </c>
      <c r="Q1359" s="87" t="b">
        <f>(Requirements!K1361="Normative")</f>
        <v>1</v>
      </c>
      <c r="R1359" s="87" t="b">
        <f>AND(Requirements!L1361&lt;&gt;"Non-testable",Requirements!L1361&lt;&gt;"Deleted",Requirements!L1361&lt;&gt;"")</f>
        <v>0</v>
      </c>
      <c r="S1359" s="87" t="b">
        <f>(VLOOKUP(Requirements!I1361,Scope[[Role]:[Description]],2,FALSE)="In")</f>
        <v>1</v>
      </c>
      <c r="T1359" s="87">
        <f t="shared" si="83"/>
        <v>0</v>
      </c>
    </row>
    <row r="1360" spans="1:20">
      <c r="A1360" s="44" t="str">
        <f>Requirements!A1362</f>
        <v>MS-SMB_R8550</v>
      </c>
      <c r="B1360" s="87"/>
      <c r="C1360" s="87"/>
      <c r="D1360" s="87"/>
      <c r="E1360" s="87"/>
      <c r="F1360" s="87"/>
      <c r="G1360" s="87"/>
      <c r="H1360" s="87"/>
      <c r="I1360" s="87"/>
      <c r="J1360" s="87"/>
      <c r="K1360" s="87"/>
      <c r="L1360" s="87"/>
      <c r="M1360" s="87"/>
      <c r="N1360" s="87">
        <f t="shared" si="80"/>
        <v>0</v>
      </c>
      <c r="O1360" s="87">
        <f t="shared" si="81"/>
        <v>0</v>
      </c>
      <c r="P1360" s="87" t="b">
        <f t="shared" si="82"/>
        <v>0</v>
      </c>
      <c r="Q1360" s="87" t="b">
        <f>(Requirements!K1362="Normative")</f>
        <v>1</v>
      </c>
      <c r="R1360" s="87" t="b">
        <f>AND(Requirements!L1362&lt;&gt;"Non-testable",Requirements!L1362&lt;&gt;"Deleted",Requirements!L1362&lt;&gt;"")</f>
        <v>0</v>
      </c>
      <c r="S1360" s="87" t="b">
        <f>(VLOOKUP(Requirements!I1362,Scope[[Role]:[Description]],2,FALSE)="In")</f>
        <v>1</v>
      </c>
      <c r="T1360" s="87">
        <f t="shared" si="83"/>
        <v>0</v>
      </c>
    </row>
    <row r="1361" spans="1:20">
      <c r="A1361" s="44" t="str">
        <f>Requirements!A1363</f>
        <v>MS-SMB_R8551</v>
      </c>
      <c r="B1361" s="87"/>
      <c r="C1361" s="87"/>
      <c r="D1361" s="87"/>
      <c r="E1361" s="87"/>
      <c r="F1361" s="87"/>
      <c r="G1361" s="87"/>
      <c r="H1361" s="87"/>
      <c r="I1361" s="87"/>
      <c r="J1361" s="87"/>
      <c r="K1361" s="87"/>
      <c r="L1361" s="87"/>
      <c r="M1361" s="87"/>
      <c r="N1361" s="87">
        <f t="shared" si="80"/>
        <v>0</v>
      </c>
      <c r="O1361" s="87">
        <f t="shared" si="81"/>
        <v>0</v>
      </c>
      <c r="P1361" s="87" t="b">
        <f t="shared" si="82"/>
        <v>0</v>
      </c>
      <c r="Q1361" s="87" t="b">
        <f>(Requirements!K1363="Normative")</f>
        <v>1</v>
      </c>
      <c r="R1361" s="87" t="b">
        <f>AND(Requirements!L1363&lt;&gt;"Non-testable",Requirements!L1363&lt;&gt;"Deleted",Requirements!L1363&lt;&gt;"")</f>
        <v>0</v>
      </c>
      <c r="S1361" s="87" t="b">
        <f>(VLOOKUP(Requirements!I1363,Scope[[Role]:[Description]],2,FALSE)="In")</f>
        <v>1</v>
      </c>
      <c r="T1361" s="87">
        <f t="shared" si="83"/>
        <v>0</v>
      </c>
    </row>
    <row r="1362" spans="1:20">
      <c r="A1362" s="44" t="str">
        <f>Requirements!A1364</f>
        <v>MS-SMB_R2292</v>
      </c>
      <c r="B1362" s="87"/>
      <c r="C1362" s="87"/>
      <c r="D1362" s="87"/>
      <c r="E1362" s="87"/>
      <c r="F1362" s="87"/>
      <c r="G1362" s="87"/>
      <c r="H1362" s="87"/>
      <c r="I1362" s="87"/>
      <c r="J1362" s="87"/>
      <c r="K1362" s="87"/>
      <c r="L1362" s="87"/>
      <c r="M1362" s="87"/>
      <c r="N1362" s="87">
        <f t="shared" si="80"/>
        <v>0</v>
      </c>
      <c r="O1362" s="87">
        <f t="shared" si="81"/>
        <v>0</v>
      </c>
      <c r="P1362" s="87" t="b">
        <f t="shared" si="82"/>
        <v>0</v>
      </c>
      <c r="Q1362" s="87" t="b">
        <f>(Requirements!K1364="Normative")</f>
        <v>1</v>
      </c>
      <c r="R1362" s="87" t="b">
        <f>AND(Requirements!L1364&lt;&gt;"Non-testable",Requirements!L1364&lt;&gt;"Deleted",Requirements!L1364&lt;&gt;"")</f>
        <v>0</v>
      </c>
      <c r="S1362" s="87" t="b">
        <f>(VLOOKUP(Requirements!I1364,Scope[[Role]:[Description]],2,FALSE)="In")</f>
        <v>1</v>
      </c>
      <c r="T1362" s="87">
        <f t="shared" si="83"/>
        <v>0</v>
      </c>
    </row>
    <row r="1363" spans="1:20">
      <c r="A1363" s="44" t="str">
        <f>Requirements!A1365</f>
        <v>MS-SMB_R2293</v>
      </c>
      <c r="B1363" s="87"/>
      <c r="C1363" s="87"/>
      <c r="D1363" s="87"/>
      <c r="E1363" s="87"/>
      <c r="F1363" s="87"/>
      <c r="G1363" s="87"/>
      <c r="H1363" s="87"/>
      <c r="I1363" s="87"/>
      <c r="J1363" s="87"/>
      <c r="K1363" s="87"/>
      <c r="L1363" s="87"/>
      <c r="M1363" s="87"/>
      <c r="N1363" s="87">
        <f t="shared" si="80"/>
        <v>0</v>
      </c>
      <c r="O1363" s="87">
        <f t="shared" si="81"/>
        <v>0</v>
      </c>
      <c r="P1363" s="87" t="b">
        <f t="shared" si="82"/>
        <v>0</v>
      </c>
      <c r="Q1363" s="87" t="b">
        <f>(Requirements!K1365="Normative")</f>
        <v>1</v>
      </c>
      <c r="R1363" s="87" t="b">
        <f>AND(Requirements!L1365&lt;&gt;"Non-testable",Requirements!L1365&lt;&gt;"Deleted",Requirements!L1365&lt;&gt;"")</f>
        <v>0</v>
      </c>
      <c r="S1363" s="87" t="b">
        <f>(VLOOKUP(Requirements!I1365,Scope[[Role]:[Description]],2,FALSE)="In")</f>
        <v>1</v>
      </c>
      <c r="T1363" s="87">
        <f t="shared" si="83"/>
        <v>0</v>
      </c>
    </row>
    <row r="1364" spans="1:20">
      <c r="A1364" s="44" t="str">
        <f>Requirements!A1366</f>
        <v>MS-SMB_R2294</v>
      </c>
      <c r="B1364" s="87"/>
      <c r="C1364" s="87"/>
      <c r="D1364" s="87"/>
      <c r="E1364" s="87"/>
      <c r="F1364" s="87"/>
      <c r="G1364" s="87"/>
      <c r="H1364" s="87"/>
      <c r="I1364" s="87"/>
      <c r="J1364" s="87"/>
      <c r="K1364" s="87"/>
      <c r="L1364" s="87"/>
      <c r="M1364" s="87"/>
      <c r="N1364" s="87">
        <f t="shared" ref="N1364:N1427" si="84">SUM(B1364:M1364)</f>
        <v>0</v>
      </c>
      <c r="O1364" s="87">
        <f t="shared" ref="O1364:O1427" si="85">IF(N1364=0,0,1)</f>
        <v>0</v>
      </c>
      <c r="P1364" s="87" t="b">
        <f t="shared" ref="P1364:P1427" si="86">AND(Q1364:S1364)</f>
        <v>0</v>
      </c>
      <c r="Q1364" s="87" t="b">
        <f>(Requirements!K1366="Normative")</f>
        <v>1</v>
      </c>
      <c r="R1364" s="87" t="b">
        <f>AND(Requirements!L1366&lt;&gt;"Non-testable",Requirements!L1366&lt;&gt;"Deleted",Requirements!L1366&lt;&gt;"")</f>
        <v>0</v>
      </c>
      <c r="S1364" s="87" t="b">
        <f>(VLOOKUP(Requirements!I1366,Scope[[Role]:[Description]],2,FALSE)="In")</f>
        <v>1</v>
      </c>
      <c r="T1364" s="87">
        <f t="shared" ref="T1364:T1427" si="87">IF(P1364,O1364, 0)</f>
        <v>0</v>
      </c>
    </row>
    <row r="1365" spans="1:20">
      <c r="A1365" s="44" t="str">
        <f>Requirements!A1367</f>
        <v>MS-SMB_R2295</v>
      </c>
      <c r="B1365" s="87"/>
      <c r="C1365" s="87"/>
      <c r="D1365" s="87"/>
      <c r="E1365" s="87"/>
      <c r="F1365" s="87"/>
      <c r="G1365" s="87"/>
      <c r="H1365" s="87"/>
      <c r="I1365" s="87"/>
      <c r="J1365" s="87"/>
      <c r="K1365" s="87"/>
      <c r="L1365" s="87"/>
      <c r="M1365" s="87"/>
      <c r="N1365" s="87">
        <f t="shared" si="84"/>
        <v>0</v>
      </c>
      <c r="O1365" s="87">
        <f t="shared" si="85"/>
        <v>0</v>
      </c>
      <c r="P1365" s="87" t="b">
        <f t="shared" si="86"/>
        <v>0</v>
      </c>
      <c r="Q1365" s="87" t="b">
        <f>(Requirements!K1367="Normative")</f>
        <v>1</v>
      </c>
      <c r="R1365" s="87" t="b">
        <f>AND(Requirements!L1367&lt;&gt;"Non-testable",Requirements!L1367&lt;&gt;"Deleted",Requirements!L1367&lt;&gt;"")</f>
        <v>0</v>
      </c>
      <c r="S1365" s="87" t="b">
        <f>(VLOOKUP(Requirements!I1367,Scope[[Role]:[Description]],2,FALSE)="In")</f>
        <v>1</v>
      </c>
      <c r="T1365" s="87">
        <f t="shared" si="87"/>
        <v>0</v>
      </c>
    </row>
    <row r="1366" spans="1:20">
      <c r="A1366" s="44" t="str">
        <f>Requirements!A1368</f>
        <v>MS-SMB_R2296</v>
      </c>
      <c r="B1366" s="87"/>
      <c r="C1366" s="87"/>
      <c r="D1366" s="87"/>
      <c r="E1366" s="87"/>
      <c r="F1366" s="87"/>
      <c r="G1366" s="87"/>
      <c r="H1366" s="87"/>
      <c r="I1366" s="87"/>
      <c r="J1366" s="87"/>
      <c r="K1366" s="87"/>
      <c r="L1366" s="87"/>
      <c r="M1366" s="87"/>
      <c r="N1366" s="87">
        <f t="shared" si="84"/>
        <v>0</v>
      </c>
      <c r="O1366" s="87">
        <f t="shared" si="85"/>
        <v>0</v>
      </c>
      <c r="P1366" s="87" t="b">
        <f t="shared" si="86"/>
        <v>0</v>
      </c>
      <c r="Q1366" s="87" t="b">
        <f>(Requirements!K1368="Normative")</f>
        <v>1</v>
      </c>
      <c r="R1366" s="87" t="b">
        <f>AND(Requirements!L1368&lt;&gt;"Non-testable",Requirements!L1368&lt;&gt;"Deleted",Requirements!L1368&lt;&gt;"")</f>
        <v>0</v>
      </c>
      <c r="S1366" s="87" t="b">
        <f>(VLOOKUP(Requirements!I1368,Scope[[Role]:[Description]],2,FALSE)="In")</f>
        <v>1</v>
      </c>
      <c r="T1366" s="87">
        <f t="shared" si="87"/>
        <v>0</v>
      </c>
    </row>
    <row r="1367" spans="1:20">
      <c r="A1367" s="44" t="str">
        <f>Requirements!A1369</f>
        <v>MS-SMB_R8552</v>
      </c>
      <c r="B1367" s="87"/>
      <c r="C1367" s="87"/>
      <c r="D1367" s="87"/>
      <c r="E1367" s="87"/>
      <c r="F1367" s="87"/>
      <c r="G1367" s="87"/>
      <c r="H1367" s="87"/>
      <c r="I1367" s="87"/>
      <c r="J1367" s="87"/>
      <c r="K1367" s="87"/>
      <c r="L1367" s="87"/>
      <c r="M1367" s="87"/>
      <c r="N1367" s="87">
        <f t="shared" si="84"/>
        <v>0</v>
      </c>
      <c r="O1367" s="87">
        <f t="shared" si="85"/>
        <v>0</v>
      </c>
      <c r="P1367" s="87" t="b">
        <f t="shared" si="86"/>
        <v>0</v>
      </c>
      <c r="Q1367" s="87" t="b">
        <f>(Requirements!K1369="Normative")</f>
        <v>0</v>
      </c>
      <c r="R1367" s="87" t="b">
        <f>AND(Requirements!L1369&lt;&gt;"Non-testable",Requirements!L1369&lt;&gt;"Deleted",Requirements!L1369&lt;&gt;"")</f>
        <v>1</v>
      </c>
      <c r="S1367" s="87" t="b">
        <f>(VLOOKUP(Requirements!I1369,Scope[[Role]:[Description]],2,FALSE)="In")</f>
        <v>1</v>
      </c>
      <c r="T1367" s="87">
        <f t="shared" si="87"/>
        <v>0</v>
      </c>
    </row>
    <row r="1368" spans="1:20">
      <c r="A1368" s="44" t="str">
        <f>Requirements!A1370</f>
        <v>MS-SMB_R4721</v>
      </c>
      <c r="B1368" s="87"/>
      <c r="C1368" s="87"/>
      <c r="D1368" s="87"/>
      <c r="E1368" s="87"/>
      <c r="F1368" s="87"/>
      <c r="G1368" s="87"/>
      <c r="H1368" s="87"/>
      <c r="I1368" s="87"/>
      <c r="J1368" s="87"/>
      <c r="K1368" s="87"/>
      <c r="L1368" s="87"/>
      <c r="M1368" s="87"/>
      <c r="N1368" s="87">
        <f t="shared" si="84"/>
        <v>0</v>
      </c>
      <c r="O1368" s="87">
        <f t="shared" si="85"/>
        <v>0</v>
      </c>
      <c r="P1368" s="87" t="b">
        <f t="shared" si="86"/>
        <v>0</v>
      </c>
      <c r="Q1368" s="87" t="b">
        <f>(Requirements!K1370="Normative")</f>
        <v>1</v>
      </c>
      <c r="R1368" s="87" t="b">
        <f>AND(Requirements!L1370&lt;&gt;"Non-testable",Requirements!L1370&lt;&gt;"Deleted",Requirements!L1370&lt;&gt;"")</f>
        <v>0</v>
      </c>
      <c r="S1368" s="87" t="b">
        <f>(VLOOKUP(Requirements!I1370,Scope[[Role]:[Description]],2,FALSE)="In")</f>
        <v>1</v>
      </c>
      <c r="T1368" s="87">
        <f t="shared" si="87"/>
        <v>0</v>
      </c>
    </row>
    <row r="1369" spans="1:20">
      <c r="A1369" s="44" t="str">
        <f>Requirements!A1371</f>
        <v>MS-SMB_R4722</v>
      </c>
      <c r="B1369" s="87"/>
      <c r="C1369" s="87"/>
      <c r="D1369" s="87"/>
      <c r="E1369" s="87"/>
      <c r="F1369" s="87"/>
      <c r="G1369" s="87"/>
      <c r="H1369" s="87"/>
      <c r="I1369" s="87"/>
      <c r="J1369" s="87"/>
      <c r="K1369" s="87"/>
      <c r="L1369" s="87"/>
      <c r="M1369" s="87"/>
      <c r="N1369" s="87">
        <f t="shared" si="84"/>
        <v>0</v>
      </c>
      <c r="O1369" s="87">
        <f t="shared" si="85"/>
        <v>0</v>
      </c>
      <c r="P1369" s="87" t="b">
        <f t="shared" si="86"/>
        <v>0</v>
      </c>
      <c r="Q1369" s="87" t="b">
        <f>(Requirements!K1371="Normative")</f>
        <v>0</v>
      </c>
      <c r="R1369" s="87" t="b">
        <f>AND(Requirements!L1371&lt;&gt;"Non-testable",Requirements!L1371&lt;&gt;"Deleted",Requirements!L1371&lt;&gt;"")</f>
        <v>1</v>
      </c>
      <c r="S1369" s="87" t="b">
        <f>(VLOOKUP(Requirements!I1371,Scope[[Role]:[Description]],2,FALSE)="In")</f>
        <v>1</v>
      </c>
      <c r="T1369" s="87">
        <f t="shared" si="87"/>
        <v>0</v>
      </c>
    </row>
    <row r="1370" spans="1:20">
      <c r="A1370" s="44" t="str">
        <f>Requirements!A1372</f>
        <v>MS-SMB_R4723</v>
      </c>
      <c r="B1370" s="87"/>
      <c r="C1370" s="87"/>
      <c r="D1370" s="87"/>
      <c r="E1370" s="87"/>
      <c r="F1370" s="87"/>
      <c r="G1370" s="87"/>
      <c r="H1370" s="87"/>
      <c r="I1370" s="87"/>
      <c r="J1370" s="87"/>
      <c r="K1370" s="87"/>
      <c r="L1370" s="87"/>
      <c r="M1370" s="87"/>
      <c r="N1370" s="87">
        <f t="shared" si="84"/>
        <v>0</v>
      </c>
      <c r="O1370" s="87">
        <f t="shared" si="85"/>
        <v>0</v>
      </c>
      <c r="P1370" s="87" t="b">
        <f t="shared" si="86"/>
        <v>0</v>
      </c>
      <c r="Q1370" s="87" t="b">
        <f>(Requirements!K1372="Normative")</f>
        <v>1</v>
      </c>
      <c r="R1370" s="87" t="b">
        <f>AND(Requirements!L1372&lt;&gt;"Non-testable",Requirements!L1372&lt;&gt;"Deleted",Requirements!L1372&lt;&gt;"")</f>
        <v>0</v>
      </c>
      <c r="S1370" s="87" t="b">
        <f>(VLOOKUP(Requirements!I1372,Scope[[Role]:[Description]],2,FALSE)="In")</f>
        <v>1</v>
      </c>
      <c r="T1370" s="87">
        <f t="shared" si="87"/>
        <v>0</v>
      </c>
    </row>
    <row r="1371" spans="1:20">
      <c r="A1371" s="44" t="str">
        <f>Requirements!A1373</f>
        <v>MS-SMB_R2298</v>
      </c>
      <c r="B1371" s="87"/>
      <c r="C1371" s="87"/>
      <c r="D1371" s="87"/>
      <c r="E1371" s="87"/>
      <c r="F1371" s="87"/>
      <c r="G1371" s="87"/>
      <c r="H1371" s="87"/>
      <c r="I1371" s="87"/>
      <c r="J1371" s="87"/>
      <c r="K1371" s="87"/>
      <c r="L1371" s="87"/>
      <c r="M1371" s="87"/>
      <c r="N1371" s="87">
        <f t="shared" si="84"/>
        <v>0</v>
      </c>
      <c r="O1371" s="87">
        <f t="shared" si="85"/>
        <v>0</v>
      </c>
      <c r="P1371" s="87" t="b">
        <f t="shared" si="86"/>
        <v>0</v>
      </c>
      <c r="Q1371" s="87" t="b">
        <f>(Requirements!K1373="Normative")</f>
        <v>1</v>
      </c>
      <c r="R1371" s="87" t="b">
        <f>AND(Requirements!L1373&lt;&gt;"Non-testable",Requirements!L1373&lt;&gt;"Deleted",Requirements!L1373&lt;&gt;"")</f>
        <v>0</v>
      </c>
      <c r="S1371" s="87" t="b">
        <f>(VLOOKUP(Requirements!I1373,Scope[[Role]:[Description]],2,FALSE)="In")</f>
        <v>1</v>
      </c>
      <c r="T1371" s="87">
        <f t="shared" si="87"/>
        <v>0</v>
      </c>
    </row>
    <row r="1372" spans="1:20">
      <c r="A1372" s="84" t="str">
        <f>Requirements!A1374</f>
        <v>MS-SMB_R2299</v>
      </c>
      <c r="B1372" s="87">
        <v>1</v>
      </c>
      <c r="C1372" s="87"/>
      <c r="D1372" s="87"/>
      <c r="E1372" s="87"/>
      <c r="F1372" s="87"/>
      <c r="G1372" s="87"/>
      <c r="H1372" s="87"/>
      <c r="I1372" s="87"/>
      <c r="J1372" s="87"/>
      <c r="K1372" s="87"/>
      <c r="L1372" s="87"/>
      <c r="M1372" s="87"/>
      <c r="N1372" s="87">
        <f t="shared" si="84"/>
        <v>1</v>
      </c>
      <c r="O1372" s="60">
        <f t="shared" si="85"/>
        <v>1</v>
      </c>
      <c r="P1372" s="60" t="b">
        <f t="shared" si="86"/>
        <v>1</v>
      </c>
      <c r="Q1372" s="87" t="b">
        <f>(Requirements!K1374="Normative")</f>
        <v>1</v>
      </c>
      <c r="R1372" s="87" t="b">
        <f>AND(Requirements!L1374&lt;&gt;"Non-testable",Requirements!L1374&lt;&gt;"Deleted",Requirements!L1374&lt;&gt;"")</f>
        <v>1</v>
      </c>
      <c r="S1372" s="87" t="b">
        <f>(VLOOKUP(Requirements!I1374,Scope[[Role]:[Description]],2,FALSE)="In")</f>
        <v>1</v>
      </c>
      <c r="T1372" s="87">
        <f t="shared" si="87"/>
        <v>1</v>
      </c>
    </row>
    <row r="1373" spans="1:20">
      <c r="A1373" s="44" t="str">
        <f>Requirements!A1375</f>
        <v>MS-SMB_R4727</v>
      </c>
      <c r="B1373" s="87"/>
      <c r="C1373" s="87"/>
      <c r="D1373" s="87"/>
      <c r="E1373" s="87"/>
      <c r="F1373" s="87"/>
      <c r="G1373" s="87"/>
      <c r="H1373" s="87"/>
      <c r="I1373" s="87"/>
      <c r="J1373" s="87"/>
      <c r="K1373" s="87"/>
      <c r="L1373" s="87"/>
      <c r="M1373" s="87"/>
      <c r="N1373" s="87">
        <f t="shared" si="84"/>
        <v>0</v>
      </c>
      <c r="O1373" s="87">
        <f t="shared" si="85"/>
        <v>0</v>
      </c>
      <c r="P1373" s="87" t="b">
        <f t="shared" si="86"/>
        <v>0</v>
      </c>
      <c r="Q1373" s="87" t="b">
        <f>(Requirements!K1375="Normative")</f>
        <v>1</v>
      </c>
      <c r="R1373" s="87" t="b">
        <f>AND(Requirements!L1375&lt;&gt;"Non-testable",Requirements!L1375&lt;&gt;"Deleted",Requirements!L1375&lt;&gt;"")</f>
        <v>0</v>
      </c>
      <c r="S1373" s="87" t="b">
        <f>(VLOOKUP(Requirements!I1375,Scope[[Role]:[Description]],2,FALSE)="In")</f>
        <v>1</v>
      </c>
      <c r="T1373" s="87">
        <f t="shared" si="87"/>
        <v>0</v>
      </c>
    </row>
    <row r="1374" spans="1:20">
      <c r="A1374" s="44" t="str">
        <f>Requirements!A1376</f>
        <v>MS-SMB_R4729</v>
      </c>
      <c r="B1374" s="87"/>
      <c r="C1374" s="87"/>
      <c r="D1374" s="87"/>
      <c r="E1374" s="87"/>
      <c r="F1374" s="87"/>
      <c r="G1374" s="87"/>
      <c r="H1374" s="87"/>
      <c r="I1374" s="87"/>
      <c r="J1374" s="87"/>
      <c r="K1374" s="87"/>
      <c r="L1374" s="87"/>
      <c r="M1374" s="87"/>
      <c r="N1374" s="87">
        <f t="shared" si="84"/>
        <v>0</v>
      </c>
      <c r="O1374" s="87">
        <f t="shared" si="85"/>
        <v>0</v>
      </c>
      <c r="P1374" s="87" t="b">
        <f t="shared" si="86"/>
        <v>0</v>
      </c>
      <c r="Q1374" s="87" t="b">
        <f>(Requirements!K1376="Normative")</f>
        <v>0</v>
      </c>
      <c r="R1374" s="87" t="b">
        <f>AND(Requirements!L1376&lt;&gt;"Non-testable",Requirements!L1376&lt;&gt;"Deleted",Requirements!L1376&lt;&gt;"")</f>
        <v>1</v>
      </c>
      <c r="S1374" s="87" t="b">
        <f>(VLOOKUP(Requirements!I1376,Scope[[Role]:[Description]],2,FALSE)="In")</f>
        <v>1</v>
      </c>
      <c r="T1374" s="87">
        <f t="shared" si="87"/>
        <v>0</v>
      </c>
    </row>
    <row r="1375" spans="1:20">
      <c r="A1375" s="44" t="str">
        <f>Requirements!A1377</f>
        <v>MS-SMB_R4730</v>
      </c>
      <c r="B1375" s="87"/>
      <c r="C1375" s="87"/>
      <c r="D1375" s="87"/>
      <c r="E1375" s="87"/>
      <c r="F1375" s="87"/>
      <c r="G1375" s="87"/>
      <c r="H1375" s="87"/>
      <c r="I1375" s="87"/>
      <c r="J1375" s="87"/>
      <c r="K1375" s="87"/>
      <c r="L1375" s="87"/>
      <c r="M1375" s="87"/>
      <c r="N1375" s="87">
        <f t="shared" si="84"/>
        <v>0</v>
      </c>
      <c r="O1375" s="87">
        <f t="shared" si="85"/>
        <v>0</v>
      </c>
      <c r="P1375" s="87" t="b">
        <f t="shared" si="86"/>
        <v>0</v>
      </c>
      <c r="Q1375" s="87" t="b">
        <f>(Requirements!K1377="Normative")</f>
        <v>1</v>
      </c>
      <c r="R1375" s="87" t="b">
        <f>AND(Requirements!L1377&lt;&gt;"Non-testable",Requirements!L1377&lt;&gt;"Deleted",Requirements!L1377&lt;&gt;"")</f>
        <v>0</v>
      </c>
      <c r="S1375" s="87" t="b">
        <f>(VLOOKUP(Requirements!I1377,Scope[[Role]:[Description]],2,FALSE)="In")</f>
        <v>1</v>
      </c>
      <c r="T1375" s="87">
        <f t="shared" si="87"/>
        <v>0</v>
      </c>
    </row>
    <row r="1376" spans="1:20">
      <c r="A1376" s="44" t="str">
        <f>Requirements!A1378</f>
        <v>MS-SMB_R4731</v>
      </c>
      <c r="B1376" s="87"/>
      <c r="C1376" s="87"/>
      <c r="D1376" s="87"/>
      <c r="E1376" s="87"/>
      <c r="F1376" s="87"/>
      <c r="G1376" s="87"/>
      <c r="H1376" s="87"/>
      <c r="I1376" s="87"/>
      <c r="J1376" s="87"/>
      <c r="K1376" s="87"/>
      <c r="L1376" s="87"/>
      <c r="M1376" s="87"/>
      <c r="N1376" s="87">
        <f t="shared" si="84"/>
        <v>0</v>
      </c>
      <c r="O1376" s="87">
        <f t="shared" si="85"/>
        <v>0</v>
      </c>
      <c r="P1376" s="87" t="b">
        <f t="shared" si="86"/>
        <v>0</v>
      </c>
      <c r="Q1376" s="87" t="b">
        <f>(Requirements!K1378="Normative")</f>
        <v>1</v>
      </c>
      <c r="R1376" s="87" t="b">
        <f>AND(Requirements!L1378&lt;&gt;"Non-testable",Requirements!L1378&lt;&gt;"Deleted",Requirements!L1378&lt;&gt;"")</f>
        <v>0</v>
      </c>
      <c r="S1376" s="87" t="b">
        <f>(VLOOKUP(Requirements!I1378,Scope[[Role]:[Description]],2,FALSE)="In")</f>
        <v>1</v>
      </c>
      <c r="T1376" s="87">
        <f t="shared" si="87"/>
        <v>0</v>
      </c>
    </row>
    <row r="1377" spans="1:20">
      <c r="A1377" s="84" t="str">
        <f>Requirements!A1379</f>
        <v>MS-SMB_R4732</v>
      </c>
      <c r="B1377" s="87">
        <v>1</v>
      </c>
      <c r="C1377" s="87"/>
      <c r="D1377" s="87"/>
      <c r="E1377" s="87"/>
      <c r="F1377" s="87"/>
      <c r="G1377" s="87"/>
      <c r="H1377" s="87"/>
      <c r="I1377" s="87"/>
      <c r="J1377" s="87"/>
      <c r="K1377" s="87"/>
      <c r="L1377" s="87"/>
      <c r="M1377" s="87"/>
      <c r="N1377" s="87">
        <f t="shared" si="84"/>
        <v>1</v>
      </c>
      <c r="O1377" s="60">
        <f t="shared" si="85"/>
        <v>1</v>
      </c>
      <c r="P1377" s="60" t="b">
        <f t="shared" si="86"/>
        <v>1</v>
      </c>
      <c r="Q1377" s="87" t="b">
        <f>(Requirements!K1379="Normative")</f>
        <v>1</v>
      </c>
      <c r="R1377" s="87" t="b">
        <f>AND(Requirements!L1379&lt;&gt;"Non-testable",Requirements!L1379&lt;&gt;"Deleted",Requirements!L1379&lt;&gt;"")</f>
        <v>1</v>
      </c>
      <c r="S1377" s="87" t="b">
        <f>(VLOOKUP(Requirements!I1379,Scope[[Role]:[Description]],2,FALSE)="In")</f>
        <v>1</v>
      </c>
      <c r="T1377" s="87">
        <f t="shared" si="87"/>
        <v>1</v>
      </c>
    </row>
    <row r="1378" spans="1:20">
      <c r="A1378" s="84" t="str">
        <f>Requirements!A1380</f>
        <v>MS-SMB_R8553</v>
      </c>
      <c r="B1378" s="87">
        <v>1</v>
      </c>
      <c r="C1378" s="87"/>
      <c r="D1378" s="87"/>
      <c r="E1378" s="87"/>
      <c r="F1378" s="87"/>
      <c r="G1378" s="87"/>
      <c r="H1378" s="87"/>
      <c r="I1378" s="87"/>
      <c r="J1378" s="87"/>
      <c r="K1378" s="87"/>
      <c r="L1378" s="87"/>
      <c r="M1378" s="87"/>
      <c r="N1378" s="87">
        <f t="shared" si="84"/>
        <v>1</v>
      </c>
      <c r="O1378" s="60">
        <f t="shared" si="85"/>
        <v>1</v>
      </c>
      <c r="P1378" s="60" t="b">
        <f t="shared" si="86"/>
        <v>1</v>
      </c>
      <c r="Q1378" s="87" t="b">
        <f>(Requirements!K1380="Normative")</f>
        <v>1</v>
      </c>
      <c r="R1378" s="87" t="b">
        <f>AND(Requirements!L1380&lt;&gt;"Non-testable",Requirements!L1380&lt;&gt;"Deleted",Requirements!L1380&lt;&gt;"")</f>
        <v>1</v>
      </c>
      <c r="S1378" s="87" t="b">
        <f>(VLOOKUP(Requirements!I1380,Scope[[Role]:[Description]],2,FALSE)="In")</f>
        <v>1</v>
      </c>
      <c r="T1378" s="87">
        <f t="shared" si="87"/>
        <v>1</v>
      </c>
    </row>
    <row r="1379" spans="1:20">
      <c r="A1379" s="44" t="str">
        <f>Requirements!A1381</f>
        <v>MS-SMB_R4733</v>
      </c>
      <c r="B1379" s="87"/>
      <c r="C1379" s="87"/>
      <c r="D1379" s="87"/>
      <c r="E1379" s="87"/>
      <c r="F1379" s="87"/>
      <c r="G1379" s="87"/>
      <c r="H1379" s="87"/>
      <c r="I1379" s="87"/>
      <c r="J1379" s="87"/>
      <c r="K1379" s="87"/>
      <c r="L1379" s="87"/>
      <c r="M1379" s="87"/>
      <c r="N1379" s="87">
        <f t="shared" si="84"/>
        <v>0</v>
      </c>
      <c r="O1379" s="87">
        <f t="shared" si="85"/>
        <v>0</v>
      </c>
      <c r="P1379" s="87" t="b">
        <f t="shared" si="86"/>
        <v>0</v>
      </c>
      <c r="Q1379" s="87" t="b">
        <f>(Requirements!K1381="Normative")</f>
        <v>1</v>
      </c>
      <c r="R1379" s="87" t="b">
        <f>AND(Requirements!L1381&lt;&gt;"Non-testable",Requirements!L1381&lt;&gt;"Deleted",Requirements!L1381&lt;&gt;"")</f>
        <v>0</v>
      </c>
      <c r="S1379" s="87" t="b">
        <f>(VLOOKUP(Requirements!I1381,Scope[[Role]:[Description]],2,FALSE)="In")</f>
        <v>1</v>
      </c>
      <c r="T1379" s="87">
        <f t="shared" si="87"/>
        <v>0</v>
      </c>
    </row>
    <row r="1380" spans="1:20">
      <c r="A1380" s="84" t="str">
        <f>Requirements!A1382</f>
        <v>MS-SMB_R8554</v>
      </c>
      <c r="B1380" s="87">
        <v>1</v>
      </c>
      <c r="C1380" s="87"/>
      <c r="D1380" s="87"/>
      <c r="E1380" s="87"/>
      <c r="F1380" s="87"/>
      <c r="G1380" s="87"/>
      <c r="H1380" s="87"/>
      <c r="I1380" s="87"/>
      <c r="J1380" s="87"/>
      <c r="K1380" s="87"/>
      <c r="L1380" s="87"/>
      <c r="M1380" s="87"/>
      <c r="N1380" s="87">
        <f t="shared" si="84"/>
        <v>1</v>
      </c>
      <c r="O1380" s="60">
        <f t="shared" si="85"/>
        <v>1</v>
      </c>
      <c r="P1380" s="60" t="b">
        <f t="shared" si="86"/>
        <v>1</v>
      </c>
      <c r="Q1380" s="87" t="b">
        <f>(Requirements!K1382="Normative")</f>
        <v>1</v>
      </c>
      <c r="R1380" s="87" t="b">
        <f>AND(Requirements!L1382&lt;&gt;"Non-testable",Requirements!L1382&lt;&gt;"Deleted",Requirements!L1382&lt;&gt;"")</f>
        <v>1</v>
      </c>
      <c r="S1380" s="87" t="b">
        <f>(VLOOKUP(Requirements!I1382,Scope[[Role]:[Description]],2,FALSE)="In")</f>
        <v>1</v>
      </c>
      <c r="T1380" s="87">
        <f t="shared" si="87"/>
        <v>1</v>
      </c>
    </row>
    <row r="1381" spans="1:20">
      <c r="A1381" s="44" t="str">
        <f>Requirements!A1383</f>
        <v>MS-SMB_R8555</v>
      </c>
      <c r="B1381" s="87"/>
      <c r="C1381" s="87"/>
      <c r="D1381" s="87"/>
      <c r="E1381" s="87"/>
      <c r="F1381" s="87"/>
      <c r="G1381" s="87"/>
      <c r="H1381" s="87"/>
      <c r="I1381" s="87"/>
      <c r="J1381" s="87"/>
      <c r="K1381" s="87"/>
      <c r="L1381" s="87"/>
      <c r="M1381" s="87"/>
      <c r="N1381" s="87">
        <f t="shared" si="84"/>
        <v>0</v>
      </c>
      <c r="O1381" s="87">
        <f t="shared" si="85"/>
        <v>0</v>
      </c>
      <c r="P1381" s="87" t="b">
        <f t="shared" si="86"/>
        <v>0</v>
      </c>
      <c r="Q1381" s="87" t="b">
        <f>(Requirements!K1383="Normative")</f>
        <v>1</v>
      </c>
      <c r="R1381" s="87" t="b">
        <f>AND(Requirements!L1383&lt;&gt;"Non-testable",Requirements!L1383&lt;&gt;"Deleted",Requirements!L1383&lt;&gt;"")</f>
        <v>0</v>
      </c>
      <c r="S1381" s="87" t="b">
        <f>(VLOOKUP(Requirements!I1383,Scope[[Role]:[Description]],2,FALSE)="In")</f>
        <v>1</v>
      </c>
      <c r="T1381" s="87">
        <f t="shared" si="87"/>
        <v>0</v>
      </c>
    </row>
    <row r="1382" spans="1:20">
      <c r="A1382" s="84" t="str">
        <f>Requirements!A1384</f>
        <v>MS-SMB_R8556</v>
      </c>
      <c r="B1382" s="87">
        <v>1</v>
      </c>
      <c r="C1382" s="87"/>
      <c r="D1382" s="87"/>
      <c r="E1382" s="87"/>
      <c r="F1382" s="87"/>
      <c r="G1382" s="87"/>
      <c r="H1382" s="87"/>
      <c r="I1382" s="87"/>
      <c r="J1382" s="87"/>
      <c r="K1382" s="87"/>
      <c r="L1382" s="87"/>
      <c r="M1382" s="87"/>
      <c r="N1382" s="87">
        <f t="shared" si="84"/>
        <v>1</v>
      </c>
      <c r="O1382" s="60">
        <f t="shared" si="85"/>
        <v>1</v>
      </c>
      <c r="P1382" s="60" t="b">
        <f t="shared" si="86"/>
        <v>1</v>
      </c>
      <c r="Q1382" s="87" t="b">
        <f>(Requirements!K1384="Normative")</f>
        <v>1</v>
      </c>
      <c r="R1382" s="87" t="b">
        <f>AND(Requirements!L1384&lt;&gt;"Non-testable",Requirements!L1384&lt;&gt;"Deleted",Requirements!L1384&lt;&gt;"")</f>
        <v>1</v>
      </c>
      <c r="S1382" s="87" t="b">
        <f>(VLOOKUP(Requirements!I1384,Scope[[Role]:[Description]],2,FALSE)="In")</f>
        <v>1</v>
      </c>
      <c r="T1382" s="87">
        <f t="shared" si="87"/>
        <v>1</v>
      </c>
    </row>
    <row r="1383" spans="1:20">
      <c r="A1383" s="84" t="str">
        <f>Requirements!A1385</f>
        <v>MS-SMB_R6004</v>
      </c>
      <c r="B1383" s="87">
        <v>1</v>
      </c>
      <c r="C1383" s="87"/>
      <c r="D1383" s="87"/>
      <c r="E1383" s="87"/>
      <c r="F1383" s="87"/>
      <c r="G1383" s="87"/>
      <c r="H1383" s="87"/>
      <c r="I1383" s="87"/>
      <c r="J1383" s="87"/>
      <c r="K1383" s="87"/>
      <c r="L1383" s="87"/>
      <c r="M1383" s="87"/>
      <c r="N1383" s="87">
        <f t="shared" si="84"/>
        <v>1</v>
      </c>
      <c r="O1383" s="60">
        <f t="shared" si="85"/>
        <v>1</v>
      </c>
      <c r="P1383" s="60" t="b">
        <f t="shared" si="86"/>
        <v>1</v>
      </c>
      <c r="Q1383" s="87" t="b">
        <f>(Requirements!K1385="Normative")</f>
        <v>1</v>
      </c>
      <c r="R1383" s="87" t="b">
        <f>AND(Requirements!L1385&lt;&gt;"Non-testable",Requirements!L1385&lt;&gt;"Deleted",Requirements!L1385&lt;&gt;"")</f>
        <v>1</v>
      </c>
      <c r="S1383" s="87" t="b">
        <f>(VLOOKUP(Requirements!I1385,Scope[[Role]:[Description]],2,FALSE)="In")</f>
        <v>1</v>
      </c>
      <c r="T1383" s="87">
        <f t="shared" si="87"/>
        <v>1</v>
      </c>
    </row>
    <row r="1384" spans="1:20">
      <c r="A1384" s="44" t="str">
        <f>Requirements!A1386</f>
        <v>MS-SMB_R8557</v>
      </c>
      <c r="B1384" s="87"/>
      <c r="C1384" s="87"/>
      <c r="D1384" s="87"/>
      <c r="E1384" s="87"/>
      <c r="F1384" s="87"/>
      <c r="G1384" s="87"/>
      <c r="H1384" s="87"/>
      <c r="I1384" s="87"/>
      <c r="J1384" s="87"/>
      <c r="K1384" s="87"/>
      <c r="L1384" s="87"/>
      <c r="M1384" s="87"/>
      <c r="N1384" s="87">
        <f t="shared" si="84"/>
        <v>0</v>
      </c>
      <c r="O1384" s="87">
        <f t="shared" si="85"/>
        <v>0</v>
      </c>
      <c r="P1384" s="87" t="b">
        <f t="shared" si="86"/>
        <v>0</v>
      </c>
      <c r="Q1384" s="87" t="b">
        <f>(Requirements!K1386="Normative")</f>
        <v>0</v>
      </c>
      <c r="R1384" s="87" t="b">
        <f>AND(Requirements!L1386&lt;&gt;"Non-testable",Requirements!L1386&lt;&gt;"Deleted",Requirements!L1386&lt;&gt;"")</f>
        <v>1</v>
      </c>
      <c r="S1384" s="87" t="b">
        <f>(VLOOKUP(Requirements!I1386,Scope[[Role]:[Description]],2,FALSE)="In")</f>
        <v>1</v>
      </c>
      <c r="T1384" s="87">
        <f t="shared" si="87"/>
        <v>0</v>
      </c>
    </row>
    <row r="1385" spans="1:20">
      <c r="A1385" s="44" t="str">
        <f>Requirements!A1387</f>
        <v>MS-SMB_R4734</v>
      </c>
      <c r="B1385" s="87"/>
      <c r="C1385" s="87"/>
      <c r="D1385" s="87"/>
      <c r="E1385" s="87"/>
      <c r="F1385" s="87"/>
      <c r="G1385" s="87"/>
      <c r="H1385" s="87"/>
      <c r="I1385" s="87"/>
      <c r="J1385" s="87"/>
      <c r="K1385" s="87"/>
      <c r="L1385" s="87"/>
      <c r="M1385" s="87"/>
      <c r="N1385" s="87">
        <f t="shared" si="84"/>
        <v>0</v>
      </c>
      <c r="O1385" s="87">
        <f t="shared" si="85"/>
        <v>0</v>
      </c>
      <c r="P1385" s="87" t="b">
        <f t="shared" si="86"/>
        <v>0</v>
      </c>
      <c r="Q1385" s="87" t="b">
        <f>(Requirements!K1387="Normative")</f>
        <v>0</v>
      </c>
      <c r="R1385" s="87" t="b">
        <f>AND(Requirements!L1387&lt;&gt;"Non-testable",Requirements!L1387&lt;&gt;"Deleted",Requirements!L1387&lt;&gt;"")</f>
        <v>1</v>
      </c>
      <c r="S1385" s="87" t="b">
        <f>(VLOOKUP(Requirements!I1387,Scope[[Role]:[Description]],2,FALSE)="In")</f>
        <v>1</v>
      </c>
      <c r="T1385" s="87">
        <f t="shared" si="87"/>
        <v>0</v>
      </c>
    </row>
    <row r="1386" spans="1:20">
      <c r="A1386" s="84" t="str">
        <f>Requirements!A1388</f>
        <v>MS-SMB_R8558</v>
      </c>
      <c r="B1386" s="87">
        <v>1</v>
      </c>
      <c r="C1386" s="87"/>
      <c r="D1386" s="87"/>
      <c r="E1386" s="87"/>
      <c r="F1386" s="87"/>
      <c r="G1386" s="87"/>
      <c r="H1386" s="87"/>
      <c r="I1386" s="87"/>
      <c r="J1386" s="87"/>
      <c r="K1386" s="87"/>
      <c r="L1386" s="87"/>
      <c r="M1386" s="87"/>
      <c r="N1386" s="87">
        <f t="shared" si="84"/>
        <v>1</v>
      </c>
      <c r="O1386" s="60">
        <f t="shared" si="85"/>
        <v>1</v>
      </c>
      <c r="P1386" s="60" t="b">
        <f t="shared" si="86"/>
        <v>1</v>
      </c>
      <c r="Q1386" s="87" t="b">
        <f>(Requirements!K1388="Normative")</f>
        <v>1</v>
      </c>
      <c r="R1386" s="87" t="b">
        <f>AND(Requirements!L1388&lt;&gt;"Non-testable",Requirements!L1388&lt;&gt;"Deleted",Requirements!L1388&lt;&gt;"")</f>
        <v>1</v>
      </c>
      <c r="S1386" s="87" t="b">
        <f>(VLOOKUP(Requirements!I1388,Scope[[Role]:[Description]],2,FALSE)="In")</f>
        <v>1</v>
      </c>
      <c r="T1386" s="87">
        <f t="shared" si="87"/>
        <v>1</v>
      </c>
    </row>
    <row r="1387" spans="1:20">
      <c r="A1387" s="84" t="str">
        <f>Requirements!A1389</f>
        <v>MS-SMB_R2554</v>
      </c>
      <c r="B1387" s="87">
        <v>1</v>
      </c>
      <c r="C1387" s="87"/>
      <c r="D1387" s="87"/>
      <c r="E1387" s="87"/>
      <c r="F1387" s="87"/>
      <c r="G1387" s="87"/>
      <c r="H1387" s="87"/>
      <c r="I1387" s="87"/>
      <c r="J1387" s="87"/>
      <c r="K1387" s="87"/>
      <c r="L1387" s="87"/>
      <c r="M1387" s="87"/>
      <c r="N1387" s="87">
        <f t="shared" si="84"/>
        <v>1</v>
      </c>
      <c r="O1387" s="60">
        <f t="shared" si="85"/>
        <v>1</v>
      </c>
      <c r="P1387" s="60" t="b">
        <f t="shared" si="86"/>
        <v>1</v>
      </c>
      <c r="Q1387" s="87" t="b">
        <f>(Requirements!K1389="Normative")</f>
        <v>1</v>
      </c>
      <c r="R1387" s="87" t="b">
        <f>AND(Requirements!L1389&lt;&gt;"Non-testable",Requirements!L1389&lt;&gt;"Deleted",Requirements!L1389&lt;&gt;"")</f>
        <v>1</v>
      </c>
      <c r="S1387" s="87" t="b">
        <f>(VLOOKUP(Requirements!I1389,Scope[[Role]:[Description]],2,FALSE)="In")</f>
        <v>1</v>
      </c>
      <c r="T1387" s="87">
        <f t="shared" si="87"/>
        <v>1</v>
      </c>
    </row>
    <row r="1388" spans="1:20">
      <c r="A1388" s="84" t="str">
        <f>Requirements!A1390</f>
        <v>MS-SMB_R2308</v>
      </c>
      <c r="B1388" s="87">
        <v>1</v>
      </c>
      <c r="C1388" s="87"/>
      <c r="D1388" s="87"/>
      <c r="E1388" s="87"/>
      <c r="F1388" s="87"/>
      <c r="G1388" s="87"/>
      <c r="H1388" s="87"/>
      <c r="I1388" s="87"/>
      <c r="J1388" s="87"/>
      <c r="K1388" s="87"/>
      <c r="L1388" s="87"/>
      <c r="M1388" s="87"/>
      <c r="N1388" s="87">
        <f t="shared" si="84"/>
        <v>1</v>
      </c>
      <c r="O1388" s="60">
        <f t="shared" si="85"/>
        <v>1</v>
      </c>
      <c r="P1388" s="60" t="b">
        <f t="shared" si="86"/>
        <v>1</v>
      </c>
      <c r="Q1388" s="87" t="b">
        <f>(Requirements!K1390="Normative")</f>
        <v>1</v>
      </c>
      <c r="R1388" s="87" t="b">
        <f>AND(Requirements!L1390&lt;&gt;"Non-testable",Requirements!L1390&lt;&gt;"Deleted",Requirements!L1390&lt;&gt;"")</f>
        <v>1</v>
      </c>
      <c r="S1388" s="87" t="b">
        <f>(VLOOKUP(Requirements!I1390,Scope[[Role]:[Description]],2,FALSE)="In")</f>
        <v>1</v>
      </c>
      <c r="T1388" s="87">
        <f t="shared" si="87"/>
        <v>1</v>
      </c>
    </row>
    <row r="1389" spans="1:20">
      <c r="A1389" s="84" t="str">
        <f>Requirements!A1391</f>
        <v>MS-SMB_R2309</v>
      </c>
      <c r="B1389" s="87">
        <v>1</v>
      </c>
      <c r="C1389" s="87"/>
      <c r="D1389" s="87"/>
      <c r="E1389" s="87"/>
      <c r="F1389" s="87"/>
      <c r="G1389" s="87"/>
      <c r="H1389" s="87"/>
      <c r="I1389" s="87"/>
      <c r="J1389" s="87"/>
      <c r="K1389" s="87"/>
      <c r="L1389" s="87"/>
      <c r="M1389" s="87"/>
      <c r="N1389" s="87">
        <f t="shared" si="84"/>
        <v>1</v>
      </c>
      <c r="O1389" s="60">
        <f t="shared" si="85"/>
        <v>1</v>
      </c>
      <c r="P1389" s="60" t="b">
        <f t="shared" si="86"/>
        <v>1</v>
      </c>
      <c r="Q1389" s="87" t="b">
        <f>(Requirements!K1391="Normative")</f>
        <v>1</v>
      </c>
      <c r="R1389" s="87" t="b">
        <f>AND(Requirements!L1391&lt;&gt;"Non-testable",Requirements!L1391&lt;&gt;"Deleted",Requirements!L1391&lt;&gt;"")</f>
        <v>1</v>
      </c>
      <c r="S1389" s="87" t="b">
        <f>(VLOOKUP(Requirements!I1391,Scope[[Role]:[Description]],2,FALSE)="In")</f>
        <v>1</v>
      </c>
      <c r="T1389" s="87">
        <f t="shared" si="87"/>
        <v>1</v>
      </c>
    </row>
    <row r="1390" spans="1:20">
      <c r="A1390" s="44" t="str">
        <f>Requirements!A1392</f>
        <v>MS-SMB_R2310</v>
      </c>
      <c r="B1390" s="87"/>
      <c r="C1390" s="87"/>
      <c r="D1390" s="87"/>
      <c r="E1390" s="87"/>
      <c r="F1390" s="87"/>
      <c r="G1390" s="87"/>
      <c r="H1390" s="87"/>
      <c r="I1390" s="87"/>
      <c r="J1390" s="87"/>
      <c r="K1390" s="87"/>
      <c r="L1390" s="87"/>
      <c r="M1390" s="87"/>
      <c r="N1390" s="87">
        <f t="shared" si="84"/>
        <v>0</v>
      </c>
      <c r="O1390" s="87">
        <f t="shared" si="85"/>
        <v>0</v>
      </c>
      <c r="P1390" s="87" t="b">
        <f t="shared" si="86"/>
        <v>0</v>
      </c>
      <c r="Q1390" s="87" t="b">
        <f>(Requirements!K1392="Normative")</f>
        <v>1</v>
      </c>
      <c r="R1390" s="87" t="b">
        <f>AND(Requirements!L1392&lt;&gt;"Non-testable",Requirements!L1392&lt;&gt;"Deleted",Requirements!L1392&lt;&gt;"")</f>
        <v>0</v>
      </c>
      <c r="S1390" s="87" t="b">
        <f>(VLOOKUP(Requirements!I1392,Scope[[Role]:[Description]],2,FALSE)="In")</f>
        <v>1</v>
      </c>
      <c r="T1390" s="87">
        <f t="shared" si="87"/>
        <v>0</v>
      </c>
    </row>
    <row r="1391" spans="1:20">
      <c r="A1391" s="44" t="str">
        <f>Requirements!A1393</f>
        <v>MS-SMB_R4745</v>
      </c>
      <c r="B1391" s="87"/>
      <c r="C1391" s="87"/>
      <c r="D1391" s="87"/>
      <c r="E1391" s="87"/>
      <c r="F1391" s="87"/>
      <c r="G1391" s="87"/>
      <c r="H1391" s="87"/>
      <c r="I1391" s="87"/>
      <c r="J1391" s="87"/>
      <c r="K1391" s="87"/>
      <c r="L1391" s="87"/>
      <c r="M1391" s="87"/>
      <c r="N1391" s="87">
        <f t="shared" si="84"/>
        <v>0</v>
      </c>
      <c r="O1391" s="87">
        <f t="shared" si="85"/>
        <v>0</v>
      </c>
      <c r="P1391" s="87" t="b">
        <f t="shared" si="86"/>
        <v>0</v>
      </c>
      <c r="Q1391" s="87" t="b">
        <f>(Requirements!K1393="Normative")</f>
        <v>1</v>
      </c>
      <c r="R1391" s="87" t="b">
        <f>AND(Requirements!L1393&lt;&gt;"Non-testable",Requirements!L1393&lt;&gt;"Deleted",Requirements!L1393&lt;&gt;"")</f>
        <v>0</v>
      </c>
      <c r="S1391" s="87" t="b">
        <f>(VLOOKUP(Requirements!I1393,Scope[[Role]:[Description]],2,FALSE)="In")</f>
        <v>1</v>
      </c>
      <c r="T1391" s="87">
        <f t="shared" si="87"/>
        <v>0</v>
      </c>
    </row>
    <row r="1392" spans="1:20">
      <c r="A1392" s="44" t="str">
        <f>Requirements!A1394</f>
        <v>MS-SMB_R8559</v>
      </c>
      <c r="B1392" s="87"/>
      <c r="C1392" s="87"/>
      <c r="D1392" s="87"/>
      <c r="E1392" s="87"/>
      <c r="F1392" s="87"/>
      <c r="G1392" s="87"/>
      <c r="H1392" s="87"/>
      <c r="I1392" s="87"/>
      <c r="J1392" s="87"/>
      <c r="K1392" s="87"/>
      <c r="L1392" s="87"/>
      <c r="M1392" s="87"/>
      <c r="N1392" s="87">
        <f t="shared" si="84"/>
        <v>0</v>
      </c>
      <c r="O1392" s="87">
        <f t="shared" si="85"/>
        <v>0</v>
      </c>
      <c r="P1392" s="87" t="b">
        <f t="shared" si="86"/>
        <v>0</v>
      </c>
      <c r="Q1392" s="87" t="b">
        <f>(Requirements!K1394="Normative")</f>
        <v>1</v>
      </c>
      <c r="R1392" s="87" t="b">
        <f>AND(Requirements!L1394&lt;&gt;"Non-testable",Requirements!L1394&lt;&gt;"Deleted",Requirements!L1394&lt;&gt;"")</f>
        <v>0</v>
      </c>
      <c r="S1392" s="87" t="b">
        <f>(VLOOKUP(Requirements!I1394,Scope[[Role]:[Description]],2,FALSE)="In")</f>
        <v>1</v>
      </c>
      <c r="T1392" s="87">
        <f t="shared" si="87"/>
        <v>0</v>
      </c>
    </row>
    <row r="1393" spans="1:60">
      <c r="A1393" s="44" t="str">
        <f>Requirements!A1395</f>
        <v>MS-SMB_R4746</v>
      </c>
      <c r="B1393" s="87"/>
      <c r="C1393" s="87"/>
      <c r="D1393" s="87"/>
      <c r="E1393" s="87"/>
      <c r="F1393" s="87"/>
      <c r="G1393" s="87"/>
      <c r="H1393" s="87"/>
      <c r="I1393" s="87"/>
      <c r="J1393" s="87"/>
      <c r="K1393" s="87"/>
      <c r="L1393" s="87"/>
      <c r="M1393" s="87"/>
      <c r="N1393" s="87">
        <f t="shared" si="84"/>
        <v>0</v>
      </c>
      <c r="O1393" s="87">
        <f t="shared" si="85"/>
        <v>0</v>
      </c>
      <c r="P1393" s="87" t="b">
        <f t="shared" si="86"/>
        <v>0</v>
      </c>
      <c r="Q1393" s="87" t="b">
        <f>(Requirements!K1395="Normative")</f>
        <v>1</v>
      </c>
      <c r="R1393" s="87" t="b">
        <f>AND(Requirements!L1395&lt;&gt;"Non-testable",Requirements!L1395&lt;&gt;"Deleted",Requirements!L1395&lt;&gt;"")</f>
        <v>0</v>
      </c>
      <c r="S1393" s="87" t="b">
        <f>(VLOOKUP(Requirements!I1395,Scope[[Role]:[Description]],2,FALSE)="In")</f>
        <v>1</v>
      </c>
      <c r="T1393" s="87">
        <f t="shared" si="87"/>
        <v>0</v>
      </c>
    </row>
    <row r="1394" spans="1:60">
      <c r="A1394" s="84" t="str">
        <f>Requirements!A1396</f>
        <v>MS-SMB_R4747</v>
      </c>
      <c r="B1394" s="87">
        <v>1</v>
      </c>
      <c r="C1394" s="87"/>
      <c r="D1394" s="87"/>
      <c r="E1394" s="87"/>
      <c r="F1394" s="87"/>
      <c r="G1394" s="87"/>
      <c r="H1394" s="87"/>
      <c r="I1394" s="87"/>
      <c r="J1394" s="87"/>
      <c r="K1394" s="87"/>
      <c r="L1394" s="87"/>
      <c r="M1394" s="87"/>
      <c r="N1394" s="87">
        <f t="shared" si="84"/>
        <v>1</v>
      </c>
      <c r="O1394" s="60">
        <f t="shared" si="85"/>
        <v>1</v>
      </c>
      <c r="P1394" s="60" t="b">
        <f t="shared" si="86"/>
        <v>1</v>
      </c>
      <c r="Q1394" s="87" t="b">
        <f>(Requirements!K1396="Normative")</f>
        <v>1</v>
      </c>
      <c r="R1394" s="87" t="b">
        <f>AND(Requirements!L1396&lt;&gt;"Non-testable",Requirements!L1396&lt;&gt;"Deleted",Requirements!L1396&lt;&gt;"")</f>
        <v>1</v>
      </c>
      <c r="S1394" s="87" t="b">
        <f>(VLOOKUP(Requirements!I1396,Scope[[Role]:[Description]],2,FALSE)="In")</f>
        <v>1</v>
      </c>
      <c r="T1394" s="87">
        <f t="shared" si="87"/>
        <v>1</v>
      </c>
    </row>
    <row r="1395" spans="1:60">
      <c r="A1395" s="44" t="str">
        <f>Requirements!A1397</f>
        <v>MS-SMB_R4755</v>
      </c>
      <c r="B1395" s="87"/>
      <c r="C1395" s="87"/>
      <c r="D1395" s="87"/>
      <c r="E1395" s="87"/>
      <c r="F1395" s="87"/>
      <c r="G1395" s="87"/>
      <c r="H1395" s="87"/>
      <c r="I1395" s="87"/>
      <c r="J1395" s="87"/>
      <c r="K1395" s="87"/>
      <c r="L1395" s="87"/>
      <c r="M1395" s="87"/>
      <c r="N1395" s="87">
        <f t="shared" si="84"/>
        <v>0</v>
      </c>
      <c r="O1395" s="87">
        <f t="shared" si="85"/>
        <v>0</v>
      </c>
      <c r="P1395" s="87" t="b">
        <f t="shared" si="86"/>
        <v>0</v>
      </c>
      <c r="Q1395" s="87" t="b">
        <f>(Requirements!K1397="Normative")</f>
        <v>0</v>
      </c>
      <c r="R1395" s="87" t="b">
        <f>AND(Requirements!L1397&lt;&gt;"Non-testable",Requirements!L1397&lt;&gt;"Deleted",Requirements!L1397&lt;&gt;"")</f>
        <v>1</v>
      </c>
      <c r="S1395" s="87" t="b">
        <f>(VLOOKUP(Requirements!I1397,Scope[[Role]:[Description]],2,FALSE)="In")</f>
        <v>1</v>
      </c>
      <c r="T1395" s="87">
        <f t="shared" si="87"/>
        <v>0</v>
      </c>
    </row>
    <row r="1396" spans="1:60">
      <c r="A1396" s="44" t="str">
        <f>Requirements!A1398</f>
        <v>MS-SMB_R4756</v>
      </c>
      <c r="B1396" s="87"/>
      <c r="C1396" s="87"/>
      <c r="D1396" s="87"/>
      <c r="E1396" s="87"/>
      <c r="F1396" s="87"/>
      <c r="G1396" s="87"/>
      <c r="H1396" s="87"/>
      <c r="I1396" s="87"/>
      <c r="J1396" s="87"/>
      <c r="K1396" s="87"/>
      <c r="L1396" s="87"/>
      <c r="M1396" s="87"/>
      <c r="N1396" s="87">
        <f t="shared" si="84"/>
        <v>0</v>
      </c>
      <c r="O1396" s="87">
        <f t="shared" si="85"/>
        <v>0</v>
      </c>
      <c r="P1396" s="87" t="b">
        <f t="shared" si="86"/>
        <v>0</v>
      </c>
      <c r="Q1396" s="87" t="b">
        <f>(Requirements!K1398="Normative")</f>
        <v>1</v>
      </c>
      <c r="R1396" s="87" t="b">
        <f>AND(Requirements!L1398&lt;&gt;"Non-testable",Requirements!L1398&lt;&gt;"Deleted",Requirements!L1398&lt;&gt;"")</f>
        <v>0</v>
      </c>
      <c r="S1396" s="87" t="b">
        <f>(VLOOKUP(Requirements!I1398,Scope[[Role]:[Description]],2,FALSE)="In")</f>
        <v>1</v>
      </c>
      <c r="T1396" s="87">
        <f t="shared" si="87"/>
        <v>0</v>
      </c>
    </row>
    <row r="1397" spans="1:60">
      <c r="A1397" s="44" t="str">
        <f>Requirements!A1399</f>
        <v>MS-SMB_R4757</v>
      </c>
      <c r="B1397" s="87"/>
      <c r="C1397" s="87"/>
      <c r="D1397" s="87"/>
      <c r="E1397" s="87"/>
      <c r="F1397" s="87"/>
      <c r="G1397" s="87"/>
      <c r="H1397" s="87"/>
      <c r="I1397" s="87"/>
      <c r="J1397" s="87"/>
      <c r="K1397" s="87"/>
      <c r="L1397" s="87"/>
      <c r="M1397" s="87"/>
      <c r="N1397" s="87">
        <f t="shared" si="84"/>
        <v>0</v>
      </c>
      <c r="O1397" s="87">
        <f t="shared" si="85"/>
        <v>0</v>
      </c>
      <c r="P1397" s="87" t="b">
        <f t="shared" si="86"/>
        <v>0</v>
      </c>
      <c r="Q1397" s="87" t="b">
        <f>(Requirements!K1399="Normative")</f>
        <v>1</v>
      </c>
      <c r="R1397" s="87" t="b">
        <f>AND(Requirements!L1399&lt;&gt;"Non-testable",Requirements!L1399&lt;&gt;"Deleted",Requirements!L1399&lt;&gt;"")</f>
        <v>0</v>
      </c>
      <c r="S1397" s="87" t="b">
        <f>(VLOOKUP(Requirements!I1399,Scope[[Role]:[Description]],2,FALSE)="In")</f>
        <v>1</v>
      </c>
      <c r="T1397" s="87">
        <f t="shared" si="87"/>
        <v>0</v>
      </c>
    </row>
    <row r="1398" spans="1:60">
      <c r="A1398" s="83" t="str">
        <f>Requirements!A1400</f>
        <v>MS-SMB_R30111</v>
      </c>
      <c r="B1398" s="46"/>
      <c r="C1398" s="46"/>
      <c r="D1398" s="46"/>
      <c r="E1398" s="46"/>
      <c r="F1398" s="46"/>
      <c r="G1398" s="46"/>
      <c r="H1398" s="46"/>
      <c r="I1398" s="46"/>
      <c r="J1398" s="46"/>
      <c r="K1398" s="46"/>
      <c r="L1398" s="46"/>
      <c r="M1398" s="46"/>
      <c r="N1398" s="46">
        <f t="shared" si="84"/>
        <v>0</v>
      </c>
      <c r="O1398" s="46">
        <f t="shared" si="85"/>
        <v>0</v>
      </c>
      <c r="P1398" s="46" t="b">
        <f t="shared" si="86"/>
        <v>0</v>
      </c>
      <c r="Q1398" s="46" t="b">
        <f>(Requirements!K1400="Normative")</f>
        <v>0</v>
      </c>
      <c r="R1398" s="46" t="b">
        <f>AND(Requirements!L1400&lt;&gt;"Non-testable",Requirements!L1400&lt;&gt;"Deleted",Requirements!L1400&lt;&gt;"")</f>
        <v>0</v>
      </c>
      <c r="S1398" s="46" t="b">
        <f>(VLOOKUP(Requirements!I1400,Scope[[Role]:[Description]],2,FALSE)="In")</f>
        <v>1</v>
      </c>
      <c r="T1398" s="46">
        <f t="shared" si="87"/>
        <v>0</v>
      </c>
      <c r="U1398" s="45"/>
      <c r="V1398" s="45"/>
      <c r="W1398" s="45"/>
      <c r="X1398" s="45"/>
      <c r="Y1398" s="45"/>
      <c r="Z1398" s="45"/>
      <c r="AA1398" s="45"/>
      <c r="AB1398" s="45"/>
      <c r="AC1398" s="45"/>
      <c r="AD1398" s="45"/>
      <c r="AE1398" s="45"/>
      <c r="AF1398" s="45"/>
      <c r="AG1398" s="45"/>
      <c r="AH1398" s="45"/>
      <c r="AI1398" s="45"/>
      <c r="AJ1398" s="45"/>
      <c r="AK1398" s="45"/>
      <c r="AL1398" s="45"/>
      <c r="AM1398" s="45"/>
      <c r="AN1398" s="45"/>
      <c r="AO1398" s="45"/>
      <c r="AP1398" s="45"/>
      <c r="AQ1398" s="45"/>
      <c r="AR1398" s="45"/>
      <c r="AS1398" s="45"/>
      <c r="AT1398" s="45"/>
      <c r="AU1398" s="45"/>
      <c r="AV1398" s="45"/>
      <c r="AW1398" s="45"/>
      <c r="AX1398" s="45"/>
      <c r="AY1398" s="45"/>
      <c r="AZ1398" s="45"/>
      <c r="BA1398" s="45"/>
      <c r="BB1398" s="45"/>
      <c r="BC1398" s="45"/>
      <c r="BD1398" s="45"/>
      <c r="BE1398" s="45"/>
      <c r="BF1398" s="45"/>
      <c r="BG1398" s="45"/>
      <c r="BH1398" s="45"/>
    </row>
    <row r="1399" spans="1:60">
      <c r="A1399" s="44" t="str">
        <f>Requirements!A1401</f>
        <v>MS-SMB_R4759</v>
      </c>
      <c r="B1399" s="87"/>
      <c r="C1399" s="87"/>
      <c r="D1399" s="87"/>
      <c r="E1399" s="87"/>
      <c r="F1399" s="87"/>
      <c r="G1399" s="87"/>
      <c r="H1399" s="87"/>
      <c r="I1399" s="87"/>
      <c r="J1399" s="87"/>
      <c r="K1399" s="87"/>
      <c r="L1399" s="87"/>
      <c r="M1399" s="87"/>
      <c r="N1399" s="87">
        <f t="shared" si="84"/>
        <v>0</v>
      </c>
      <c r="O1399" s="87">
        <f t="shared" si="85"/>
        <v>0</v>
      </c>
      <c r="P1399" s="87" t="b">
        <f t="shared" si="86"/>
        <v>0</v>
      </c>
      <c r="Q1399" s="87" t="b">
        <f>(Requirements!K1401="Normative")</f>
        <v>1</v>
      </c>
      <c r="R1399" s="87" t="b">
        <f>AND(Requirements!L1401&lt;&gt;"Non-testable",Requirements!L1401&lt;&gt;"Deleted",Requirements!L1401&lt;&gt;"")</f>
        <v>0</v>
      </c>
      <c r="S1399" s="87" t="b">
        <f>(VLOOKUP(Requirements!I1401,Scope[[Role]:[Description]],2,FALSE)="In")</f>
        <v>1</v>
      </c>
      <c r="T1399" s="87">
        <f t="shared" si="87"/>
        <v>0</v>
      </c>
    </row>
    <row r="1400" spans="1:60">
      <c r="A1400" s="44" t="str">
        <f>Requirements!A1402</f>
        <v>MS-SMB_R4761</v>
      </c>
      <c r="B1400" s="87"/>
      <c r="C1400" s="87"/>
      <c r="D1400" s="87"/>
      <c r="E1400" s="87"/>
      <c r="F1400" s="87"/>
      <c r="G1400" s="87"/>
      <c r="H1400" s="87"/>
      <c r="I1400" s="87"/>
      <c r="J1400" s="87"/>
      <c r="K1400" s="87"/>
      <c r="L1400" s="87"/>
      <c r="M1400" s="87"/>
      <c r="N1400" s="87">
        <f t="shared" si="84"/>
        <v>0</v>
      </c>
      <c r="O1400" s="87">
        <f t="shared" si="85"/>
        <v>0</v>
      </c>
      <c r="P1400" s="87" t="b">
        <f t="shared" si="86"/>
        <v>0</v>
      </c>
      <c r="Q1400" s="87" t="b">
        <f>(Requirements!K1402="Normative")</f>
        <v>0</v>
      </c>
      <c r="R1400" s="87" t="b">
        <f>AND(Requirements!L1402&lt;&gt;"Non-testable",Requirements!L1402&lt;&gt;"Deleted",Requirements!L1402&lt;&gt;"")</f>
        <v>1</v>
      </c>
      <c r="S1400" s="87" t="b">
        <f>(VLOOKUP(Requirements!I1402,Scope[[Role]:[Description]],2,FALSE)="In")</f>
        <v>1</v>
      </c>
      <c r="T1400" s="87">
        <f t="shared" si="87"/>
        <v>0</v>
      </c>
    </row>
    <row r="1401" spans="1:60">
      <c r="A1401" s="44" t="str">
        <f>Requirements!A1403</f>
        <v>MS-SMB_R30112</v>
      </c>
      <c r="B1401" s="87"/>
      <c r="C1401" s="87"/>
      <c r="D1401" s="87"/>
      <c r="E1401" s="87"/>
      <c r="F1401" s="87"/>
      <c r="G1401" s="87"/>
      <c r="H1401" s="87"/>
      <c r="I1401" s="87"/>
      <c r="J1401" s="87"/>
      <c r="K1401" s="87"/>
      <c r="L1401" s="87"/>
      <c r="M1401" s="87"/>
      <c r="N1401" s="87">
        <f t="shared" si="84"/>
        <v>0</v>
      </c>
      <c r="O1401" s="87">
        <f t="shared" si="85"/>
        <v>0</v>
      </c>
      <c r="P1401" s="87" t="b">
        <f t="shared" si="86"/>
        <v>0</v>
      </c>
      <c r="Q1401" s="87" t="b">
        <f>(Requirements!K1403="Normative")</f>
        <v>0</v>
      </c>
      <c r="R1401" s="87" t="b">
        <f>AND(Requirements!L1403&lt;&gt;"Non-testable",Requirements!L1403&lt;&gt;"Deleted",Requirements!L1403&lt;&gt;"")</f>
        <v>1</v>
      </c>
      <c r="S1401" s="87" t="b">
        <f>(VLOOKUP(Requirements!I1403,Scope[[Role]:[Description]],2,FALSE)="In")</f>
        <v>1</v>
      </c>
      <c r="T1401" s="87">
        <f t="shared" si="87"/>
        <v>0</v>
      </c>
    </row>
    <row r="1402" spans="1:60">
      <c r="A1402" s="44" t="str">
        <f>Requirements!A1404</f>
        <v>MS-SMB_R30113</v>
      </c>
      <c r="B1402" s="87"/>
      <c r="C1402" s="87"/>
      <c r="D1402" s="87"/>
      <c r="E1402" s="87"/>
      <c r="F1402" s="87"/>
      <c r="G1402" s="87"/>
      <c r="H1402" s="87"/>
      <c r="I1402" s="87"/>
      <c r="J1402" s="87"/>
      <c r="K1402" s="87"/>
      <c r="L1402" s="87"/>
      <c r="M1402" s="87"/>
      <c r="N1402" s="87">
        <f t="shared" si="84"/>
        <v>0</v>
      </c>
      <c r="O1402" s="87">
        <f t="shared" si="85"/>
        <v>0</v>
      </c>
      <c r="P1402" s="87" t="b">
        <f t="shared" si="86"/>
        <v>0</v>
      </c>
      <c r="Q1402" s="87" t="b">
        <f>(Requirements!K1404="Normative")</f>
        <v>0</v>
      </c>
      <c r="R1402" s="87" t="b">
        <f>AND(Requirements!L1404&lt;&gt;"Non-testable",Requirements!L1404&lt;&gt;"Deleted",Requirements!L1404&lt;&gt;"")</f>
        <v>1</v>
      </c>
      <c r="S1402" s="87" t="b">
        <f>(VLOOKUP(Requirements!I1404,Scope[[Role]:[Description]],2,FALSE)="In")</f>
        <v>1</v>
      </c>
      <c r="T1402" s="87">
        <f t="shared" si="87"/>
        <v>0</v>
      </c>
    </row>
    <row r="1403" spans="1:60">
      <c r="A1403" s="44" t="str">
        <f>Requirements!A1405</f>
        <v>MS-SMB_R2318</v>
      </c>
      <c r="B1403" s="87"/>
      <c r="C1403" s="87"/>
      <c r="D1403" s="87"/>
      <c r="E1403" s="87"/>
      <c r="F1403" s="87"/>
      <c r="G1403" s="87"/>
      <c r="H1403" s="87"/>
      <c r="I1403" s="87"/>
      <c r="J1403" s="87"/>
      <c r="K1403" s="87"/>
      <c r="L1403" s="87"/>
      <c r="M1403" s="87"/>
      <c r="N1403" s="87">
        <f t="shared" si="84"/>
        <v>0</v>
      </c>
      <c r="O1403" s="87">
        <f t="shared" si="85"/>
        <v>0</v>
      </c>
      <c r="P1403" s="87" t="b">
        <f t="shared" si="86"/>
        <v>0</v>
      </c>
      <c r="Q1403" s="87" t="b">
        <f>(Requirements!K1405="Normative")</f>
        <v>1</v>
      </c>
      <c r="R1403" s="87" t="b">
        <f>AND(Requirements!L1405&lt;&gt;"Non-testable",Requirements!L1405&lt;&gt;"Deleted",Requirements!L1405&lt;&gt;"")</f>
        <v>0</v>
      </c>
      <c r="S1403" s="87" t="b">
        <f>(VLOOKUP(Requirements!I1405,Scope[[Role]:[Description]],2,FALSE)="In")</f>
        <v>1</v>
      </c>
      <c r="T1403" s="87">
        <f t="shared" si="87"/>
        <v>0</v>
      </c>
    </row>
    <row r="1404" spans="1:60">
      <c r="A1404" s="44" t="str">
        <f>Requirements!A1406</f>
        <v>MS-SMB_R30114</v>
      </c>
      <c r="B1404" s="87"/>
      <c r="C1404" s="87"/>
      <c r="D1404" s="87"/>
      <c r="E1404" s="87"/>
      <c r="F1404" s="87"/>
      <c r="G1404" s="87"/>
      <c r="H1404" s="87"/>
      <c r="I1404" s="87"/>
      <c r="J1404" s="87"/>
      <c r="K1404" s="87"/>
      <c r="L1404" s="87"/>
      <c r="M1404" s="87"/>
      <c r="N1404" s="87">
        <f t="shared" si="84"/>
        <v>0</v>
      </c>
      <c r="O1404" s="87">
        <f t="shared" si="85"/>
        <v>0</v>
      </c>
      <c r="P1404" s="87" t="b">
        <f t="shared" si="86"/>
        <v>0</v>
      </c>
      <c r="Q1404" s="87" t="b">
        <f>(Requirements!K1406="Normative")</f>
        <v>1</v>
      </c>
      <c r="R1404" s="87" t="b">
        <f>AND(Requirements!L1406&lt;&gt;"Non-testable",Requirements!L1406&lt;&gt;"Deleted",Requirements!L1406&lt;&gt;"")</f>
        <v>0</v>
      </c>
      <c r="S1404" s="87" t="b">
        <f>(VLOOKUP(Requirements!I1406,Scope[[Role]:[Description]],2,FALSE)="In")</f>
        <v>1</v>
      </c>
      <c r="T1404" s="87">
        <f t="shared" si="87"/>
        <v>0</v>
      </c>
    </row>
    <row r="1405" spans="1:60">
      <c r="A1405" s="84" t="str">
        <f>Requirements!A1407</f>
        <v>MS-SMB_R4765</v>
      </c>
      <c r="B1405" s="87">
        <v>1</v>
      </c>
      <c r="C1405" s="87"/>
      <c r="D1405" s="87"/>
      <c r="E1405" s="87"/>
      <c r="F1405" s="87"/>
      <c r="G1405" s="87"/>
      <c r="H1405" s="87"/>
      <c r="I1405" s="87"/>
      <c r="J1405" s="87"/>
      <c r="K1405" s="87"/>
      <c r="L1405" s="87"/>
      <c r="M1405" s="87"/>
      <c r="N1405" s="87">
        <f t="shared" si="84"/>
        <v>1</v>
      </c>
      <c r="O1405" s="60">
        <f t="shared" si="85"/>
        <v>1</v>
      </c>
      <c r="P1405" s="60" t="b">
        <f t="shared" si="86"/>
        <v>1</v>
      </c>
      <c r="Q1405" s="87" t="b">
        <f>(Requirements!K1407="Normative")</f>
        <v>1</v>
      </c>
      <c r="R1405" s="87" t="b">
        <f>AND(Requirements!L1407&lt;&gt;"Non-testable",Requirements!L1407&lt;&gt;"Deleted",Requirements!L1407&lt;&gt;"")</f>
        <v>1</v>
      </c>
      <c r="S1405" s="87" t="b">
        <f>(VLOOKUP(Requirements!I1407,Scope[[Role]:[Description]],2,FALSE)="In")</f>
        <v>1</v>
      </c>
      <c r="T1405" s="87">
        <f t="shared" si="87"/>
        <v>1</v>
      </c>
    </row>
    <row r="1406" spans="1:60">
      <c r="A1406" s="84" t="str">
        <f>Requirements!A1408</f>
        <v>MS-SMB_R80172</v>
      </c>
      <c r="B1406" s="87">
        <v>1</v>
      </c>
      <c r="C1406" s="87"/>
      <c r="D1406" s="87"/>
      <c r="E1406" s="87"/>
      <c r="F1406" s="87"/>
      <c r="G1406" s="87"/>
      <c r="H1406" s="87"/>
      <c r="I1406" s="87"/>
      <c r="J1406" s="87"/>
      <c r="K1406" s="87"/>
      <c r="L1406" s="87"/>
      <c r="M1406" s="87"/>
      <c r="N1406" s="87">
        <f t="shared" si="84"/>
        <v>1</v>
      </c>
      <c r="O1406" s="60">
        <f t="shared" si="85"/>
        <v>1</v>
      </c>
      <c r="P1406" s="60" t="b">
        <f t="shared" si="86"/>
        <v>1</v>
      </c>
      <c r="Q1406" s="87" t="b">
        <f>(Requirements!K1408="Normative")</f>
        <v>1</v>
      </c>
      <c r="R1406" s="87" t="b">
        <f>AND(Requirements!L1408&lt;&gt;"Non-testable",Requirements!L1408&lt;&gt;"Deleted",Requirements!L1408&lt;&gt;"")</f>
        <v>1</v>
      </c>
      <c r="S1406" s="87" t="b">
        <f>(VLOOKUP(Requirements!I1408,Scope[[Role]:[Description]],2,FALSE)="In")</f>
        <v>1</v>
      </c>
      <c r="T1406" s="87">
        <f t="shared" si="87"/>
        <v>1</v>
      </c>
    </row>
    <row r="1407" spans="1:60">
      <c r="A1407" s="44" t="str">
        <f>Requirements!A1409</f>
        <v>MS-SMB_R4767</v>
      </c>
      <c r="B1407" s="87"/>
      <c r="C1407" s="87"/>
      <c r="D1407" s="87"/>
      <c r="E1407" s="87"/>
      <c r="F1407" s="87"/>
      <c r="G1407" s="87"/>
      <c r="H1407" s="87"/>
      <c r="I1407" s="87"/>
      <c r="J1407" s="87"/>
      <c r="K1407" s="87"/>
      <c r="L1407" s="87"/>
      <c r="M1407" s="87"/>
      <c r="N1407" s="87">
        <f t="shared" si="84"/>
        <v>0</v>
      </c>
      <c r="O1407" s="87">
        <f t="shared" si="85"/>
        <v>0</v>
      </c>
      <c r="P1407" s="87" t="b">
        <f t="shared" si="86"/>
        <v>0</v>
      </c>
      <c r="Q1407" s="87" t="b">
        <f>(Requirements!K1409="Normative")</f>
        <v>1</v>
      </c>
      <c r="R1407" s="87" t="b">
        <f>AND(Requirements!L1409&lt;&gt;"Non-testable",Requirements!L1409&lt;&gt;"Deleted",Requirements!L1409&lt;&gt;"")</f>
        <v>0</v>
      </c>
      <c r="S1407" s="87" t="b">
        <f>(VLOOKUP(Requirements!I1409,Scope[[Role]:[Description]],2,FALSE)="In")</f>
        <v>1</v>
      </c>
      <c r="T1407" s="87">
        <f t="shared" si="87"/>
        <v>0</v>
      </c>
    </row>
    <row r="1408" spans="1:60">
      <c r="A1408" s="84" t="str">
        <f>Requirements!A1410</f>
        <v>MS-SMB_R2322</v>
      </c>
      <c r="B1408" s="87">
        <v>1</v>
      </c>
      <c r="C1408" s="87"/>
      <c r="D1408" s="87"/>
      <c r="E1408" s="87"/>
      <c r="F1408" s="87"/>
      <c r="G1408" s="87"/>
      <c r="H1408" s="87"/>
      <c r="I1408" s="87"/>
      <c r="J1408" s="87"/>
      <c r="K1408" s="87"/>
      <c r="L1408" s="87"/>
      <c r="M1408" s="87"/>
      <c r="N1408" s="87">
        <f t="shared" si="84"/>
        <v>1</v>
      </c>
      <c r="O1408" s="60">
        <f t="shared" si="85"/>
        <v>1</v>
      </c>
      <c r="P1408" s="60" t="b">
        <f t="shared" si="86"/>
        <v>1</v>
      </c>
      <c r="Q1408" s="87" t="b">
        <f>(Requirements!K1410="Normative")</f>
        <v>1</v>
      </c>
      <c r="R1408" s="87" t="b">
        <f>AND(Requirements!L1410&lt;&gt;"Non-testable",Requirements!L1410&lt;&gt;"Deleted",Requirements!L1410&lt;&gt;"")</f>
        <v>1</v>
      </c>
      <c r="S1408" s="87" t="b">
        <f>(VLOOKUP(Requirements!I1410,Scope[[Role]:[Description]],2,FALSE)="In")</f>
        <v>1</v>
      </c>
      <c r="T1408" s="87">
        <f t="shared" si="87"/>
        <v>1</v>
      </c>
    </row>
    <row r="1409" spans="1:60">
      <c r="A1409" s="83" t="str">
        <f>Requirements!A1411</f>
        <v>MS-SMB_R2323</v>
      </c>
      <c r="B1409" s="46"/>
      <c r="C1409" s="46"/>
      <c r="D1409" s="46"/>
      <c r="E1409" s="46"/>
      <c r="F1409" s="46"/>
      <c r="G1409" s="46"/>
      <c r="H1409" s="46"/>
      <c r="I1409" s="46"/>
      <c r="J1409" s="46"/>
      <c r="K1409" s="46"/>
      <c r="L1409" s="46"/>
      <c r="M1409" s="46"/>
      <c r="N1409" s="46">
        <f t="shared" si="84"/>
        <v>0</v>
      </c>
      <c r="O1409" s="46">
        <f t="shared" si="85"/>
        <v>0</v>
      </c>
      <c r="P1409" s="46" t="b">
        <f t="shared" si="86"/>
        <v>0</v>
      </c>
      <c r="Q1409" s="46" t="b">
        <f>(Requirements!K1411="Normative")</f>
        <v>0</v>
      </c>
      <c r="R1409" s="46" t="b">
        <f>AND(Requirements!L1411&lt;&gt;"Non-testable",Requirements!L1411&lt;&gt;"Deleted",Requirements!L1411&lt;&gt;"")</f>
        <v>0</v>
      </c>
      <c r="S1409" s="46" t="b">
        <f>(VLOOKUP(Requirements!I1411,Scope[[Role]:[Description]],2,FALSE)="In")</f>
        <v>1</v>
      </c>
      <c r="T1409" s="46">
        <f t="shared" si="87"/>
        <v>0</v>
      </c>
      <c r="U1409" s="45"/>
      <c r="V1409" s="45"/>
      <c r="W1409" s="45"/>
      <c r="X1409" s="45"/>
      <c r="Y1409" s="45"/>
      <c r="Z1409" s="45"/>
      <c r="AA1409" s="45"/>
      <c r="AB1409" s="45"/>
      <c r="AC1409" s="45"/>
      <c r="AD1409" s="45"/>
      <c r="AE1409" s="45"/>
      <c r="AF1409" s="45"/>
      <c r="AG1409" s="45"/>
      <c r="AH1409" s="45"/>
      <c r="AI1409" s="45"/>
      <c r="AJ1409" s="45"/>
      <c r="AK1409" s="45"/>
      <c r="AL1409" s="45"/>
      <c r="AM1409" s="45"/>
      <c r="AN1409" s="45"/>
      <c r="AO1409" s="45"/>
      <c r="AP1409" s="45"/>
      <c r="AQ1409" s="45"/>
      <c r="AR1409" s="45"/>
      <c r="AS1409" s="45"/>
      <c r="AT1409" s="45"/>
      <c r="AU1409" s="45"/>
      <c r="AV1409" s="45"/>
      <c r="AW1409" s="45"/>
      <c r="AX1409" s="45"/>
      <c r="AY1409" s="45"/>
      <c r="AZ1409" s="45"/>
      <c r="BA1409" s="45"/>
      <c r="BB1409" s="45"/>
      <c r="BC1409" s="45"/>
      <c r="BD1409" s="45"/>
      <c r="BE1409" s="45"/>
      <c r="BF1409" s="45"/>
      <c r="BG1409" s="45"/>
      <c r="BH1409" s="45"/>
    </row>
    <row r="1410" spans="1:60">
      <c r="A1410" s="44" t="str">
        <f>Requirements!A1412</f>
        <v>MS-SMB_R4770</v>
      </c>
      <c r="B1410" s="87"/>
      <c r="C1410" s="87"/>
      <c r="D1410" s="87"/>
      <c r="E1410" s="87"/>
      <c r="F1410" s="87"/>
      <c r="G1410" s="87"/>
      <c r="H1410" s="87"/>
      <c r="I1410" s="87"/>
      <c r="J1410" s="87"/>
      <c r="K1410" s="87"/>
      <c r="L1410" s="87"/>
      <c r="M1410" s="87"/>
      <c r="N1410" s="87">
        <f t="shared" si="84"/>
        <v>0</v>
      </c>
      <c r="O1410" s="87">
        <f t="shared" si="85"/>
        <v>0</v>
      </c>
      <c r="P1410" s="87" t="b">
        <f t="shared" si="86"/>
        <v>0</v>
      </c>
      <c r="Q1410" s="87" t="b">
        <f>(Requirements!K1412="Normative")</f>
        <v>1</v>
      </c>
      <c r="R1410" s="87" t="b">
        <f>AND(Requirements!L1412&lt;&gt;"Non-testable",Requirements!L1412&lt;&gt;"Deleted",Requirements!L1412&lt;&gt;"")</f>
        <v>0</v>
      </c>
      <c r="S1410" s="87" t="b">
        <f>(VLOOKUP(Requirements!I1412,Scope[[Role]:[Description]],2,FALSE)="In")</f>
        <v>1</v>
      </c>
      <c r="T1410" s="87">
        <f t="shared" si="87"/>
        <v>0</v>
      </c>
    </row>
    <row r="1411" spans="1:60">
      <c r="A1411" s="44" t="str">
        <f>Requirements!A1413</f>
        <v>MS-SMB_R104770</v>
      </c>
      <c r="B1411" s="87"/>
      <c r="C1411" s="87"/>
      <c r="D1411" s="87"/>
      <c r="E1411" s="87"/>
      <c r="F1411" s="87"/>
      <c r="G1411" s="87"/>
      <c r="H1411" s="87"/>
      <c r="I1411" s="87"/>
      <c r="J1411" s="87"/>
      <c r="K1411" s="87"/>
      <c r="L1411" s="87"/>
      <c r="M1411" s="87"/>
      <c r="N1411" s="87">
        <f t="shared" si="84"/>
        <v>0</v>
      </c>
      <c r="O1411" s="87">
        <f t="shared" si="85"/>
        <v>0</v>
      </c>
      <c r="P1411" s="87" t="b">
        <f t="shared" si="86"/>
        <v>0</v>
      </c>
      <c r="Q1411" s="87" t="b">
        <f>(Requirements!K1413="Normative")</f>
        <v>0</v>
      </c>
      <c r="R1411" s="87" t="b">
        <f>AND(Requirements!L1413&lt;&gt;"Non-testable",Requirements!L1413&lt;&gt;"Deleted",Requirements!L1413&lt;&gt;"")</f>
        <v>1</v>
      </c>
      <c r="S1411" s="87" t="b">
        <f>(VLOOKUP(Requirements!I1413,Scope[[Role]:[Description]],2,FALSE)="In")</f>
        <v>1</v>
      </c>
      <c r="T1411" s="87">
        <f t="shared" si="87"/>
        <v>0</v>
      </c>
    </row>
    <row r="1412" spans="1:60">
      <c r="A1412" s="85" t="str">
        <f>Requirements!A1414</f>
        <v>MS-SMB_R114770</v>
      </c>
      <c r="B1412" s="87"/>
      <c r="C1412" s="87"/>
      <c r="D1412" s="87"/>
      <c r="E1412" s="87"/>
      <c r="F1412" s="87"/>
      <c r="G1412" s="87"/>
      <c r="H1412" s="87"/>
      <c r="I1412" s="87"/>
      <c r="J1412" s="87"/>
      <c r="K1412" s="87"/>
      <c r="L1412" s="87"/>
      <c r="M1412" s="87"/>
      <c r="N1412" s="87">
        <f t="shared" si="84"/>
        <v>0</v>
      </c>
      <c r="O1412" s="61">
        <f t="shared" si="85"/>
        <v>0</v>
      </c>
      <c r="P1412" s="61" t="b">
        <f t="shared" si="86"/>
        <v>1</v>
      </c>
      <c r="Q1412" s="87" t="b">
        <f>(Requirements!K1414="Normative")</f>
        <v>1</v>
      </c>
      <c r="R1412" s="87" t="b">
        <f>AND(Requirements!L1414&lt;&gt;"Non-testable",Requirements!L1414&lt;&gt;"Deleted",Requirements!L1414&lt;&gt;"")</f>
        <v>1</v>
      </c>
      <c r="S1412" s="87" t="b">
        <f>(VLOOKUP(Requirements!I1414,Scope[[Role]:[Description]],2,FALSE)="In")</f>
        <v>1</v>
      </c>
      <c r="T1412" s="87">
        <f t="shared" si="87"/>
        <v>0</v>
      </c>
    </row>
    <row r="1413" spans="1:60">
      <c r="A1413" s="44" t="str">
        <f>Requirements!A1415</f>
        <v>MS-SMB_R4771</v>
      </c>
      <c r="B1413" s="87"/>
      <c r="C1413" s="87"/>
      <c r="D1413" s="87"/>
      <c r="E1413" s="87"/>
      <c r="F1413" s="87"/>
      <c r="G1413" s="87"/>
      <c r="H1413" s="87"/>
      <c r="I1413" s="87"/>
      <c r="J1413" s="87"/>
      <c r="K1413" s="87"/>
      <c r="L1413" s="87"/>
      <c r="M1413" s="87"/>
      <c r="N1413" s="87">
        <f t="shared" si="84"/>
        <v>0</v>
      </c>
      <c r="O1413" s="87">
        <f t="shared" si="85"/>
        <v>0</v>
      </c>
      <c r="P1413" s="87" t="b">
        <f t="shared" si="86"/>
        <v>0</v>
      </c>
      <c r="Q1413" s="87" t="b">
        <f>(Requirements!K1415="Normative")</f>
        <v>1</v>
      </c>
      <c r="R1413" s="87" t="b">
        <f>AND(Requirements!L1415&lt;&gt;"Non-testable",Requirements!L1415&lt;&gt;"Deleted",Requirements!L1415&lt;&gt;"")</f>
        <v>0</v>
      </c>
      <c r="S1413" s="87" t="b">
        <f>(VLOOKUP(Requirements!I1415,Scope[[Role]:[Description]],2,FALSE)="In")</f>
        <v>1</v>
      </c>
      <c r="T1413" s="87">
        <f t="shared" si="87"/>
        <v>0</v>
      </c>
    </row>
    <row r="1414" spans="1:60">
      <c r="A1414" s="44" t="str">
        <f>Requirements!A1416</f>
        <v>MS-SMB_R4772</v>
      </c>
      <c r="B1414" s="87"/>
      <c r="C1414" s="87"/>
      <c r="D1414" s="87"/>
      <c r="E1414" s="87"/>
      <c r="F1414" s="87"/>
      <c r="G1414" s="87"/>
      <c r="H1414" s="87"/>
      <c r="I1414" s="87"/>
      <c r="J1414" s="87"/>
      <c r="K1414" s="87"/>
      <c r="L1414" s="87"/>
      <c r="M1414" s="87"/>
      <c r="N1414" s="87">
        <f t="shared" si="84"/>
        <v>0</v>
      </c>
      <c r="O1414" s="87">
        <f t="shared" si="85"/>
        <v>0</v>
      </c>
      <c r="P1414" s="87" t="b">
        <f t="shared" si="86"/>
        <v>0</v>
      </c>
      <c r="Q1414" s="87" t="b">
        <f>(Requirements!K1416="Normative")</f>
        <v>0</v>
      </c>
      <c r="R1414" s="87" t="b">
        <f>AND(Requirements!L1416&lt;&gt;"Non-testable",Requirements!L1416&lt;&gt;"Deleted",Requirements!L1416&lt;&gt;"")</f>
        <v>1</v>
      </c>
      <c r="S1414" s="87" t="b">
        <f>(VLOOKUP(Requirements!I1416,Scope[[Role]:[Description]],2,FALSE)="In")</f>
        <v>1</v>
      </c>
      <c r="T1414" s="87">
        <f t="shared" si="87"/>
        <v>0</v>
      </c>
    </row>
    <row r="1415" spans="1:60">
      <c r="A1415" s="84" t="str">
        <f>Requirements!A1417</f>
        <v>MS-SMB_R2326</v>
      </c>
      <c r="B1415" s="87">
        <v>1</v>
      </c>
      <c r="C1415" s="87"/>
      <c r="D1415" s="87"/>
      <c r="E1415" s="87"/>
      <c r="F1415" s="87"/>
      <c r="G1415" s="87"/>
      <c r="H1415" s="87"/>
      <c r="I1415" s="87"/>
      <c r="J1415" s="87"/>
      <c r="K1415" s="87"/>
      <c r="L1415" s="87"/>
      <c r="M1415" s="87"/>
      <c r="N1415" s="87">
        <f t="shared" si="84"/>
        <v>1</v>
      </c>
      <c r="O1415" s="60">
        <f t="shared" si="85"/>
        <v>1</v>
      </c>
      <c r="P1415" s="60" t="b">
        <f t="shared" si="86"/>
        <v>1</v>
      </c>
      <c r="Q1415" s="87" t="b">
        <f>(Requirements!K1417="Normative")</f>
        <v>1</v>
      </c>
      <c r="R1415" s="87" t="b">
        <f>AND(Requirements!L1417&lt;&gt;"Non-testable",Requirements!L1417&lt;&gt;"Deleted",Requirements!L1417&lt;&gt;"")</f>
        <v>1</v>
      </c>
      <c r="S1415" s="87" t="b">
        <f>(VLOOKUP(Requirements!I1417,Scope[[Role]:[Description]],2,FALSE)="In")</f>
        <v>1</v>
      </c>
      <c r="T1415" s="87">
        <f t="shared" si="87"/>
        <v>1</v>
      </c>
    </row>
    <row r="1416" spans="1:60">
      <c r="A1416" s="44" t="str">
        <f>Requirements!A1418</f>
        <v>MS-SMB_R4774</v>
      </c>
      <c r="B1416" s="87"/>
      <c r="C1416" s="87"/>
      <c r="D1416" s="87"/>
      <c r="E1416" s="87"/>
      <c r="F1416" s="87"/>
      <c r="G1416" s="87"/>
      <c r="H1416" s="87"/>
      <c r="I1416" s="87"/>
      <c r="J1416" s="87"/>
      <c r="K1416" s="87"/>
      <c r="L1416" s="87"/>
      <c r="M1416" s="87"/>
      <c r="N1416" s="87">
        <f t="shared" si="84"/>
        <v>0</v>
      </c>
      <c r="O1416" s="87">
        <f t="shared" si="85"/>
        <v>0</v>
      </c>
      <c r="P1416" s="87" t="b">
        <f t="shared" si="86"/>
        <v>0</v>
      </c>
      <c r="Q1416" s="87" t="b">
        <f>(Requirements!K1418="Normative")</f>
        <v>1</v>
      </c>
      <c r="R1416" s="87" t="b">
        <f>AND(Requirements!L1418&lt;&gt;"Non-testable",Requirements!L1418&lt;&gt;"Deleted",Requirements!L1418&lt;&gt;"")</f>
        <v>0</v>
      </c>
      <c r="S1416" s="87" t="b">
        <f>(VLOOKUP(Requirements!I1418,Scope[[Role]:[Description]],2,FALSE)="In")</f>
        <v>1</v>
      </c>
      <c r="T1416" s="87">
        <f t="shared" si="87"/>
        <v>0</v>
      </c>
    </row>
    <row r="1417" spans="1:60">
      <c r="A1417" s="84" t="str">
        <f>Requirements!A1419</f>
        <v>MS-SMB_R4776</v>
      </c>
      <c r="B1417" s="87">
        <v>1</v>
      </c>
      <c r="C1417" s="87"/>
      <c r="D1417" s="87"/>
      <c r="E1417" s="87"/>
      <c r="F1417" s="87"/>
      <c r="G1417" s="87"/>
      <c r="H1417" s="87"/>
      <c r="I1417" s="87"/>
      <c r="J1417" s="87"/>
      <c r="K1417" s="87"/>
      <c r="L1417" s="87"/>
      <c r="M1417" s="87"/>
      <c r="N1417" s="87">
        <f t="shared" si="84"/>
        <v>1</v>
      </c>
      <c r="O1417" s="60">
        <f t="shared" si="85"/>
        <v>1</v>
      </c>
      <c r="P1417" s="60" t="b">
        <f t="shared" si="86"/>
        <v>1</v>
      </c>
      <c r="Q1417" s="87" t="b">
        <f>(Requirements!K1419="Normative")</f>
        <v>1</v>
      </c>
      <c r="R1417" s="87" t="b">
        <f>AND(Requirements!L1419&lt;&gt;"Non-testable",Requirements!L1419&lt;&gt;"Deleted",Requirements!L1419&lt;&gt;"")</f>
        <v>1</v>
      </c>
      <c r="S1417" s="87" t="b">
        <f>(VLOOKUP(Requirements!I1419,Scope[[Role]:[Description]],2,FALSE)="In")</f>
        <v>1</v>
      </c>
      <c r="T1417" s="87">
        <f t="shared" si="87"/>
        <v>1</v>
      </c>
    </row>
    <row r="1418" spans="1:60">
      <c r="A1418" s="84" t="str">
        <f>Requirements!A1420</f>
        <v>MS-SMB_R4777</v>
      </c>
      <c r="B1418" s="87">
        <v>1</v>
      </c>
      <c r="C1418" s="87"/>
      <c r="D1418" s="87"/>
      <c r="E1418" s="87"/>
      <c r="F1418" s="87"/>
      <c r="G1418" s="87"/>
      <c r="H1418" s="87"/>
      <c r="I1418" s="87"/>
      <c r="J1418" s="87"/>
      <c r="K1418" s="87"/>
      <c r="L1418" s="87"/>
      <c r="M1418" s="87"/>
      <c r="N1418" s="87">
        <f t="shared" si="84"/>
        <v>1</v>
      </c>
      <c r="O1418" s="60">
        <f t="shared" si="85"/>
        <v>1</v>
      </c>
      <c r="P1418" s="60" t="b">
        <f t="shared" si="86"/>
        <v>1</v>
      </c>
      <c r="Q1418" s="87" t="b">
        <f>(Requirements!K1420="Normative")</f>
        <v>1</v>
      </c>
      <c r="R1418" s="87" t="b">
        <f>AND(Requirements!L1420&lt;&gt;"Non-testable",Requirements!L1420&lt;&gt;"Deleted",Requirements!L1420&lt;&gt;"")</f>
        <v>1</v>
      </c>
      <c r="S1418" s="87" t="b">
        <f>(VLOOKUP(Requirements!I1420,Scope[[Role]:[Description]],2,FALSE)="In")</f>
        <v>1</v>
      </c>
      <c r="T1418" s="87">
        <f t="shared" si="87"/>
        <v>1</v>
      </c>
    </row>
    <row r="1419" spans="1:60">
      <c r="A1419" s="84" t="str">
        <f>Requirements!A1421</f>
        <v>MS-SMB_R2329</v>
      </c>
      <c r="B1419" s="87">
        <v>1</v>
      </c>
      <c r="C1419" s="87"/>
      <c r="D1419" s="87"/>
      <c r="E1419" s="87"/>
      <c r="F1419" s="87"/>
      <c r="G1419" s="87"/>
      <c r="H1419" s="87"/>
      <c r="I1419" s="87"/>
      <c r="J1419" s="87"/>
      <c r="K1419" s="87"/>
      <c r="L1419" s="87"/>
      <c r="M1419" s="87"/>
      <c r="N1419" s="87">
        <f t="shared" si="84"/>
        <v>1</v>
      </c>
      <c r="O1419" s="60">
        <f t="shared" si="85"/>
        <v>1</v>
      </c>
      <c r="P1419" s="60" t="b">
        <f t="shared" si="86"/>
        <v>1</v>
      </c>
      <c r="Q1419" s="87" t="b">
        <f>(Requirements!K1421="Normative")</f>
        <v>1</v>
      </c>
      <c r="R1419" s="87" t="b">
        <f>AND(Requirements!L1421&lt;&gt;"Non-testable",Requirements!L1421&lt;&gt;"Deleted",Requirements!L1421&lt;&gt;"")</f>
        <v>1</v>
      </c>
      <c r="S1419" s="87" t="b">
        <f>(VLOOKUP(Requirements!I1421,Scope[[Role]:[Description]],2,FALSE)="In")</f>
        <v>1</v>
      </c>
      <c r="T1419" s="87">
        <f t="shared" si="87"/>
        <v>1</v>
      </c>
    </row>
    <row r="1420" spans="1:60">
      <c r="A1420" s="44" t="str">
        <f>Requirements!A1422</f>
        <v>MS-SMB_R4779</v>
      </c>
      <c r="B1420" s="87"/>
      <c r="C1420" s="87"/>
      <c r="D1420" s="87"/>
      <c r="E1420" s="87"/>
      <c r="F1420" s="87"/>
      <c r="G1420" s="87"/>
      <c r="H1420" s="87"/>
      <c r="I1420" s="87"/>
      <c r="J1420" s="87"/>
      <c r="K1420" s="87"/>
      <c r="L1420" s="87"/>
      <c r="M1420" s="87"/>
      <c r="N1420" s="87">
        <f t="shared" si="84"/>
        <v>0</v>
      </c>
      <c r="O1420" s="87">
        <f t="shared" si="85"/>
        <v>0</v>
      </c>
      <c r="P1420" s="87" t="b">
        <f t="shared" si="86"/>
        <v>0</v>
      </c>
      <c r="Q1420" s="87" t="b">
        <f>(Requirements!K1422="Normative")</f>
        <v>1</v>
      </c>
      <c r="R1420" s="87" t="b">
        <f>AND(Requirements!L1422&lt;&gt;"Non-testable",Requirements!L1422&lt;&gt;"Deleted",Requirements!L1422&lt;&gt;"")</f>
        <v>0</v>
      </c>
      <c r="S1420" s="87" t="b">
        <f>(VLOOKUP(Requirements!I1422,Scope[[Role]:[Description]],2,FALSE)="In")</f>
        <v>1</v>
      </c>
      <c r="T1420" s="87">
        <f t="shared" si="87"/>
        <v>0</v>
      </c>
    </row>
    <row r="1421" spans="1:60">
      <c r="A1421" s="44" t="str">
        <f>Requirements!A1423</f>
        <v>MS-SMB_R4780</v>
      </c>
      <c r="B1421" s="87"/>
      <c r="C1421" s="87"/>
      <c r="D1421" s="87"/>
      <c r="E1421" s="87"/>
      <c r="F1421" s="87"/>
      <c r="G1421" s="87"/>
      <c r="H1421" s="87"/>
      <c r="I1421" s="87"/>
      <c r="J1421" s="87"/>
      <c r="K1421" s="87"/>
      <c r="L1421" s="87"/>
      <c r="M1421" s="87"/>
      <c r="N1421" s="87">
        <f t="shared" si="84"/>
        <v>0</v>
      </c>
      <c r="O1421" s="87">
        <f t="shared" si="85"/>
        <v>0</v>
      </c>
      <c r="P1421" s="87" t="b">
        <f t="shared" si="86"/>
        <v>0</v>
      </c>
      <c r="Q1421" s="87" t="b">
        <f>(Requirements!K1423="Normative")</f>
        <v>1</v>
      </c>
      <c r="R1421" s="87" t="b">
        <f>AND(Requirements!L1423&lt;&gt;"Non-testable",Requirements!L1423&lt;&gt;"Deleted",Requirements!L1423&lt;&gt;"")</f>
        <v>0</v>
      </c>
      <c r="S1421" s="87" t="b">
        <f>(VLOOKUP(Requirements!I1423,Scope[[Role]:[Description]],2,FALSE)="In")</f>
        <v>1</v>
      </c>
      <c r="T1421" s="87">
        <f t="shared" si="87"/>
        <v>0</v>
      </c>
    </row>
    <row r="1422" spans="1:60">
      <c r="A1422" s="44" t="str">
        <f>Requirements!A1424</f>
        <v>MS-SMB_R4781</v>
      </c>
      <c r="B1422" s="87"/>
      <c r="C1422" s="87"/>
      <c r="D1422" s="87"/>
      <c r="E1422" s="87"/>
      <c r="F1422" s="87"/>
      <c r="G1422" s="87"/>
      <c r="H1422" s="87"/>
      <c r="I1422" s="87"/>
      <c r="J1422" s="87"/>
      <c r="K1422" s="87"/>
      <c r="L1422" s="87"/>
      <c r="M1422" s="87"/>
      <c r="N1422" s="87">
        <f t="shared" si="84"/>
        <v>0</v>
      </c>
      <c r="O1422" s="87">
        <f t="shared" si="85"/>
        <v>0</v>
      </c>
      <c r="P1422" s="87" t="b">
        <f t="shared" si="86"/>
        <v>0</v>
      </c>
      <c r="Q1422" s="87" t="b">
        <f>(Requirements!K1424="Normative")</f>
        <v>1</v>
      </c>
      <c r="R1422" s="87" t="b">
        <f>AND(Requirements!L1424&lt;&gt;"Non-testable",Requirements!L1424&lt;&gt;"Deleted",Requirements!L1424&lt;&gt;"")</f>
        <v>0</v>
      </c>
      <c r="S1422" s="87" t="b">
        <f>(VLOOKUP(Requirements!I1424,Scope[[Role]:[Description]],2,FALSE)="In")</f>
        <v>1</v>
      </c>
      <c r="T1422" s="87">
        <f t="shared" si="87"/>
        <v>0</v>
      </c>
    </row>
    <row r="1423" spans="1:60">
      <c r="A1423" s="84" t="str">
        <f>Requirements!A1425</f>
        <v>MS-SMB_R30115</v>
      </c>
      <c r="B1423" s="87">
        <v>1</v>
      </c>
      <c r="C1423" s="87"/>
      <c r="D1423" s="87"/>
      <c r="E1423" s="87"/>
      <c r="F1423" s="87"/>
      <c r="G1423" s="87"/>
      <c r="H1423" s="87"/>
      <c r="I1423" s="87"/>
      <c r="J1423" s="87"/>
      <c r="K1423" s="87"/>
      <c r="L1423" s="87"/>
      <c r="M1423" s="87"/>
      <c r="N1423" s="87">
        <f t="shared" si="84"/>
        <v>1</v>
      </c>
      <c r="O1423" s="60">
        <f t="shared" si="85"/>
        <v>1</v>
      </c>
      <c r="P1423" s="60" t="b">
        <f t="shared" si="86"/>
        <v>1</v>
      </c>
      <c r="Q1423" s="87" t="b">
        <f>(Requirements!K1425="Normative")</f>
        <v>1</v>
      </c>
      <c r="R1423" s="87" t="b">
        <f>AND(Requirements!L1425&lt;&gt;"Non-testable",Requirements!L1425&lt;&gt;"Deleted",Requirements!L1425&lt;&gt;"")</f>
        <v>1</v>
      </c>
      <c r="S1423" s="87" t="b">
        <f>(VLOOKUP(Requirements!I1425,Scope[[Role]:[Description]],2,FALSE)="In")</f>
        <v>1</v>
      </c>
      <c r="T1423" s="87">
        <f t="shared" si="87"/>
        <v>1</v>
      </c>
    </row>
    <row r="1424" spans="1:60">
      <c r="A1424" s="84" t="str">
        <f>Requirements!A1426</f>
        <v>MS-SMB_R30116</v>
      </c>
      <c r="B1424" s="87">
        <v>1</v>
      </c>
      <c r="C1424" s="87"/>
      <c r="D1424" s="87"/>
      <c r="E1424" s="87"/>
      <c r="F1424" s="87"/>
      <c r="G1424" s="87"/>
      <c r="H1424" s="87"/>
      <c r="I1424" s="87"/>
      <c r="J1424" s="87"/>
      <c r="K1424" s="87"/>
      <c r="L1424" s="87"/>
      <c r="M1424" s="87"/>
      <c r="N1424" s="87">
        <f t="shared" si="84"/>
        <v>1</v>
      </c>
      <c r="O1424" s="60">
        <f t="shared" si="85"/>
        <v>1</v>
      </c>
      <c r="P1424" s="60" t="b">
        <f t="shared" si="86"/>
        <v>1</v>
      </c>
      <c r="Q1424" s="87" t="b">
        <f>(Requirements!K1426="Normative")</f>
        <v>1</v>
      </c>
      <c r="R1424" s="87" t="b">
        <f>AND(Requirements!L1426&lt;&gt;"Non-testable",Requirements!L1426&lt;&gt;"Deleted",Requirements!L1426&lt;&gt;"")</f>
        <v>1</v>
      </c>
      <c r="S1424" s="87" t="b">
        <f>(VLOOKUP(Requirements!I1426,Scope[[Role]:[Description]],2,FALSE)="In")</f>
        <v>1</v>
      </c>
      <c r="T1424" s="87">
        <f t="shared" si="87"/>
        <v>1</v>
      </c>
    </row>
    <row r="1425" spans="1:20">
      <c r="A1425" s="84" t="str">
        <f>Requirements!A1427</f>
        <v>MS-SMB_R4784</v>
      </c>
      <c r="B1425" s="87">
        <v>1</v>
      </c>
      <c r="C1425" s="87"/>
      <c r="D1425" s="87"/>
      <c r="E1425" s="87"/>
      <c r="F1425" s="87"/>
      <c r="G1425" s="87"/>
      <c r="H1425" s="87"/>
      <c r="I1425" s="87"/>
      <c r="J1425" s="87"/>
      <c r="K1425" s="87"/>
      <c r="L1425" s="87"/>
      <c r="M1425" s="87"/>
      <c r="N1425" s="87">
        <f t="shared" si="84"/>
        <v>1</v>
      </c>
      <c r="O1425" s="60">
        <f t="shared" si="85"/>
        <v>1</v>
      </c>
      <c r="P1425" s="60" t="b">
        <f t="shared" si="86"/>
        <v>1</v>
      </c>
      <c r="Q1425" s="87" t="b">
        <f>(Requirements!K1427="Normative")</f>
        <v>1</v>
      </c>
      <c r="R1425" s="87" t="b">
        <f>AND(Requirements!L1427&lt;&gt;"Non-testable",Requirements!L1427&lt;&gt;"Deleted",Requirements!L1427&lt;&gt;"")</f>
        <v>1</v>
      </c>
      <c r="S1425" s="87" t="b">
        <f>(VLOOKUP(Requirements!I1427,Scope[[Role]:[Description]],2,FALSE)="In")</f>
        <v>1</v>
      </c>
      <c r="T1425" s="87">
        <f t="shared" si="87"/>
        <v>1</v>
      </c>
    </row>
    <row r="1426" spans="1:20">
      <c r="A1426" s="44" t="str">
        <f>Requirements!A1428</f>
        <v>MS-SMB_R4785</v>
      </c>
      <c r="B1426" s="87"/>
      <c r="C1426" s="87"/>
      <c r="D1426" s="87"/>
      <c r="E1426" s="87"/>
      <c r="F1426" s="87"/>
      <c r="G1426" s="87"/>
      <c r="H1426" s="87"/>
      <c r="I1426" s="87"/>
      <c r="J1426" s="87"/>
      <c r="K1426" s="87"/>
      <c r="L1426" s="87"/>
      <c r="M1426" s="87"/>
      <c r="N1426" s="87">
        <f t="shared" si="84"/>
        <v>0</v>
      </c>
      <c r="O1426" s="87">
        <f t="shared" si="85"/>
        <v>0</v>
      </c>
      <c r="P1426" s="87" t="b">
        <f t="shared" si="86"/>
        <v>0</v>
      </c>
      <c r="Q1426" s="87" t="b">
        <f>(Requirements!K1428="Normative")</f>
        <v>1</v>
      </c>
      <c r="R1426" s="87" t="b">
        <f>AND(Requirements!L1428&lt;&gt;"Non-testable",Requirements!L1428&lt;&gt;"Deleted",Requirements!L1428&lt;&gt;"")</f>
        <v>0</v>
      </c>
      <c r="S1426" s="87" t="b">
        <f>(VLOOKUP(Requirements!I1428,Scope[[Role]:[Description]],2,FALSE)="In")</f>
        <v>1</v>
      </c>
      <c r="T1426" s="87">
        <f t="shared" si="87"/>
        <v>0</v>
      </c>
    </row>
    <row r="1427" spans="1:20">
      <c r="A1427" s="84" t="str">
        <f>Requirements!A1429</f>
        <v>MS-SMB_R2333</v>
      </c>
      <c r="B1427" s="87">
        <v>1</v>
      </c>
      <c r="C1427" s="87"/>
      <c r="D1427" s="87"/>
      <c r="E1427" s="87"/>
      <c r="F1427" s="87"/>
      <c r="G1427" s="87"/>
      <c r="H1427" s="87"/>
      <c r="I1427" s="87"/>
      <c r="J1427" s="87"/>
      <c r="K1427" s="87"/>
      <c r="L1427" s="87"/>
      <c r="M1427" s="87"/>
      <c r="N1427" s="87">
        <f t="shared" si="84"/>
        <v>1</v>
      </c>
      <c r="O1427" s="60">
        <f t="shared" si="85"/>
        <v>1</v>
      </c>
      <c r="P1427" s="60" t="b">
        <f t="shared" si="86"/>
        <v>1</v>
      </c>
      <c r="Q1427" s="87" t="b">
        <f>(Requirements!K1429="Normative")</f>
        <v>1</v>
      </c>
      <c r="R1427" s="87" t="b">
        <f>AND(Requirements!L1429&lt;&gt;"Non-testable",Requirements!L1429&lt;&gt;"Deleted",Requirements!L1429&lt;&gt;"")</f>
        <v>1</v>
      </c>
      <c r="S1427" s="87" t="b">
        <f>(VLOOKUP(Requirements!I1429,Scope[[Role]:[Description]],2,FALSE)="In")</f>
        <v>1</v>
      </c>
      <c r="T1427" s="87">
        <f t="shared" si="87"/>
        <v>1</v>
      </c>
    </row>
    <row r="1428" spans="1:20">
      <c r="A1428" s="44" t="str">
        <f>Requirements!A1430</f>
        <v>MS-SMB_R80077</v>
      </c>
      <c r="B1428" s="87"/>
      <c r="C1428" s="87"/>
      <c r="D1428" s="87"/>
      <c r="E1428" s="87"/>
      <c r="F1428" s="87"/>
      <c r="G1428" s="87"/>
      <c r="H1428" s="87"/>
      <c r="I1428" s="87"/>
      <c r="J1428" s="87"/>
      <c r="K1428" s="87"/>
      <c r="L1428" s="87"/>
      <c r="M1428" s="87"/>
      <c r="N1428" s="87">
        <f t="shared" ref="N1428:N1491" si="88">SUM(B1428:M1428)</f>
        <v>0</v>
      </c>
      <c r="O1428" s="87">
        <f t="shared" ref="O1428:O1491" si="89">IF(N1428=0,0,1)</f>
        <v>0</v>
      </c>
      <c r="P1428" s="87" t="b">
        <f t="shared" ref="P1428:P1491" si="90">AND(Q1428:S1428)</f>
        <v>0</v>
      </c>
      <c r="Q1428" s="87" t="b">
        <f>(Requirements!K1430="Normative")</f>
        <v>1</v>
      </c>
      <c r="R1428" s="87" t="b">
        <f>AND(Requirements!L1430&lt;&gt;"Non-testable",Requirements!L1430&lt;&gt;"Deleted",Requirements!L1430&lt;&gt;"")</f>
        <v>0</v>
      </c>
      <c r="S1428" s="87" t="b">
        <f>(VLOOKUP(Requirements!I1430,Scope[[Role]:[Description]],2,FALSE)="In")</f>
        <v>1</v>
      </c>
      <c r="T1428" s="87">
        <f t="shared" ref="T1428:T1491" si="91">IF(P1428,O1428, 0)</f>
        <v>0</v>
      </c>
    </row>
    <row r="1429" spans="1:20">
      <c r="A1429" s="44" t="str">
        <f>Requirements!A1431</f>
        <v>MS-SMB_R30117</v>
      </c>
      <c r="B1429" s="87"/>
      <c r="C1429" s="87"/>
      <c r="D1429" s="87"/>
      <c r="E1429" s="87"/>
      <c r="F1429" s="87"/>
      <c r="G1429" s="87"/>
      <c r="H1429" s="87"/>
      <c r="I1429" s="87"/>
      <c r="J1429" s="87"/>
      <c r="K1429" s="87"/>
      <c r="L1429" s="87"/>
      <c r="M1429" s="87"/>
      <c r="N1429" s="87">
        <f t="shared" si="88"/>
        <v>0</v>
      </c>
      <c r="O1429" s="87">
        <f t="shared" si="89"/>
        <v>0</v>
      </c>
      <c r="P1429" s="87" t="b">
        <f t="shared" si="90"/>
        <v>0</v>
      </c>
      <c r="Q1429" s="87" t="b">
        <f>(Requirements!K1431="Normative")</f>
        <v>0</v>
      </c>
      <c r="R1429" s="87" t="b">
        <f>AND(Requirements!L1431&lt;&gt;"Non-testable",Requirements!L1431&lt;&gt;"Deleted",Requirements!L1431&lt;&gt;"")</f>
        <v>1</v>
      </c>
      <c r="S1429" s="87" t="b">
        <f>(VLOOKUP(Requirements!I1431,Scope[[Role]:[Description]],2,FALSE)="In")</f>
        <v>1</v>
      </c>
      <c r="T1429" s="87">
        <f t="shared" si="91"/>
        <v>0</v>
      </c>
    </row>
    <row r="1430" spans="1:20">
      <c r="A1430" s="44" t="str">
        <f>Requirements!A1432</f>
        <v>MS-SMB_R4804</v>
      </c>
      <c r="B1430" s="87"/>
      <c r="C1430" s="87"/>
      <c r="D1430" s="87"/>
      <c r="E1430" s="87"/>
      <c r="F1430" s="87"/>
      <c r="G1430" s="87"/>
      <c r="H1430" s="87"/>
      <c r="I1430" s="87"/>
      <c r="J1430" s="87"/>
      <c r="K1430" s="87"/>
      <c r="L1430" s="87"/>
      <c r="M1430" s="87"/>
      <c r="N1430" s="87">
        <f t="shared" si="88"/>
        <v>0</v>
      </c>
      <c r="O1430" s="87">
        <f t="shared" si="89"/>
        <v>0</v>
      </c>
      <c r="P1430" s="87" t="b">
        <f t="shared" si="90"/>
        <v>0</v>
      </c>
      <c r="Q1430" s="87" t="b">
        <f>(Requirements!K1432="Normative")</f>
        <v>1</v>
      </c>
      <c r="R1430" s="87" t="b">
        <f>AND(Requirements!L1432&lt;&gt;"Non-testable",Requirements!L1432&lt;&gt;"Deleted",Requirements!L1432&lt;&gt;"")</f>
        <v>0</v>
      </c>
      <c r="S1430" s="87" t="b">
        <f>(VLOOKUP(Requirements!I1432,Scope[[Role]:[Description]],2,FALSE)="In")</f>
        <v>1</v>
      </c>
      <c r="T1430" s="87">
        <f t="shared" si="91"/>
        <v>0</v>
      </c>
    </row>
    <row r="1431" spans="1:20">
      <c r="A1431" s="44" t="str">
        <f>Requirements!A1433</f>
        <v>MS-SMB_R4805</v>
      </c>
      <c r="B1431" s="87"/>
      <c r="C1431" s="87"/>
      <c r="D1431" s="87"/>
      <c r="E1431" s="87"/>
      <c r="F1431" s="87"/>
      <c r="G1431" s="87"/>
      <c r="H1431" s="87"/>
      <c r="I1431" s="87"/>
      <c r="J1431" s="87"/>
      <c r="K1431" s="87"/>
      <c r="L1431" s="87"/>
      <c r="M1431" s="87"/>
      <c r="N1431" s="87">
        <f t="shared" si="88"/>
        <v>0</v>
      </c>
      <c r="O1431" s="87">
        <f t="shared" si="89"/>
        <v>0</v>
      </c>
      <c r="P1431" s="87" t="b">
        <f t="shared" si="90"/>
        <v>0</v>
      </c>
      <c r="Q1431" s="87" t="b">
        <f>(Requirements!K1433="Normative")</f>
        <v>1</v>
      </c>
      <c r="R1431" s="87" t="b">
        <f>AND(Requirements!L1433&lt;&gt;"Non-testable",Requirements!L1433&lt;&gt;"Deleted",Requirements!L1433&lt;&gt;"")</f>
        <v>0</v>
      </c>
      <c r="S1431" s="87" t="b">
        <f>(VLOOKUP(Requirements!I1433,Scope[[Role]:[Description]],2,FALSE)="In")</f>
        <v>1</v>
      </c>
      <c r="T1431" s="87">
        <f t="shared" si="91"/>
        <v>0</v>
      </c>
    </row>
    <row r="1432" spans="1:20">
      <c r="A1432" s="85" t="str">
        <f>Requirements!A1434</f>
        <v>MS-SMB_R4806</v>
      </c>
      <c r="B1432" s="87"/>
      <c r="C1432" s="87"/>
      <c r="D1432" s="87"/>
      <c r="E1432" s="87"/>
      <c r="F1432" s="87"/>
      <c r="G1432" s="87"/>
      <c r="H1432" s="87"/>
      <c r="I1432" s="87"/>
      <c r="J1432" s="87"/>
      <c r="K1432" s="87"/>
      <c r="L1432" s="87"/>
      <c r="M1432" s="87"/>
      <c r="N1432" s="87">
        <f t="shared" si="88"/>
        <v>0</v>
      </c>
      <c r="O1432" s="61">
        <f t="shared" si="89"/>
        <v>0</v>
      </c>
      <c r="P1432" s="61" t="b">
        <f t="shared" si="90"/>
        <v>1</v>
      </c>
      <c r="Q1432" s="87" t="b">
        <f>(Requirements!K1434="Normative")</f>
        <v>1</v>
      </c>
      <c r="R1432" s="87" t="b">
        <f>AND(Requirements!L1434&lt;&gt;"Non-testable",Requirements!L1434&lt;&gt;"Deleted",Requirements!L1434&lt;&gt;"")</f>
        <v>1</v>
      </c>
      <c r="S1432" s="87" t="b">
        <f>(VLOOKUP(Requirements!I1434,Scope[[Role]:[Description]],2,FALSE)="In")</f>
        <v>1</v>
      </c>
      <c r="T1432" s="87">
        <f t="shared" si="91"/>
        <v>0</v>
      </c>
    </row>
    <row r="1433" spans="1:20">
      <c r="A1433" s="85" t="str">
        <f>Requirements!A1435</f>
        <v>MS-SMB_R4807</v>
      </c>
      <c r="B1433" s="87"/>
      <c r="C1433" s="87"/>
      <c r="D1433" s="87"/>
      <c r="E1433" s="87"/>
      <c r="F1433" s="87"/>
      <c r="G1433" s="87"/>
      <c r="H1433" s="87"/>
      <c r="I1433" s="87"/>
      <c r="J1433" s="87"/>
      <c r="K1433" s="87"/>
      <c r="L1433" s="87"/>
      <c r="M1433" s="87"/>
      <c r="N1433" s="87">
        <f t="shared" si="88"/>
        <v>0</v>
      </c>
      <c r="O1433" s="61">
        <f t="shared" si="89"/>
        <v>0</v>
      </c>
      <c r="P1433" s="61" t="b">
        <f t="shared" si="90"/>
        <v>1</v>
      </c>
      <c r="Q1433" s="87" t="b">
        <f>(Requirements!K1435="Normative")</f>
        <v>1</v>
      </c>
      <c r="R1433" s="87" t="b">
        <f>AND(Requirements!L1435&lt;&gt;"Non-testable",Requirements!L1435&lt;&gt;"Deleted",Requirements!L1435&lt;&gt;"")</f>
        <v>1</v>
      </c>
      <c r="S1433" s="87" t="b">
        <f>(VLOOKUP(Requirements!I1435,Scope[[Role]:[Description]],2,FALSE)="In")</f>
        <v>1</v>
      </c>
      <c r="T1433" s="87">
        <f t="shared" si="91"/>
        <v>0</v>
      </c>
    </row>
    <row r="1434" spans="1:20">
      <c r="A1434" s="84" t="str">
        <f>Requirements!A1436</f>
        <v>MS-SMB_R2341</v>
      </c>
      <c r="B1434" s="87">
        <v>1</v>
      </c>
      <c r="C1434" s="87"/>
      <c r="D1434" s="87"/>
      <c r="E1434" s="87"/>
      <c r="F1434" s="87"/>
      <c r="G1434" s="87"/>
      <c r="H1434" s="87"/>
      <c r="I1434" s="87"/>
      <c r="J1434" s="87"/>
      <c r="K1434" s="87"/>
      <c r="L1434" s="87"/>
      <c r="M1434" s="87"/>
      <c r="N1434" s="87">
        <f t="shared" si="88"/>
        <v>1</v>
      </c>
      <c r="O1434" s="60">
        <f t="shared" si="89"/>
        <v>1</v>
      </c>
      <c r="P1434" s="60" t="b">
        <f t="shared" si="90"/>
        <v>1</v>
      </c>
      <c r="Q1434" s="87" t="b">
        <f>(Requirements!K1436="Normative")</f>
        <v>1</v>
      </c>
      <c r="R1434" s="87" t="b">
        <f>AND(Requirements!L1436&lt;&gt;"Non-testable",Requirements!L1436&lt;&gt;"Deleted",Requirements!L1436&lt;&gt;"")</f>
        <v>1</v>
      </c>
      <c r="S1434" s="87" t="b">
        <f>(VLOOKUP(Requirements!I1436,Scope[[Role]:[Description]],2,FALSE)="In")</f>
        <v>1</v>
      </c>
      <c r="T1434" s="87">
        <f t="shared" si="91"/>
        <v>1</v>
      </c>
    </row>
    <row r="1435" spans="1:20">
      <c r="A1435" s="44" t="str">
        <f>Requirements!A1437</f>
        <v>MS-SMB_R4810</v>
      </c>
      <c r="B1435" s="87"/>
      <c r="C1435" s="87"/>
      <c r="D1435" s="87"/>
      <c r="E1435" s="87"/>
      <c r="F1435" s="87"/>
      <c r="G1435" s="87"/>
      <c r="H1435" s="87"/>
      <c r="I1435" s="87"/>
      <c r="J1435" s="87"/>
      <c r="K1435" s="87"/>
      <c r="L1435" s="87"/>
      <c r="M1435" s="87"/>
      <c r="N1435" s="87">
        <f t="shared" si="88"/>
        <v>0</v>
      </c>
      <c r="O1435" s="87">
        <f t="shared" si="89"/>
        <v>0</v>
      </c>
      <c r="P1435" s="87" t="b">
        <f t="shared" si="90"/>
        <v>0</v>
      </c>
      <c r="Q1435" s="87" t="b">
        <f>(Requirements!K1437="Normative")</f>
        <v>1</v>
      </c>
      <c r="R1435" s="87" t="b">
        <f>AND(Requirements!L1437&lt;&gt;"Non-testable",Requirements!L1437&lt;&gt;"Deleted",Requirements!L1437&lt;&gt;"")</f>
        <v>0</v>
      </c>
      <c r="S1435" s="87" t="b">
        <f>(VLOOKUP(Requirements!I1437,Scope[[Role]:[Description]],2,FALSE)="In")</f>
        <v>1</v>
      </c>
      <c r="T1435" s="87">
        <f t="shared" si="91"/>
        <v>0</v>
      </c>
    </row>
    <row r="1436" spans="1:20">
      <c r="A1436" s="44" t="str">
        <f>Requirements!A1438</f>
        <v>MS-SMB_R4811</v>
      </c>
      <c r="B1436" s="87"/>
      <c r="C1436" s="87"/>
      <c r="D1436" s="87"/>
      <c r="E1436" s="87"/>
      <c r="F1436" s="87"/>
      <c r="G1436" s="87"/>
      <c r="H1436" s="87"/>
      <c r="I1436" s="87"/>
      <c r="J1436" s="87"/>
      <c r="K1436" s="87"/>
      <c r="L1436" s="87"/>
      <c r="M1436" s="87"/>
      <c r="N1436" s="87">
        <f t="shared" si="88"/>
        <v>0</v>
      </c>
      <c r="O1436" s="87">
        <f t="shared" si="89"/>
        <v>0</v>
      </c>
      <c r="P1436" s="87" t="b">
        <f t="shared" si="90"/>
        <v>0</v>
      </c>
      <c r="Q1436" s="87" t="b">
        <f>(Requirements!K1438="Normative")</f>
        <v>1</v>
      </c>
      <c r="R1436" s="87" t="b">
        <f>AND(Requirements!L1438&lt;&gt;"Non-testable",Requirements!L1438&lt;&gt;"Deleted",Requirements!L1438&lt;&gt;"")</f>
        <v>0</v>
      </c>
      <c r="S1436" s="87" t="b">
        <f>(VLOOKUP(Requirements!I1438,Scope[[Role]:[Description]],2,FALSE)="In")</f>
        <v>1</v>
      </c>
      <c r="T1436" s="87">
        <f t="shared" si="91"/>
        <v>0</v>
      </c>
    </row>
    <row r="1437" spans="1:20">
      <c r="A1437" s="44" t="str">
        <f>Requirements!A1439</f>
        <v>MS-SMB_R4812</v>
      </c>
      <c r="B1437" s="87"/>
      <c r="C1437" s="87"/>
      <c r="D1437" s="87"/>
      <c r="E1437" s="87"/>
      <c r="F1437" s="87"/>
      <c r="G1437" s="87"/>
      <c r="H1437" s="87"/>
      <c r="I1437" s="87"/>
      <c r="J1437" s="87"/>
      <c r="K1437" s="87"/>
      <c r="L1437" s="87"/>
      <c r="M1437" s="87"/>
      <c r="N1437" s="87">
        <f t="shared" si="88"/>
        <v>0</v>
      </c>
      <c r="O1437" s="87">
        <f t="shared" si="89"/>
        <v>0</v>
      </c>
      <c r="P1437" s="87" t="b">
        <f t="shared" si="90"/>
        <v>0</v>
      </c>
      <c r="Q1437" s="87" t="b">
        <f>(Requirements!K1439="Normative")</f>
        <v>1</v>
      </c>
      <c r="R1437" s="87" t="b">
        <f>AND(Requirements!L1439&lt;&gt;"Non-testable",Requirements!L1439&lt;&gt;"Deleted",Requirements!L1439&lt;&gt;"")</f>
        <v>0</v>
      </c>
      <c r="S1437" s="87" t="b">
        <f>(VLOOKUP(Requirements!I1439,Scope[[Role]:[Description]],2,FALSE)="In")</f>
        <v>1</v>
      </c>
      <c r="T1437" s="87">
        <f t="shared" si="91"/>
        <v>0</v>
      </c>
    </row>
    <row r="1438" spans="1:20">
      <c r="A1438" s="44" t="str">
        <f>Requirements!A1440</f>
        <v>MS-SMB_R4814</v>
      </c>
      <c r="B1438" s="87"/>
      <c r="C1438" s="87"/>
      <c r="D1438" s="87"/>
      <c r="E1438" s="87"/>
      <c r="F1438" s="87"/>
      <c r="G1438" s="87"/>
      <c r="H1438" s="87"/>
      <c r="I1438" s="87"/>
      <c r="J1438" s="87"/>
      <c r="K1438" s="87"/>
      <c r="L1438" s="87"/>
      <c r="M1438" s="87"/>
      <c r="N1438" s="87">
        <f t="shared" si="88"/>
        <v>0</v>
      </c>
      <c r="O1438" s="87">
        <f t="shared" si="89"/>
        <v>0</v>
      </c>
      <c r="P1438" s="87" t="b">
        <f t="shared" si="90"/>
        <v>0</v>
      </c>
      <c r="Q1438" s="87" t="b">
        <f>(Requirements!K1440="Normative")</f>
        <v>1</v>
      </c>
      <c r="R1438" s="87" t="b">
        <f>AND(Requirements!L1440&lt;&gt;"Non-testable",Requirements!L1440&lt;&gt;"Deleted",Requirements!L1440&lt;&gt;"")</f>
        <v>0</v>
      </c>
      <c r="S1438" s="87" t="b">
        <f>(VLOOKUP(Requirements!I1440,Scope[[Role]:[Description]],2,FALSE)="In")</f>
        <v>1</v>
      </c>
      <c r="T1438" s="87">
        <f t="shared" si="91"/>
        <v>0</v>
      </c>
    </row>
    <row r="1439" spans="1:20">
      <c r="A1439" s="44" t="str">
        <f>Requirements!A1441</f>
        <v>MS-SMB_R4815</v>
      </c>
      <c r="B1439" s="87"/>
      <c r="C1439" s="87"/>
      <c r="D1439" s="87"/>
      <c r="E1439" s="87"/>
      <c r="F1439" s="87"/>
      <c r="G1439" s="87"/>
      <c r="H1439" s="87"/>
      <c r="I1439" s="87"/>
      <c r="J1439" s="87"/>
      <c r="K1439" s="87"/>
      <c r="L1439" s="87"/>
      <c r="M1439" s="87"/>
      <c r="N1439" s="87">
        <f t="shared" si="88"/>
        <v>0</v>
      </c>
      <c r="O1439" s="87">
        <f t="shared" si="89"/>
        <v>0</v>
      </c>
      <c r="P1439" s="87" t="b">
        <f t="shared" si="90"/>
        <v>0</v>
      </c>
      <c r="Q1439" s="87" t="b">
        <f>(Requirements!K1441="Normative")</f>
        <v>1</v>
      </c>
      <c r="R1439" s="87" t="b">
        <f>AND(Requirements!L1441&lt;&gt;"Non-testable",Requirements!L1441&lt;&gt;"Deleted",Requirements!L1441&lt;&gt;"")</f>
        <v>0</v>
      </c>
      <c r="S1439" s="87" t="b">
        <f>(VLOOKUP(Requirements!I1441,Scope[[Role]:[Description]],2,FALSE)="In")</f>
        <v>1</v>
      </c>
      <c r="T1439" s="87">
        <f t="shared" si="91"/>
        <v>0</v>
      </c>
    </row>
    <row r="1440" spans="1:20">
      <c r="A1440" s="44" t="str">
        <f>Requirements!A1442</f>
        <v>MS-SMB_R4816</v>
      </c>
      <c r="B1440" s="87"/>
      <c r="C1440" s="87"/>
      <c r="D1440" s="87"/>
      <c r="E1440" s="87"/>
      <c r="F1440" s="87"/>
      <c r="G1440" s="87"/>
      <c r="H1440" s="87"/>
      <c r="I1440" s="87"/>
      <c r="J1440" s="87"/>
      <c r="K1440" s="87"/>
      <c r="L1440" s="87"/>
      <c r="M1440" s="87"/>
      <c r="N1440" s="87">
        <f t="shared" si="88"/>
        <v>0</v>
      </c>
      <c r="O1440" s="87">
        <f t="shared" si="89"/>
        <v>0</v>
      </c>
      <c r="P1440" s="87" t="b">
        <f t="shared" si="90"/>
        <v>0</v>
      </c>
      <c r="Q1440" s="87" t="b">
        <f>(Requirements!K1442="Normative")</f>
        <v>1</v>
      </c>
      <c r="R1440" s="87" t="b">
        <f>AND(Requirements!L1442&lt;&gt;"Non-testable",Requirements!L1442&lt;&gt;"Deleted",Requirements!L1442&lt;&gt;"")</f>
        <v>0</v>
      </c>
      <c r="S1440" s="87" t="b">
        <f>(VLOOKUP(Requirements!I1442,Scope[[Role]:[Description]],2,FALSE)="In")</f>
        <v>1</v>
      </c>
      <c r="T1440" s="87">
        <f t="shared" si="91"/>
        <v>0</v>
      </c>
    </row>
    <row r="1441" spans="1:20">
      <c r="A1441" s="44" t="str">
        <f>Requirements!A1443</f>
        <v>MS-SMB_R4817</v>
      </c>
      <c r="B1441" s="87"/>
      <c r="C1441" s="87"/>
      <c r="D1441" s="87"/>
      <c r="E1441" s="87"/>
      <c r="F1441" s="87"/>
      <c r="G1441" s="87"/>
      <c r="H1441" s="87"/>
      <c r="I1441" s="87"/>
      <c r="J1441" s="87"/>
      <c r="K1441" s="87"/>
      <c r="L1441" s="87"/>
      <c r="M1441" s="87"/>
      <c r="N1441" s="87">
        <f t="shared" si="88"/>
        <v>0</v>
      </c>
      <c r="O1441" s="87">
        <f t="shared" si="89"/>
        <v>0</v>
      </c>
      <c r="P1441" s="87" t="b">
        <f t="shared" si="90"/>
        <v>0</v>
      </c>
      <c r="Q1441" s="87" t="b">
        <f>(Requirements!K1443="Normative")</f>
        <v>1</v>
      </c>
      <c r="R1441" s="87" t="b">
        <f>AND(Requirements!L1443&lt;&gt;"Non-testable",Requirements!L1443&lt;&gt;"Deleted",Requirements!L1443&lt;&gt;"")</f>
        <v>0</v>
      </c>
      <c r="S1441" s="87" t="b">
        <f>(VLOOKUP(Requirements!I1443,Scope[[Role]:[Description]],2,FALSE)="In")</f>
        <v>1</v>
      </c>
      <c r="T1441" s="87">
        <f t="shared" si="91"/>
        <v>0</v>
      </c>
    </row>
    <row r="1442" spans="1:20">
      <c r="A1442" s="44" t="str">
        <f>Requirements!A1444</f>
        <v>MS-SMB_R30118</v>
      </c>
      <c r="B1442" s="87"/>
      <c r="C1442" s="87"/>
      <c r="D1442" s="87"/>
      <c r="E1442" s="87"/>
      <c r="F1442" s="87"/>
      <c r="G1442" s="87"/>
      <c r="H1442" s="87"/>
      <c r="I1442" s="87"/>
      <c r="J1442" s="87"/>
      <c r="K1442" s="87"/>
      <c r="L1442" s="87"/>
      <c r="M1442" s="87"/>
      <c r="N1442" s="87">
        <f t="shared" si="88"/>
        <v>0</v>
      </c>
      <c r="O1442" s="87">
        <f t="shared" si="89"/>
        <v>0</v>
      </c>
      <c r="P1442" s="87" t="b">
        <f t="shared" si="90"/>
        <v>0</v>
      </c>
      <c r="Q1442" s="87" t="b">
        <f>(Requirements!K1444="Normative")</f>
        <v>1</v>
      </c>
      <c r="R1442" s="87" t="b">
        <f>AND(Requirements!L1444&lt;&gt;"Non-testable",Requirements!L1444&lt;&gt;"Deleted",Requirements!L1444&lt;&gt;"")</f>
        <v>0</v>
      </c>
      <c r="S1442" s="87" t="b">
        <f>(VLOOKUP(Requirements!I1444,Scope[[Role]:[Description]],2,FALSE)="In")</f>
        <v>1</v>
      </c>
      <c r="T1442" s="87">
        <f t="shared" si="91"/>
        <v>0</v>
      </c>
    </row>
    <row r="1443" spans="1:20">
      <c r="A1443" s="44" t="str">
        <f>Requirements!A1445</f>
        <v>MS-SMB_R4818</v>
      </c>
      <c r="B1443" s="87"/>
      <c r="C1443" s="87"/>
      <c r="D1443" s="87"/>
      <c r="E1443" s="87"/>
      <c r="F1443" s="87"/>
      <c r="G1443" s="87"/>
      <c r="H1443" s="87"/>
      <c r="I1443" s="87"/>
      <c r="J1443" s="87"/>
      <c r="K1443" s="87"/>
      <c r="L1443" s="87"/>
      <c r="M1443" s="87"/>
      <c r="N1443" s="87">
        <f t="shared" si="88"/>
        <v>0</v>
      </c>
      <c r="O1443" s="87">
        <f t="shared" si="89"/>
        <v>0</v>
      </c>
      <c r="P1443" s="87" t="b">
        <f t="shared" si="90"/>
        <v>0</v>
      </c>
      <c r="Q1443" s="87" t="b">
        <f>(Requirements!K1445="Normative")</f>
        <v>1</v>
      </c>
      <c r="R1443" s="87" t="b">
        <f>AND(Requirements!L1445&lt;&gt;"Non-testable",Requirements!L1445&lt;&gt;"Deleted",Requirements!L1445&lt;&gt;"")</f>
        <v>0</v>
      </c>
      <c r="S1443" s="87" t="b">
        <f>(VLOOKUP(Requirements!I1445,Scope[[Role]:[Description]],2,FALSE)="In")</f>
        <v>1</v>
      </c>
      <c r="T1443" s="87">
        <f t="shared" si="91"/>
        <v>0</v>
      </c>
    </row>
    <row r="1444" spans="1:20">
      <c r="A1444" s="44" t="str">
        <f>Requirements!A1446</f>
        <v>MS-SMB_R4819</v>
      </c>
      <c r="B1444" s="87"/>
      <c r="C1444" s="87"/>
      <c r="D1444" s="87"/>
      <c r="E1444" s="87"/>
      <c r="F1444" s="87"/>
      <c r="G1444" s="87"/>
      <c r="H1444" s="87"/>
      <c r="I1444" s="87"/>
      <c r="J1444" s="87"/>
      <c r="K1444" s="87"/>
      <c r="L1444" s="87"/>
      <c r="M1444" s="87"/>
      <c r="N1444" s="87">
        <f t="shared" si="88"/>
        <v>0</v>
      </c>
      <c r="O1444" s="87">
        <f t="shared" si="89"/>
        <v>0</v>
      </c>
      <c r="P1444" s="87" t="b">
        <f t="shared" si="90"/>
        <v>0</v>
      </c>
      <c r="Q1444" s="87" t="b">
        <f>(Requirements!K1446="Normative")</f>
        <v>0</v>
      </c>
      <c r="R1444" s="87" t="b">
        <f>AND(Requirements!L1446&lt;&gt;"Non-testable",Requirements!L1446&lt;&gt;"Deleted",Requirements!L1446&lt;&gt;"")</f>
        <v>1</v>
      </c>
      <c r="S1444" s="87" t="b">
        <f>(VLOOKUP(Requirements!I1446,Scope[[Role]:[Description]],2,FALSE)="In")</f>
        <v>1</v>
      </c>
      <c r="T1444" s="87">
        <f t="shared" si="91"/>
        <v>0</v>
      </c>
    </row>
    <row r="1445" spans="1:20">
      <c r="A1445" s="84" t="str">
        <f>Requirements!A1447</f>
        <v>MS-SMB_R30107</v>
      </c>
      <c r="B1445" s="87">
        <v>1</v>
      </c>
      <c r="C1445" s="87"/>
      <c r="D1445" s="87"/>
      <c r="E1445" s="87"/>
      <c r="F1445" s="87"/>
      <c r="G1445" s="87"/>
      <c r="H1445" s="87"/>
      <c r="I1445" s="87"/>
      <c r="J1445" s="87"/>
      <c r="K1445" s="87"/>
      <c r="L1445" s="87"/>
      <c r="M1445" s="87"/>
      <c r="N1445" s="87">
        <f t="shared" si="88"/>
        <v>1</v>
      </c>
      <c r="O1445" s="60">
        <f t="shared" si="89"/>
        <v>1</v>
      </c>
      <c r="P1445" s="60" t="b">
        <f t="shared" si="90"/>
        <v>1</v>
      </c>
      <c r="Q1445" s="87" t="b">
        <f>(Requirements!K1447="Normative")</f>
        <v>1</v>
      </c>
      <c r="R1445" s="87" t="b">
        <f>AND(Requirements!L1447&lt;&gt;"Non-testable",Requirements!L1447&lt;&gt;"Deleted",Requirements!L1447&lt;&gt;"")</f>
        <v>1</v>
      </c>
      <c r="S1445" s="87" t="b">
        <f>(VLOOKUP(Requirements!I1447,Scope[[Role]:[Description]],2,FALSE)="In")</f>
        <v>1</v>
      </c>
      <c r="T1445" s="87">
        <f t="shared" si="91"/>
        <v>1</v>
      </c>
    </row>
    <row r="1446" spans="1:20">
      <c r="A1446" s="84" t="str">
        <f>Requirements!A1448</f>
        <v>MS-SMB_R30108</v>
      </c>
      <c r="B1446" s="87">
        <v>1</v>
      </c>
      <c r="C1446" s="87"/>
      <c r="D1446" s="87"/>
      <c r="E1446" s="87"/>
      <c r="F1446" s="87"/>
      <c r="G1446" s="87"/>
      <c r="H1446" s="87"/>
      <c r="I1446" s="87"/>
      <c r="J1446" s="87"/>
      <c r="K1446" s="87"/>
      <c r="L1446" s="87"/>
      <c r="M1446" s="87"/>
      <c r="N1446" s="87">
        <f t="shared" si="88"/>
        <v>1</v>
      </c>
      <c r="O1446" s="60">
        <f t="shared" si="89"/>
        <v>1</v>
      </c>
      <c r="P1446" s="60" t="b">
        <f t="shared" si="90"/>
        <v>1</v>
      </c>
      <c r="Q1446" s="87" t="b">
        <f>(Requirements!K1448="Normative")</f>
        <v>1</v>
      </c>
      <c r="R1446" s="87" t="b">
        <f>AND(Requirements!L1448&lt;&gt;"Non-testable",Requirements!L1448&lt;&gt;"Deleted",Requirements!L1448&lt;&gt;"")</f>
        <v>1</v>
      </c>
      <c r="S1446" s="87" t="b">
        <f>(VLOOKUP(Requirements!I1448,Scope[[Role]:[Description]],2,FALSE)="In")</f>
        <v>1</v>
      </c>
      <c r="T1446" s="87">
        <f t="shared" si="91"/>
        <v>1</v>
      </c>
    </row>
    <row r="1447" spans="1:20">
      <c r="A1447" s="84" t="str">
        <f>Requirements!A1449</f>
        <v>MS-SMB_R30109</v>
      </c>
      <c r="B1447" s="87">
        <v>1</v>
      </c>
      <c r="C1447" s="87"/>
      <c r="D1447" s="87"/>
      <c r="E1447" s="87"/>
      <c r="F1447" s="87"/>
      <c r="G1447" s="87"/>
      <c r="H1447" s="87"/>
      <c r="I1447" s="87"/>
      <c r="J1447" s="87"/>
      <c r="K1447" s="87"/>
      <c r="L1447" s="87"/>
      <c r="M1447" s="87"/>
      <c r="N1447" s="87">
        <f t="shared" si="88"/>
        <v>1</v>
      </c>
      <c r="O1447" s="60">
        <f t="shared" si="89"/>
        <v>1</v>
      </c>
      <c r="P1447" s="60" t="b">
        <f t="shared" si="90"/>
        <v>1</v>
      </c>
      <c r="Q1447" s="87" t="b">
        <f>(Requirements!K1449="Normative")</f>
        <v>1</v>
      </c>
      <c r="R1447" s="87" t="b">
        <f>AND(Requirements!L1449&lt;&gt;"Non-testable",Requirements!L1449&lt;&gt;"Deleted",Requirements!L1449&lt;&gt;"")</f>
        <v>1</v>
      </c>
      <c r="S1447" s="87" t="b">
        <f>(VLOOKUP(Requirements!I1449,Scope[[Role]:[Description]],2,FALSE)="In")</f>
        <v>1</v>
      </c>
      <c r="T1447" s="87">
        <f t="shared" si="91"/>
        <v>1</v>
      </c>
    </row>
    <row r="1448" spans="1:20">
      <c r="A1448" s="84" t="str">
        <f>Requirements!A1450</f>
        <v>MS-SMB_R30110</v>
      </c>
      <c r="B1448" s="87">
        <v>1</v>
      </c>
      <c r="C1448" s="87"/>
      <c r="D1448" s="87"/>
      <c r="E1448" s="87"/>
      <c r="F1448" s="87"/>
      <c r="G1448" s="87"/>
      <c r="H1448" s="87"/>
      <c r="I1448" s="87"/>
      <c r="J1448" s="87"/>
      <c r="K1448" s="87"/>
      <c r="L1448" s="87"/>
      <c r="M1448" s="87"/>
      <c r="N1448" s="87">
        <f t="shared" si="88"/>
        <v>1</v>
      </c>
      <c r="O1448" s="60">
        <f t="shared" si="89"/>
        <v>1</v>
      </c>
      <c r="P1448" s="60" t="b">
        <f t="shared" si="90"/>
        <v>1</v>
      </c>
      <c r="Q1448" s="87" t="b">
        <f>(Requirements!K1450="Normative")</f>
        <v>1</v>
      </c>
      <c r="R1448" s="87" t="b">
        <f>AND(Requirements!L1450&lt;&gt;"Non-testable",Requirements!L1450&lt;&gt;"Deleted",Requirements!L1450&lt;&gt;"")</f>
        <v>1</v>
      </c>
      <c r="S1448" s="87" t="b">
        <f>(VLOOKUP(Requirements!I1450,Scope[[Role]:[Description]],2,FALSE)="In")</f>
        <v>1</v>
      </c>
      <c r="T1448" s="87">
        <f t="shared" si="91"/>
        <v>1</v>
      </c>
    </row>
    <row r="1449" spans="1:20">
      <c r="A1449" s="84" t="str">
        <f>Requirements!A1451</f>
        <v>MS-SMB_R11008</v>
      </c>
      <c r="B1449" s="87">
        <v>1</v>
      </c>
      <c r="C1449" s="87"/>
      <c r="D1449" s="87"/>
      <c r="E1449" s="87"/>
      <c r="F1449" s="87"/>
      <c r="G1449" s="87"/>
      <c r="H1449" s="87"/>
      <c r="I1449" s="87"/>
      <c r="J1449" s="87"/>
      <c r="K1449" s="87"/>
      <c r="L1449" s="87"/>
      <c r="M1449" s="87"/>
      <c r="N1449" s="87">
        <f t="shared" si="88"/>
        <v>1</v>
      </c>
      <c r="O1449" s="60">
        <f t="shared" si="89"/>
        <v>1</v>
      </c>
      <c r="P1449" s="60" t="b">
        <f t="shared" si="90"/>
        <v>1</v>
      </c>
      <c r="Q1449" s="87" t="b">
        <f>(Requirements!K1451="Normative")</f>
        <v>1</v>
      </c>
      <c r="R1449" s="87" t="b">
        <f>AND(Requirements!L1451&lt;&gt;"Non-testable",Requirements!L1451&lt;&gt;"Deleted",Requirements!L1451&lt;&gt;"")</f>
        <v>1</v>
      </c>
      <c r="S1449" s="87" t="b">
        <f>(VLOOKUP(Requirements!I1451,Scope[[Role]:[Description]],2,FALSE)="In")</f>
        <v>1</v>
      </c>
      <c r="T1449" s="87">
        <f t="shared" si="91"/>
        <v>1</v>
      </c>
    </row>
    <row r="1450" spans="1:20">
      <c r="A1450" s="84" t="str">
        <f>Requirements!A1452</f>
        <v>MS-SMB_R4828</v>
      </c>
      <c r="B1450" s="87">
        <v>1</v>
      </c>
      <c r="C1450" s="87"/>
      <c r="D1450" s="87"/>
      <c r="E1450" s="87"/>
      <c r="F1450" s="87"/>
      <c r="G1450" s="87"/>
      <c r="H1450" s="87"/>
      <c r="I1450" s="87"/>
      <c r="J1450" s="87"/>
      <c r="K1450" s="87"/>
      <c r="L1450" s="87"/>
      <c r="M1450" s="87"/>
      <c r="N1450" s="87">
        <f t="shared" si="88"/>
        <v>1</v>
      </c>
      <c r="O1450" s="60">
        <f t="shared" si="89"/>
        <v>1</v>
      </c>
      <c r="P1450" s="60" t="b">
        <f t="shared" si="90"/>
        <v>1</v>
      </c>
      <c r="Q1450" s="87" t="b">
        <f>(Requirements!K1452="Normative")</f>
        <v>1</v>
      </c>
      <c r="R1450" s="87" t="b">
        <f>AND(Requirements!L1452&lt;&gt;"Non-testable",Requirements!L1452&lt;&gt;"Deleted",Requirements!L1452&lt;&gt;"")</f>
        <v>1</v>
      </c>
      <c r="S1450" s="87" t="b">
        <f>(VLOOKUP(Requirements!I1452,Scope[[Role]:[Description]],2,FALSE)="In")</f>
        <v>1</v>
      </c>
      <c r="T1450" s="87">
        <f t="shared" si="91"/>
        <v>1</v>
      </c>
    </row>
    <row r="1451" spans="1:20">
      <c r="A1451" s="44" t="str">
        <f>Requirements!A1453</f>
        <v>MS-SMB_R30096</v>
      </c>
      <c r="B1451" s="87"/>
      <c r="C1451" s="87"/>
      <c r="D1451" s="87"/>
      <c r="E1451" s="87"/>
      <c r="F1451" s="87"/>
      <c r="G1451" s="87"/>
      <c r="H1451" s="87"/>
      <c r="I1451" s="87"/>
      <c r="J1451" s="87"/>
      <c r="K1451" s="87"/>
      <c r="L1451" s="87"/>
      <c r="M1451" s="87"/>
      <c r="N1451" s="87">
        <f t="shared" si="88"/>
        <v>0</v>
      </c>
      <c r="O1451" s="87">
        <f t="shared" si="89"/>
        <v>0</v>
      </c>
      <c r="P1451" s="87" t="b">
        <f t="shared" si="90"/>
        <v>0</v>
      </c>
      <c r="Q1451" s="87" t="b">
        <f>(Requirements!K1453="Normative")</f>
        <v>1</v>
      </c>
      <c r="R1451" s="87" t="b">
        <f>AND(Requirements!L1453&lt;&gt;"Non-testable",Requirements!L1453&lt;&gt;"Deleted",Requirements!L1453&lt;&gt;"")</f>
        <v>0</v>
      </c>
      <c r="S1451" s="87" t="b">
        <f>(VLOOKUP(Requirements!I1453,Scope[[Role]:[Description]],2,FALSE)="In")</f>
        <v>1</v>
      </c>
      <c r="T1451" s="87">
        <f t="shared" si="91"/>
        <v>0</v>
      </c>
    </row>
    <row r="1452" spans="1:20">
      <c r="A1452" s="84" t="str">
        <f>Requirements!A1454</f>
        <v>MS-SMB_R2356</v>
      </c>
      <c r="B1452" s="87">
        <v>1</v>
      </c>
      <c r="C1452" s="87"/>
      <c r="D1452" s="87"/>
      <c r="E1452" s="87"/>
      <c r="F1452" s="87"/>
      <c r="G1452" s="87"/>
      <c r="H1452" s="87"/>
      <c r="I1452" s="87"/>
      <c r="J1452" s="87"/>
      <c r="K1452" s="87"/>
      <c r="L1452" s="87"/>
      <c r="M1452" s="87"/>
      <c r="N1452" s="87">
        <f t="shared" si="88"/>
        <v>1</v>
      </c>
      <c r="O1452" s="60">
        <f t="shared" si="89"/>
        <v>1</v>
      </c>
      <c r="P1452" s="60" t="b">
        <f t="shared" si="90"/>
        <v>1</v>
      </c>
      <c r="Q1452" s="87" t="b">
        <f>(Requirements!K1454="Normative")</f>
        <v>1</v>
      </c>
      <c r="R1452" s="87" t="b">
        <f>AND(Requirements!L1454&lt;&gt;"Non-testable",Requirements!L1454&lt;&gt;"Deleted",Requirements!L1454&lt;&gt;"")</f>
        <v>1</v>
      </c>
      <c r="S1452" s="87" t="b">
        <f>(VLOOKUP(Requirements!I1454,Scope[[Role]:[Description]],2,FALSE)="In")</f>
        <v>1</v>
      </c>
      <c r="T1452" s="87">
        <f t="shared" si="91"/>
        <v>1</v>
      </c>
    </row>
    <row r="1453" spans="1:20">
      <c r="A1453" s="44" t="str">
        <f>Requirements!A1455</f>
        <v>MS-SMB_R4833</v>
      </c>
      <c r="B1453" s="87"/>
      <c r="C1453" s="87"/>
      <c r="D1453" s="87"/>
      <c r="E1453" s="87"/>
      <c r="F1453" s="87"/>
      <c r="G1453" s="87"/>
      <c r="H1453" s="87"/>
      <c r="I1453" s="87"/>
      <c r="J1453" s="87"/>
      <c r="K1453" s="87"/>
      <c r="L1453" s="87"/>
      <c r="M1453" s="87"/>
      <c r="N1453" s="87">
        <f t="shared" si="88"/>
        <v>0</v>
      </c>
      <c r="O1453" s="87">
        <f t="shared" si="89"/>
        <v>0</v>
      </c>
      <c r="P1453" s="87" t="b">
        <f t="shared" si="90"/>
        <v>0</v>
      </c>
      <c r="Q1453" s="87" t="b">
        <f>(Requirements!K1455="Normative")</f>
        <v>1</v>
      </c>
      <c r="R1453" s="87" t="b">
        <f>AND(Requirements!L1455&lt;&gt;"Non-testable",Requirements!L1455&lt;&gt;"Deleted",Requirements!L1455&lt;&gt;"")</f>
        <v>0</v>
      </c>
      <c r="S1453" s="87" t="b">
        <f>(VLOOKUP(Requirements!I1455,Scope[[Role]:[Description]],2,FALSE)="In")</f>
        <v>1</v>
      </c>
      <c r="T1453" s="87">
        <f t="shared" si="91"/>
        <v>0</v>
      </c>
    </row>
    <row r="1454" spans="1:20">
      <c r="A1454" s="44" t="str">
        <f>Requirements!A1456</f>
        <v>MS-SMB_R4834</v>
      </c>
      <c r="B1454" s="87"/>
      <c r="C1454" s="87"/>
      <c r="D1454" s="87"/>
      <c r="E1454" s="87"/>
      <c r="F1454" s="87"/>
      <c r="G1454" s="87"/>
      <c r="H1454" s="87"/>
      <c r="I1454" s="87"/>
      <c r="J1454" s="87"/>
      <c r="K1454" s="87"/>
      <c r="L1454" s="87"/>
      <c r="M1454" s="87"/>
      <c r="N1454" s="87">
        <f t="shared" si="88"/>
        <v>0</v>
      </c>
      <c r="O1454" s="87">
        <f t="shared" si="89"/>
        <v>0</v>
      </c>
      <c r="P1454" s="87" t="b">
        <f t="shared" si="90"/>
        <v>0</v>
      </c>
      <c r="Q1454" s="87" t="b">
        <f>(Requirements!K1456="Normative")</f>
        <v>0</v>
      </c>
      <c r="R1454" s="87" t="b">
        <f>AND(Requirements!L1456&lt;&gt;"Non-testable",Requirements!L1456&lt;&gt;"Deleted",Requirements!L1456&lt;&gt;"")</f>
        <v>1</v>
      </c>
      <c r="S1454" s="87" t="b">
        <f>(VLOOKUP(Requirements!I1456,Scope[[Role]:[Description]],2,FALSE)="In")</f>
        <v>1</v>
      </c>
      <c r="T1454" s="87">
        <f t="shared" si="91"/>
        <v>0</v>
      </c>
    </row>
    <row r="1455" spans="1:20">
      <c r="A1455" s="44" t="str">
        <f>Requirements!A1457</f>
        <v>MS-SMB_R4835</v>
      </c>
      <c r="B1455" s="87"/>
      <c r="C1455" s="87"/>
      <c r="D1455" s="87"/>
      <c r="E1455" s="87"/>
      <c r="F1455" s="87"/>
      <c r="G1455" s="87"/>
      <c r="H1455" s="87"/>
      <c r="I1455" s="87"/>
      <c r="J1455" s="87"/>
      <c r="K1455" s="87"/>
      <c r="L1455" s="87"/>
      <c r="M1455" s="87"/>
      <c r="N1455" s="87">
        <f t="shared" si="88"/>
        <v>0</v>
      </c>
      <c r="O1455" s="87">
        <f t="shared" si="89"/>
        <v>0</v>
      </c>
      <c r="P1455" s="87" t="b">
        <f t="shared" si="90"/>
        <v>0</v>
      </c>
      <c r="Q1455" s="87" t="b">
        <f>(Requirements!K1457="Normative")</f>
        <v>1</v>
      </c>
      <c r="R1455" s="87" t="b">
        <f>AND(Requirements!L1457&lt;&gt;"Non-testable",Requirements!L1457&lt;&gt;"Deleted",Requirements!L1457&lt;&gt;"")</f>
        <v>0</v>
      </c>
      <c r="S1455" s="87" t="b">
        <f>(VLOOKUP(Requirements!I1457,Scope[[Role]:[Description]],2,FALSE)="In")</f>
        <v>1</v>
      </c>
      <c r="T1455" s="87">
        <f t="shared" si="91"/>
        <v>0</v>
      </c>
    </row>
    <row r="1456" spans="1:20">
      <c r="A1456" s="44" t="str">
        <f>Requirements!A1458</f>
        <v>MS-SMB_R30097</v>
      </c>
      <c r="B1456" s="87"/>
      <c r="C1456" s="87"/>
      <c r="D1456" s="87"/>
      <c r="E1456" s="87"/>
      <c r="F1456" s="87"/>
      <c r="G1456" s="87"/>
      <c r="H1456" s="87"/>
      <c r="I1456" s="87"/>
      <c r="J1456" s="87"/>
      <c r="K1456" s="87"/>
      <c r="L1456" s="87"/>
      <c r="M1456" s="87"/>
      <c r="N1456" s="87">
        <f t="shared" si="88"/>
        <v>0</v>
      </c>
      <c r="O1456" s="87">
        <f t="shared" si="89"/>
        <v>0</v>
      </c>
      <c r="P1456" s="87" t="b">
        <f t="shared" si="90"/>
        <v>0</v>
      </c>
      <c r="Q1456" s="87" t="b">
        <f>(Requirements!K1458="Normative")</f>
        <v>1</v>
      </c>
      <c r="R1456" s="87" t="b">
        <f>AND(Requirements!L1458&lt;&gt;"Non-testable",Requirements!L1458&lt;&gt;"Deleted",Requirements!L1458&lt;&gt;"")</f>
        <v>0</v>
      </c>
      <c r="S1456" s="87" t="b">
        <f>(VLOOKUP(Requirements!I1458,Scope[[Role]:[Description]],2,FALSE)="In")</f>
        <v>1</v>
      </c>
      <c r="T1456" s="87">
        <f t="shared" si="91"/>
        <v>0</v>
      </c>
    </row>
    <row r="1457" spans="1:20">
      <c r="A1457" s="44" t="str">
        <f>Requirements!A1459</f>
        <v>MS-SMB_R30098</v>
      </c>
      <c r="B1457" s="87"/>
      <c r="C1457" s="87"/>
      <c r="D1457" s="87"/>
      <c r="E1457" s="87"/>
      <c r="F1457" s="87"/>
      <c r="G1457" s="87"/>
      <c r="H1457" s="87"/>
      <c r="I1457" s="87"/>
      <c r="J1457" s="87"/>
      <c r="K1457" s="87"/>
      <c r="L1457" s="87"/>
      <c r="M1457" s="87"/>
      <c r="N1457" s="87">
        <f t="shared" si="88"/>
        <v>0</v>
      </c>
      <c r="O1457" s="87">
        <f t="shared" si="89"/>
        <v>0</v>
      </c>
      <c r="P1457" s="87" t="b">
        <f t="shared" si="90"/>
        <v>0</v>
      </c>
      <c r="Q1457" s="87" t="b">
        <f>(Requirements!K1459="Normative")</f>
        <v>1</v>
      </c>
      <c r="R1457" s="87" t="b">
        <f>AND(Requirements!L1459&lt;&gt;"Non-testable",Requirements!L1459&lt;&gt;"Deleted",Requirements!L1459&lt;&gt;"")</f>
        <v>0</v>
      </c>
      <c r="S1457" s="87" t="b">
        <f>(VLOOKUP(Requirements!I1459,Scope[[Role]:[Description]],2,FALSE)="In")</f>
        <v>1</v>
      </c>
      <c r="T1457" s="87">
        <f t="shared" si="91"/>
        <v>0</v>
      </c>
    </row>
    <row r="1458" spans="1:20">
      <c r="A1458" s="44" t="str">
        <f>Requirements!A1460</f>
        <v>MS-SMB_R30099</v>
      </c>
      <c r="B1458" s="87"/>
      <c r="C1458" s="87"/>
      <c r="D1458" s="87"/>
      <c r="E1458" s="87"/>
      <c r="F1458" s="87"/>
      <c r="G1458" s="87"/>
      <c r="H1458" s="87"/>
      <c r="I1458" s="87"/>
      <c r="J1458" s="87"/>
      <c r="K1458" s="87"/>
      <c r="L1458" s="87"/>
      <c r="M1458" s="87"/>
      <c r="N1458" s="87">
        <f t="shared" si="88"/>
        <v>0</v>
      </c>
      <c r="O1458" s="87">
        <f t="shared" si="89"/>
        <v>0</v>
      </c>
      <c r="P1458" s="87" t="b">
        <f t="shared" si="90"/>
        <v>0</v>
      </c>
      <c r="Q1458" s="87" t="b">
        <f>(Requirements!K1460="Normative")</f>
        <v>1</v>
      </c>
      <c r="R1458" s="87" t="b">
        <f>AND(Requirements!L1460&lt;&gt;"Non-testable",Requirements!L1460&lt;&gt;"Deleted",Requirements!L1460&lt;&gt;"")</f>
        <v>0</v>
      </c>
      <c r="S1458" s="87" t="b">
        <f>(VLOOKUP(Requirements!I1460,Scope[[Role]:[Description]],2,FALSE)="In")</f>
        <v>1</v>
      </c>
      <c r="T1458" s="87">
        <f t="shared" si="91"/>
        <v>0</v>
      </c>
    </row>
    <row r="1459" spans="1:20">
      <c r="A1459" s="44" t="str">
        <f>Requirements!A1461</f>
        <v>MS-SMB_R30100</v>
      </c>
      <c r="B1459" s="87"/>
      <c r="C1459" s="87"/>
      <c r="D1459" s="87"/>
      <c r="E1459" s="87"/>
      <c r="F1459" s="87"/>
      <c r="G1459" s="87"/>
      <c r="H1459" s="87"/>
      <c r="I1459" s="87"/>
      <c r="J1459" s="87"/>
      <c r="K1459" s="87"/>
      <c r="L1459" s="87"/>
      <c r="M1459" s="87"/>
      <c r="N1459" s="87">
        <f t="shared" si="88"/>
        <v>0</v>
      </c>
      <c r="O1459" s="87">
        <f t="shared" si="89"/>
        <v>0</v>
      </c>
      <c r="P1459" s="87" t="b">
        <f t="shared" si="90"/>
        <v>0</v>
      </c>
      <c r="Q1459" s="87" t="b">
        <f>(Requirements!K1461="Normative")</f>
        <v>0</v>
      </c>
      <c r="R1459" s="87" t="b">
        <f>AND(Requirements!L1461&lt;&gt;"Non-testable",Requirements!L1461&lt;&gt;"Deleted",Requirements!L1461&lt;&gt;"")</f>
        <v>0</v>
      </c>
      <c r="S1459" s="87" t="b">
        <f>(VLOOKUP(Requirements!I1461,Scope[[Role]:[Description]],2,FALSE)="In")</f>
        <v>1</v>
      </c>
      <c r="T1459" s="87">
        <f t="shared" si="91"/>
        <v>0</v>
      </c>
    </row>
    <row r="1460" spans="1:20">
      <c r="A1460" s="44" t="str">
        <f>Requirements!A1462</f>
        <v>MS-SMB_R30101</v>
      </c>
      <c r="B1460" s="87"/>
      <c r="C1460" s="87"/>
      <c r="D1460" s="87"/>
      <c r="E1460" s="87"/>
      <c r="F1460" s="87"/>
      <c r="G1460" s="87"/>
      <c r="H1460" s="87"/>
      <c r="I1460" s="87"/>
      <c r="J1460" s="87"/>
      <c r="K1460" s="87"/>
      <c r="L1460" s="87"/>
      <c r="M1460" s="87"/>
      <c r="N1460" s="87">
        <f t="shared" si="88"/>
        <v>0</v>
      </c>
      <c r="O1460" s="87">
        <f t="shared" si="89"/>
        <v>0</v>
      </c>
      <c r="P1460" s="87" t="b">
        <f t="shared" si="90"/>
        <v>0</v>
      </c>
      <c r="Q1460" s="87" t="b">
        <f>(Requirements!K1462="Normative")</f>
        <v>1</v>
      </c>
      <c r="R1460" s="87" t="b">
        <f>AND(Requirements!L1462&lt;&gt;"Non-testable",Requirements!L1462&lt;&gt;"Deleted",Requirements!L1462&lt;&gt;"")</f>
        <v>0</v>
      </c>
      <c r="S1460" s="87" t="b">
        <f>(VLOOKUP(Requirements!I1462,Scope[[Role]:[Description]],2,FALSE)="In")</f>
        <v>1</v>
      </c>
      <c r="T1460" s="87">
        <f t="shared" si="91"/>
        <v>0</v>
      </c>
    </row>
    <row r="1461" spans="1:20">
      <c r="A1461" s="44" t="str">
        <f>Requirements!A1463</f>
        <v>MS-SMB_R30102</v>
      </c>
      <c r="B1461" s="87"/>
      <c r="C1461" s="87"/>
      <c r="D1461" s="87"/>
      <c r="E1461" s="87"/>
      <c r="F1461" s="87"/>
      <c r="G1461" s="87"/>
      <c r="H1461" s="87"/>
      <c r="I1461" s="87"/>
      <c r="J1461" s="87"/>
      <c r="K1461" s="87"/>
      <c r="L1461" s="87"/>
      <c r="M1461" s="87"/>
      <c r="N1461" s="87">
        <f t="shared" si="88"/>
        <v>0</v>
      </c>
      <c r="O1461" s="87">
        <f t="shared" si="89"/>
        <v>0</v>
      </c>
      <c r="P1461" s="87" t="b">
        <f t="shared" si="90"/>
        <v>0</v>
      </c>
      <c r="Q1461" s="87" t="b">
        <f>(Requirements!K1463="Normative")</f>
        <v>0</v>
      </c>
      <c r="R1461" s="87" t="b">
        <f>AND(Requirements!L1463&lt;&gt;"Non-testable",Requirements!L1463&lt;&gt;"Deleted",Requirements!L1463&lt;&gt;"")</f>
        <v>1</v>
      </c>
      <c r="S1461" s="87" t="b">
        <f>(VLOOKUP(Requirements!I1463,Scope[[Role]:[Description]],2,FALSE)="In")</f>
        <v>1</v>
      </c>
      <c r="T1461" s="87">
        <f t="shared" si="91"/>
        <v>0</v>
      </c>
    </row>
    <row r="1462" spans="1:20">
      <c r="A1462" s="44" t="str">
        <f>Requirements!A1464</f>
        <v>MS-SMB_R30103</v>
      </c>
      <c r="B1462" s="87"/>
      <c r="C1462" s="87"/>
      <c r="D1462" s="87"/>
      <c r="E1462" s="87"/>
      <c r="F1462" s="87"/>
      <c r="G1462" s="87"/>
      <c r="H1462" s="87"/>
      <c r="I1462" s="87"/>
      <c r="J1462" s="87"/>
      <c r="K1462" s="87"/>
      <c r="L1462" s="87"/>
      <c r="M1462" s="87"/>
      <c r="N1462" s="87">
        <f t="shared" si="88"/>
        <v>0</v>
      </c>
      <c r="O1462" s="87">
        <f t="shared" si="89"/>
        <v>0</v>
      </c>
      <c r="P1462" s="87" t="b">
        <f t="shared" si="90"/>
        <v>0</v>
      </c>
      <c r="Q1462" s="87" t="b">
        <f>(Requirements!K1464="Normative")</f>
        <v>1</v>
      </c>
      <c r="R1462" s="87" t="b">
        <f>AND(Requirements!L1464&lt;&gt;"Non-testable",Requirements!L1464&lt;&gt;"Deleted",Requirements!L1464&lt;&gt;"")</f>
        <v>0</v>
      </c>
      <c r="S1462" s="87" t="b">
        <f>(VLOOKUP(Requirements!I1464,Scope[[Role]:[Description]],2,FALSE)="In")</f>
        <v>1</v>
      </c>
      <c r="T1462" s="87">
        <f t="shared" si="91"/>
        <v>0</v>
      </c>
    </row>
    <row r="1463" spans="1:20">
      <c r="A1463" s="44" t="str">
        <f>Requirements!A1465</f>
        <v>MS-SMB_R30104</v>
      </c>
      <c r="B1463" s="87"/>
      <c r="C1463" s="87"/>
      <c r="D1463" s="87"/>
      <c r="E1463" s="87"/>
      <c r="F1463" s="87"/>
      <c r="G1463" s="87"/>
      <c r="H1463" s="87"/>
      <c r="I1463" s="87"/>
      <c r="J1463" s="87"/>
      <c r="K1463" s="87"/>
      <c r="L1463" s="87"/>
      <c r="M1463" s="87"/>
      <c r="N1463" s="87">
        <f t="shared" si="88"/>
        <v>0</v>
      </c>
      <c r="O1463" s="87">
        <f t="shared" si="89"/>
        <v>0</v>
      </c>
      <c r="P1463" s="87" t="b">
        <f t="shared" si="90"/>
        <v>0</v>
      </c>
      <c r="Q1463" s="87" t="b">
        <f>(Requirements!K1465="Normative")</f>
        <v>1</v>
      </c>
      <c r="R1463" s="87" t="b">
        <f>AND(Requirements!L1465&lt;&gt;"Non-testable",Requirements!L1465&lt;&gt;"Deleted",Requirements!L1465&lt;&gt;"")</f>
        <v>0</v>
      </c>
      <c r="S1463" s="87" t="b">
        <f>(VLOOKUP(Requirements!I1465,Scope[[Role]:[Description]],2,FALSE)="In")</f>
        <v>1</v>
      </c>
      <c r="T1463" s="87">
        <f t="shared" si="91"/>
        <v>0</v>
      </c>
    </row>
    <row r="1464" spans="1:20">
      <c r="A1464" s="44" t="str">
        <f>Requirements!A1466</f>
        <v>MS-SMB_R30105</v>
      </c>
      <c r="B1464" s="87"/>
      <c r="C1464" s="87"/>
      <c r="D1464" s="87"/>
      <c r="E1464" s="87"/>
      <c r="F1464" s="87"/>
      <c r="G1464" s="87"/>
      <c r="H1464" s="87"/>
      <c r="I1464" s="87"/>
      <c r="J1464" s="87"/>
      <c r="K1464" s="87"/>
      <c r="L1464" s="87"/>
      <c r="M1464" s="87"/>
      <c r="N1464" s="87">
        <f t="shared" si="88"/>
        <v>0</v>
      </c>
      <c r="O1464" s="87">
        <f t="shared" si="89"/>
        <v>0</v>
      </c>
      <c r="P1464" s="87" t="b">
        <f t="shared" si="90"/>
        <v>0</v>
      </c>
      <c r="Q1464" s="87" t="b">
        <f>(Requirements!K1466="Normative")</f>
        <v>1</v>
      </c>
      <c r="R1464" s="87" t="b">
        <f>AND(Requirements!L1466&lt;&gt;"Non-testable",Requirements!L1466&lt;&gt;"Deleted",Requirements!L1466&lt;&gt;"")</f>
        <v>0</v>
      </c>
      <c r="S1464" s="87" t="b">
        <f>(VLOOKUP(Requirements!I1466,Scope[[Role]:[Description]],2,FALSE)="In")</f>
        <v>1</v>
      </c>
      <c r="T1464" s="87">
        <f t="shared" si="91"/>
        <v>0</v>
      </c>
    </row>
    <row r="1465" spans="1:20">
      <c r="A1465" s="44" t="str">
        <f>Requirements!A1467</f>
        <v>MS-SMB_R30106</v>
      </c>
      <c r="B1465" s="87"/>
      <c r="C1465" s="87"/>
      <c r="D1465" s="87"/>
      <c r="E1465" s="87"/>
      <c r="F1465" s="87"/>
      <c r="G1465" s="87"/>
      <c r="H1465" s="87"/>
      <c r="I1465" s="87"/>
      <c r="J1465" s="87"/>
      <c r="K1465" s="87"/>
      <c r="L1465" s="87"/>
      <c r="M1465" s="87"/>
      <c r="N1465" s="87">
        <f t="shared" si="88"/>
        <v>0</v>
      </c>
      <c r="O1465" s="87">
        <f t="shared" si="89"/>
        <v>0</v>
      </c>
      <c r="P1465" s="87" t="b">
        <f t="shared" si="90"/>
        <v>0</v>
      </c>
      <c r="Q1465" s="87" t="b">
        <f>(Requirements!K1467="Normative")</f>
        <v>1</v>
      </c>
      <c r="R1465" s="87" t="b">
        <f>AND(Requirements!L1467&lt;&gt;"Non-testable",Requirements!L1467&lt;&gt;"Deleted",Requirements!L1467&lt;&gt;"")</f>
        <v>0</v>
      </c>
      <c r="S1465" s="87" t="b">
        <f>(VLOOKUP(Requirements!I1467,Scope[[Role]:[Description]],2,FALSE)="In")</f>
        <v>1</v>
      </c>
      <c r="T1465" s="87">
        <f t="shared" si="91"/>
        <v>0</v>
      </c>
    </row>
    <row r="1466" spans="1:20">
      <c r="A1466" s="84" t="str">
        <f>Requirements!A1468</f>
        <v>MS-SMB_R14840</v>
      </c>
      <c r="B1466" s="87">
        <v>1</v>
      </c>
      <c r="C1466" s="87"/>
      <c r="D1466" s="87"/>
      <c r="E1466" s="87"/>
      <c r="F1466" s="87"/>
      <c r="G1466" s="87"/>
      <c r="H1466" s="87"/>
      <c r="I1466" s="87"/>
      <c r="J1466" s="87"/>
      <c r="K1466" s="87"/>
      <c r="L1466" s="87"/>
      <c r="M1466" s="87"/>
      <c r="N1466" s="87">
        <f t="shared" si="88"/>
        <v>1</v>
      </c>
      <c r="O1466" s="60">
        <f t="shared" si="89"/>
        <v>1</v>
      </c>
      <c r="P1466" s="60" t="b">
        <f t="shared" si="90"/>
        <v>1</v>
      </c>
      <c r="Q1466" s="87" t="b">
        <f>(Requirements!K1468="Normative")</f>
        <v>1</v>
      </c>
      <c r="R1466" s="87" t="b">
        <f>AND(Requirements!L1468&lt;&gt;"Non-testable",Requirements!L1468&lt;&gt;"Deleted",Requirements!L1468&lt;&gt;"")</f>
        <v>1</v>
      </c>
      <c r="S1466" s="87" t="b">
        <f>(VLOOKUP(Requirements!I1468,Scope[[Role]:[Description]],2,FALSE)="In")</f>
        <v>1</v>
      </c>
      <c r="T1466" s="87">
        <f t="shared" si="91"/>
        <v>1</v>
      </c>
    </row>
    <row r="1467" spans="1:20">
      <c r="A1467" s="84" t="str">
        <f>Requirements!A1469</f>
        <v>MS-SMB_R30063</v>
      </c>
      <c r="B1467" s="87">
        <v>1</v>
      </c>
      <c r="C1467" s="87"/>
      <c r="D1467" s="87"/>
      <c r="E1467" s="87"/>
      <c r="F1467" s="87"/>
      <c r="G1467" s="87"/>
      <c r="H1467" s="87"/>
      <c r="I1467" s="87"/>
      <c r="J1467" s="87"/>
      <c r="K1467" s="87"/>
      <c r="L1467" s="87"/>
      <c r="M1467" s="87"/>
      <c r="N1467" s="87">
        <f t="shared" si="88"/>
        <v>1</v>
      </c>
      <c r="O1467" s="60">
        <f t="shared" si="89"/>
        <v>1</v>
      </c>
      <c r="P1467" s="60" t="b">
        <f t="shared" si="90"/>
        <v>1</v>
      </c>
      <c r="Q1467" s="87" t="b">
        <f>(Requirements!K1469="Normative")</f>
        <v>1</v>
      </c>
      <c r="R1467" s="87" t="b">
        <f>AND(Requirements!L1469&lt;&gt;"Non-testable",Requirements!L1469&lt;&gt;"Deleted",Requirements!L1469&lt;&gt;"")</f>
        <v>1</v>
      </c>
      <c r="S1467" s="87" t="b">
        <f>(VLOOKUP(Requirements!I1469,Scope[[Role]:[Description]],2,FALSE)="In")</f>
        <v>1</v>
      </c>
      <c r="T1467" s="87">
        <f t="shared" si="91"/>
        <v>1</v>
      </c>
    </row>
    <row r="1468" spans="1:20">
      <c r="A1468" s="84" t="str">
        <f>Requirements!A1470</f>
        <v>MS-SMB_R30064</v>
      </c>
      <c r="B1468" s="87">
        <v>1</v>
      </c>
      <c r="C1468" s="87"/>
      <c r="D1468" s="87"/>
      <c r="E1468" s="87"/>
      <c r="F1468" s="87"/>
      <c r="G1468" s="87"/>
      <c r="H1468" s="87"/>
      <c r="I1468" s="87"/>
      <c r="J1468" s="87"/>
      <c r="K1468" s="87"/>
      <c r="L1468" s="87"/>
      <c r="M1468" s="87"/>
      <c r="N1468" s="87">
        <f t="shared" si="88"/>
        <v>1</v>
      </c>
      <c r="O1468" s="60">
        <f t="shared" si="89"/>
        <v>1</v>
      </c>
      <c r="P1468" s="60" t="b">
        <f t="shared" si="90"/>
        <v>1</v>
      </c>
      <c r="Q1468" s="87" t="b">
        <f>(Requirements!K1470="Normative")</f>
        <v>1</v>
      </c>
      <c r="R1468" s="87" t="b">
        <f>AND(Requirements!L1470&lt;&gt;"Non-testable",Requirements!L1470&lt;&gt;"Deleted",Requirements!L1470&lt;&gt;"")</f>
        <v>1</v>
      </c>
      <c r="S1468" s="87" t="b">
        <f>(VLOOKUP(Requirements!I1470,Scope[[Role]:[Description]],2,FALSE)="In")</f>
        <v>1</v>
      </c>
      <c r="T1468" s="87">
        <f t="shared" si="91"/>
        <v>1</v>
      </c>
    </row>
    <row r="1469" spans="1:20">
      <c r="A1469" s="84" t="str">
        <f>Requirements!A1471</f>
        <v>MS-SMB_R30065</v>
      </c>
      <c r="B1469" s="87">
        <v>1</v>
      </c>
      <c r="C1469" s="87"/>
      <c r="D1469" s="87"/>
      <c r="E1469" s="87"/>
      <c r="F1469" s="87"/>
      <c r="G1469" s="87"/>
      <c r="H1469" s="87"/>
      <c r="I1469" s="87"/>
      <c r="J1469" s="87"/>
      <c r="K1469" s="87"/>
      <c r="L1469" s="87"/>
      <c r="M1469" s="87"/>
      <c r="N1469" s="87">
        <f t="shared" si="88"/>
        <v>1</v>
      </c>
      <c r="O1469" s="60">
        <f t="shared" si="89"/>
        <v>1</v>
      </c>
      <c r="P1469" s="60" t="b">
        <f t="shared" si="90"/>
        <v>1</v>
      </c>
      <c r="Q1469" s="87" t="b">
        <f>(Requirements!K1471="Normative")</f>
        <v>1</v>
      </c>
      <c r="R1469" s="87" t="b">
        <f>AND(Requirements!L1471&lt;&gt;"Non-testable",Requirements!L1471&lt;&gt;"Deleted",Requirements!L1471&lt;&gt;"")</f>
        <v>1</v>
      </c>
      <c r="S1469" s="87" t="b">
        <f>(VLOOKUP(Requirements!I1471,Scope[[Role]:[Description]],2,FALSE)="In")</f>
        <v>1</v>
      </c>
      <c r="T1469" s="87">
        <f t="shared" si="91"/>
        <v>1</v>
      </c>
    </row>
    <row r="1470" spans="1:20">
      <c r="A1470" s="84" t="str">
        <f>Requirements!A1472</f>
        <v>MS-SMB_R30066</v>
      </c>
      <c r="B1470" s="87">
        <v>1</v>
      </c>
      <c r="C1470" s="87"/>
      <c r="D1470" s="87"/>
      <c r="E1470" s="87"/>
      <c r="F1470" s="87"/>
      <c r="G1470" s="87"/>
      <c r="H1470" s="87"/>
      <c r="I1470" s="87"/>
      <c r="J1470" s="87"/>
      <c r="K1470" s="87"/>
      <c r="L1470" s="87"/>
      <c r="M1470" s="87"/>
      <c r="N1470" s="87">
        <f t="shared" si="88"/>
        <v>1</v>
      </c>
      <c r="O1470" s="60">
        <f t="shared" si="89"/>
        <v>1</v>
      </c>
      <c r="P1470" s="60" t="b">
        <f t="shared" si="90"/>
        <v>1</v>
      </c>
      <c r="Q1470" s="87" t="b">
        <f>(Requirements!K1472="Normative")</f>
        <v>1</v>
      </c>
      <c r="R1470" s="87" t="b">
        <f>AND(Requirements!L1472&lt;&gt;"Non-testable",Requirements!L1472&lt;&gt;"Deleted",Requirements!L1472&lt;&gt;"")</f>
        <v>1</v>
      </c>
      <c r="S1470" s="87" t="b">
        <f>(VLOOKUP(Requirements!I1472,Scope[[Role]:[Description]],2,FALSE)="In")</f>
        <v>1</v>
      </c>
      <c r="T1470" s="87">
        <f t="shared" si="91"/>
        <v>1</v>
      </c>
    </row>
    <row r="1471" spans="1:20">
      <c r="A1471" s="84" t="str">
        <f>Requirements!A1473</f>
        <v>MS-SMB_R30067</v>
      </c>
      <c r="B1471" s="87">
        <v>1</v>
      </c>
      <c r="C1471" s="87"/>
      <c r="D1471" s="87"/>
      <c r="E1471" s="87"/>
      <c r="F1471" s="87"/>
      <c r="G1471" s="87"/>
      <c r="H1471" s="87"/>
      <c r="I1471" s="87"/>
      <c r="J1471" s="87"/>
      <c r="K1471" s="87"/>
      <c r="L1471" s="87"/>
      <c r="M1471" s="87"/>
      <c r="N1471" s="87">
        <f t="shared" si="88"/>
        <v>1</v>
      </c>
      <c r="O1471" s="60">
        <f t="shared" si="89"/>
        <v>1</v>
      </c>
      <c r="P1471" s="60" t="b">
        <f t="shared" si="90"/>
        <v>1</v>
      </c>
      <c r="Q1471" s="87" t="b">
        <f>(Requirements!K1473="Normative")</f>
        <v>1</v>
      </c>
      <c r="R1471" s="87" t="b">
        <f>AND(Requirements!L1473&lt;&gt;"Non-testable",Requirements!L1473&lt;&gt;"Deleted",Requirements!L1473&lt;&gt;"")</f>
        <v>1</v>
      </c>
      <c r="S1471" s="87" t="b">
        <f>(VLOOKUP(Requirements!I1473,Scope[[Role]:[Description]],2,FALSE)="In")</f>
        <v>1</v>
      </c>
      <c r="T1471" s="87">
        <f t="shared" si="91"/>
        <v>1</v>
      </c>
    </row>
    <row r="1472" spans="1:20">
      <c r="A1472" s="44" t="str">
        <f>Requirements!A1474</f>
        <v>MS-SMB_R30068</v>
      </c>
      <c r="B1472" s="87"/>
      <c r="C1472" s="87"/>
      <c r="D1472" s="87"/>
      <c r="E1472" s="87"/>
      <c r="F1472" s="87"/>
      <c r="G1472" s="87"/>
      <c r="H1472" s="87"/>
      <c r="I1472" s="87"/>
      <c r="J1472" s="87"/>
      <c r="K1472" s="87"/>
      <c r="L1472" s="87"/>
      <c r="M1472" s="87"/>
      <c r="N1472" s="87">
        <f t="shared" si="88"/>
        <v>0</v>
      </c>
      <c r="O1472" s="87">
        <f t="shared" si="89"/>
        <v>0</v>
      </c>
      <c r="P1472" s="87" t="b">
        <f t="shared" si="90"/>
        <v>0</v>
      </c>
      <c r="Q1472" s="87" t="b">
        <f>(Requirements!K1474="Normative")</f>
        <v>1</v>
      </c>
      <c r="R1472" s="87" t="b">
        <f>AND(Requirements!L1474&lt;&gt;"Non-testable",Requirements!L1474&lt;&gt;"Deleted",Requirements!L1474&lt;&gt;"")</f>
        <v>0</v>
      </c>
      <c r="S1472" s="87" t="b">
        <f>(VLOOKUP(Requirements!I1474,Scope[[Role]:[Description]],2,FALSE)="In")</f>
        <v>1</v>
      </c>
      <c r="T1472" s="87">
        <f t="shared" si="91"/>
        <v>0</v>
      </c>
    </row>
    <row r="1473" spans="1:60">
      <c r="A1473" s="44" t="str">
        <f>Requirements!A1475</f>
        <v>MS-SMB_R30069</v>
      </c>
      <c r="B1473" s="87"/>
      <c r="C1473" s="87"/>
      <c r="D1473" s="87"/>
      <c r="E1473" s="87"/>
      <c r="F1473" s="87"/>
      <c r="G1473" s="87"/>
      <c r="H1473" s="87"/>
      <c r="I1473" s="87"/>
      <c r="J1473" s="87"/>
      <c r="K1473" s="87"/>
      <c r="L1473" s="87"/>
      <c r="M1473" s="87"/>
      <c r="N1473" s="87">
        <f t="shared" si="88"/>
        <v>0</v>
      </c>
      <c r="O1473" s="87">
        <f t="shared" si="89"/>
        <v>0</v>
      </c>
      <c r="P1473" s="87" t="b">
        <f t="shared" si="90"/>
        <v>0</v>
      </c>
      <c r="Q1473" s="87" t="b">
        <f>(Requirements!K1475="Normative")</f>
        <v>1</v>
      </c>
      <c r="R1473" s="87" t="b">
        <f>AND(Requirements!L1475&lt;&gt;"Non-testable",Requirements!L1475&lt;&gt;"Deleted",Requirements!L1475&lt;&gt;"")</f>
        <v>0</v>
      </c>
      <c r="S1473" s="87" t="b">
        <f>(VLOOKUP(Requirements!I1475,Scope[[Role]:[Description]],2,FALSE)="In")</f>
        <v>1</v>
      </c>
      <c r="T1473" s="87">
        <f t="shared" si="91"/>
        <v>0</v>
      </c>
    </row>
    <row r="1474" spans="1:60">
      <c r="A1474" s="84" t="str">
        <f>Requirements!A1476</f>
        <v>MS-SMB_R30070</v>
      </c>
      <c r="B1474" s="87">
        <v>1</v>
      </c>
      <c r="C1474" s="87"/>
      <c r="D1474" s="87"/>
      <c r="E1474" s="87"/>
      <c r="F1474" s="87"/>
      <c r="G1474" s="87"/>
      <c r="H1474" s="87"/>
      <c r="I1474" s="87"/>
      <c r="J1474" s="87"/>
      <c r="K1474" s="87"/>
      <c r="L1474" s="87"/>
      <c r="M1474" s="87"/>
      <c r="N1474" s="87">
        <f t="shared" si="88"/>
        <v>1</v>
      </c>
      <c r="O1474" s="60">
        <f t="shared" si="89"/>
        <v>1</v>
      </c>
      <c r="P1474" s="60" t="b">
        <f t="shared" si="90"/>
        <v>1</v>
      </c>
      <c r="Q1474" s="87" t="b">
        <f>(Requirements!K1476="Normative")</f>
        <v>1</v>
      </c>
      <c r="R1474" s="87" t="b">
        <f>AND(Requirements!L1476&lt;&gt;"Non-testable",Requirements!L1476&lt;&gt;"Deleted",Requirements!L1476&lt;&gt;"")</f>
        <v>1</v>
      </c>
      <c r="S1474" s="87" t="b">
        <f>(VLOOKUP(Requirements!I1476,Scope[[Role]:[Description]],2,FALSE)="In")</f>
        <v>1</v>
      </c>
      <c r="T1474" s="87">
        <f t="shared" si="91"/>
        <v>1</v>
      </c>
    </row>
    <row r="1475" spans="1:60">
      <c r="A1475" s="84" t="str">
        <f>Requirements!A1477</f>
        <v>MS-SMB_R30071</v>
      </c>
      <c r="B1475" s="87">
        <v>1</v>
      </c>
      <c r="C1475" s="87"/>
      <c r="D1475" s="87"/>
      <c r="E1475" s="87"/>
      <c r="F1475" s="87"/>
      <c r="G1475" s="87"/>
      <c r="H1475" s="87"/>
      <c r="I1475" s="87"/>
      <c r="J1475" s="87"/>
      <c r="K1475" s="87"/>
      <c r="L1475" s="87"/>
      <c r="M1475" s="87"/>
      <c r="N1475" s="87">
        <f t="shared" si="88"/>
        <v>1</v>
      </c>
      <c r="O1475" s="60">
        <f t="shared" si="89"/>
        <v>1</v>
      </c>
      <c r="P1475" s="60" t="b">
        <f t="shared" si="90"/>
        <v>1</v>
      </c>
      <c r="Q1475" s="87" t="b">
        <f>(Requirements!K1477="Normative")</f>
        <v>1</v>
      </c>
      <c r="R1475" s="87" t="b">
        <f>AND(Requirements!L1477&lt;&gt;"Non-testable",Requirements!L1477&lt;&gt;"Deleted",Requirements!L1477&lt;&gt;"")</f>
        <v>1</v>
      </c>
      <c r="S1475" s="87" t="b">
        <f>(VLOOKUP(Requirements!I1477,Scope[[Role]:[Description]],2,FALSE)="In")</f>
        <v>1</v>
      </c>
      <c r="T1475" s="87">
        <f t="shared" si="91"/>
        <v>1</v>
      </c>
    </row>
    <row r="1476" spans="1:60">
      <c r="A1476" s="44" t="str">
        <f>Requirements!A1478</f>
        <v>MS-SMB_R30072</v>
      </c>
      <c r="B1476" s="87"/>
      <c r="C1476" s="87"/>
      <c r="D1476" s="87"/>
      <c r="E1476" s="87"/>
      <c r="F1476" s="87"/>
      <c r="G1476" s="87"/>
      <c r="H1476" s="87"/>
      <c r="I1476" s="87"/>
      <c r="J1476" s="87"/>
      <c r="K1476" s="87"/>
      <c r="L1476" s="87"/>
      <c r="M1476" s="87"/>
      <c r="N1476" s="87">
        <f t="shared" si="88"/>
        <v>0</v>
      </c>
      <c r="O1476" s="87">
        <f t="shared" si="89"/>
        <v>0</v>
      </c>
      <c r="P1476" s="87" t="b">
        <f t="shared" si="90"/>
        <v>0</v>
      </c>
      <c r="Q1476" s="87" t="b">
        <f>(Requirements!K1478="Normative")</f>
        <v>1</v>
      </c>
      <c r="R1476" s="87" t="b">
        <f>AND(Requirements!L1478&lt;&gt;"Non-testable",Requirements!L1478&lt;&gt;"Deleted",Requirements!L1478&lt;&gt;"")</f>
        <v>0</v>
      </c>
      <c r="S1476" s="87" t="b">
        <f>(VLOOKUP(Requirements!I1478,Scope[[Role]:[Description]],2,FALSE)="In")</f>
        <v>1</v>
      </c>
      <c r="T1476" s="87">
        <f t="shared" si="91"/>
        <v>0</v>
      </c>
    </row>
    <row r="1477" spans="1:60">
      <c r="A1477" s="84" t="str">
        <f>Requirements!A1479</f>
        <v>MS-SMB_R30073</v>
      </c>
      <c r="B1477" s="87">
        <v>1</v>
      </c>
      <c r="C1477" s="87"/>
      <c r="D1477" s="87"/>
      <c r="E1477" s="87"/>
      <c r="F1477" s="87"/>
      <c r="G1477" s="87"/>
      <c r="H1477" s="87"/>
      <c r="I1477" s="87"/>
      <c r="J1477" s="87"/>
      <c r="K1477" s="87"/>
      <c r="L1477" s="87"/>
      <c r="M1477" s="87"/>
      <c r="N1477" s="87">
        <f t="shared" si="88"/>
        <v>1</v>
      </c>
      <c r="O1477" s="60">
        <f t="shared" si="89"/>
        <v>1</v>
      </c>
      <c r="P1477" s="60" t="b">
        <f t="shared" si="90"/>
        <v>1</v>
      </c>
      <c r="Q1477" s="87" t="b">
        <f>(Requirements!K1479="Normative")</f>
        <v>1</v>
      </c>
      <c r="R1477" s="87" t="b">
        <f>AND(Requirements!L1479&lt;&gt;"Non-testable",Requirements!L1479&lt;&gt;"Deleted",Requirements!L1479&lt;&gt;"")</f>
        <v>1</v>
      </c>
      <c r="S1477" s="87" t="b">
        <f>(VLOOKUP(Requirements!I1479,Scope[[Role]:[Description]],2,FALSE)="In")</f>
        <v>1</v>
      </c>
      <c r="T1477" s="87">
        <f t="shared" si="91"/>
        <v>1</v>
      </c>
    </row>
    <row r="1478" spans="1:60">
      <c r="A1478" s="44" t="str">
        <f>Requirements!A1480</f>
        <v>MS-SMB_R30074</v>
      </c>
      <c r="B1478" s="87"/>
      <c r="C1478" s="87"/>
      <c r="D1478" s="87"/>
      <c r="E1478" s="87"/>
      <c r="F1478" s="87"/>
      <c r="G1478" s="87"/>
      <c r="H1478" s="87"/>
      <c r="I1478" s="87"/>
      <c r="J1478" s="87"/>
      <c r="K1478" s="87"/>
      <c r="L1478" s="87"/>
      <c r="M1478" s="87"/>
      <c r="N1478" s="87">
        <f t="shared" si="88"/>
        <v>0</v>
      </c>
      <c r="O1478" s="87">
        <f t="shared" si="89"/>
        <v>0</v>
      </c>
      <c r="P1478" s="87" t="b">
        <f t="shared" si="90"/>
        <v>0</v>
      </c>
      <c r="Q1478" s="87" t="b">
        <f>(Requirements!K1480="Normative")</f>
        <v>1</v>
      </c>
      <c r="R1478" s="87" t="b">
        <f>AND(Requirements!L1480&lt;&gt;"Non-testable",Requirements!L1480&lt;&gt;"Deleted",Requirements!L1480&lt;&gt;"")</f>
        <v>0</v>
      </c>
      <c r="S1478" s="87" t="b">
        <f>(VLOOKUP(Requirements!I1480,Scope[[Role]:[Description]],2,FALSE)="In")</f>
        <v>1</v>
      </c>
      <c r="T1478" s="87">
        <f t="shared" si="91"/>
        <v>0</v>
      </c>
    </row>
    <row r="1479" spans="1:60">
      <c r="A1479" s="84" t="str">
        <f>Requirements!A1481</f>
        <v>MS-SMB_R30075</v>
      </c>
      <c r="B1479" s="87">
        <v>1</v>
      </c>
      <c r="C1479" s="87"/>
      <c r="D1479" s="87"/>
      <c r="E1479" s="87"/>
      <c r="F1479" s="87"/>
      <c r="G1479" s="87"/>
      <c r="H1479" s="87"/>
      <c r="I1479" s="87"/>
      <c r="J1479" s="87"/>
      <c r="K1479" s="87"/>
      <c r="L1479" s="87"/>
      <c r="M1479" s="87"/>
      <c r="N1479" s="87">
        <f t="shared" si="88"/>
        <v>1</v>
      </c>
      <c r="O1479" s="60">
        <f t="shared" si="89"/>
        <v>1</v>
      </c>
      <c r="P1479" s="60" t="b">
        <f t="shared" si="90"/>
        <v>1</v>
      </c>
      <c r="Q1479" s="87" t="b">
        <f>(Requirements!K1481="Normative")</f>
        <v>1</v>
      </c>
      <c r="R1479" s="87" t="b">
        <f>AND(Requirements!L1481&lt;&gt;"Non-testable",Requirements!L1481&lt;&gt;"Deleted",Requirements!L1481&lt;&gt;"")</f>
        <v>1</v>
      </c>
      <c r="S1479" s="87" t="b">
        <f>(VLOOKUP(Requirements!I1481,Scope[[Role]:[Description]],2,FALSE)="In")</f>
        <v>1</v>
      </c>
      <c r="T1479" s="87">
        <f t="shared" si="91"/>
        <v>1</v>
      </c>
    </row>
    <row r="1480" spans="1:60">
      <c r="A1480" s="44" t="str">
        <f>Requirements!A1482</f>
        <v>MS-SMB_R30076</v>
      </c>
      <c r="B1480" s="87"/>
      <c r="C1480" s="87"/>
      <c r="D1480" s="87"/>
      <c r="E1480" s="87"/>
      <c r="F1480" s="87"/>
      <c r="G1480" s="87"/>
      <c r="H1480" s="87"/>
      <c r="I1480" s="87"/>
      <c r="J1480" s="87"/>
      <c r="K1480" s="87"/>
      <c r="L1480" s="87"/>
      <c r="M1480" s="87"/>
      <c r="N1480" s="87">
        <f t="shared" si="88"/>
        <v>0</v>
      </c>
      <c r="O1480" s="87">
        <f t="shared" si="89"/>
        <v>0</v>
      </c>
      <c r="P1480" s="87" t="b">
        <f t="shared" si="90"/>
        <v>0</v>
      </c>
      <c r="Q1480" s="87" t="b">
        <f>(Requirements!K1482="Normative")</f>
        <v>1</v>
      </c>
      <c r="R1480" s="87" t="b">
        <f>AND(Requirements!L1482&lt;&gt;"Non-testable",Requirements!L1482&lt;&gt;"Deleted",Requirements!L1482&lt;&gt;"")</f>
        <v>0</v>
      </c>
      <c r="S1480" s="87" t="b">
        <f>(VLOOKUP(Requirements!I1482,Scope[[Role]:[Description]],2,FALSE)="In")</f>
        <v>1</v>
      </c>
      <c r="T1480" s="87">
        <f t="shared" si="91"/>
        <v>0</v>
      </c>
    </row>
    <row r="1481" spans="1:60">
      <c r="A1481" s="83" t="str">
        <f>Requirements!A1483</f>
        <v>MS-SMB_R30077</v>
      </c>
      <c r="B1481" s="46"/>
      <c r="C1481" s="46"/>
      <c r="D1481" s="46"/>
      <c r="E1481" s="46"/>
      <c r="F1481" s="46"/>
      <c r="G1481" s="46"/>
      <c r="H1481" s="46"/>
      <c r="I1481" s="46"/>
      <c r="J1481" s="46"/>
      <c r="K1481" s="46"/>
      <c r="L1481" s="46"/>
      <c r="M1481" s="46"/>
      <c r="N1481" s="46">
        <f t="shared" si="88"/>
        <v>0</v>
      </c>
      <c r="O1481" s="46">
        <f t="shared" si="89"/>
        <v>0</v>
      </c>
      <c r="P1481" s="46" t="b">
        <f t="shared" si="90"/>
        <v>0</v>
      </c>
      <c r="Q1481" s="46" t="b">
        <f>(Requirements!K1483="Normative")</f>
        <v>0</v>
      </c>
      <c r="R1481" s="46" t="b">
        <f>AND(Requirements!L1483&lt;&gt;"Non-testable",Requirements!L1483&lt;&gt;"Deleted",Requirements!L1483&lt;&gt;"")</f>
        <v>0</v>
      </c>
      <c r="S1481" s="46" t="b">
        <f>(VLOOKUP(Requirements!I1483,Scope[[Role]:[Description]],2,FALSE)="In")</f>
        <v>1</v>
      </c>
      <c r="T1481" s="46">
        <f t="shared" si="91"/>
        <v>0</v>
      </c>
      <c r="U1481" s="45"/>
      <c r="V1481" s="45"/>
      <c r="W1481" s="45"/>
      <c r="X1481" s="45"/>
      <c r="Y1481" s="45"/>
      <c r="Z1481" s="45"/>
      <c r="AA1481" s="45"/>
      <c r="AB1481" s="45"/>
      <c r="AC1481" s="45"/>
      <c r="AD1481" s="45"/>
      <c r="AE1481" s="45"/>
      <c r="AF1481" s="45"/>
      <c r="AG1481" s="45"/>
      <c r="AH1481" s="45"/>
      <c r="AI1481" s="45"/>
      <c r="AJ1481" s="45"/>
      <c r="AK1481" s="45"/>
      <c r="AL1481" s="45"/>
      <c r="AM1481" s="45"/>
      <c r="AN1481" s="45"/>
      <c r="AO1481" s="45"/>
      <c r="AP1481" s="45"/>
      <c r="AQ1481" s="45"/>
      <c r="AR1481" s="45"/>
      <c r="AS1481" s="45"/>
      <c r="AT1481" s="45"/>
      <c r="AU1481" s="45"/>
      <c r="AV1481" s="45"/>
      <c r="AW1481" s="45"/>
      <c r="AX1481" s="45"/>
      <c r="AY1481" s="45"/>
      <c r="AZ1481" s="45"/>
      <c r="BA1481" s="45"/>
      <c r="BB1481" s="45"/>
      <c r="BC1481" s="45"/>
      <c r="BD1481" s="45"/>
      <c r="BE1481" s="45"/>
      <c r="BF1481" s="45"/>
      <c r="BG1481" s="45"/>
      <c r="BH1481" s="45"/>
    </row>
    <row r="1482" spans="1:60">
      <c r="A1482" s="44" t="str">
        <f>Requirements!A1484</f>
        <v>MS-SMB_R30078</v>
      </c>
      <c r="B1482" s="87"/>
      <c r="C1482" s="87"/>
      <c r="D1482" s="87"/>
      <c r="E1482" s="87"/>
      <c r="F1482" s="87"/>
      <c r="G1482" s="87"/>
      <c r="H1482" s="87"/>
      <c r="I1482" s="87"/>
      <c r="J1482" s="87"/>
      <c r="K1482" s="87"/>
      <c r="L1482" s="87"/>
      <c r="M1482" s="87"/>
      <c r="N1482" s="87">
        <f t="shared" si="88"/>
        <v>0</v>
      </c>
      <c r="O1482" s="87">
        <f t="shared" si="89"/>
        <v>0</v>
      </c>
      <c r="P1482" s="87" t="b">
        <f t="shared" si="90"/>
        <v>0</v>
      </c>
      <c r="Q1482" s="87" t="b">
        <f>(Requirements!K1484="Normative")</f>
        <v>1</v>
      </c>
      <c r="R1482" s="87" t="b">
        <f>AND(Requirements!L1484&lt;&gt;"Non-testable",Requirements!L1484&lt;&gt;"Deleted",Requirements!L1484&lt;&gt;"")</f>
        <v>0</v>
      </c>
      <c r="S1482" s="87" t="b">
        <f>(VLOOKUP(Requirements!I1484,Scope[[Role]:[Description]],2,FALSE)="In")</f>
        <v>1</v>
      </c>
      <c r="T1482" s="87">
        <f t="shared" si="91"/>
        <v>0</v>
      </c>
    </row>
    <row r="1483" spans="1:60">
      <c r="A1483" s="44" t="str">
        <f>Requirements!A1485</f>
        <v>MS-SMB_R30079</v>
      </c>
      <c r="B1483" s="87"/>
      <c r="C1483" s="87"/>
      <c r="D1483" s="87"/>
      <c r="E1483" s="87"/>
      <c r="F1483" s="87"/>
      <c r="G1483" s="87"/>
      <c r="H1483" s="87"/>
      <c r="I1483" s="87"/>
      <c r="J1483" s="87"/>
      <c r="K1483" s="87"/>
      <c r="L1483" s="87"/>
      <c r="M1483" s="87"/>
      <c r="N1483" s="87">
        <f t="shared" si="88"/>
        <v>0</v>
      </c>
      <c r="O1483" s="87">
        <f t="shared" si="89"/>
        <v>0</v>
      </c>
      <c r="P1483" s="87" t="b">
        <f t="shared" si="90"/>
        <v>0</v>
      </c>
      <c r="Q1483" s="87" t="b">
        <f>(Requirements!K1485="Normative")</f>
        <v>1</v>
      </c>
      <c r="R1483" s="87" t="b">
        <f>AND(Requirements!L1485&lt;&gt;"Non-testable",Requirements!L1485&lt;&gt;"Deleted",Requirements!L1485&lt;&gt;"")</f>
        <v>0</v>
      </c>
      <c r="S1483" s="87" t="b">
        <f>(VLOOKUP(Requirements!I1485,Scope[[Role]:[Description]],2,FALSE)="In")</f>
        <v>1</v>
      </c>
      <c r="T1483" s="87">
        <f t="shared" si="91"/>
        <v>0</v>
      </c>
    </row>
    <row r="1484" spans="1:60">
      <c r="A1484" s="44" t="str">
        <f>Requirements!A1486</f>
        <v>MS-SMB_R30080</v>
      </c>
      <c r="B1484" s="87"/>
      <c r="C1484" s="87"/>
      <c r="D1484" s="87"/>
      <c r="E1484" s="87"/>
      <c r="F1484" s="87"/>
      <c r="G1484" s="87"/>
      <c r="H1484" s="87"/>
      <c r="I1484" s="87"/>
      <c r="J1484" s="87"/>
      <c r="K1484" s="87"/>
      <c r="L1484" s="87"/>
      <c r="M1484" s="87"/>
      <c r="N1484" s="87">
        <f t="shared" si="88"/>
        <v>0</v>
      </c>
      <c r="O1484" s="87">
        <f t="shared" si="89"/>
        <v>0</v>
      </c>
      <c r="P1484" s="87" t="b">
        <f t="shared" si="90"/>
        <v>0</v>
      </c>
      <c r="Q1484" s="87" t="b">
        <f>(Requirements!K1486="Normative")</f>
        <v>1</v>
      </c>
      <c r="R1484" s="87" t="b">
        <f>AND(Requirements!L1486&lt;&gt;"Non-testable",Requirements!L1486&lt;&gt;"Deleted",Requirements!L1486&lt;&gt;"")</f>
        <v>0</v>
      </c>
      <c r="S1484" s="87" t="b">
        <f>(VLOOKUP(Requirements!I1486,Scope[[Role]:[Description]],2,FALSE)="In")</f>
        <v>1</v>
      </c>
      <c r="T1484" s="87">
        <f t="shared" si="91"/>
        <v>0</v>
      </c>
    </row>
    <row r="1485" spans="1:60">
      <c r="A1485" s="84" t="str">
        <f>Requirements!A1487</f>
        <v>MS-SMB_R30081</v>
      </c>
      <c r="B1485" s="87">
        <v>1</v>
      </c>
      <c r="C1485" s="87"/>
      <c r="D1485" s="87"/>
      <c r="E1485" s="87"/>
      <c r="F1485" s="87"/>
      <c r="G1485" s="87"/>
      <c r="H1485" s="87"/>
      <c r="I1485" s="87"/>
      <c r="J1485" s="87"/>
      <c r="K1485" s="87"/>
      <c r="L1485" s="87"/>
      <c r="M1485" s="87"/>
      <c r="N1485" s="87">
        <f t="shared" si="88"/>
        <v>1</v>
      </c>
      <c r="O1485" s="60">
        <f t="shared" si="89"/>
        <v>1</v>
      </c>
      <c r="P1485" s="60" t="b">
        <f t="shared" si="90"/>
        <v>1</v>
      </c>
      <c r="Q1485" s="87" t="b">
        <f>(Requirements!K1487="Normative")</f>
        <v>1</v>
      </c>
      <c r="R1485" s="87" t="b">
        <f>AND(Requirements!L1487&lt;&gt;"Non-testable",Requirements!L1487&lt;&gt;"Deleted",Requirements!L1487&lt;&gt;"")</f>
        <v>1</v>
      </c>
      <c r="S1485" s="87" t="b">
        <f>(VLOOKUP(Requirements!I1487,Scope[[Role]:[Description]],2,FALSE)="In")</f>
        <v>1</v>
      </c>
      <c r="T1485" s="87">
        <f t="shared" si="91"/>
        <v>1</v>
      </c>
    </row>
    <row r="1486" spans="1:60">
      <c r="A1486" s="44" t="str">
        <f>Requirements!A1488</f>
        <v>MS-SMB_R30049</v>
      </c>
      <c r="B1486" s="87"/>
      <c r="C1486" s="87"/>
      <c r="D1486" s="87"/>
      <c r="E1486" s="87"/>
      <c r="F1486" s="87"/>
      <c r="G1486" s="87"/>
      <c r="H1486" s="87"/>
      <c r="I1486" s="87"/>
      <c r="J1486" s="87"/>
      <c r="K1486" s="87"/>
      <c r="L1486" s="87"/>
      <c r="M1486" s="87"/>
      <c r="N1486" s="87">
        <f t="shared" si="88"/>
        <v>0</v>
      </c>
      <c r="O1486" s="87">
        <f t="shared" si="89"/>
        <v>0</v>
      </c>
      <c r="P1486" s="87" t="b">
        <f t="shared" si="90"/>
        <v>0</v>
      </c>
      <c r="Q1486" s="87" t="b">
        <f>(Requirements!K1488="Normative")</f>
        <v>1</v>
      </c>
      <c r="R1486" s="87" t="b">
        <f>AND(Requirements!L1488&lt;&gt;"Non-testable",Requirements!L1488&lt;&gt;"Deleted",Requirements!L1488&lt;&gt;"")</f>
        <v>0</v>
      </c>
      <c r="S1486" s="87" t="b">
        <f>(VLOOKUP(Requirements!I1488,Scope[[Role]:[Description]],2,FALSE)="In")</f>
        <v>1</v>
      </c>
      <c r="T1486" s="87">
        <f t="shared" si="91"/>
        <v>0</v>
      </c>
    </row>
    <row r="1487" spans="1:60">
      <c r="A1487" s="44" t="str">
        <f>Requirements!A1489</f>
        <v>MS-SMB_R30050</v>
      </c>
      <c r="B1487" s="87"/>
      <c r="C1487" s="87"/>
      <c r="D1487" s="87"/>
      <c r="E1487" s="87"/>
      <c r="F1487" s="87"/>
      <c r="G1487" s="87"/>
      <c r="H1487" s="87"/>
      <c r="I1487" s="87"/>
      <c r="J1487" s="87"/>
      <c r="K1487" s="87"/>
      <c r="L1487" s="87"/>
      <c r="M1487" s="87"/>
      <c r="N1487" s="87">
        <f t="shared" si="88"/>
        <v>0</v>
      </c>
      <c r="O1487" s="87">
        <f t="shared" si="89"/>
        <v>0</v>
      </c>
      <c r="P1487" s="87" t="b">
        <f t="shared" si="90"/>
        <v>0</v>
      </c>
      <c r="Q1487" s="87" t="b">
        <f>(Requirements!K1489="Normative")</f>
        <v>1</v>
      </c>
      <c r="R1487" s="87" t="b">
        <f>AND(Requirements!L1489&lt;&gt;"Non-testable",Requirements!L1489&lt;&gt;"Deleted",Requirements!L1489&lt;&gt;"")</f>
        <v>0</v>
      </c>
      <c r="S1487" s="87" t="b">
        <f>(VLOOKUP(Requirements!I1489,Scope[[Role]:[Description]],2,FALSE)="In")</f>
        <v>1</v>
      </c>
      <c r="T1487" s="87">
        <f t="shared" si="91"/>
        <v>0</v>
      </c>
    </row>
    <row r="1488" spans="1:60">
      <c r="A1488" s="44" t="str">
        <f>Requirements!A1490</f>
        <v>MS-SMB_R30051</v>
      </c>
      <c r="B1488" s="87"/>
      <c r="C1488" s="87"/>
      <c r="D1488" s="87"/>
      <c r="E1488" s="87"/>
      <c r="F1488" s="87"/>
      <c r="G1488" s="87"/>
      <c r="H1488" s="87"/>
      <c r="I1488" s="87"/>
      <c r="J1488" s="87"/>
      <c r="K1488" s="87"/>
      <c r="L1488" s="87"/>
      <c r="M1488" s="87"/>
      <c r="N1488" s="87">
        <f t="shared" si="88"/>
        <v>0</v>
      </c>
      <c r="O1488" s="87">
        <f t="shared" si="89"/>
        <v>0</v>
      </c>
      <c r="P1488" s="87" t="b">
        <f t="shared" si="90"/>
        <v>0</v>
      </c>
      <c r="Q1488" s="87" t="b">
        <f>(Requirements!K1490="Normative")</f>
        <v>1</v>
      </c>
      <c r="R1488" s="87" t="b">
        <f>AND(Requirements!L1490&lt;&gt;"Non-testable",Requirements!L1490&lt;&gt;"Deleted",Requirements!L1490&lt;&gt;"")</f>
        <v>0</v>
      </c>
      <c r="S1488" s="87" t="b">
        <f>(VLOOKUP(Requirements!I1490,Scope[[Role]:[Description]],2,FALSE)="In")</f>
        <v>1</v>
      </c>
      <c r="T1488" s="87">
        <f t="shared" si="91"/>
        <v>0</v>
      </c>
    </row>
    <row r="1489" spans="1:60">
      <c r="A1489" s="44" t="str">
        <f>Requirements!A1491</f>
        <v>MS-SMB_R30052</v>
      </c>
      <c r="B1489" s="87"/>
      <c r="C1489" s="87"/>
      <c r="D1489" s="87"/>
      <c r="E1489" s="87"/>
      <c r="F1489" s="87"/>
      <c r="G1489" s="87"/>
      <c r="H1489" s="87"/>
      <c r="I1489" s="87"/>
      <c r="J1489" s="87"/>
      <c r="K1489" s="87"/>
      <c r="L1489" s="87"/>
      <c r="M1489" s="87"/>
      <c r="N1489" s="87">
        <f t="shared" si="88"/>
        <v>0</v>
      </c>
      <c r="O1489" s="87">
        <f t="shared" si="89"/>
        <v>0</v>
      </c>
      <c r="P1489" s="87" t="b">
        <f t="shared" si="90"/>
        <v>0</v>
      </c>
      <c r="Q1489" s="87" t="b">
        <f>(Requirements!K1491="Normative")</f>
        <v>1</v>
      </c>
      <c r="R1489" s="87" t="b">
        <f>AND(Requirements!L1491&lt;&gt;"Non-testable",Requirements!L1491&lt;&gt;"Deleted",Requirements!L1491&lt;&gt;"")</f>
        <v>0</v>
      </c>
      <c r="S1489" s="87" t="b">
        <f>(VLOOKUP(Requirements!I1491,Scope[[Role]:[Description]],2,FALSE)="In")</f>
        <v>1</v>
      </c>
      <c r="T1489" s="87">
        <f t="shared" si="91"/>
        <v>0</v>
      </c>
    </row>
    <row r="1490" spans="1:60">
      <c r="A1490" s="44" t="str">
        <f>Requirements!A1492</f>
        <v>MS-SMB_R11009</v>
      </c>
      <c r="B1490" s="87"/>
      <c r="C1490" s="87"/>
      <c r="D1490" s="87"/>
      <c r="E1490" s="87"/>
      <c r="F1490" s="87"/>
      <c r="G1490" s="87"/>
      <c r="H1490" s="87"/>
      <c r="I1490" s="87"/>
      <c r="J1490" s="87"/>
      <c r="K1490" s="87"/>
      <c r="L1490" s="87"/>
      <c r="M1490" s="87"/>
      <c r="N1490" s="87">
        <f t="shared" si="88"/>
        <v>0</v>
      </c>
      <c r="O1490" s="87">
        <f t="shared" si="89"/>
        <v>0</v>
      </c>
      <c r="P1490" s="87" t="b">
        <f t="shared" si="90"/>
        <v>0</v>
      </c>
      <c r="Q1490" s="87" t="b">
        <f>(Requirements!K1492="Normative")</f>
        <v>1</v>
      </c>
      <c r="R1490" s="87" t="b">
        <f>AND(Requirements!L1492&lt;&gt;"Non-testable",Requirements!L1492&lt;&gt;"Deleted",Requirements!L1492&lt;&gt;"")</f>
        <v>0</v>
      </c>
      <c r="S1490" s="87" t="b">
        <f>(VLOOKUP(Requirements!I1492,Scope[[Role]:[Description]],2,FALSE)="In")</f>
        <v>1</v>
      </c>
      <c r="T1490" s="87">
        <f t="shared" si="91"/>
        <v>0</v>
      </c>
    </row>
    <row r="1491" spans="1:60">
      <c r="A1491" s="44" t="str">
        <f>Requirements!A1493</f>
        <v>MS-SMB_R30053</v>
      </c>
      <c r="B1491" s="87"/>
      <c r="C1491" s="87"/>
      <c r="D1491" s="87"/>
      <c r="E1491" s="87"/>
      <c r="F1491" s="87"/>
      <c r="G1491" s="87"/>
      <c r="H1491" s="87"/>
      <c r="I1491" s="87"/>
      <c r="J1491" s="87"/>
      <c r="K1491" s="87"/>
      <c r="L1491" s="87"/>
      <c r="M1491" s="87"/>
      <c r="N1491" s="87">
        <f t="shared" si="88"/>
        <v>0</v>
      </c>
      <c r="O1491" s="87">
        <f t="shared" si="89"/>
        <v>0</v>
      </c>
      <c r="P1491" s="87" t="b">
        <f t="shared" si="90"/>
        <v>0</v>
      </c>
      <c r="Q1491" s="87" t="b">
        <f>(Requirements!K1493="Normative")</f>
        <v>1</v>
      </c>
      <c r="R1491" s="87" t="b">
        <f>AND(Requirements!L1493&lt;&gt;"Non-testable",Requirements!L1493&lt;&gt;"Deleted",Requirements!L1493&lt;&gt;"")</f>
        <v>0</v>
      </c>
      <c r="S1491" s="87" t="b">
        <f>(VLOOKUP(Requirements!I1493,Scope[[Role]:[Description]],2,FALSE)="In")</f>
        <v>1</v>
      </c>
      <c r="T1491" s="87">
        <f t="shared" si="91"/>
        <v>0</v>
      </c>
    </row>
    <row r="1492" spans="1:60">
      <c r="A1492" s="44" t="str">
        <f>Requirements!A1494</f>
        <v>MS-SMB_R30054</v>
      </c>
      <c r="B1492" s="87"/>
      <c r="C1492" s="87"/>
      <c r="D1492" s="87"/>
      <c r="E1492" s="87"/>
      <c r="F1492" s="87"/>
      <c r="G1492" s="87"/>
      <c r="H1492" s="87"/>
      <c r="I1492" s="87"/>
      <c r="J1492" s="87"/>
      <c r="K1492" s="87"/>
      <c r="L1492" s="87"/>
      <c r="M1492" s="87"/>
      <c r="N1492" s="87">
        <f t="shared" ref="N1492:N1555" si="92">SUM(B1492:M1492)</f>
        <v>0</v>
      </c>
      <c r="O1492" s="87">
        <f t="shared" ref="O1492:O1555" si="93">IF(N1492=0,0,1)</f>
        <v>0</v>
      </c>
      <c r="P1492" s="87" t="b">
        <f t="shared" ref="P1492:P1555" si="94">AND(Q1492:S1492)</f>
        <v>0</v>
      </c>
      <c r="Q1492" s="87" t="b">
        <f>(Requirements!K1494="Normative")</f>
        <v>1</v>
      </c>
      <c r="R1492" s="87" t="b">
        <f>AND(Requirements!L1494&lt;&gt;"Non-testable",Requirements!L1494&lt;&gt;"Deleted",Requirements!L1494&lt;&gt;"")</f>
        <v>0</v>
      </c>
      <c r="S1492" s="87" t="b">
        <f>(VLOOKUP(Requirements!I1494,Scope[[Role]:[Description]],2,FALSE)="In")</f>
        <v>1</v>
      </c>
      <c r="T1492" s="87">
        <f t="shared" ref="T1492:T1555" si="95">IF(P1492,O1492, 0)</f>
        <v>0</v>
      </c>
    </row>
    <row r="1493" spans="1:60">
      <c r="A1493" s="44" t="str">
        <f>Requirements!A1495</f>
        <v>MS-SMB_R30055</v>
      </c>
      <c r="B1493" s="87"/>
      <c r="C1493" s="87"/>
      <c r="D1493" s="87"/>
      <c r="E1493" s="87"/>
      <c r="F1493" s="87"/>
      <c r="G1493" s="87"/>
      <c r="H1493" s="87"/>
      <c r="I1493" s="87"/>
      <c r="J1493" s="87"/>
      <c r="K1493" s="87"/>
      <c r="L1493" s="87"/>
      <c r="M1493" s="87"/>
      <c r="N1493" s="87">
        <f t="shared" si="92"/>
        <v>0</v>
      </c>
      <c r="O1493" s="87">
        <f t="shared" si="93"/>
        <v>0</v>
      </c>
      <c r="P1493" s="87" t="b">
        <f t="shared" si="94"/>
        <v>0</v>
      </c>
      <c r="Q1493" s="87" t="b">
        <f>(Requirements!K1495="Normative")</f>
        <v>1</v>
      </c>
      <c r="R1493" s="87" t="b">
        <f>AND(Requirements!L1495&lt;&gt;"Non-testable",Requirements!L1495&lt;&gt;"Deleted",Requirements!L1495&lt;&gt;"")</f>
        <v>0</v>
      </c>
      <c r="S1493" s="87" t="b">
        <f>(VLOOKUP(Requirements!I1495,Scope[[Role]:[Description]],2,FALSE)="In")</f>
        <v>1</v>
      </c>
      <c r="T1493" s="87">
        <f t="shared" si="95"/>
        <v>0</v>
      </c>
    </row>
    <row r="1494" spans="1:60">
      <c r="A1494" s="44" t="str">
        <f>Requirements!A1496</f>
        <v>MS-SMB_R30056</v>
      </c>
      <c r="B1494" s="87"/>
      <c r="C1494" s="87"/>
      <c r="D1494" s="87"/>
      <c r="E1494" s="87"/>
      <c r="F1494" s="87"/>
      <c r="G1494" s="87"/>
      <c r="H1494" s="87"/>
      <c r="I1494" s="87"/>
      <c r="J1494" s="87"/>
      <c r="K1494" s="87"/>
      <c r="L1494" s="87"/>
      <c r="M1494" s="87"/>
      <c r="N1494" s="87">
        <f t="shared" si="92"/>
        <v>0</v>
      </c>
      <c r="O1494" s="87">
        <f t="shared" si="93"/>
        <v>0</v>
      </c>
      <c r="P1494" s="87" t="b">
        <f t="shared" si="94"/>
        <v>0</v>
      </c>
      <c r="Q1494" s="87" t="b">
        <f>(Requirements!K1496="Normative")</f>
        <v>1</v>
      </c>
      <c r="R1494" s="87" t="b">
        <f>AND(Requirements!L1496&lt;&gt;"Non-testable",Requirements!L1496&lt;&gt;"Deleted",Requirements!L1496&lt;&gt;"")</f>
        <v>0</v>
      </c>
      <c r="S1494" s="87" t="b">
        <f>(VLOOKUP(Requirements!I1496,Scope[[Role]:[Description]],2,FALSE)="In")</f>
        <v>1</v>
      </c>
      <c r="T1494" s="87">
        <f t="shared" si="95"/>
        <v>0</v>
      </c>
    </row>
    <row r="1495" spans="1:60">
      <c r="A1495" s="44" t="str">
        <f>Requirements!A1497</f>
        <v>MS-SMB_R30057</v>
      </c>
      <c r="B1495" s="87"/>
      <c r="C1495" s="87"/>
      <c r="D1495" s="87"/>
      <c r="E1495" s="87"/>
      <c r="F1495" s="87"/>
      <c r="G1495" s="87"/>
      <c r="H1495" s="87"/>
      <c r="I1495" s="87"/>
      <c r="J1495" s="87"/>
      <c r="K1495" s="87"/>
      <c r="L1495" s="87"/>
      <c r="M1495" s="87"/>
      <c r="N1495" s="87">
        <f t="shared" si="92"/>
        <v>0</v>
      </c>
      <c r="O1495" s="87">
        <f t="shared" si="93"/>
        <v>0</v>
      </c>
      <c r="P1495" s="87" t="b">
        <f t="shared" si="94"/>
        <v>0</v>
      </c>
      <c r="Q1495" s="87" t="b">
        <f>(Requirements!K1497="Normative")</f>
        <v>1</v>
      </c>
      <c r="R1495" s="87" t="b">
        <f>AND(Requirements!L1497&lt;&gt;"Non-testable",Requirements!L1497&lt;&gt;"Deleted",Requirements!L1497&lt;&gt;"")</f>
        <v>0</v>
      </c>
      <c r="S1495" s="87" t="b">
        <f>(VLOOKUP(Requirements!I1497,Scope[[Role]:[Description]],2,FALSE)="In")</f>
        <v>1</v>
      </c>
      <c r="T1495" s="87">
        <f t="shared" si="95"/>
        <v>0</v>
      </c>
    </row>
    <row r="1496" spans="1:60">
      <c r="A1496" s="44" t="str">
        <f>Requirements!A1498</f>
        <v>MS-SMB_R30058</v>
      </c>
      <c r="B1496" s="87"/>
      <c r="C1496" s="87"/>
      <c r="D1496" s="87"/>
      <c r="E1496" s="87"/>
      <c r="F1496" s="87"/>
      <c r="G1496" s="87"/>
      <c r="H1496" s="87"/>
      <c r="I1496" s="87"/>
      <c r="J1496" s="87"/>
      <c r="K1496" s="87"/>
      <c r="L1496" s="87"/>
      <c r="M1496" s="87"/>
      <c r="N1496" s="87">
        <f t="shared" si="92"/>
        <v>0</v>
      </c>
      <c r="O1496" s="87">
        <f t="shared" si="93"/>
        <v>0</v>
      </c>
      <c r="P1496" s="87" t="b">
        <f t="shared" si="94"/>
        <v>0</v>
      </c>
      <c r="Q1496" s="87" t="b">
        <f>(Requirements!K1498="Normative")</f>
        <v>1</v>
      </c>
      <c r="R1496" s="87" t="b">
        <f>AND(Requirements!L1498&lt;&gt;"Non-testable",Requirements!L1498&lt;&gt;"Deleted",Requirements!L1498&lt;&gt;"")</f>
        <v>0</v>
      </c>
      <c r="S1496" s="87" t="b">
        <f>(VLOOKUP(Requirements!I1498,Scope[[Role]:[Description]],2,FALSE)="In")</f>
        <v>1</v>
      </c>
      <c r="T1496" s="87">
        <f t="shared" si="95"/>
        <v>0</v>
      </c>
    </row>
    <row r="1497" spans="1:60">
      <c r="A1497" s="84" t="str">
        <f>Requirements!A1499</f>
        <v>MS-SMB_R30059</v>
      </c>
      <c r="B1497" s="87"/>
      <c r="C1497" s="87"/>
      <c r="D1497" s="87"/>
      <c r="E1497" s="87"/>
      <c r="F1497" s="87"/>
      <c r="G1497" s="87"/>
      <c r="H1497" s="87"/>
      <c r="I1497" s="87"/>
      <c r="J1497" s="87">
        <v>1</v>
      </c>
      <c r="K1497" s="87"/>
      <c r="L1497" s="87"/>
      <c r="M1497" s="87"/>
      <c r="N1497" s="87">
        <f t="shared" si="92"/>
        <v>1</v>
      </c>
      <c r="O1497" s="60">
        <f t="shared" si="93"/>
        <v>1</v>
      </c>
      <c r="P1497" s="60" t="b">
        <f t="shared" si="94"/>
        <v>1</v>
      </c>
      <c r="Q1497" s="87" t="b">
        <f>(Requirements!K1499="Normative")</f>
        <v>1</v>
      </c>
      <c r="R1497" s="87" t="b">
        <f>AND(Requirements!L1499&lt;&gt;"Non-testable",Requirements!L1499&lt;&gt;"Deleted",Requirements!L1499&lt;&gt;"")</f>
        <v>1</v>
      </c>
      <c r="S1497" s="87" t="b">
        <f>(VLOOKUP(Requirements!I1499,Scope[[Role]:[Description]],2,FALSE)="In")</f>
        <v>1</v>
      </c>
      <c r="T1497" s="87">
        <f t="shared" si="95"/>
        <v>1</v>
      </c>
    </row>
    <row r="1498" spans="1:60">
      <c r="A1498" s="44" t="str">
        <f>Requirements!A1500</f>
        <v>MS-SMB_R4881</v>
      </c>
      <c r="B1498" s="87"/>
      <c r="C1498" s="87"/>
      <c r="D1498" s="87"/>
      <c r="E1498" s="87"/>
      <c r="F1498" s="87"/>
      <c r="G1498" s="87"/>
      <c r="H1498" s="87"/>
      <c r="I1498" s="87"/>
      <c r="J1498" s="87"/>
      <c r="K1498" s="87"/>
      <c r="L1498" s="87"/>
      <c r="M1498" s="87"/>
      <c r="N1498" s="87">
        <f t="shared" si="92"/>
        <v>0</v>
      </c>
      <c r="O1498" s="87">
        <f t="shared" si="93"/>
        <v>0</v>
      </c>
      <c r="P1498" s="87" t="b">
        <f t="shared" si="94"/>
        <v>0</v>
      </c>
      <c r="Q1498" s="87" t="b">
        <f>(Requirements!K1500="Normative")</f>
        <v>1</v>
      </c>
      <c r="R1498" s="87" t="b">
        <f>AND(Requirements!L1500&lt;&gt;"Non-testable",Requirements!L1500&lt;&gt;"Deleted",Requirements!L1500&lt;&gt;"")</f>
        <v>0</v>
      </c>
      <c r="S1498" s="87" t="b">
        <f>(VLOOKUP(Requirements!I1500,Scope[[Role]:[Description]],2,FALSE)="In")</f>
        <v>1</v>
      </c>
      <c r="T1498" s="87">
        <f t="shared" si="95"/>
        <v>0</v>
      </c>
    </row>
    <row r="1499" spans="1:60">
      <c r="A1499" s="44" t="str">
        <f>Requirements!A1501</f>
        <v>MS-SMB_R4882</v>
      </c>
      <c r="B1499" s="87"/>
      <c r="C1499" s="87"/>
      <c r="D1499" s="87"/>
      <c r="E1499" s="87"/>
      <c r="F1499" s="87"/>
      <c r="G1499" s="87"/>
      <c r="H1499" s="87"/>
      <c r="I1499" s="87"/>
      <c r="J1499" s="87"/>
      <c r="K1499" s="87"/>
      <c r="L1499" s="87"/>
      <c r="M1499" s="87"/>
      <c r="N1499" s="87">
        <f t="shared" si="92"/>
        <v>0</v>
      </c>
      <c r="O1499" s="87">
        <f t="shared" si="93"/>
        <v>0</v>
      </c>
      <c r="P1499" s="87" t="b">
        <f t="shared" si="94"/>
        <v>0</v>
      </c>
      <c r="Q1499" s="87" t="b">
        <f>(Requirements!K1501="Normative")</f>
        <v>1</v>
      </c>
      <c r="R1499" s="87" t="b">
        <f>AND(Requirements!L1501&lt;&gt;"Non-testable",Requirements!L1501&lt;&gt;"Deleted",Requirements!L1501&lt;&gt;"")</f>
        <v>0</v>
      </c>
      <c r="S1499" s="87" t="b">
        <f>(VLOOKUP(Requirements!I1501,Scope[[Role]:[Description]],2,FALSE)="In")</f>
        <v>1</v>
      </c>
      <c r="T1499" s="87">
        <f t="shared" si="95"/>
        <v>0</v>
      </c>
    </row>
    <row r="1500" spans="1:60">
      <c r="A1500" s="83" t="str">
        <f>Requirements!A1502</f>
        <v>MS-SMB_R4883</v>
      </c>
      <c r="B1500" s="46"/>
      <c r="C1500" s="46"/>
      <c r="D1500" s="46"/>
      <c r="E1500" s="46"/>
      <c r="F1500" s="46"/>
      <c r="G1500" s="46"/>
      <c r="H1500" s="46"/>
      <c r="I1500" s="46"/>
      <c r="J1500" s="46"/>
      <c r="K1500" s="46"/>
      <c r="L1500" s="46"/>
      <c r="M1500" s="46"/>
      <c r="N1500" s="46">
        <f t="shared" si="92"/>
        <v>0</v>
      </c>
      <c r="O1500" s="46">
        <f t="shared" si="93"/>
        <v>0</v>
      </c>
      <c r="P1500" s="46" t="b">
        <f t="shared" si="94"/>
        <v>0</v>
      </c>
      <c r="Q1500" s="46" t="b">
        <f>(Requirements!K1502="Normative")</f>
        <v>0</v>
      </c>
      <c r="R1500" s="46" t="b">
        <f>AND(Requirements!L1502&lt;&gt;"Non-testable",Requirements!L1502&lt;&gt;"Deleted",Requirements!L1502&lt;&gt;"")</f>
        <v>0</v>
      </c>
      <c r="S1500" s="46" t="b">
        <f>(VLOOKUP(Requirements!I1502,Scope[[Role]:[Description]],2,FALSE)="In")</f>
        <v>1</v>
      </c>
      <c r="T1500" s="46">
        <f t="shared" si="95"/>
        <v>0</v>
      </c>
      <c r="U1500" s="45"/>
      <c r="V1500" s="45"/>
      <c r="W1500" s="45"/>
      <c r="X1500" s="45"/>
      <c r="Y1500" s="45"/>
      <c r="Z1500" s="45"/>
      <c r="AA1500" s="45"/>
      <c r="AB1500" s="45"/>
      <c r="AC1500" s="45"/>
      <c r="AD1500" s="45"/>
      <c r="AE1500" s="45"/>
      <c r="AF1500" s="45"/>
      <c r="AG1500" s="45"/>
      <c r="AH1500" s="45"/>
      <c r="AI1500" s="45"/>
      <c r="AJ1500" s="45"/>
      <c r="AK1500" s="45"/>
      <c r="AL1500" s="45"/>
      <c r="AM1500" s="45"/>
      <c r="AN1500" s="45"/>
      <c r="AO1500" s="45"/>
      <c r="AP1500" s="45"/>
      <c r="AQ1500" s="45"/>
      <c r="AR1500" s="45"/>
      <c r="AS1500" s="45"/>
      <c r="AT1500" s="45"/>
      <c r="AU1500" s="45"/>
      <c r="AV1500" s="45"/>
      <c r="AW1500" s="45"/>
      <c r="AX1500" s="45"/>
      <c r="AY1500" s="45"/>
      <c r="AZ1500" s="45"/>
      <c r="BA1500" s="45"/>
      <c r="BB1500" s="45"/>
      <c r="BC1500" s="45"/>
      <c r="BD1500" s="45"/>
      <c r="BE1500" s="45"/>
      <c r="BF1500" s="45"/>
      <c r="BG1500" s="45"/>
      <c r="BH1500" s="45"/>
    </row>
    <row r="1501" spans="1:60">
      <c r="A1501" s="44" t="str">
        <f>Requirements!A1503</f>
        <v>MS-SMB_R4884</v>
      </c>
      <c r="B1501" s="87"/>
      <c r="C1501" s="87"/>
      <c r="D1501" s="87"/>
      <c r="E1501" s="87"/>
      <c r="F1501" s="87"/>
      <c r="G1501" s="87"/>
      <c r="H1501" s="87"/>
      <c r="I1501" s="87"/>
      <c r="J1501" s="87"/>
      <c r="K1501" s="87"/>
      <c r="L1501" s="87"/>
      <c r="M1501" s="87"/>
      <c r="N1501" s="87">
        <f t="shared" si="92"/>
        <v>0</v>
      </c>
      <c r="O1501" s="87">
        <f t="shared" si="93"/>
        <v>0</v>
      </c>
      <c r="P1501" s="87" t="b">
        <f t="shared" si="94"/>
        <v>0</v>
      </c>
      <c r="Q1501" s="87" t="b">
        <f>(Requirements!K1503="Normative")</f>
        <v>1</v>
      </c>
      <c r="R1501" s="87" t="b">
        <f>AND(Requirements!L1503&lt;&gt;"Non-testable",Requirements!L1503&lt;&gt;"Deleted",Requirements!L1503&lt;&gt;"")</f>
        <v>0</v>
      </c>
      <c r="S1501" s="87" t="b">
        <f>(VLOOKUP(Requirements!I1503,Scope[[Role]:[Description]],2,FALSE)="In")</f>
        <v>1</v>
      </c>
      <c r="T1501" s="87">
        <f t="shared" si="95"/>
        <v>0</v>
      </c>
    </row>
    <row r="1502" spans="1:60">
      <c r="A1502" s="84" t="str">
        <f>Requirements!A1504</f>
        <v>MS-SMB_R2393</v>
      </c>
      <c r="B1502" s="87"/>
      <c r="C1502" s="87"/>
      <c r="D1502" s="87"/>
      <c r="E1502" s="87"/>
      <c r="F1502" s="87"/>
      <c r="G1502" s="87"/>
      <c r="H1502" s="87"/>
      <c r="I1502" s="87"/>
      <c r="J1502" s="87">
        <v>1</v>
      </c>
      <c r="K1502" s="87"/>
      <c r="L1502" s="87"/>
      <c r="M1502" s="87"/>
      <c r="N1502" s="87">
        <f t="shared" si="92"/>
        <v>1</v>
      </c>
      <c r="O1502" s="60">
        <f t="shared" si="93"/>
        <v>1</v>
      </c>
      <c r="P1502" s="60" t="b">
        <f t="shared" si="94"/>
        <v>1</v>
      </c>
      <c r="Q1502" s="87" t="b">
        <f>(Requirements!K1504="Normative")</f>
        <v>1</v>
      </c>
      <c r="R1502" s="87" t="b">
        <f>AND(Requirements!L1504&lt;&gt;"Non-testable",Requirements!L1504&lt;&gt;"Deleted",Requirements!L1504&lt;&gt;"")</f>
        <v>1</v>
      </c>
      <c r="S1502" s="87" t="b">
        <f>(VLOOKUP(Requirements!I1504,Scope[[Role]:[Description]],2,FALSE)="In")</f>
        <v>1</v>
      </c>
      <c r="T1502" s="87">
        <f t="shared" si="95"/>
        <v>1</v>
      </c>
    </row>
    <row r="1503" spans="1:60">
      <c r="A1503" s="84" t="str">
        <f>Requirements!A1505</f>
        <v>MS-SMB_R4888</v>
      </c>
      <c r="B1503" s="87"/>
      <c r="C1503" s="87"/>
      <c r="D1503" s="87"/>
      <c r="E1503" s="87"/>
      <c r="F1503" s="87"/>
      <c r="G1503" s="87"/>
      <c r="H1503" s="87"/>
      <c r="I1503" s="87"/>
      <c r="J1503" s="87">
        <v>1</v>
      </c>
      <c r="K1503" s="87"/>
      <c r="L1503" s="87"/>
      <c r="M1503" s="87"/>
      <c r="N1503" s="87">
        <f t="shared" si="92"/>
        <v>1</v>
      </c>
      <c r="O1503" s="60">
        <f t="shared" si="93"/>
        <v>1</v>
      </c>
      <c r="P1503" s="60" t="b">
        <f t="shared" si="94"/>
        <v>1</v>
      </c>
      <c r="Q1503" s="87" t="b">
        <f>(Requirements!K1505="Normative")</f>
        <v>1</v>
      </c>
      <c r="R1503" s="87" t="b">
        <f>AND(Requirements!L1505&lt;&gt;"Non-testable",Requirements!L1505&lt;&gt;"Deleted",Requirements!L1505&lt;&gt;"")</f>
        <v>1</v>
      </c>
      <c r="S1503" s="87" t="b">
        <f>(VLOOKUP(Requirements!I1505,Scope[[Role]:[Description]],2,FALSE)="In")</f>
        <v>1</v>
      </c>
      <c r="T1503" s="87">
        <f t="shared" si="95"/>
        <v>1</v>
      </c>
    </row>
    <row r="1504" spans="1:60">
      <c r="A1504" s="84" t="str">
        <f>Requirements!A1506</f>
        <v>MS-SMB_R4889</v>
      </c>
      <c r="B1504" s="87"/>
      <c r="C1504" s="87"/>
      <c r="D1504" s="87"/>
      <c r="E1504" s="87"/>
      <c r="F1504" s="87"/>
      <c r="G1504" s="87"/>
      <c r="H1504" s="87"/>
      <c r="I1504" s="87"/>
      <c r="J1504" s="87">
        <v>1</v>
      </c>
      <c r="K1504" s="87"/>
      <c r="L1504" s="87"/>
      <c r="M1504" s="87"/>
      <c r="N1504" s="87">
        <f t="shared" si="92"/>
        <v>1</v>
      </c>
      <c r="O1504" s="60">
        <f t="shared" si="93"/>
        <v>1</v>
      </c>
      <c r="P1504" s="60" t="b">
        <f t="shared" si="94"/>
        <v>1</v>
      </c>
      <c r="Q1504" s="87" t="b">
        <f>(Requirements!K1506="Normative")</f>
        <v>1</v>
      </c>
      <c r="R1504" s="87" t="b">
        <f>AND(Requirements!L1506&lt;&gt;"Non-testable",Requirements!L1506&lt;&gt;"Deleted",Requirements!L1506&lt;&gt;"")</f>
        <v>1</v>
      </c>
      <c r="S1504" s="87" t="b">
        <f>(VLOOKUP(Requirements!I1506,Scope[[Role]:[Description]],2,FALSE)="In")</f>
        <v>1</v>
      </c>
      <c r="T1504" s="87">
        <f t="shared" si="95"/>
        <v>1</v>
      </c>
    </row>
    <row r="1505" spans="1:20">
      <c r="A1505" s="84" t="str">
        <f>Requirements!A1507</f>
        <v>MS-SMB_R30039</v>
      </c>
      <c r="B1505" s="87"/>
      <c r="C1505" s="87"/>
      <c r="D1505" s="87"/>
      <c r="E1505" s="87"/>
      <c r="F1505" s="87"/>
      <c r="G1505" s="87"/>
      <c r="H1505" s="87"/>
      <c r="I1505" s="87"/>
      <c r="J1505" s="87">
        <v>1</v>
      </c>
      <c r="K1505" s="87"/>
      <c r="L1505" s="87"/>
      <c r="M1505" s="87"/>
      <c r="N1505" s="87">
        <f t="shared" si="92"/>
        <v>1</v>
      </c>
      <c r="O1505" s="60">
        <f t="shared" si="93"/>
        <v>1</v>
      </c>
      <c r="P1505" s="60" t="b">
        <f t="shared" si="94"/>
        <v>1</v>
      </c>
      <c r="Q1505" s="87" t="b">
        <f>(Requirements!K1507="Normative")</f>
        <v>1</v>
      </c>
      <c r="R1505" s="87" t="b">
        <f>AND(Requirements!L1507&lt;&gt;"Non-testable",Requirements!L1507&lt;&gt;"Deleted",Requirements!L1507&lt;&gt;"")</f>
        <v>1</v>
      </c>
      <c r="S1505" s="87" t="b">
        <f>(VLOOKUP(Requirements!I1507,Scope[[Role]:[Description]],2,FALSE)="In")</f>
        <v>1</v>
      </c>
      <c r="T1505" s="87">
        <f t="shared" si="95"/>
        <v>1</v>
      </c>
    </row>
    <row r="1506" spans="1:20">
      <c r="A1506" s="44" t="str">
        <f>Requirements!A1508</f>
        <v>MS-SMB_R30040</v>
      </c>
      <c r="B1506" s="87"/>
      <c r="C1506" s="87"/>
      <c r="D1506" s="87"/>
      <c r="E1506" s="87"/>
      <c r="F1506" s="87"/>
      <c r="G1506" s="87"/>
      <c r="H1506" s="87"/>
      <c r="I1506" s="87"/>
      <c r="J1506" s="87"/>
      <c r="K1506" s="87"/>
      <c r="L1506" s="87"/>
      <c r="M1506" s="87"/>
      <c r="N1506" s="87">
        <f t="shared" si="92"/>
        <v>0</v>
      </c>
      <c r="O1506" s="87">
        <f t="shared" si="93"/>
        <v>0</v>
      </c>
      <c r="P1506" s="87" t="b">
        <f t="shared" si="94"/>
        <v>0</v>
      </c>
      <c r="Q1506" s="87" t="b">
        <f>(Requirements!K1508="Normative")</f>
        <v>0</v>
      </c>
      <c r="R1506" s="87" t="b">
        <f>AND(Requirements!L1508&lt;&gt;"Non-testable",Requirements!L1508&lt;&gt;"Deleted",Requirements!L1508&lt;&gt;"")</f>
        <v>1</v>
      </c>
      <c r="S1506" s="87" t="b">
        <f>(VLOOKUP(Requirements!I1508,Scope[[Role]:[Description]],2,FALSE)="In")</f>
        <v>1</v>
      </c>
      <c r="T1506" s="87">
        <f t="shared" si="95"/>
        <v>0</v>
      </c>
    </row>
    <row r="1507" spans="1:20">
      <c r="A1507" s="84" t="str">
        <f>Requirements!A1509</f>
        <v>MS-SMB_R30041</v>
      </c>
      <c r="B1507" s="87"/>
      <c r="C1507" s="87"/>
      <c r="D1507" s="87"/>
      <c r="E1507" s="87"/>
      <c r="F1507" s="87"/>
      <c r="G1507" s="87"/>
      <c r="H1507" s="87"/>
      <c r="I1507" s="87"/>
      <c r="J1507" s="87">
        <v>1</v>
      </c>
      <c r="K1507" s="87"/>
      <c r="L1507" s="87"/>
      <c r="M1507" s="87"/>
      <c r="N1507" s="87">
        <f t="shared" si="92"/>
        <v>1</v>
      </c>
      <c r="O1507" s="60">
        <f t="shared" si="93"/>
        <v>1</v>
      </c>
      <c r="P1507" s="60" t="b">
        <f t="shared" si="94"/>
        <v>1</v>
      </c>
      <c r="Q1507" s="87" t="b">
        <f>(Requirements!K1509="Normative")</f>
        <v>1</v>
      </c>
      <c r="R1507" s="87" t="b">
        <f>AND(Requirements!L1509&lt;&gt;"Non-testable",Requirements!L1509&lt;&gt;"Deleted",Requirements!L1509&lt;&gt;"")</f>
        <v>1</v>
      </c>
      <c r="S1507" s="87" t="b">
        <f>(VLOOKUP(Requirements!I1509,Scope[[Role]:[Description]],2,FALSE)="In")</f>
        <v>1</v>
      </c>
      <c r="T1507" s="87">
        <f t="shared" si="95"/>
        <v>1</v>
      </c>
    </row>
    <row r="1508" spans="1:20">
      <c r="A1508" s="84" t="str">
        <f>Requirements!A1510</f>
        <v>MS-SMB_R30042</v>
      </c>
      <c r="B1508" s="87"/>
      <c r="C1508" s="87"/>
      <c r="D1508" s="87"/>
      <c r="E1508" s="87"/>
      <c r="F1508" s="87"/>
      <c r="G1508" s="87"/>
      <c r="H1508" s="87"/>
      <c r="I1508" s="87"/>
      <c r="J1508" s="87">
        <v>1</v>
      </c>
      <c r="K1508" s="87"/>
      <c r="L1508" s="87"/>
      <c r="M1508" s="87"/>
      <c r="N1508" s="87">
        <f t="shared" si="92"/>
        <v>1</v>
      </c>
      <c r="O1508" s="60">
        <f t="shared" si="93"/>
        <v>1</v>
      </c>
      <c r="P1508" s="60" t="b">
        <f t="shared" si="94"/>
        <v>1</v>
      </c>
      <c r="Q1508" s="87" t="b">
        <f>(Requirements!K1510="Normative")</f>
        <v>1</v>
      </c>
      <c r="R1508" s="87" t="b">
        <f>AND(Requirements!L1510&lt;&gt;"Non-testable",Requirements!L1510&lt;&gt;"Deleted",Requirements!L1510&lt;&gt;"")</f>
        <v>1</v>
      </c>
      <c r="S1508" s="87" t="b">
        <f>(VLOOKUP(Requirements!I1510,Scope[[Role]:[Description]],2,FALSE)="In")</f>
        <v>1</v>
      </c>
      <c r="T1508" s="87">
        <f t="shared" si="95"/>
        <v>1</v>
      </c>
    </row>
    <row r="1509" spans="1:20">
      <c r="A1509" s="44" t="str">
        <f>Requirements!A1511</f>
        <v>MS-SMB_R30043</v>
      </c>
      <c r="B1509" s="87"/>
      <c r="C1509" s="87"/>
      <c r="D1509" s="87"/>
      <c r="E1509" s="87"/>
      <c r="F1509" s="87"/>
      <c r="G1509" s="87"/>
      <c r="H1509" s="87"/>
      <c r="I1509" s="87"/>
      <c r="J1509" s="87"/>
      <c r="K1509" s="87"/>
      <c r="L1509" s="87"/>
      <c r="M1509" s="87"/>
      <c r="N1509" s="87">
        <f t="shared" si="92"/>
        <v>0</v>
      </c>
      <c r="O1509" s="87">
        <f t="shared" si="93"/>
        <v>0</v>
      </c>
      <c r="P1509" s="87" t="b">
        <f t="shared" si="94"/>
        <v>0</v>
      </c>
      <c r="Q1509" s="87" t="b">
        <f>(Requirements!K1511="Normative")</f>
        <v>0</v>
      </c>
      <c r="R1509" s="87" t="b">
        <f>AND(Requirements!L1511&lt;&gt;"Non-testable",Requirements!L1511&lt;&gt;"Deleted",Requirements!L1511&lt;&gt;"")</f>
        <v>1</v>
      </c>
      <c r="S1509" s="87" t="b">
        <f>(VLOOKUP(Requirements!I1511,Scope[[Role]:[Description]],2,FALSE)="In")</f>
        <v>1</v>
      </c>
      <c r="T1509" s="87">
        <f t="shared" si="95"/>
        <v>0</v>
      </c>
    </row>
    <row r="1510" spans="1:20">
      <c r="A1510" s="44" t="str">
        <f>Requirements!A1512</f>
        <v>MS-SMB_R30044</v>
      </c>
      <c r="B1510" s="87"/>
      <c r="C1510" s="87"/>
      <c r="D1510" s="87"/>
      <c r="E1510" s="87"/>
      <c r="F1510" s="87"/>
      <c r="G1510" s="87"/>
      <c r="H1510" s="87"/>
      <c r="I1510" s="87"/>
      <c r="J1510" s="87"/>
      <c r="K1510" s="87"/>
      <c r="L1510" s="87"/>
      <c r="M1510" s="87"/>
      <c r="N1510" s="87">
        <f t="shared" si="92"/>
        <v>0</v>
      </c>
      <c r="O1510" s="87">
        <f t="shared" si="93"/>
        <v>0</v>
      </c>
      <c r="P1510" s="87" t="b">
        <f t="shared" si="94"/>
        <v>0</v>
      </c>
      <c r="Q1510" s="87" t="b">
        <f>(Requirements!K1512="Normative")</f>
        <v>1</v>
      </c>
      <c r="R1510" s="87" t="b">
        <f>AND(Requirements!L1512&lt;&gt;"Non-testable",Requirements!L1512&lt;&gt;"Deleted",Requirements!L1512&lt;&gt;"")</f>
        <v>0</v>
      </c>
      <c r="S1510" s="87" t="b">
        <f>(VLOOKUP(Requirements!I1512,Scope[[Role]:[Description]],2,FALSE)="In")</f>
        <v>1</v>
      </c>
      <c r="T1510" s="87">
        <f t="shared" si="95"/>
        <v>0</v>
      </c>
    </row>
    <row r="1511" spans="1:20">
      <c r="A1511" s="44" t="str">
        <f>Requirements!A1513</f>
        <v>MS-SMB_R30045</v>
      </c>
      <c r="B1511" s="87"/>
      <c r="C1511" s="87"/>
      <c r="D1511" s="87"/>
      <c r="E1511" s="87"/>
      <c r="F1511" s="87"/>
      <c r="G1511" s="87"/>
      <c r="H1511" s="87"/>
      <c r="I1511" s="87"/>
      <c r="J1511" s="87"/>
      <c r="K1511" s="87"/>
      <c r="L1511" s="87"/>
      <c r="M1511" s="87"/>
      <c r="N1511" s="87">
        <f t="shared" si="92"/>
        <v>0</v>
      </c>
      <c r="O1511" s="87">
        <f t="shared" si="93"/>
        <v>0</v>
      </c>
      <c r="P1511" s="87" t="b">
        <f t="shared" si="94"/>
        <v>0</v>
      </c>
      <c r="Q1511" s="87" t="b">
        <f>(Requirements!K1513="Normative")</f>
        <v>1</v>
      </c>
      <c r="R1511" s="87" t="b">
        <f>AND(Requirements!L1513&lt;&gt;"Non-testable",Requirements!L1513&lt;&gt;"Deleted",Requirements!L1513&lt;&gt;"")</f>
        <v>0</v>
      </c>
      <c r="S1511" s="87" t="b">
        <f>(VLOOKUP(Requirements!I1513,Scope[[Role]:[Description]],2,FALSE)="In")</f>
        <v>1</v>
      </c>
      <c r="T1511" s="87">
        <f t="shared" si="95"/>
        <v>0</v>
      </c>
    </row>
    <row r="1512" spans="1:20">
      <c r="A1512" s="44" t="str">
        <f>Requirements!A1514</f>
        <v>MS-SMB_R30046</v>
      </c>
      <c r="B1512" s="87"/>
      <c r="C1512" s="87"/>
      <c r="D1512" s="87"/>
      <c r="E1512" s="87"/>
      <c r="F1512" s="87"/>
      <c r="G1512" s="87"/>
      <c r="H1512" s="87"/>
      <c r="I1512" s="87"/>
      <c r="J1512" s="87"/>
      <c r="K1512" s="87"/>
      <c r="L1512" s="87"/>
      <c r="M1512" s="87"/>
      <c r="N1512" s="87">
        <f t="shared" si="92"/>
        <v>0</v>
      </c>
      <c r="O1512" s="87">
        <f t="shared" si="93"/>
        <v>0</v>
      </c>
      <c r="P1512" s="87" t="b">
        <f t="shared" si="94"/>
        <v>0</v>
      </c>
      <c r="Q1512" s="87" t="b">
        <f>(Requirements!K1514="Normative")</f>
        <v>1</v>
      </c>
      <c r="R1512" s="87" t="b">
        <f>AND(Requirements!L1514&lt;&gt;"Non-testable",Requirements!L1514&lt;&gt;"Deleted",Requirements!L1514&lt;&gt;"")</f>
        <v>0</v>
      </c>
      <c r="S1512" s="87" t="b">
        <f>(VLOOKUP(Requirements!I1514,Scope[[Role]:[Description]],2,FALSE)="In")</f>
        <v>1</v>
      </c>
      <c r="T1512" s="87">
        <f t="shared" si="95"/>
        <v>0</v>
      </c>
    </row>
    <row r="1513" spans="1:20">
      <c r="A1513" s="85" t="str">
        <f>Requirements!A1515</f>
        <v>MS-SMB_R30047</v>
      </c>
      <c r="B1513" s="87"/>
      <c r="C1513" s="87"/>
      <c r="D1513" s="87"/>
      <c r="E1513" s="87"/>
      <c r="F1513" s="87"/>
      <c r="G1513" s="87"/>
      <c r="H1513" s="87"/>
      <c r="I1513" s="87"/>
      <c r="J1513" s="87"/>
      <c r="K1513" s="87"/>
      <c r="L1513" s="87"/>
      <c r="M1513" s="87"/>
      <c r="N1513" s="87">
        <f t="shared" si="92"/>
        <v>0</v>
      </c>
      <c r="O1513" s="61">
        <f t="shared" si="93"/>
        <v>0</v>
      </c>
      <c r="P1513" s="61" t="b">
        <f t="shared" si="94"/>
        <v>1</v>
      </c>
      <c r="Q1513" s="87" t="b">
        <f>(Requirements!K1515="Normative")</f>
        <v>1</v>
      </c>
      <c r="R1513" s="87" t="b">
        <f>AND(Requirements!L1515&lt;&gt;"Non-testable",Requirements!L1515&lt;&gt;"Deleted",Requirements!L1515&lt;&gt;"")</f>
        <v>1</v>
      </c>
      <c r="S1513" s="87" t="b">
        <f>(VLOOKUP(Requirements!I1515,Scope[[Role]:[Description]],2,FALSE)="In")</f>
        <v>1</v>
      </c>
      <c r="T1513" s="87">
        <f t="shared" si="95"/>
        <v>0</v>
      </c>
    </row>
    <row r="1514" spans="1:20">
      <c r="A1514" s="44" t="str">
        <f>Requirements!A1516</f>
        <v>MS-SMB_R30048</v>
      </c>
      <c r="B1514" s="87"/>
      <c r="C1514" s="87"/>
      <c r="D1514" s="87"/>
      <c r="E1514" s="87"/>
      <c r="F1514" s="87"/>
      <c r="G1514" s="87"/>
      <c r="H1514" s="87"/>
      <c r="I1514" s="87"/>
      <c r="J1514" s="87"/>
      <c r="K1514" s="87"/>
      <c r="L1514" s="87"/>
      <c r="M1514" s="87"/>
      <c r="N1514" s="87">
        <f t="shared" si="92"/>
        <v>0</v>
      </c>
      <c r="O1514" s="87">
        <f t="shared" si="93"/>
        <v>0</v>
      </c>
      <c r="P1514" s="87" t="b">
        <f t="shared" si="94"/>
        <v>0</v>
      </c>
      <c r="Q1514" s="87" t="b">
        <f>(Requirements!K1516="Normative")</f>
        <v>0</v>
      </c>
      <c r="R1514" s="87" t="b">
        <f>AND(Requirements!L1516&lt;&gt;"Non-testable",Requirements!L1516&lt;&gt;"Deleted",Requirements!L1516&lt;&gt;"")</f>
        <v>1</v>
      </c>
      <c r="S1514" s="87" t="b">
        <f>(VLOOKUP(Requirements!I1516,Scope[[Role]:[Description]],2,FALSE)="In")</f>
        <v>1</v>
      </c>
      <c r="T1514" s="87">
        <f t="shared" si="95"/>
        <v>0</v>
      </c>
    </row>
    <row r="1515" spans="1:20">
      <c r="A1515" s="84" t="str">
        <f>Requirements!A1517</f>
        <v>MS-SMB_R2398</v>
      </c>
      <c r="B1515" s="87"/>
      <c r="C1515" s="87"/>
      <c r="D1515" s="87">
        <v>1</v>
      </c>
      <c r="E1515" s="87"/>
      <c r="F1515" s="87"/>
      <c r="G1515" s="87"/>
      <c r="H1515" s="87"/>
      <c r="I1515" s="87"/>
      <c r="J1515" s="87"/>
      <c r="K1515" s="87"/>
      <c r="L1515" s="87"/>
      <c r="M1515" s="87"/>
      <c r="N1515" s="87">
        <f t="shared" si="92"/>
        <v>1</v>
      </c>
      <c r="O1515" s="60">
        <f t="shared" si="93"/>
        <v>1</v>
      </c>
      <c r="P1515" s="60" t="b">
        <f t="shared" si="94"/>
        <v>1</v>
      </c>
      <c r="Q1515" s="87" t="b">
        <f>(Requirements!K1517="Normative")</f>
        <v>1</v>
      </c>
      <c r="R1515" s="87" t="b">
        <f>AND(Requirements!L1517&lt;&gt;"Non-testable",Requirements!L1517&lt;&gt;"Deleted",Requirements!L1517&lt;&gt;"")</f>
        <v>1</v>
      </c>
      <c r="S1515" s="87" t="b">
        <f>(VLOOKUP(Requirements!I1517,Scope[[Role]:[Description]],2,FALSE)="In")</f>
        <v>1</v>
      </c>
      <c r="T1515" s="87">
        <f t="shared" si="95"/>
        <v>1</v>
      </c>
    </row>
    <row r="1516" spans="1:20">
      <c r="A1516" s="84" t="str">
        <f>Requirements!A1518</f>
        <v>MS-SMB_R102398</v>
      </c>
      <c r="B1516" s="87"/>
      <c r="C1516" s="87"/>
      <c r="D1516" s="87">
        <v>1</v>
      </c>
      <c r="E1516" s="87"/>
      <c r="F1516" s="87"/>
      <c r="G1516" s="87"/>
      <c r="H1516" s="87"/>
      <c r="I1516" s="87"/>
      <c r="J1516" s="87"/>
      <c r="K1516" s="87"/>
      <c r="L1516" s="87"/>
      <c r="M1516" s="87"/>
      <c r="N1516" s="87">
        <f t="shared" si="92"/>
        <v>1</v>
      </c>
      <c r="O1516" s="60">
        <f t="shared" si="93"/>
        <v>1</v>
      </c>
      <c r="P1516" s="60" t="b">
        <f t="shared" si="94"/>
        <v>1</v>
      </c>
      <c r="Q1516" s="87" t="b">
        <f>(Requirements!K1518="Normative")</f>
        <v>1</v>
      </c>
      <c r="R1516" s="87" t="b">
        <f>AND(Requirements!L1518&lt;&gt;"Non-testable",Requirements!L1518&lt;&gt;"Deleted",Requirements!L1518&lt;&gt;"")</f>
        <v>1</v>
      </c>
      <c r="S1516" s="87" t="b">
        <f>(VLOOKUP(Requirements!I1518,Scope[[Role]:[Description]],2,FALSE)="In")</f>
        <v>1</v>
      </c>
      <c r="T1516" s="87">
        <f t="shared" si="95"/>
        <v>1</v>
      </c>
    </row>
    <row r="1517" spans="1:20">
      <c r="A1517" s="85" t="str">
        <f>Requirements!A1519</f>
        <v>MS-SMB_R4898</v>
      </c>
      <c r="B1517" s="87"/>
      <c r="C1517" s="87"/>
      <c r="D1517" s="87"/>
      <c r="E1517" s="87"/>
      <c r="F1517" s="87"/>
      <c r="G1517" s="87"/>
      <c r="H1517" s="87"/>
      <c r="I1517" s="87"/>
      <c r="J1517" s="87"/>
      <c r="K1517" s="87"/>
      <c r="L1517" s="87"/>
      <c r="M1517" s="87"/>
      <c r="N1517" s="87">
        <f t="shared" si="92"/>
        <v>0</v>
      </c>
      <c r="O1517" s="61">
        <f t="shared" si="93"/>
        <v>0</v>
      </c>
      <c r="P1517" s="61" t="b">
        <f t="shared" si="94"/>
        <v>1</v>
      </c>
      <c r="Q1517" s="87" t="b">
        <f>(Requirements!K1519="Normative")</f>
        <v>1</v>
      </c>
      <c r="R1517" s="87" t="b">
        <f>AND(Requirements!L1519&lt;&gt;"Non-testable",Requirements!L1519&lt;&gt;"Deleted",Requirements!L1519&lt;&gt;"")</f>
        <v>1</v>
      </c>
      <c r="S1517" s="87" t="b">
        <f>(VLOOKUP(Requirements!I1519,Scope[[Role]:[Description]],2,FALSE)="In")</f>
        <v>1</v>
      </c>
      <c r="T1517" s="87">
        <f t="shared" si="95"/>
        <v>0</v>
      </c>
    </row>
    <row r="1518" spans="1:20">
      <c r="A1518" s="85" t="str">
        <f>Requirements!A1520</f>
        <v>MS-SMB_R4899</v>
      </c>
      <c r="B1518" s="87"/>
      <c r="C1518" s="87"/>
      <c r="D1518" s="87"/>
      <c r="E1518" s="87"/>
      <c r="F1518" s="87"/>
      <c r="G1518" s="87"/>
      <c r="H1518" s="87"/>
      <c r="I1518" s="87"/>
      <c r="J1518" s="87"/>
      <c r="K1518" s="87"/>
      <c r="L1518" s="87"/>
      <c r="M1518" s="87"/>
      <c r="N1518" s="87">
        <f t="shared" si="92"/>
        <v>0</v>
      </c>
      <c r="O1518" s="61">
        <f t="shared" si="93"/>
        <v>0</v>
      </c>
      <c r="P1518" s="61" t="b">
        <f t="shared" si="94"/>
        <v>1</v>
      </c>
      <c r="Q1518" s="87" t="b">
        <f>(Requirements!K1520="Normative")</f>
        <v>1</v>
      </c>
      <c r="R1518" s="87" t="b">
        <f>AND(Requirements!L1520&lt;&gt;"Non-testable",Requirements!L1520&lt;&gt;"Deleted",Requirements!L1520&lt;&gt;"")</f>
        <v>1</v>
      </c>
      <c r="S1518" s="87" t="b">
        <f>(VLOOKUP(Requirements!I1520,Scope[[Role]:[Description]],2,FALSE)="In")</f>
        <v>1</v>
      </c>
      <c r="T1518" s="87">
        <f t="shared" si="95"/>
        <v>0</v>
      </c>
    </row>
    <row r="1519" spans="1:20">
      <c r="A1519" s="44" t="str">
        <f>Requirements!A1521</f>
        <v>MS-SMB_R4900</v>
      </c>
      <c r="B1519" s="87"/>
      <c r="C1519" s="87"/>
      <c r="D1519" s="87"/>
      <c r="E1519" s="87"/>
      <c r="F1519" s="87"/>
      <c r="G1519" s="87"/>
      <c r="H1519" s="87"/>
      <c r="I1519" s="87"/>
      <c r="J1519" s="87"/>
      <c r="K1519" s="87"/>
      <c r="L1519" s="87"/>
      <c r="M1519" s="87"/>
      <c r="N1519" s="87">
        <f t="shared" si="92"/>
        <v>0</v>
      </c>
      <c r="O1519" s="87">
        <f t="shared" si="93"/>
        <v>0</v>
      </c>
      <c r="P1519" s="87" t="b">
        <f t="shared" si="94"/>
        <v>0</v>
      </c>
      <c r="Q1519" s="87" t="b">
        <f>(Requirements!K1521="Normative")</f>
        <v>0</v>
      </c>
      <c r="R1519" s="87" t="b">
        <f>AND(Requirements!L1521&lt;&gt;"Non-testable",Requirements!L1521&lt;&gt;"Deleted",Requirements!L1521&lt;&gt;"")</f>
        <v>1</v>
      </c>
      <c r="S1519" s="87" t="b">
        <f>(VLOOKUP(Requirements!I1521,Scope[[Role]:[Description]],2,FALSE)="In")</f>
        <v>1</v>
      </c>
      <c r="T1519" s="87">
        <f t="shared" si="95"/>
        <v>0</v>
      </c>
    </row>
    <row r="1520" spans="1:20">
      <c r="A1520" s="84" t="str">
        <f>Requirements!A1522</f>
        <v>MS-SMB_R2402</v>
      </c>
      <c r="B1520" s="87"/>
      <c r="C1520" s="87"/>
      <c r="D1520" s="87">
        <v>1</v>
      </c>
      <c r="E1520" s="87"/>
      <c r="F1520" s="87"/>
      <c r="G1520" s="87"/>
      <c r="H1520" s="87"/>
      <c r="I1520" s="87"/>
      <c r="J1520" s="87"/>
      <c r="K1520" s="87"/>
      <c r="L1520" s="87"/>
      <c r="M1520" s="87"/>
      <c r="N1520" s="87">
        <f t="shared" si="92"/>
        <v>1</v>
      </c>
      <c r="O1520" s="60">
        <f t="shared" si="93"/>
        <v>1</v>
      </c>
      <c r="P1520" s="60" t="b">
        <f t="shared" si="94"/>
        <v>1</v>
      </c>
      <c r="Q1520" s="87" t="b">
        <f>(Requirements!K1522="Normative")</f>
        <v>1</v>
      </c>
      <c r="R1520" s="87" t="b">
        <f>AND(Requirements!L1522&lt;&gt;"Non-testable",Requirements!L1522&lt;&gt;"Deleted",Requirements!L1522&lt;&gt;"")</f>
        <v>1</v>
      </c>
      <c r="S1520" s="87" t="b">
        <f>(VLOOKUP(Requirements!I1522,Scope[[Role]:[Description]],2,FALSE)="In")</f>
        <v>1</v>
      </c>
      <c r="T1520" s="87">
        <f t="shared" si="95"/>
        <v>1</v>
      </c>
    </row>
    <row r="1521" spans="1:20">
      <c r="A1521" s="84" t="str">
        <f>Requirements!A1523</f>
        <v>MS-SMB_R2404</v>
      </c>
      <c r="B1521" s="87"/>
      <c r="C1521" s="87"/>
      <c r="D1521" s="87"/>
      <c r="E1521" s="87"/>
      <c r="F1521" s="87"/>
      <c r="G1521" s="87"/>
      <c r="H1521" s="87"/>
      <c r="I1521" s="87"/>
      <c r="J1521" s="87"/>
      <c r="K1521" s="87"/>
      <c r="L1521" s="87"/>
      <c r="M1521" s="87">
        <v>1</v>
      </c>
      <c r="N1521" s="87">
        <f t="shared" si="92"/>
        <v>1</v>
      </c>
      <c r="O1521" s="60">
        <f t="shared" si="93"/>
        <v>1</v>
      </c>
      <c r="P1521" s="60" t="b">
        <f t="shared" si="94"/>
        <v>1</v>
      </c>
      <c r="Q1521" s="87" t="b">
        <f>(Requirements!K1523="Normative")</f>
        <v>1</v>
      </c>
      <c r="R1521" s="87" t="b">
        <f>AND(Requirements!L1523&lt;&gt;"Non-testable",Requirements!L1523&lt;&gt;"Deleted",Requirements!L1523&lt;&gt;"")</f>
        <v>1</v>
      </c>
      <c r="S1521" s="87" t="b">
        <f>(VLOOKUP(Requirements!I1523,Scope[[Role]:[Description]],2,FALSE)="In")</f>
        <v>1</v>
      </c>
      <c r="T1521" s="87">
        <f t="shared" si="95"/>
        <v>1</v>
      </c>
    </row>
    <row r="1522" spans="1:20">
      <c r="A1522" s="44" t="str">
        <f>Requirements!A1524</f>
        <v>MS-SMB_R2405</v>
      </c>
      <c r="B1522" s="87"/>
      <c r="C1522" s="87"/>
      <c r="D1522" s="87"/>
      <c r="E1522" s="87"/>
      <c r="F1522" s="87"/>
      <c r="G1522" s="87"/>
      <c r="H1522" s="87"/>
      <c r="I1522" s="87"/>
      <c r="J1522" s="87"/>
      <c r="K1522" s="87"/>
      <c r="L1522" s="87"/>
      <c r="M1522" s="87"/>
      <c r="N1522" s="87">
        <f t="shared" si="92"/>
        <v>0</v>
      </c>
      <c r="O1522" s="87">
        <f t="shared" si="93"/>
        <v>0</v>
      </c>
      <c r="P1522" s="87" t="b">
        <f t="shared" si="94"/>
        <v>0</v>
      </c>
      <c r="Q1522" s="87" t="b">
        <f>(Requirements!K1524="Normative")</f>
        <v>1</v>
      </c>
      <c r="R1522" s="87" t="b">
        <f>AND(Requirements!L1524&lt;&gt;"Non-testable",Requirements!L1524&lt;&gt;"Deleted",Requirements!L1524&lt;&gt;"")</f>
        <v>0</v>
      </c>
      <c r="S1522" s="87" t="b">
        <f>(VLOOKUP(Requirements!I1524,Scope[[Role]:[Description]],2,FALSE)="In")</f>
        <v>1</v>
      </c>
      <c r="T1522" s="87">
        <f t="shared" si="95"/>
        <v>0</v>
      </c>
    </row>
    <row r="1523" spans="1:20">
      <c r="A1523" s="44" t="str">
        <f>Requirements!A1525</f>
        <v>MS-SMB_R30028</v>
      </c>
      <c r="B1523" s="87"/>
      <c r="C1523" s="87"/>
      <c r="D1523" s="87"/>
      <c r="E1523" s="87"/>
      <c r="F1523" s="87"/>
      <c r="G1523" s="87"/>
      <c r="H1523" s="87"/>
      <c r="I1523" s="87"/>
      <c r="J1523" s="87"/>
      <c r="K1523" s="87"/>
      <c r="L1523" s="87"/>
      <c r="M1523" s="87"/>
      <c r="N1523" s="87">
        <f t="shared" si="92"/>
        <v>0</v>
      </c>
      <c r="O1523" s="87">
        <f t="shared" si="93"/>
        <v>0</v>
      </c>
      <c r="P1523" s="87" t="b">
        <f t="shared" si="94"/>
        <v>0</v>
      </c>
      <c r="Q1523" s="87" t="b">
        <f>(Requirements!K1525="Normative")</f>
        <v>0</v>
      </c>
      <c r="R1523" s="87" t="b">
        <f>AND(Requirements!L1525&lt;&gt;"Non-testable",Requirements!L1525&lt;&gt;"Deleted",Requirements!L1525&lt;&gt;"")</f>
        <v>1</v>
      </c>
      <c r="S1523" s="87" t="b">
        <f>(VLOOKUP(Requirements!I1525,Scope[[Role]:[Description]],2,FALSE)="In")</f>
        <v>1</v>
      </c>
      <c r="T1523" s="87">
        <f t="shared" si="95"/>
        <v>0</v>
      </c>
    </row>
    <row r="1524" spans="1:20">
      <c r="A1524" s="84" t="str">
        <f>Requirements!A1526</f>
        <v>MS-SMB_R30029</v>
      </c>
      <c r="B1524" s="87"/>
      <c r="C1524" s="87"/>
      <c r="D1524" s="87"/>
      <c r="E1524" s="87"/>
      <c r="F1524" s="87"/>
      <c r="G1524" s="87"/>
      <c r="H1524" s="87"/>
      <c r="I1524" s="87"/>
      <c r="J1524" s="87"/>
      <c r="K1524" s="87"/>
      <c r="L1524" s="87">
        <v>1</v>
      </c>
      <c r="M1524" s="87"/>
      <c r="N1524" s="87">
        <f t="shared" si="92"/>
        <v>1</v>
      </c>
      <c r="O1524" s="60">
        <f t="shared" si="93"/>
        <v>1</v>
      </c>
      <c r="P1524" s="60" t="b">
        <f t="shared" si="94"/>
        <v>1</v>
      </c>
      <c r="Q1524" s="87" t="b">
        <f>(Requirements!K1526="Normative")</f>
        <v>1</v>
      </c>
      <c r="R1524" s="87" t="b">
        <f>AND(Requirements!L1526&lt;&gt;"Non-testable",Requirements!L1526&lt;&gt;"Deleted",Requirements!L1526&lt;&gt;"")</f>
        <v>1</v>
      </c>
      <c r="S1524" s="87" t="b">
        <f>(VLOOKUP(Requirements!I1526,Scope[[Role]:[Description]],2,FALSE)="In")</f>
        <v>1</v>
      </c>
      <c r="T1524" s="87">
        <f t="shared" si="95"/>
        <v>1</v>
      </c>
    </row>
    <row r="1525" spans="1:20">
      <c r="A1525" s="84" t="str">
        <f>Requirements!A1527</f>
        <v>MS-SMB_R30030</v>
      </c>
      <c r="B1525" s="87"/>
      <c r="C1525" s="87"/>
      <c r="D1525" s="87"/>
      <c r="E1525" s="87"/>
      <c r="F1525" s="87"/>
      <c r="G1525" s="87"/>
      <c r="H1525" s="87"/>
      <c r="I1525" s="87"/>
      <c r="J1525" s="87"/>
      <c r="K1525" s="87"/>
      <c r="L1525" s="87">
        <v>1</v>
      </c>
      <c r="M1525" s="87"/>
      <c r="N1525" s="87">
        <f t="shared" si="92"/>
        <v>1</v>
      </c>
      <c r="O1525" s="60">
        <f t="shared" si="93"/>
        <v>1</v>
      </c>
      <c r="P1525" s="60" t="b">
        <f t="shared" si="94"/>
        <v>1</v>
      </c>
      <c r="Q1525" s="87" t="b">
        <f>(Requirements!K1527="Normative")</f>
        <v>1</v>
      </c>
      <c r="R1525" s="87" t="b">
        <f>AND(Requirements!L1527&lt;&gt;"Non-testable",Requirements!L1527&lt;&gt;"Deleted",Requirements!L1527&lt;&gt;"")</f>
        <v>1</v>
      </c>
      <c r="S1525" s="87" t="b">
        <f>(VLOOKUP(Requirements!I1527,Scope[[Role]:[Description]],2,FALSE)="In")</f>
        <v>1</v>
      </c>
      <c r="T1525" s="87">
        <f t="shared" si="95"/>
        <v>1</v>
      </c>
    </row>
    <row r="1526" spans="1:20">
      <c r="A1526" s="44" t="str">
        <f>Requirements!A1528</f>
        <v>MS-SMB_R30031</v>
      </c>
      <c r="B1526" s="87"/>
      <c r="C1526" s="87"/>
      <c r="D1526" s="87"/>
      <c r="E1526" s="87"/>
      <c r="F1526" s="87"/>
      <c r="G1526" s="87"/>
      <c r="H1526" s="87"/>
      <c r="I1526" s="87"/>
      <c r="J1526" s="87"/>
      <c r="K1526" s="87"/>
      <c r="L1526" s="87"/>
      <c r="M1526" s="87"/>
      <c r="N1526" s="87">
        <f t="shared" si="92"/>
        <v>0</v>
      </c>
      <c r="O1526" s="87">
        <f t="shared" si="93"/>
        <v>0</v>
      </c>
      <c r="P1526" s="87" t="b">
        <f t="shared" si="94"/>
        <v>0</v>
      </c>
      <c r="Q1526" s="87" t="b">
        <f>(Requirements!K1528="Normative")</f>
        <v>0</v>
      </c>
      <c r="R1526" s="87" t="b">
        <f>AND(Requirements!L1528&lt;&gt;"Non-testable",Requirements!L1528&lt;&gt;"Deleted",Requirements!L1528&lt;&gt;"")</f>
        <v>1</v>
      </c>
      <c r="S1526" s="87" t="b">
        <f>(VLOOKUP(Requirements!I1528,Scope[[Role]:[Description]],2,FALSE)="In")</f>
        <v>1</v>
      </c>
      <c r="T1526" s="87">
        <f t="shared" si="95"/>
        <v>0</v>
      </c>
    </row>
    <row r="1527" spans="1:20">
      <c r="A1527" s="84" t="str">
        <f>Requirements!A1529</f>
        <v>MS-SMB_R30032</v>
      </c>
      <c r="B1527" s="87">
        <v>1</v>
      </c>
      <c r="C1527" s="87"/>
      <c r="D1527" s="87"/>
      <c r="E1527" s="87"/>
      <c r="F1527" s="87"/>
      <c r="G1527" s="87"/>
      <c r="H1527" s="87"/>
      <c r="I1527" s="87"/>
      <c r="J1527" s="87"/>
      <c r="K1527" s="87"/>
      <c r="L1527" s="87"/>
      <c r="M1527" s="87"/>
      <c r="N1527" s="87">
        <f t="shared" si="92"/>
        <v>1</v>
      </c>
      <c r="O1527" s="60">
        <f t="shared" si="93"/>
        <v>1</v>
      </c>
      <c r="P1527" s="60" t="b">
        <f t="shared" si="94"/>
        <v>1</v>
      </c>
      <c r="Q1527" s="87" t="b">
        <f>(Requirements!K1529="Normative")</f>
        <v>1</v>
      </c>
      <c r="R1527" s="87" t="b">
        <f>AND(Requirements!L1529&lt;&gt;"Non-testable",Requirements!L1529&lt;&gt;"Deleted",Requirements!L1529&lt;&gt;"")</f>
        <v>1</v>
      </c>
      <c r="S1527" s="87" t="b">
        <f>(VLOOKUP(Requirements!I1529,Scope[[Role]:[Description]],2,FALSE)="In")</f>
        <v>1</v>
      </c>
      <c r="T1527" s="87">
        <f t="shared" si="95"/>
        <v>1</v>
      </c>
    </row>
    <row r="1528" spans="1:20">
      <c r="A1528" s="44" t="str">
        <f>Requirements!A1530</f>
        <v>MS-SMB_R30026</v>
      </c>
      <c r="B1528" s="87"/>
      <c r="C1528" s="87"/>
      <c r="D1528" s="87"/>
      <c r="E1528" s="87"/>
      <c r="F1528" s="87"/>
      <c r="G1528" s="87"/>
      <c r="H1528" s="87"/>
      <c r="I1528" s="87"/>
      <c r="J1528" s="87"/>
      <c r="K1528" s="87"/>
      <c r="L1528" s="87"/>
      <c r="M1528" s="87"/>
      <c r="N1528" s="87">
        <f t="shared" si="92"/>
        <v>0</v>
      </c>
      <c r="O1528" s="87">
        <f t="shared" si="93"/>
        <v>0</v>
      </c>
      <c r="P1528" s="87" t="b">
        <f t="shared" si="94"/>
        <v>0</v>
      </c>
      <c r="Q1528" s="87" t="b">
        <f>(Requirements!K1530="Normative")</f>
        <v>0</v>
      </c>
      <c r="R1528" s="87" t="b">
        <f>AND(Requirements!L1530&lt;&gt;"Non-testable",Requirements!L1530&lt;&gt;"Deleted",Requirements!L1530&lt;&gt;"")</f>
        <v>1</v>
      </c>
      <c r="S1528" s="87" t="b">
        <f>(VLOOKUP(Requirements!I1530,Scope[[Role]:[Description]],2,FALSE)="In")</f>
        <v>1</v>
      </c>
      <c r="T1528" s="87">
        <f t="shared" si="95"/>
        <v>0</v>
      </c>
    </row>
    <row r="1529" spans="1:20">
      <c r="A1529" s="44" t="str">
        <f>Requirements!A1531</f>
        <v>MS-SMB_R4964</v>
      </c>
      <c r="B1529" s="87"/>
      <c r="C1529" s="87"/>
      <c r="D1529" s="87"/>
      <c r="E1529" s="87"/>
      <c r="F1529" s="87"/>
      <c r="G1529" s="87"/>
      <c r="H1529" s="87"/>
      <c r="I1529" s="87"/>
      <c r="J1529" s="87"/>
      <c r="K1529" s="87"/>
      <c r="L1529" s="87"/>
      <c r="M1529" s="87"/>
      <c r="N1529" s="87">
        <f t="shared" si="92"/>
        <v>0</v>
      </c>
      <c r="O1529" s="87">
        <f t="shared" si="93"/>
        <v>0</v>
      </c>
      <c r="P1529" s="87" t="b">
        <f t="shared" si="94"/>
        <v>0</v>
      </c>
      <c r="Q1529" s="87" t="b">
        <f>(Requirements!K1531="Normative")</f>
        <v>0</v>
      </c>
      <c r="R1529" s="87" t="b">
        <f>AND(Requirements!L1531&lt;&gt;"Non-testable",Requirements!L1531&lt;&gt;"Deleted",Requirements!L1531&lt;&gt;"")</f>
        <v>1</v>
      </c>
      <c r="S1529" s="87" t="b">
        <f>(VLOOKUP(Requirements!I1531,Scope[[Role]:[Description]],2,FALSE)="In")</f>
        <v>1</v>
      </c>
      <c r="T1529" s="87">
        <f t="shared" si="95"/>
        <v>0</v>
      </c>
    </row>
    <row r="1530" spans="1:20">
      <c r="A1530" s="85" t="str">
        <f>Requirements!A1532</f>
        <v>MS-SMB_R4965</v>
      </c>
      <c r="B1530" s="87"/>
      <c r="C1530" s="87"/>
      <c r="D1530" s="87"/>
      <c r="E1530" s="87"/>
      <c r="F1530" s="87"/>
      <c r="G1530" s="87"/>
      <c r="H1530" s="87"/>
      <c r="I1530" s="87"/>
      <c r="J1530" s="87"/>
      <c r="K1530" s="87"/>
      <c r="L1530" s="87"/>
      <c r="M1530" s="87"/>
      <c r="N1530" s="87">
        <f t="shared" si="92"/>
        <v>0</v>
      </c>
      <c r="O1530" s="61">
        <f t="shared" si="93"/>
        <v>0</v>
      </c>
      <c r="P1530" s="61" t="b">
        <f t="shared" si="94"/>
        <v>1</v>
      </c>
      <c r="Q1530" s="87" t="b">
        <f>(Requirements!K1532="Normative")</f>
        <v>1</v>
      </c>
      <c r="R1530" s="87" t="b">
        <f>AND(Requirements!L1532&lt;&gt;"Non-testable",Requirements!L1532&lt;&gt;"Deleted",Requirements!L1532&lt;&gt;"")</f>
        <v>1</v>
      </c>
      <c r="S1530" s="87" t="b">
        <f>(VLOOKUP(Requirements!I1532,Scope[[Role]:[Description]],2,FALSE)="In")</f>
        <v>1</v>
      </c>
      <c r="T1530" s="87">
        <f t="shared" si="95"/>
        <v>0</v>
      </c>
    </row>
    <row r="1531" spans="1:20">
      <c r="A1531" s="44" t="str">
        <f>Requirements!A1533</f>
        <v>MS-SMB_R30027</v>
      </c>
      <c r="B1531" s="87"/>
      <c r="C1531" s="87"/>
      <c r="D1531" s="87"/>
      <c r="E1531" s="87"/>
      <c r="F1531" s="87"/>
      <c r="G1531" s="87"/>
      <c r="H1531" s="87"/>
      <c r="I1531" s="87"/>
      <c r="J1531" s="87"/>
      <c r="K1531" s="87"/>
      <c r="L1531" s="87"/>
      <c r="M1531" s="87"/>
      <c r="N1531" s="87">
        <f t="shared" si="92"/>
        <v>0</v>
      </c>
      <c r="O1531" s="87">
        <f t="shared" si="93"/>
        <v>0</v>
      </c>
      <c r="P1531" s="87" t="b">
        <f t="shared" si="94"/>
        <v>0</v>
      </c>
      <c r="Q1531" s="87" t="b">
        <f>(Requirements!K1533="Normative")</f>
        <v>0</v>
      </c>
      <c r="R1531" s="87" t="b">
        <f>AND(Requirements!L1533&lt;&gt;"Non-testable",Requirements!L1533&lt;&gt;"Deleted",Requirements!L1533&lt;&gt;"")</f>
        <v>1</v>
      </c>
      <c r="S1531" s="87" t="b">
        <f>(VLOOKUP(Requirements!I1533,Scope[[Role]:[Description]],2,FALSE)="In")</f>
        <v>1</v>
      </c>
      <c r="T1531" s="87">
        <f t="shared" si="95"/>
        <v>0</v>
      </c>
    </row>
    <row r="1532" spans="1:20">
      <c r="A1532" s="44" t="str">
        <f>Requirements!A1534</f>
        <v>MS-SMB_R30024</v>
      </c>
      <c r="B1532" s="87"/>
      <c r="C1532" s="87"/>
      <c r="D1532" s="87"/>
      <c r="E1532" s="87"/>
      <c r="F1532" s="87"/>
      <c r="G1532" s="87"/>
      <c r="H1532" s="87"/>
      <c r="I1532" s="87"/>
      <c r="J1532" s="87"/>
      <c r="K1532" s="87"/>
      <c r="L1532" s="87"/>
      <c r="M1532" s="87"/>
      <c r="N1532" s="87">
        <f t="shared" si="92"/>
        <v>0</v>
      </c>
      <c r="O1532" s="87">
        <f t="shared" si="93"/>
        <v>0</v>
      </c>
      <c r="P1532" s="87" t="b">
        <f t="shared" si="94"/>
        <v>0</v>
      </c>
      <c r="Q1532" s="87" t="b">
        <f>(Requirements!K1534="Normative")</f>
        <v>0</v>
      </c>
      <c r="R1532" s="87" t="b">
        <f>AND(Requirements!L1534&lt;&gt;"Non-testable",Requirements!L1534&lt;&gt;"Deleted",Requirements!L1534&lt;&gt;"")</f>
        <v>1</v>
      </c>
      <c r="S1532" s="87" t="b">
        <f>(VLOOKUP(Requirements!I1534,Scope[[Role]:[Description]],2,FALSE)="In")</f>
        <v>1</v>
      </c>
      <c r="T1532" s="87">
        <f t="shared" si="95"/>
        <v>0</v>
      </c>
    </row>
    <row r="1533" spans="1:20">
      <c r="A1533" s="44" t="str">
        <f>Requirements!A1535</f>
        <v>MS-SMB_R30025</v>
      </c>
      <c r="B1533" s="87"/>
      <c r="C1533" s="87"/>
      <c r="D1533" s="87"/>
      <c r="E1533" s="87"/>
      <c r="F1533" s="87"/>
      <c r="G1533" s="87"/>
      <c r="H1533" s="87"/>
      <c r="I1533" s="87"/>
      <c r="J1533" s="87"/>
      <c r="K1533" s="87"/>
      <c r="L1533" s="87"/>
      <c r="M1533" s="87"/>
      <c r="N1533" s="87">
        <f t="shared" si="92"/>
        <v>0</v>
      </c>
      <c r="O1533" s="87">
        <f t="shared" si="93"/>
        <v>0</v>
      </c>
      <c r="P1533" s="87" t="b">
        <f t="shared" si="94"/>
        <v>0</v>
      </c>
      <c r="Q1533" s="87" t="b">
        <f>(Requirements!K1535="Normative")</f>
        <v>0</v>
      </c>
      <c r="R1533" s="87" t="b">
        <f>AND(Requirements!L1535&lt;&gt;"Non-testable",Requirements!L1535&lt;&gt;"Deleted",Requirements!L1535&lt;&gt;"")</f>
        <v>1</v>
      </c>
      <c r="S1533" s="87" t="b">
        <f>(VLOOKUP(Requirements!I1535,Scope[[Role]:[Description]],2,FALSE)="In")</f>
        <v>1</v>
      </c>
      <c r="T1533" s="87">
        <f t="shared" si="95"/>
        <v>0</v>
      </c>
    </row>
    <row r="1534" spans="1:20">
      <c r="A1534" s="44" t="str">
        <f>Requirements!A1536</f>
        <v>MS-SMB_R4976</v>
      </c>
      <c r="B1534" s="87"/>
      <c r="C1534" s="87"/>
      <c r="D1534" s="87"/>
      <c r="E1534" s="87"/>
      <c r="F1534" s="87"/>
      <c r="G1534" s="87"/>
      <c r="H1534" s="87"/>
      <c r="I1534" s="87"/>
      <c r="J1534" s="87"/>
      <c r="K1534" s="87"/>
      <c r="L1534" s="87"/>
      <c r="M1534" s="87"/>
      <c r="N1534" s="87">
        <f t="shared" si="92"/>
        <v>0</v>
      </c>
      <c r="O1534" s="87">
        <f t="shared" si="93"/>
        <v>0</v>
      </c>
      <c r="P1534" s="87" t="b">
        <f t="shared" si="94"/>
        <v>0</v>
      </c>
      <c r="Q1534" s="87" t="b">
        <f>(Requirements!K1536="Normative")</f>
        <v>0</v>
      </c>
      <c r="R1534" s="87" t="b">
        <f>AND(Requirements!L1536&lt;&gt;"Non-testable",Requirements!L1536&lt;&gt;"Deleted",Requirements!L1536&lt;&gt;"")</f>
        <v>1</v>
      </c>
      <c r="S1534" s="87" t="b">
        <f>(VLOOKUP(Requirements!I1536,Scope[[Role]:[Description]],2,FALSE)="In")</f>
        <v>1</v>
      </c>
      <c r="T1534" s="87">
        <f t="shared" si="95"/>
        <v>0</v>
      </c>
    </row>
    <row r="1535" spans="1:20">
      <c r="A1535" s="84" t="str">
        <f>Requirements!A1537</f>
        <v>MS-SMB_R2436</v>
      </c>
      <c r="B1535" s="87"/>
      <c r="C1535" s="87"/>
      <c r="D1535" s="87"/>
      <c r="E1535" s="87">
        <v>1</v>
      </c>
      <c r="F1535" s="87"/>
      <c r="G1535" s="87"/>
      <c r="H1535" s="87">
        <v>1</v>
      </c>
      <c r="I1535" s="87"/>
      <c r="J1535" s="87"/>
      <c r="K1535" s="87"/>
      <c r="L1535" s="87"/>
      <c r="M1535" s="87"/>
      <c r="N1535" s="87">
        <f t="shared" si="92"/>
        <v>2</v>
      </c>
      <c r="O1535" s="60">
        <f t="shared" si="93"/>
        <v>1</v>
      </c>
      <c r="P1535" s="60" t="b">
        <f t="shared" si="94"/>
        <v>1</v>
      </c>
      <c r="Q1535" s="87" t="b">
        <f>(Requirements!K1537="Normative")</f>
        <v>1</v>
      </c>
      <c r="R1535" s="87" t="b">
        <f>AND(Requirements!L1537&lt;&gt;"Non-testable",Requirements!L1537&lt;&gt;"Deleted",Requirements!L1537&lt;&gt;"")</f>
        <v>1</v>
      </c>
      <c r="S1535" s="87" t="b">
        <f>(VLOOKUP(Requirements!I1537,Scope[[Role]:[Description]],2,FALSE)="In")</f>
        <v>1</v>
      </c>
      <c r="T1535" s="87">
        <f t="shared" si="95"/>
        <v>1</v>
      </c>
    </row>
    <row r="1536" spans="1:20">
      <c r="A1536" s="84" t="str">
        <f>Requirements!A1538</f>
        <v>MS-SMB_R2437</v>
      </c>
      <c r="B1536" s="87"/>
      <c r="C1536" s="87"/>
      <c r="D1536" s="87"/>
      <c r="E1536" s="87">
        <v>1</v>
      </c>
      <c r="F1536" s="87"/>
      <c r="G1536" s="87"/>
      <c r="H1536" s="87">
        <v>1</v>
      </c>
      <c r="I1536" s="87"/>
      <c r="J1536" s="87"/>
      <c r="K1536" s="87"/>
      <c r="L1536" s="87"/>
      <c r="M1536" s="87"/>
      <c r="N1536" s="87">
        <f t="shared" si="92"/>
        <v>2</v>
      </c>
      <c r="O1536" s="60">
        <f t="shared" si="93"/>
        <v>1</v>
      </c>
      <c r="P1536" s="60" t="b">
        <f t="shared" si="94"/>
        <v>1</v>
      </c>
      <c r="Q1536" s="87" t="b">
        <f>(Requirements!K1538="Normative")</f>
        <v>1</v>
      </c>
      <c r="R1536" s="87" t="b">
        <f>AND(Requirements!L1538&lt;&gt;"Non-testable",Requirements!L1538&lt;&gt;"Deleted",Requirements!L1538&lt;&gt;"")</f>
        <v>1</v>
      </c>
      <c r="S1536" s="87" t="b">
        <f>(VLOOKUP(Requirements!I1538,Scope[[Role]:[Description]],2,FALSE)="In")</f>
        <v>1</v>
      </c>
      <c r="T1536" s="87">
        <f t="shared" si="95"/>
        <v>1</v>
      </c>
    </row>
    <row r="1537" spans="1:60">
      <c r="A1537" s="84" t="str">
        <f>Requirements!A1539</f>
        <v>MS-SMB_R4980</v>
      </c>
      <c r="B1537" s="87"/>
      <c r="C1537" s="87"/>
      <c r="D1537" s="87"/>
      <c r="E1537" s="87">
        <v>1</v>
      </c>
      <c r="F1537" s="87"/>
      <c r="G1537" s="87"/>
      <c r="H1537" s="87">
        <v>1</v>
      </c>
      <c r="I1537" s="87"/>
      <c r="J1537" s="87"/>
      <c r="K1537" s="87"/>
      <c r="L1537" s="87"/>
      <c r="M1537" s="87"/>
      <c r="N1537" s="87">
        <f t="shared" si="92"/>
        <v>2</v>
      </c>
      <c r="O1537" s="60">
        <f t="shared" si="93"/>
        <v>1</v>
      </c>
      <c r="P1537" s="60" t="b">
        <f t="shared" si="94"/>
        <v>1</v>
      </c>
      <c r="Q1537" s="87" t="b">
        <f>(Requirements!K1539="Normative")</f>
        <v>1</v>
      </c>
      <c r="R1537" s="87" t="b">
        <f>AND(Requirements!L1539&lt;&gt;"Non-testable",Requirements!L1539&lt;&gt;"Deleted",Requirements!L1539&lt;&gt;"")</f>
        <v>1</v>
      </c>
      <c r="S1537" s="87" t="b">
        <f>(VLOOKUP(Requirements!I1539,Scope[[Role]:[Description]],2,FALSE)="In")</f>
        <v>1</v>
      </c>
      <c r="T1537" s="87">
        <f t="shared" si="95"/>
        <v>1</v>
      </c>
    </row>
    <row r="1538" spans="1:60">
      <c r="A1538" s="84" t="str">
        <f>Requirements!A1540</f>
        <v>MS-SMB_R4981</v>
      </c>
      <c r="B1538" s="87"/>
      <c r="C1538" s="87"/>
      <c r="D1538" s="87"/>
      <c r="E1538" s="87">
        <v>1</v>
      </c>
      <c r="F1538" s="87"/>
      <c r="G1538" s="87"/>
      <c r="H1538" s="87">
        <v>1</v>
      </c>
      <c r="I1538" s="87"/>
      <c r="J1538" s="87"/>
      <c r="K1538" s="87"/>
      <c r="L1538" s="87"/>
      <c r="M1538" s="87"/>
      <c r="N1538" s="87">
        <f t="shared" si="92"/>
        <v>2</v>
      </c>
      <c r="O1538" s="60">
        <f t="shared" si="93"/>
        <v>1</v>
      </c>
      <c r="P1538" s="60" t="b">
        <f t="shared" si="94"/>
        <v>1</v>
      </c>
      <c r="Q1538" s="87" t="b">
        <f>(Requirements!K1540="Normative")</f>
        <v>1</v>
      </c>
      <c r="R1538" s="87" t="b">
        <f>AND(Requirements!L1540&lt;&gt;"Non-testable",Requirements!L1540&lt;&gt;"Deleted",Requirements!L1540&lt;&gt;"")</f>
        <v>1</v>
      </c>
      <c r="S1538" s="87" t="b">
        <f>(VLOOKUP(Requirements!I1540,Scope[[Role]:[Description]],2,FALSE)="In")</f>
        <v>1</v>
      </c>
      <c r="T1538" s="87">
        <f t="shared" si="95"/>
        <v>1</v>
      </c>
    </row>
    <row r="1539" spans="1:60">
      <c r="A1539" s="84" t="str">
        <f>Requirements!A1541</f>
        <v>MS-SMB_R4982</v>
      </c>
      <c r="B1539" s="87"/>
      <c r="C1539" s="87"/>
      <c r="D1539" s="87"/>
      <c r="E1539" s="87">
        <v>1</v>
      </c>
      <c r="F1539" s="87"/>
      <c r="G1539" s="87"/>
      <c r="H1539" s="87">
        <v>1</v>
      </c>
      <c r="I1539" s="87"/>
      <c r="J1539" s="87"/>
      <c r="K1539" s="87"/>
      <c r="L1539" s="87"/>
      <c r="M1539" s="87"/>
      <c r="N1539" s="87">
        <f t="shared" si="92"/>
        <v>2</v>
      </c>
      <c r="O1539" s="60">
        <f t="shared" si="93"/>
        <v>1</v>
      </c>
      <c r="P1539" s="60" t="b">
        <f t="shared" si="94"/>
        <v>1</v>
      </c>
      <c r="Q1539" s="87" t="b">
        <f>(Requirements!K1541="Normative")</f>
        <v>1</v>
      </c>
      <c r="R1539" s="87" t="b">
        <f>AND(Requirements!L1541&lt;&gt;"Non-testable",Requirements!L1541&lt;&gt;"Deleted",Requirements!L1541&lt;&gt;"")</f>
        <v>1</v>
      </c>
      <c r="S1539" s="87" t="b">
        <f>(VLOOKUP(Requirements!I1541,Scope[[Role]:[Description]],2,FALSE)="In")</f>
        <v>1</v>
      </c>
      <c r="T1539" s="87">
        <f t="shared" si="95"/>
        <v>1</v>
      </c>
    </row>
    <row r="1540" spans="1:60">
      <c r="A1540" s="84" t="str">
        <f>Requirements!A1542</f>
        <v>MS-SMB_R2439</v>
      </c>
      <c r="B1540" s="87"/>
      <c r="C1540" s="87"/>
      <c r="D1540" s="87"/>
      <c r="E1540" s="87">
        <v>1</v>
      </c>
      <c r="F1540" s="87"/>
      <c r="G1540" s="87"/>
      <c r="H1540" s="87">
        <v>1</v>
      </c>
      <c r="I1540" s="87"/>
      <c r="J1540" s="87"/>
      <c r="K1540" s="87"/>
      <c r="L1540" s="87"/>
      <c r="M1540" s="87"/>
      <c r="N1540" s="87">
        <f t="shared" si="92"/>
        <v>2</v>
      </c>
      <c r="O1540" s="60">
        <f t="shared" si="93"/>
        <v>1</v>
      </c>
      <c r="P1540" s="60" t="b">
        <f t="shared" si="94"/>
        <v>1</v>
      </c>
      <c r="Q1540" s="87" t="b">
        <f>(Requirements!K1542="Normative")</f>
        <v>1</v>
      </c>
      <c r="R1540" s="87" t="b">
        <f>AND(Requirements!L1542&lt;&gt;"Non-testable",Requirements!L1542&lt;&gt;"Deleted",Requirements!L1542&lt;&gt;"")</f>
        <v>1</v>
      </c>
      <c r="S1540" s="87" t="b">
        <f>(VLOOKUP(Requirements!I1542,Scope[[Role]:[Description]],2,FALSE)="In")</f>
        <v>1</v>
      </c>
      <c r="T1540" s="87">
        <f t="shared" si="95"/>
        <v>1</v>
      </c>
    </row>
    <row r="1541" spans="1:60">
      <c r="A1541" s="85" t="str">
        <f>Requirements!A1543</f>
        <v>MS-SMB_R4984</v>
      </c>
      <c r="B1541" s="87"/>
      <c r="C1541" s="87"/>
      <c r="D1541" s="87"/>
      <c r="E1541" s="87"/>
      <c r="F1541" s="87"/>
      <c r="G1541" s="87"/>
      <c r="H1541" s="87"/>
      <c r="I1541" s="87"/>
      <c r="J1541" s="87"/>
      <c r="K1541" s="87"/>
      <c r="L1541" s="87"/>
      <c r="M1541" s="87"/>
      <c r="N1541" s="87">
        <f t="shared" si="92"/>
        <v>0</v>
      </c>
      <c r="O1541" s="61">
        <f t="shared" si="93"/>
        <v>0</v>
      </c>
      <c r="P1541" s="61" t="b">
        <f t="shared" si="94"/>
        <v>1</v>
      </c>
      <c r="Q1541" s="87" t="b">
        <f>(Requirements!K1543="Normative")</f>
        <v>1</v>
      </c>
      <c r="R1541" s="87" t="b">
        <f>AND(Requirements!L1543&lt;&gt;"Non-testable",Requirements!L1543&lt;&gt;"Deleted",Requirements!L1543&lt;&gt;"")</f>
        <v>1</v>
      </c>
      <c r="S1541" s="87" t="b">
        <f>(VLOOKUP(Requirements!I1543,Scope[[Role]:[Description]],2,FALSE)="In")</f>
        <v>1</v>
      </c>
      <c r="T1541" s="87">
        <f t="shared" si="95"/>
        <v>0</v>
      </c>
    </row>
    <row r="1542" spans="1:60">
      <c r="A1542" s="83" t="str">
        <f>Requirements!A1544</f>
        <v>MS-SMB_R4985</v>
      </c>
      <c r="B1542" s="46"/>
      <c r="C1542" s="46"/>
      <c r="D1542" s="46"/>
      <c r="E1542" s="46"/>
      <c r="F1542" s="46"/>
      <c r="G1542" s="46"/>
      <c r="H1542" s="46"/>
      <c r="I1542" s="46"/>
      <c r="J1542" s="46"/>
      <c r="K1542" s="46"/>
      <c r="L1542" s="46"/>
      <c r="M1542" s="46"/>
      <c r="N1542" s="46">
        <f t="shared" si="92"/>
        <v>0</v>
      </c>
      <c r="O1542" s="46">
        <f t="shared" si="93"/>
        <v>0</v>
      </c>
      <c r="P1542" s="46" t="b">
        <f t="shared" si="94"/>
        <v>0</v>
      </c>
      <c r="Q1542" s="46" t="b">
        <f>(Requirements!K1544="Normative")</f>
        <v>0</v>
      </c>
      <c r="R1542" s="46" t="b">
        <f>AND(Requirements!L1544&lt;&gt;"Non-testable",Requirements!L1544&lt;&gt;"Deleted",Requirements!L1544&lt;&gt;"")</f>
        <v>0</v>
      </c>
      <c r="S1542" s="46" t="b">
        <f>(VLOOKUP(Requirements!I1544,Scope[[Role]:[Description]],2,FALSE)="In")</f>
        <v>1</v>
      </c>
      <c r="T1542" s="46">
        <f t="shared" si="95"/>
        <v>0</v>
      </c>
      <c r="U1542" s="45"/>
      <c r="V1542" s="45"/>
      <c r="W1542" s="45"/>
      <c r="X1542" s="45"/>
      <c r="Y1542" s="45"/>
      <c r="Z1542" s="45"/>
      <c r="AA1542" s="45"/>
      <c r="AB1542" s="45"/>
      <c r="AC1542" s="45"/>
      <c r="AD1542" s="45"/>
      <c r="AE1542" s="45"/>
      <c r="AF1542" s="45"/>
      <c r="AG1542" s="45"/>
      <c r="AH1542" s="45"/>
      <c r="AI1542" s="45"/>
      <c r="AJ1542" s="45"/>
      <c r="AK1542" s="45"/>
      <c r="AL1542" s="45"/>
      <c r="AM1542" s="45"/>
      <c r="AN1542" s="45"/>
      <c r="AO1542" s="45"/>
      <c r="AP1542" s="45"/>
      <c r="AQ1542" s="45"/>
      <c r="AR1542" s="45"/>
      <c r="AS1542" s="45"/>
      <c r="AT1542" s="45"/>
      <c r="AU1542" s="45"/>
      <c r="AV1542" s="45"/>
      <c r="AW1542" s="45"/>
      <c r="AX1542" s="45"/>
      <c r="AY1542" s="45"/>
      <c r="AZ1542" s="45"/>
      <c r="BA1542" s="45"/>
      <c r="BB1542" s="45"/>
      <c r="BC1542" s="45"/>
      <c r="BD1542" s="45"/>
      <c r="BE1542" s="45"/>
      <c r="BF1542" s="45"/>
      <c r="BG1542" s="45"/>
      <c r="BH1542" s="45"/>
    </row>
    <row r="1543" spans="1:60">
      <c r="A1543" s="44" t="str">
        <f>Requirements!A1545</f>
        <v>MS-SMB_R4987</v>
      </c>
      <c r="B1543" s="87"/>
      <c r="C1543" s="87"/>
      <c r="D1543" s="87"/>
      <c r="E1543" s="87"/>
      <c r="F1543" s="87"/>
      <c r="G1543" s="87"/>
      <c r="H1543" s="87"/>
      <c r="I1543" s="87"/>
      <c r="J1543" s="87"/>
      <c r="K1543" s="87"/>
      <c r="L1543" s="87"/>
      <c r="M1543" s="87"/>
      <c r="N1543" s="87">
        <f t="shared" si="92"/>
        <v>0</v>
      </c>
      <c r="O1543" s="87">
        <f t="shared" si="93"/>
        <v>0</v>
      </c>
      <c r="P1543" s="87" t="b">
        <f t="shared" si="94"/>
        <v>0</v>
      </c>
      <c r="Q1543" s="87" t="b">
        <f>(Requirements!K1545="Normative")</f>
        <v>0</v>
      </c>
      <c r="R1543" s="87" t="b">
        <f>AND(Requirements!L1545&lt;&gt;"Non-testable",Requirements!L1545&lt;&gt;"Deleted",Requirements!L1545&lt;&gt;"")</f>
        <v>1</v>
      </c>
      <c r="S1543" s="87" t="b">
        <f>(VLOOKUP(Requirements!I1545,Scope[[Role]:[Description]],2,FALSE)="In")</f>
        <v>1</v>
      </c>
      <c r="T1543" s="87">
        <f t="shared" si="95"/>
        <v>0</v>
      </c>
    </row>
    <row r="1544" spans="1:60">
      <c r="A1544" s="84" t="str">
        <f>Requirements!A1546</f>
        <v>MS-SMB_R4988</v>
      </c>
      <c r="B1544" s="87"/>
      <c r="C1544" s="87"/>
      <c r="D1544" s="87"/>
      <c r="E1544" s="87">
        <v>1</v>
      </c>
      <c r="F1544" s="87"/>
      <c r="G1544" s="87"/>
      <c r="H1544" s="87">
        <v>1</v>
      </c>
      <c r="I1544" s="87"/>
      <c r="J1544" s="87"/>
      <c r="K1544" s="87"/>
      <c r="L1544" s="87"/>
      <c r="M1544" s="87"/>
      <c r="N1544" s="87">
        <f t="shared" si="92"/>
        <v>2</v>
      </c>
      <c r="O1544" s="60">
        <f t="shared" si="93"/>
        <v>1</v>
      </c>
      <c r="P1544" s="60" t="b">
        <f t="shared" si="94"/>
        <v>1</v>
      </c>
      <c r="Q1544" s="87" t="b">
        <f>(Requirements!K1546="Normative")</f>
        <v>1</v>
      </c>
      <c r="R1544" s="87" t="b">
        <f>AND(Requirements!L1546&lt;&gt;"Non-testable",Requirements!L1546&lt;&gt;"Deleted",Requirements!L1546&lt;&gt;"")</f>
        <v>1</v>
      </c>
      <c r="S1544" s="87" t="b">
        <f>(VLOOKUP(Requirements!I1546,Scope[[Role]:[Description]],2,FALSE)="In")</f>
        <v>1</v>
      </c>
      <c r="T1544" s="87">
        <f t="shared" si="95"/>
        <v>1</v>
      </c>
    </row>
    <row r="1545" spans="1:60">
      <c r="A1545" s="84" t="str">
        <f>Requirements!A1547</f>
        <v>MS-SMB_R30022</v>
      </c>
      <c r="B1545" s="87"/>
      <c r="C1545" s="87"/>
      <c r="D1545" s="87"/>
      <c r="E1545" s="87">
        <v>1</v>
      </c>
      <c r="F1545" s="87"/>
      <c r="G1545" s="87"/>
      <c r="H1545" s="87">
        <v>1</v>
      </c>
      <c r="I1545" s="87"/>
      <c r="J1545" s="87"/>
      <c r="K1545" s="87"/>
      <c r="L1545" s="87"/>
      <c r="M1545" s="87"/>
      <c r="N1545" s="87">
        <f t="shared" si="92"/>
        <v>2</v>
      </c>
      <c r="O1545" s="60">
        <f t="shared" si="93"/>
        <v>1</v>
      </c>
      <c r="P1545" s="60" t="b">
        <f t="shared" si="94"/>
        <v>1</v>
      </c>
      <c r="Q1545" s="87" t="b">
        <f>(Requirements!K1547="Normative")</f>
        <v>1</v>
      </c>
      <c r="R1545" s="87" t="b">
        <f>AND(Requirements!L1547&lt;&gt;"Non-testable",Requirements!L1547&lt;&gt;"Deleted",Requirements!L1547&lt;&gt;"")</f>
        <v>1</v>
      </c>
      <c r="S1545" s="87" t="b">
        <f>(VLOOKUP(Requirements!I1547,Scope[[Role]:[Description]],2,FALSE)="In")</f>
        <v>1</v>
      </c>
      <c r="T1545" s="87">
        <f t="shared" si="95"/>
        <v>1</v>
      </c>
    </row>
    <row r="1546" spans="1:60">
      <c r="A1546" s="84" t="str">
        <f>Requirements!A1548</f>
        <v>MS-SMB_R30023</v>
      </c>
      <c r="B1546" s="87"/>
      <c r="C1546" s="87"/>
      <c r="D1546" s="87"/>
      <c r="E1546" s="87">
        <v>1</v>
      </c>
      <c r="F1546" s="87"/>
      <c r="G1546" s="87"/>
      <c r="H1546" s="87">
        <v>1</v>
      </c>
      <c r="I1546" s="87"/>
      <c r="J1546" s="87"/>
      <c r="K1546" s="87"/>
      <c r="L1546" s="87"/>
      <c r="M1546" s="87"/>
      <c r="N1546" s="87">
        <f t="shared" si="92"/>
        <v>2</v>
      </c>
      <c r="O1546" s="60">
        <f t="shared" si="93"/>
        <v>1</v>
      </c>
      <c r="P1546" s="60" t="b">
        <f t="shared" si="94"/>
        <v>1</v>
      </c>
      <c r="Q1546" s="87" t="b">
        <f>(Requirements!K1548="Normative")</f>
        <v>1</v>
      </c>
      <c r="R1546" s="87" t="b">
        <f>AND(Requirements!L1548&lt;&gt;"Non-testable",Requirements!L1548&lt;&gt;"Deleted",Requirements!L1548&lt;&gt;"")</f>
        <v>1</v>
      </c>
      <c r="S1546" s="87" t="b">
        <f>(VLOOKUP(Requirements!I1548,Scope[[Role]:[Description]],2,FALSE)="In")</f>
        <v>1</v>
      </c>
      <c r="T1546" s="87">
        <f t="shared" si="95"/>
        <v>1</v>
      </c>
    </row>
    <row r="1547" spans="1:60">
      <c r="A1547" s="44" t="str">
        <f>Requirements!A1549</f>
        <v>MS-SMB_R4992</v>
      </c>
      <c r="B1547" s="87"/>
      <c r="C1547" s="87"/>
      <c r="D1547" s="87"/>
      <c r="E1547" s="87"/>
      <c r="F1547" s="87"/>
      <c r="G1547" s="87"/>
      <c r="H1547" s="87"/>
      <c r="I1547" s="87"/>
      <c r="J1547" s="87"/>
      <c r="K1547" s="87"/>
      <c r="L1547" s="87"/>
      <c r="M1547" s="87"/>
      <c r="N1547" s="87">
        <f t="shared" si="92"/>
        <v>0</v>
      </c>
      <c r="O1547" s="87">
        <f t="shared" si="93"/>
        <v>0</v>
      </c>
      <c r="P1547" s="87" t="b">
        <f t="shared" si="94"/>
        <v>0</v>
      </c>
      <c r="Q1547" s="87" t="b">
        <f>(Requirements!K1549="Normative")</f>
        <v>0</v>
      </c>
      <c r="R1547" s="87" t="b">
        <f>AND(Requirements!L1549&lt;&gt;"Non-testable",Requirements!L1549&lt;&gt;"Deleted",Requirements!L1549&lt;&gt;"")</f>
        <v>1</v>
      </c>
      <c r="S1547" s="87" t="b">
        <f>(VLOOKUP(Requirements!I1549,Scope[[Role]:[Description]],2,FALSE)="In")</f>
        <v>1</v>
      </c>
      <c r="T1547" s="87">
        <f t="shared" si="95"/>
        <v>0</v>
      </c>
    </row>
    <row r="1548" spans="1:60">
      <c r="A1548" s="44" t="str">
        <f>Requirements!A1550</f>
        <v>MS-SMB_R2444</v>
      </c>
      <c r="B1548" s="87"/>
      <c r="C1548" s="87"/>
      <c r="D1548" s="87"/>
      <c r="E1548" s="87"/>
      <c r="F1548" s="87"/>
      <c r="G1548" s="87"/>
      <c r="H1548" s="87"/>
      <c r="I1548" s="87"/>
      <c r="J1548" s="87"/>
      <c r="K1548" s="87"/>
      <c r="L1548" s="87"/>
      <c r="M1548" s="87"/>
      <c r="N1548" s="87">
        <f t="shared" si="92"/>
        <v>0</v>
      </c>
      <c r="O1548" s="87">
        <f t="shared" si="93"/>
        <v>0</v>
      </c>
      <c r="P1548" s="87" t="b">
        <f t="shared" si="94"/>
        <v>0</v>
      </c>
      <c r="Q1548" s="87" t="b">
        <f>(Requirements!K1550="Normative")</f>
        <v>1</v>
      </c>
      <c r="R1548" s="87" t="b">
        <f>AND(Requirements!L1550&lt;&gt;"Non-testable",Requirements!L1550&lt;&gt;"Deleted",Requirements!L1550&lt;&gt;"")</f>
        <v>0</v>
      </c>
      <c r="S1548" s="87" t="b">
        <f>(VLOOKUP(Requirements!I1550,Scope[[Role]:[Description]],2,FALSE)="In")</f>
        <v>1</v>
      </c>
      <c r="T1548" s="87">
        <f t="shared" si="95"/>
        <v>0</v>
      </c>
    </row>
    <row r="1549" spans="1:60">
      <c r="A1549" s="44" t="str">
        <f>Requirements!A1551</f>
        <v>MS-SMB_R4995</v>
      </c>
      <c r="B1549" s="87"/>
      <c r="C1549" s="87"/>
      <c r="D1549" s="87"/>
      <c r="E1549" s="87"/>
      <c r="F1549" s="87"/>
      <c r="G1549" s="87"/>
      <c r="H1549" s="87"/>
      <c r="I1549" s="87"/>
      <c r="J1549" s="87"/>
      <c r="K1549" s="87"/>
      <c r="L1549" s="87"/>
      <c r="M1549" s="87"/>
      <c r="N1549" s="87">
        <f t="shared" si="92"/>
        <v>0</v>
      </c>
      <c r="O1549" s="87">
        <f t="shared" si="93"/>
        <v>0</v>
      </c>
      <c r="P1549" s="87" t="b">
        <f t="shared" si="94"/>
        <v>0</v>
      </c>
      <c r="Q1549" s="87" t="b">
        <f>(Requirements!K1551="Normative")</f>
        <v>0</v>
      </c>
      <c r="R1549" s="87" t="b">
        <f>AND(Requirements!L1551&lt;&gt;"Non-testable",Requirements!L1551&lt;&gt;"Deleted",Requirements!L1551&lt;&gt;"")</f>
        <v>1</v>
      </c>
      <c r="S1549" s="87" t="b">
        <f>(VLOOKUP(Requirements!I1551,Scope[[Role]:[Description]],2,FALSE)="In")</f>
        <v>1</v>
      </c>
      <c r="T1549" s="87">
        <f t="shared" si="95"/>
        <v>0</v>
      </c>
    </row>
    <row r="1550" spans="1:60">
      <c r="A1550" s="84" t="str">
        <f>Requirements!A1552</f>
        <v>MS-SMB_R2445</v>
      </c>
      <c r="B1550" s="87"/>
      <c r="C1550" s="87"/>
      <c r="D1550" s="87"/>
      <c r="E1550" s="87">
        <v>1</v>
      </c>
      <c r="F1550" s="87"/>
      <c r="G1550" s="87"/>
      <c r="H1550" s="87">
        <v>1</v>
      </c>
      <c r="I1550" s="87"/>
      <c r="J1550" s="87"/>
      <c r="K1550" s="87"/>
      <c r="L1550" s="87"/>
      <c r="M1550" s="87"/>
      <c r="N1550" s="87">
        <f t="shared" si="92"/>
        <v>2</v>
      </c>
      <c r="O1550" s="60">
        <f t="shared" si="93"/>
        <v>1</v>
      </c>
      <c r="P1550" s="60" t="b">
        <f t="shared" si="94"/>
        <v>1</v>
      </c>
      <c r="Q1550" s="87" t="b">
        <f>(Requirements!K1552="Normative")</f>
        <v>1</v>
      </c>
      <c r="R1550" s="87" t="b">
        <f>AND(Requirements!L1552&lt;&gt;"Non-testable",Requirements!L1552&lt;&gt;"Deleted",Requirements!L1552&lt;&gt;"")</f>
        <v>1</v>
      </c>
      <c r="S1550" s="87" t="b">
        <f>(VLOOKUP(Requirements!I1552,Scope[[Role]:[Description]],2,FALSE)="In")</f>
        <v>1</v>
      </c>
      <c r="T1550" s="87">
        <f t="shared" si="95"/>
        <v>1</v>
      </c>
    </row>
    <row r="1551" spans="1:60">
      <c r="A1551" s="84" t="str">
        <f>Requirements!A1553</f>
        <v>MS-SMB_R4997</v>
      </c>
      <c r="B1551" s="87"/>
      <c r="C1551" s="87"/>
      <c r="D1551" s="87"/>
      <c r="E1551" s="87">
        <v>1</v>
      </c>
      <c r="F1551" s="87"/>
      <c r="G1551" s="87"/>
      <c r="H1551" s="87">
        <v>1</v>
      </c>
      <c r="I1551" s="87"/>
      <c r="J1551" s="87"/>
      <c r="K1551" s="87"/>
      <c r="L1551" s="87"/>
      <c r="M1551" s="87"/>
      <c r="N1551" s="87">
        <f t="shared" si="92"/>
        <v>2</v>
      </c>
      <c r="O1551" s="60">
        <f t="shared" si="93"/>
        <v>1</v>
      </c>
      <c r="P1551" s="60" t="b">
        <f t="shared" si="94"/>
        <v>1</v>
      </c>
      <c r="Q1551" s="87" t="b">
        <f>(Requirements!K1553="Normative")</f>
        <v>1</v>
      </c>
      <c r="R1551" s="87" t="b">
        <f>AND(Requirements!L1553&lt;&gt;"Non-testable",Requirements!L1553&lt;&gt;"Deleted",Requirements!L1553&lt;&gt;"")</f>
        <v>1</v>
      </c>
      <c r="S1551" s="87" t="b">
        <f>(VLOOKUP(Requirements!I1553,Scope[[Role]:[Description]],2,FALSE)="In")</f>
        <v>1</v>
      </c>
      <c r="T1551" s="87">
        <f t="shared" si="95"/>
        <v>1</v>
      </c>
    </row>
    <row r="1552" spans="1:60">
      <c r="A1552" s="84" t="str">
        <f>Requirements!A1554</f>
        <v>MS-SMB_R2446</v>
      </c>
      <c r="B1552" s="87"/>
      <c r="C1552" s="87"/>
      <c r="D1552" s="87"/>
      <c r="E1552" s="87">
        <v>1</v>
      </c>
      <c r="F1552" s="87"/>
      <c r="G1552" s="87"/>
      <c r="H1552" s="87">
        <v>1</v>
      </c>
      <c r="I1552" s="87"/>
      <c r="J1552" s="87"/>
      <c r="K1552" s="87"/>
      <c r="L1552" s="87"/>
      <c r="M1552" s="87"/>
      <c r="N1552" s="87">
        <f t="shared" si="92"/>
        <v>2</v>
      </c>
      <c r="O1552" s="60">
        <f t="shared" si="93"/>
        <v>1</v>
      </c>
      <c r="P1552" s="60" t="b">
        <f t="shared" si="94"/>
        <v>1</v>
      </c>
      <c r="Q1552" s="87" t="b">
        <f>(Requirements!K1554="Normative")</f>
        <v>1</v>
      </c>
      <c r="R1552" s="87" t="b">
        <f>AND(Requirements!L1554&lt;&gt;"Non-testable",Requirements!L1554&lt;&gt;"Deleted",Requirements!L1554&lt;&gt;"")</f>
        <v>1</v>
      </c>
      <c r="S1552" s="87" t="b">
        <f>(VLOOKUP(Requirements!I1554,Scope[[Role]:[Description]],2,FALSE)="In")</f>
        <v>1</v>
      </c>
      <c r="T1552" s="87">
        <f t="shared" si="95"/>
        <v>1</v>
      </c>
    </row>
    <row r="1553" spans="1:20">
      <c r="A1553" s="84" t="str">
        <f>Requirements!A1555</f>
        <v>MS-SMB_R2447</v>
      </c>
      <c r="B1553" s="87"/>
      <c r="C1553" s="87"/>
      <c r="D1553" s="87"/>
      <c r="E1553" s="87">
        <v>1</v>
      </c>
      <c r="F1553" s="87"/>
      <c r="G1553" s="87"/>
      <c r="H1553" s="87">
        <v>1</v>
      </c>
      <c r="I1553" s="87"/>
      <c r="J1553" s="87"/>
      <c r="K1553" s="87"/>
      <c r="L1553" s="87"/>
      <c r="M1553" s="87"/>
      <c r="N1553" s="87">
        <f t="shared" si="92"/>
        <v>2</v>
      </c>
      <c r="O1553" s="60">
        <f t="shared" si="93"/>
        <v>1</v>
      </c>
      <c r="P1553" s="60" t="b">
        <f t="shared" si="94"/>
        <v>1</v>
      </c>
      <c r="Q1553" s="87" t="b">
        <f>(Requirements!K1555="Normative")</f>
        <v>1</v>
      </c>
      <c r="R1553" s="87" t="b">
        <f>AND(Requirements!L1555&lt;&gt;"Non-testable",Requirements!L1555&lt;&gt;"Deleted",Requirements!L1555&lt;&gt;"")</f>
        <v>1</v>
      </c>
      <c r="S1553" s="87" t="b">
        <f>(VLOOKUP(Requirements!I1555,Scope[[Role]:[Description]],2,FALSE)="In")</f>
        <v>1</v>
      </c>
      <c r="T1553" s="87">
        <f t="shared" si="95"/>
        <v>1</v>
      </c>
    </row>
    <row r="1554" spans="1:20">
      <c r="A1554" s="44" t="str">
        <f>Requirements!A1556</f>
        <v>MS-SMB_R5000</v>
      </c>
      <c r="B1554" s="87"/>
      <c r="C1554" s="87"/>
      <c r="D1554" s="87"/>
      <c r="E1554" s="87"/>
      <c r="F1554" s="87"/>
      <c r="G1554" s="87"/>
      <c r="H1554" s="87"/>
      <c r="I1554" s="87"/>
      <c r="J1554" s="87"/>
      <c r="K1554" s="87"/>
      <c r="L1554" s="87"/>
      <c r="M1554" s="87"/>
      <c r="N1554" s="87">
        <f t="shared" si="92"/>
        <v>0</v>
      </c>
      <c r="O1554" s="87">
        <f t="shared" si="93"/>
        <v>0</v>
      </c>
      <c r="P1554" s="87" t="b">
        <f t="shared" si="94"/>
        <v>0</v>
      </c>
      <c r="Q1554" s="87" t="b">
        <f>(Requirements!K1556="Normative")</f>
        <v>1</v>
      </c>
      <c r="R1554" s="87" t="b">
        <f>AND(Requirements!L1556&lt;&gt;"Non-testable",Requirements!L1556&lt;&gt;"Deleted",Requirements!L1556&lt;&gt;"")</f>
        <v>0</v>
      </c>
      <c r="S1554" s="87" t="b">
        <f>(VLOOKUP(Requirements!I1556,Scope[[Role]:[Description]],2,FALSE)="In")</f>
        <v>1</v>
      </c>
      <c r="T1554" s="87">
        <f t="shared" si="95"/>
        <v>0</v>
      </c>
    </row>
    <row r="1555" spans="1:20">
      <c r="A1555" s="85" t="str">
        <f>Requirements!A1557</f>
        <v>MS-SMB_R105000</v>
      </c>
      <c r="B1555" s="87"/>
      <c r="C1555" s="87"/>
      <c r="D1555" s="87"/>
      <c r="E1555" s="87"/>
      <c r="F1555" s="87"/>
      <c r="G1555" s="87"/>
      <c r="H1555" s="87"/>
      <c r="I1555" s="87"/>
      <c r="J1555" s="87"/>
      <c r="K1555" s="87"/>
      <c r="L1555" s="87"/>
      <c r="M1555" s="87"/>
      <c r="N1555" s="87">
        <f t="shared" si="92"/>
        <v>0</v>
      </c>
      <c r="O1555" s="61">
        <f t="shared" si="93"/>
        <v>0</v>
      </c>
      <c r="P1555" s="61" t="b">
        <f t="shared" si="94"/>
        <v>1</v>
      </c>
      <c r="Q1555" s="87" t="b">
        <f>(Requirements!K1557="Normative")</f>
        <v>1</v>
      </c>
      <c r="R1555" s="87" t="b">
        <f>AND(Requirements!L1557&lt;&gt;"Non-testable",Requirements!L1557&lt;&gt;"Deleted",Requirements!L1557&lt;&gt;"")</f>
        <v>1</v>
      </c>
      <c r="S1555" s="87" t="b">
        <f>(VLOOKUP(Requirements!I1557,Scope[[Role]:[Description]],2,FALSE)="In")</f>
        <v>1</v>
      </c>
      <c r="T1555" s="87">
        <f t="shared" si="95"/>
        <v>0</v>
      </c>
    </row>
    <row r="1556" spans="1:20">
      <c r="A1556" s="85" t="str">
        <f>Requirements!A1558</f>
        <v>MS-SMB_R115000</v>
      </c>
      <c r="B1556" s="87"/>
      <c r="C1556" s="87"/>
      <c r="D1556" s="87"/>
      <c r="E1556" s="87"/>
      <c r="F1556" s="87"/>
      <c r="G1556" s="87"/>
      <c r="H1556" s="87"/>
      <c r="I1556" s="87"/>
      <c r="J1556" s="87"/>
      <c r="K1556" s="87"/>
      <c r="L1556" s="87"/>
      <c r="M1556" s="87"/>
      <c r="N1556" s="87">
        <f t="shared" ref="N1556:N1619" si="96">SUM(B1556:M1556)</f>
        <v>0</v>
      </c>
      <c r="O1556" s="61">
        <f t="shared" ref="O1556:O1619" si="97">IF(N1556=0,0,1)</f>
        <v>0</v>
      </c>
      <c r="P1556" s="61" t="b">
        <f t="shared" ref="P1556:P1619" si="98">AND(Q1556:S1556)</f>
        <v>1</v>
      </c>
      <c r="Q1556" s="87" t="b">
        <f>(Requirements!K1558="Normative")</f>
        <v>1</v>
      </c>
      <c r="R1556" s="87" t="b">
        <f>AND(Requirements!L1558&lt;&gt;"Non-testable",Requirements!L1558&lt;&gt;"Deleted",Requirements!L1558&lt;&gt;"")</f>
        <v>1</v>
      </c>
      <c r="S1556" s="87" t="b">
        <f>(VLOOKUP(Requirements!I1558,Scope[[Role]:[Description]],2,FALSE)="In")</f>
        <v>1</v>
      </c>
      <c r="T1556" s="87">
        <f t="shared" ref="T1556:T1619" si="99">IF(P1556,O1556, 0)</f>
        <v>0</v>
      </c>
    </row>
    <row r="1557" spans="1:20">
      <c r="A1557" s="85" t="str">
        <f>Requirements!A1559</f>
        <v>MS-SMB_R125000</v>
      </c>
      <c r="B1557" s="87"/>
      <c r="C1557" s="87"/>
      <c r="D1557" s="87"/>
      <c r="E1557" s="87"/>
      <c r="F1557" s="87"/>
      <c r="G1557" s="87"/>
      <c r="H1557" s="87"/>
      <c r="I1557" s="87"/>
      <c r="J1557" s="87"/>
      <c r="K1557" s="87"/>
      <c r="L1557" s="87"/>
      <c r="M1557" s="87"/>
      <c r="N1557" s="87">
        <f t="shared" si="96"/>
        <v>0</v>
      </c>
      <c r="O1557" s="61">
        <f t="shared" si="97"/>
        <v>0</v>
      </c>
      <c r="P1557" s="61" t="b">
        <f t="shared" si="98"/>
        <v>1</v>
      </c>
      <c r="Q1557" s="87" t="b">
        <f>(Requirements!K1559="Normative")</f>
        <v>1</v>
      </c>
      <c r="R1557" s="87" t="b">
        <f>AND(Requirements!L1559&lt;&gt;"Non-testable",Requirements!L1559&lt;&gt;"Deleted",Requirements!L1559&lt;&gt;"")</f>
        <v>1</v>
      </c>
      <c r="S1557" s="87" t="b">
        <f>(VLOOKUP(Requirements!I1559,Scope[[Role]:[Description]],2,FALSE)="In")</f>
        <v>1</v>
      </c>
      <c r="T1557" s="87">
        <f t="shared" si="99"/>
        <v>0</v>
      </c>
    </row>
    <row r="1558" spans="1:20">
      <c r="A1558" s="85" t="str">
        <f>Requirements!A1560</f>
        <v>MS-SMB_R2558</v>
      </c>
      <c r="B1558" s="87"/>
      <c r="C1558" s="87"/>
      <c r="D1558" s="87"/>
      <c r="E1558" s="87"/>
      <c r="F1558" s="87"/>
      <c r="G1558" s="87"/>
      <c r="H1558" s="87"/>
      <c r="I1558" s="87"/>
      <c r="J1558" s="87"/>
      <c r="K1558" s="87"/>
      <c r="L1558" s="87"/>
      <c r="M1558" s="87"/>
      <c r="N1558" s="87">
        <f t="shared" si="96"/>
        <v>0</v>
      </c>
      <c r="O1558" s="61">
        <f t="shared" si="97"/>
        <v>0</v>
      </c>
      <c r="P1558" s="61" t="b">
        <f t="shared" si="98"/>
        <v>1</v>
      </c>
      <c r="Q1558" s="87" t="b">
        <f>(Requirements!K1560="Normative")</f>
        <v>1</v>
      </c>
      <c r="R1558" s="87" t="b">
        <f>AND(Requirements!L1560&lt;&gt;"Non-testable",Requirements!L1560&lt;&gt;"Deleted",Requirements!L1560&lt;&gt;"")</f>
        <v>1</v>
      </c>
      <c r="S1558" s="87" t="b">
        <f>(VLOOKUP(Requirements!I1560,Scope[[Role]:[Description]],2,FALSE)="In")</f>
        <v>1</v>
      </c>
      <c r="T1558" s="87">
        <f t="shared" si="99"/>
        <v>0</v>
      </c>
    </row>
    <row r="1559" spans="1:20">
      <c r="A1559" s="85" t="str">
        <f>Requirements!A1561</f>
        <v>MS-SMB_R102558</v>
      </c>
      <c r="B1559" s="87"/>
      <c r="C1559" s="87"/>
      <c r="D1559" s="87"/>
      <c r="E1559" s="87"/>
      <c r="F1559" s="87"/>
      <c r="G1559" s="87"/>
      <c r="H1559" s="87"/>
      <c r="I1559" s="87"/>
      <c r="J1559" s="87"/>
      <c r="K1559" s="87"/>
      <c r="L1559" s="87"/>
      <c r="M1559" s="87"/>
      <c r="N1559" s="87">
        <f t="shared" si="96"/>
        <v>0</v>
      </c>
      <c r="O1559" s="61">
        <f t="shared" si="97"/>
        <v>0</v>
      </c>
      <c r="P1559" s="61" t="b">
        <f t="shared" si="98"/>
        <v>1</v>
      </c>
      <c r="Q1559" s="87" t="b">
        <f>(Requirements!K1561="Normative")</f>
        <v>1</v>
      </c>
      <c r="R1559" s="87" t="b">
        <f>AND(Requirements!L1561&lt;&gt;"Non-testable",Requirements!L1561&lt;&gt;"Deleted",Requirements!L1561&lt;&gt;"")</f>
        <v>1</v>
      </c>
      <c r="S1559" s="87" t="b">
        <f>(VLOOKUP(Requirements!I1561,Scope[[Role]:[Description]],2,FALSE)="In")</f>
        <v>1</v>
      </c>
      <c r="T1559" s="87">
        <f t="shared" si="99"/>
        <v>0</v>
      </c>
    </row>
    <row r="1560" spans="1:20">
      <c r="A1560" s="85" t="str">
        <f>Requirements!A1562</f>
        <v>MS-SMB_R112558</v>
      </c>
      <c r="B1560" s="87"/>
      <c r="C1560" s="87"/>
      <c r="D1560" s="87"/>
      <c r="E1560" s="87"/>
      <c r="F1560" s="87"/>
      <c r="G1560" s="87"/>
      <c r="H1560" s="87"/>
      <c r="I1560" s="87"/>
      <c r="J1560" s="87"/>
      <c r="K1560" s="87"/>
      <c r="L1560" s="87"/>
      <c r="M1560" s="87"/>
      <c r="N1560" s="87">
        <f t="shared" si="96"/>
        <v>0</v>
      </c>
      <c r="O1560" s="61">
        <f t="shared" si="97"/>
        <v>0</v>
      </c>
      <c r="P1560" s="61" t="b">
        <f t="shared" si="98"/>
        <v>1</v>
      </c>
      <c r="Q1560" s="87" t="b">
        <f>(Requirements!K1562="Normative")</f>
        <v>1</v>
      </c>
      <c r="R1560" s="87" t="b">
        <f>AND(Requirements!L1562&lt;&gt;"Non-testable",Requirements!L1562&lt;&gt;"Deleted",Requirements!L1562&lt;&gt;"")</f>
        <v>1</v>
      </c>
      <c r="S1560" s="87" t="b">
        <f>(VLOOKUP(Requirements!I1562,Scope[[Role]:[Description]],2,FALSE)="In")</f>
        <v>1</v>
      </c>
      <c r="T1560" s="87">
        <f t="shared" si="99"/>
        <v>0</v>
      </c>
    </row>
    <row r="1561" spans="1:20">
      <c r="A1561" s="44" t="str">
        <f>Requirements!A1563</f>
        <v>MS-SMB_R2453</v>
      </c>
      <c r="B1561" s="87"/>
      <c r="C1561" s="87"/>
      <c r="D1561" s="87"/>
      <c r="E1561" s="87"/>
      <c r="F1561" s="87"/>
      <c r="G1561" s="87"/>
      <c r="H1561" s="87"/>
      <c r="I1561" s="87"/>
      <c r="J1561" s="87"/>
      <c r="K1561" s="87"/>
      <c r="L1561" s="87"/>
      <c r="M1561" s="87"/>
      <c r="N1561" s="87">
        <f t="shared" si="96"/>
        <v>0</v>
      </c>
      <c r="O1561" s="87">
        <f t="shared" si="97"/>
        <v>0</v>
      </c>
      <c r="P1561" s="87" t="b">
        <f t="shared" si="98"/>
        <v>0</v>
      </c>
      <c r="Q1561" s="87" t="b">
        <f>(Requirements!K1563="Normative")</f>
        <v>1</v>
      </c>
      <c r="R1561" s="87" t="b">
        <f>AND(Requirements!L1563&lt;&gt;"Non-testable",Requirements!L1563&lt;&gt;"Deleted",Requirements!L1563&lt;&gt;"")</f>
        <v>0</v>
      </c>
      <c r="S1561" s="87" t="b">
        <f>(VLOOKUP(Requirements!I1563,Scope[[Role]:[Description]],2,FALSE)="In")</f>
        <v>1</v>
      </c>
      <c r="T1561" s="87">
        <f t="shared" si="99"/>
        <v>0</v>
      </c>
    </row>
    <row r="1562" spans="1:20">
      <c r="A1562" s="44" t="str">
        <f>Requirements!A1564</f>
        <v>MS-SMB_R2454</v>
      </c>
      <c r="B1562" s="87"/>
      <c r="C1562" s="87"/>
      <c r="D1562" s="87"/>
      <c r="E1562" s="87"/>
      <c r="F1562" s="87"/>
      <c r="G1562" s="87"/>
      <c r="H1562" s="87"/>
      <c r="I1562" s="87"/>
      <c r="J1562" s="87"/>
      <c r="K1562" s="87"/>
      <c r="L1562" s="87"/>
      <c r="M1562" s="87"/>
      <c r="N1562" s="87">
        <f t="shared" si="96"/>
        <v>0</v>
      </c>
      <c r="O1562" s="87">
        <f t="shared" si="97"/>
        <v>0</v>
      </c>
      <c r="P1562" s="87" t="b">
        <f t="shared" si="98"/>
        <v>0</v>
      </c>
      <c r="Q1562" s="87" t="b">
        <f>(Requirements!K1564="Normative")</f>
        <v>1</v>
      </c>
      <c r="R1562" s="87" t="b">
        <f>AND(Requirements!L1564&lt;&gt;"Non-testable",Requirements!L1564&lt;&gt;"Deleted",Requirements!L1564&lt;&gt;"")</f>
        <v>0</v>
      </c>
      <c r="S1562" s="87" t="b">
        <f>(VLOOKUP(Requirements!I1564,Scope[[Role]:[Description]],2,FALSE)="In")</f>
        <v>1</v>
      </c>
      <c r="T1562" s="87">
        <f t="shared" si="99"/>
        <v>0</v>
      </c>
    </row>
    <row r="1563" spans="1:20">
      <c r="A1563" s="84" t="str">
        <f>Requirements!A1565</f>
        <v>MS-SMB_R5005</v>
      </c>
      <c r="B1563" s="87"/>
      <c r="C1563" s="87"/>
      <c r="D1563" s="87"/>
      <c r="E1563" s="87">
        <v>1</v>
      </c>
      <c r="F1563" s="87"/>
      <c r="G1563" s="87"/>
      <c r="H1563" s="87">
        <v>1</v>
      </c>
      <c r="I1563" s="87"/>
      <c r="J1563" s="87"/>
      <c r="K1563" s="87"/>
      <c r="L1563" s="87"/>
      <c r="M1563" s="87"/>
      <c r="N1563" s="87">
        <f t="shared" si="96"/>
        <v>2</v>
      </c>
      <c r="O1563" s="60">
        <f t="shared" si="97"/>
        <v>1</v>
      </c>
      <c r="P1563" s="60" t="b">
        <f t="shared" si="98"/>
        <v>1</v>
      </c>
      <c r="Q1563" s="87" t="b">
        <f>(Requirements!K1565="Normative")</f>
        <v>1</v>
      </c>
      <c r="R1563" s="87" t="b">
        <f>AND(Requirements!L1565&lt;&gt;"Non-testable",Requirements!L1565&lt;&gt;"Deleted",Requirements!L1565&lt;&gt;"")</f>
        <v>1</v>
      </c>
      <c r="S1563" s="87" t="b">
        <f>(VLOOKUP(Requirements!I1565,Scope[[Role]:[Description]],2,FALSE)="In")</f>
        <v>1</v>
      </c>
      <c r="T1563" s="87">
        <f t="shared" si="99"/>
        <v>1</v>
      </c>
    </row>
    <row r="1564" spans="1:20">
      <c r="A1564" s="84" t="str">
        <f>Requirements!A1566</f>
        <v>MS-SMB_R105005</v>
      </c>
      <c r="B1564" s="87"/>
      <c r="C1564" s="87"/>
      <c r="D1564" s="87"/>
      <c r="E1564" s="87">
        <v>1</v>
      </c>
      <c r="F1564" s="87"/>
      <c r="G1564" s="87"/>
      <c r="H1564" s="87">
        <v>1</v>
      </c>
      <c r="I1564" s="87"/>
      <c r="J1564" s="87"/>
      <c r="K1564" s="87"/>
      <c r="L1564" s="87"/>
      <c r="M1564" s="87"/>
      <c r="N1564" s="87">
        <f t="shared" si="96"/>
        <v>2</v>
      </c>
      <c r="O1564" s="60">
        <f t="shared" si="97"/>
        <v>1</v>
      </c>
      <c r="P1564" s="60" t="b">
        <f t="shared" si="98"/>
        <v>1</v>
      </c>
      <c r="Q1564" s="87" t="b">
        <f>(Requirements!K1566="Normative")</f>
        <v>1</v>
      </c>
      <c r="R1564" s="87" t="b">
        <f>AND(Requirements!L1566&lt;&gt;"Non-testable",Requirements!L1566&lt;&gt;"Deleted",Requirements!L1566&lt;&gt;"")</f>
        <v>1</v>
      </c>
      <c r="S1564" s="87" t="b">
        <f>(VLOOKUP(Requirements!I1566,Scope[[Role]:[Description]],2,FALSE)="In")</f>
        <v>1</v>
      </c>
      <c r="T1564" s="87">
        <f t="shared" si="99"/>
        <v>1</v>
      </c>
    </row>
    <row r="1565" spans="1:20">
      <c r="A1565" s="84" t="str">
        <f>Requirements!A1567</f>
        <v>MS-SMB_R5008</v>
      </c>
      <c r="B1565" s="87"/>
      <c r="C1565" s="87"/>
      <c r="D1565" s="87"/>
      <c r="E1565" s="87">
        <v>1</v>
      </c>
      <c r="F1565" s="87"/>
      <c r="G1565" s="87"/>
      <c r="H1565" s="87">
        <v>1</v>
      </c>
      <c r="I1565" s="87"/>
      <c r="J1565" s="87"/>
      <c r="K1565" s="87"/>
      <c r="L1565" s="87"/>
      <c r="M1565" s="87"/>
      <c r="N1565" s="87">
        <f t="shared" si="96"/>
        <v>2</v>
      </c>
      <c r="O1565" s="60">
        <f t="shared" si="97"/>
        <v>1</v>
      </c>
      <c r="P1565" s="60" t="b">
        <f t="shared" si="98"/>
        <v>1</v>
      </c>
      <c r="Q1565" s="87" t="b">
        <f>(Requirements!K1567="Normative")</f>
        <v>1</v>
      </c>
      <c r="R1565" s="87" t="b">
        <f>AND(Requirements!L1567&lt;&gt;"Non-testable",Requirements!L1567&lt;&gt;"Deleted",Requirements!L1567&lt;&gt;"")</f>
        <v>1</v>
      </c>
      <c r="S1565" s="87" t="b">
        <f>(VLOOKUP(Requirements!I1567,Scope[[Role]:[Description]],2,FALSE)="In")</f>
        <v>1</v>
      </c>
      <c r="T1565" s="87">
        <f t="shared" si="99"/>
        <v>1</v>
      </c>
    </row>
    <row r="1566" spans="1:20">
      <c r="A1566" s="85" t="str">
        <f>Requirements!A1568</f>
        <v>MS-SMB_R30019</v>
      </c>
      <c r="B1566" s="87"/>
      <c r="C1566" s="87"/>
      <c r="D1566" s="87"/>
      <c r="E1566" s="87"/>
      <c r="F1566" s="87"/>
      <c r="G1566" s="87"/>
      <c r="H1566" s="87"/>
      <c r="I1566" s="87"/>
      <c r="J1566" s="87"/>
      <c r="K1566" s="87"/>
      <c r="L1566" s="87"/>
      <c r="M1566" s="87"/>
      <c r="N1566" s="87">
        <f t="shared" si="96"/>
        <v>0</v>
      </c>
      <c r="O1566" s="61">
        <f t="shared" si="97"/>
        <v>0</v>
      </c>
      <c r="P1566" s="61" t="b">
        <f t="shared" si="98"/>
        <v>1</v>
      </c>
      <c r="Q1566" s="87" t="b">
        <f>(Requirements!K1568="Normative")</f>
        <v>1</v>
      </c>
      <c r="R1566" s="87" t="b">
        <f>AND(Requirements!L1568&lt;&gt;"Non-testable",Requirements!L1568&lt;&gt;"Deleted",Requirements!L1568&lt;&gt;"")</f>
        <v>1</v>
      </c>
      <c r="S1566" s="87" t="b">
        <f>(VLOOKUP(Requirements!I1568,Scope[[Role]:[Description]],2,FALSE)="In")</f>
        <v>1</v>
      </c>
      <c r="T1566" s="87">
        <f t="shared" si="99"/>
        <v>0</v>
      </c>
    </row>
    <row r="1567" spans="1:20">
      <c r="A1567" s="44" t="str">
        <f>Requirements!A1569</f>
        <v>MS-SMB_R30009</v>
      </c>
      <c r="B1567" s="87"/>
      <c r="C1567" s="87"/>
      <c r="D1567" s="87"/>
      <c r="E1567" s="87"/>
      <c r="F1567" s="87"/>
      <c r="G1567" s="87"/>
      <c r="H1567" s="87"/>
      <c r="I1567" s="87"/>
      <c r="J1567" s="87"/>
      <c r="K1567" s="87"/>
      <c r="L1567" s="87"/>
      <c r="M1567" s="87"/>
      <c r="N1567" s="87">
        <f t="shared" si="96"/>
        <v>0</v>
      </c>
      <c r="O1567" s="87">
        <f t="shared" si="97"/>
        <v>0</v>
      </c>
      <c r="P1567" s="87" t="b">
        <f t="shared" si="98"/>
        <v>0</v>
      </c>
      <c r="Q1567" s="87" t="b">
        <f>(Requirements!K1569="Normative")</f>
        <v>1</v>
      </c>
      <c r="R1567" s="87" t="b">
        <f>AND(Requirements!L1569&lt;&gt;"Non-testable",Requirements!L1569&lt;&gt;"Deleted",Requirements!L1569&lt;&gt;"")</f>
        <v>0</v>
      </c>
      <c r="S1567" s="87" t="b">
        <f>(VLOOKUP(Requirements!I1569,Scope[[Role]:[Description]],2,FALSE)="In")</f>
        <v>1</v>
      </c>
      <c r="T1567" s="87">
        <f t="shared" si="99"/>
        <v>0</v>
      </c>
    </row>
    <row r="1568" spans="1:20">
      <c r="A1568" s="84" t="str">
        <f>Requirements!A1570</f>
        <v>MS-SMB_R2464</v>
      </c>
      <c r="B1568" s="87"/>
      <c r="C1568" s="87"/>
      <c r="D1568" s="87"/>
      <c r="E1568" s="87"/>
      <c r="F1568" s="87"/>
      <c r="G1568" s="87">
        <v>1</v>
      </c>
      <c r="H1568" s="87"/>
      <c r="I1568" s="87"/>
      <c r="J1568" s="87"/>
      <c r="K1568" s="87"/>
      <c r="L1568" s="87"/>
      <c r="M1568" s="87"/>
      <c r="N1568" s="87">
        <f t="shared" si="96"/>
        <v>1</v>
      </c>
      <c r="O1568" s="60">
        <f t="shared" si="97"/>
        <v>1</v>
      </c>
      <c r="P1568" s="60" t="b">
        <f t="shared" si="98"/>
        <v>1</v>
      </c>
      <c r="Q1568" s="87" t="b">
        <f>(Requirements!K1570="Normative")</f>
        <v>1</v>
      </c>
      <c r="R1568" s="87" t="b">
        <f>AND(Requirements!L1570&lt;&gt;"Non-testable",Requirements!L1570&lt;&gt;"Deleted",Requirements!L1570&lt;&gt;"")</f>
        <v>1</v>
      </c>
      <c r="S1568" s="87" t="b">
        <f>(VLOOKUP(Requirements!I1570,Scope[[Role]:[Description]],2,FALSE)="In")</f>
        <v>1</v>
      </c>
      <c r="T1568" s="87">
        <f t="shared" si="99"/>
        <v>1</v>
      </c>
    </row>
    <row r="1569" spans="1:20">
      <c r="A1569" s="84" t="str">
        <f>Requirements!A1571</f>
        <v>MS-SMB_R5023</v>
      </c>
      <c r="B1569" s="87"/>
      <c r="C1569" s="87"/>
      <c r="D1569" s="87"/>
      <c r="E1569" s="87"/>
      <c r="F1569" s="87"/>
      <c r="G1569" s="87">
        <v>1</v>
      </c>
      <c r="H1569" s="87"/>
      <c r="I1569" s="87"/>
      <c r="J1569" s="87"/>
      <c r="K1569" s="87"/>
      <c r="L1569" s="87"/>
      <c r="M1569" s="87"/>
      <c r="N1569" s="87">
        <f t="shared" si="96"/>
        <v>1</v>
      </c>
      <c r="O1569" s="60">
        <f t="shared" si="97"/>
        <v>1</v>
      </c>
      <c r="P1569" s="60" t="b">
        <f t="shared" si="98"/>
        <v>1</v>
      </c>
      <c r="Q1569" s="87" t="b">
        <f>(Requirements!K1571="Normative")</f>
        <v>1</v>
      </c>
      <c r="R1569" s="87" t="b">
        <f>AND(Requirements!L1571&lt;&gt;"Non-testable",Requirements!L1571&lt;&gt;"Deleted",Requirements!L1571&lt;&gt;"")</f>
        <v>1</v>
      </c>
      <c r="S1569" s="87" t="b">
        <f>(VLOOKUP(Requirements!I1571,Scope[[Role]:[Description]],2,FALSE)="In")</f>
        <v>1</v>
      </c>
      <c r="T1569" s="87">
        <f t="shared" si="99"/>
        <v>1</v>
      </c>
    </row>
    <row r="1570" spans="1:20">
      <c r="A1570" s="84" t="str">
        <f>Requirements!A1572</f>
        <v>MS-SMB_R5024</v>
      </c>
      <c r="B1570" s="87"/>
      <c r="C1570" s="87"/>
      <c r="D1570" s="87"/>
      <c r="E1570" s="87"/>
      <c r="F1570" s="87"/>
      <c r="G1570" s="87">
        <v>1</v>
      </c>
      <c r="H1570" s="87"/>
      <c r="I1570" s="87"/>
      <c r="J1570" s="87"/>
      <c r="K1570" s="87"/>
      <c r="L1570" s="87"/>
      <c r="M1570" s="87"/>
      <c r="N1570" s="87">
        <f t="shared" si="96"/>
        <v>1</v>
      </c>
      <c r="O1570" s="60">
        <f t="shared" si="97"/>
        <v>1</v>
      </c>
      <c r="P1570" s="60" t="b">
        <f t="shared" si="98"/>
        <v>1</v>
      </c>
      <c r="Q1570" s="87" t="b">
        <f>(Requirements!K1572="Normative")</f>
        <v>1</v>
      </c>
      <c r="R1570" s="87" t="b">
        <f>AND(Requirements!L1572&lt;&gt;"Non-testable",Requirements!L1572&lt;&gt;"Deleted",Requirements!L1572&lt;&gt;"")</f>
        <v>1</v>
      </c>
      <c r="S1570" s="87" t="b">
        <f>(VLOOKUP(Requirements!I1572,Scope[[Role]:[Description]],2,FALSE)="In")</f>
        <v>1</v>
      </c>
      <c r="T1570" s="87">
        <f t="shared" si="99"/>
        <v>1</v>
      </c>
    </row>
    <row r="1571" spans="1:20">
      <c r="A1571" s="44" t="str">
        <f>Requirements!A1573</f>
        <v>MS-SMB_R5025</v>
      </c>
      <c r="B1571" s="87"/>
      <c r="C1571" s="87"/>
      <c r="D1571" s="87"/>
      <c r="E1571" s="87"/>
      <c r="F1571" s="87"/>
      <c r="G1571" s="87"/>
      <c r="H1571" s="87"/>
      <c r="I1571" s="87"/>
      <c r="J1571" s="87"/>
      <c r="K1571" s="87"/>
      <c r="L1571" s="87"/>
      <c r="M1571" s="87"/>
      <c r="N1571" s="87">
        <f t="shared" si="96"/>
        <v>0</v>
      </c>
      <c r="O1571" s="87">
        <f t="shared" si="97"/>
        <v>0</v>
      </c>
      <c r="P1571" s="87" t="b">
        <f t="shared" si="98"/>
        <v>0</v>
      </c>
      <c r="Q1571" s="87" t="b">
        <f>(Requirements!K1573="Normative")</f>
        <v>0</v>
      </c>
      <c r="R1571" s="87" t="b">
        <f>AND(Requirements!L1573&lt;&gt;"Non-testable",Requirements!L1573&lt;&gt;"Deleted",Requirements!L1573&lt;&gt;"")</f>
        <v>1</v>
      </c>
      <c r="S1571" s="87" t="b">
        <f>(VLOOKUP(Requirements!I1573,Scope[[Role]:[Description]],2,FALSE)="In")</f>
        <v>1</v>
      </c>
      <c r="T1571" s="87">
        <f t="shared" si="99"/>
        <v>0</v>
      </c>
    </row>
    <row r="1572" spans="1:20">
      <c r="A1572" s="84" t="str">
        <f>Requirements!A1574</f>
        <v>MS-SMB_R2465</v>
      </c>
      <c r="B1572" s="87"/>
      <c r="C1572" s="87"/>
      <c r="D1572" s="87"/>
      <c r="E1572" s="87"/>
      <c r="F1572" s="87"/>
      <c r="G1572" s="87">
        <v>1</v>
      </c>
      <c r="H1572" s="87"/>
      <c r="I1572" s="87"/>
      <c r="J1572" s="87"/>
      <c r="K1572" s="87"/>
      <c r="L1572" s="87"/>
      <c r="M1572" s="87"/>
      <c r="N1572" s="87">
        <f t="shared" si="96"/>
        <v>1</v>
      </c>
      <c r="O1572" s="60">
        <f t="shared" si="97"/>
        <v>1</v>
      </c>
      <c r="P1572" s="60" t="b">
        <f t="shared" si="98"/>
        <v>1</v>
      </c>
      <c r="Q1572" s="87" t="b">
        <f>(Requirements!K1574="Normative")</f>
        <v>1</v>
      </c>
      <c r="R1572" s="87" t="b">
        <f>AND(Requirements!L1574&lt;&gt;"Non-testable",Requirements!L1574&lt;&gt;"Deleted",Requirements!L1574&lt;&gt;"")</f>
        <v>1</v>
      </c>
      <c r="S1572" s="87" t="b">
        <f>(VLOOKUP(Requirements!I1574,Scope[[Role]:[Description]],2,FALSE)="In")</f>
        <v>1</v>
      </c>
      <c r="T1572" s="87">
        <f t="shared" si="99"/>
        <v>1</v>
      </c>
    </row>
    <row r="1573" spans="1:20">
      <c r="A1573" s="44" t="str">
        <f>Requirements!A1575</f>
        <v>MS-SMB_R2466</v>
      </c>
      <c r="B1573" s="87"/>
      <c r="C1573" s="87"/>
      <c r="D1573" s="87"/>
      <c r="E1573" s="87"/>
      <c r="F1573" s="87"/>
      <c r="G1573" s="87"/>
      <c r="H1573" s="87"/>
      <c r="I1573" s="87"/>
      <c r="J1573" s="87"/>
      <c r="K1573" s="87"/>
      <c r="L1573" s="87"/>
      <c r="M1573" s="87"/>
      <c r="N1573" s="87">
        <f t="shared" si="96"/>
        <v>0</v>
      </c>
      <c r="O1573" s="87">
        <f t="shared" si="97"/>
        <v>0</v>
      </c>
      <c r="P1573" s="87" t="b">
        <f t="shared" si="98"/>
        <v>0</v>
      </c>
      <c r="Q1573" s="87" t="b">
        <f>(Requirements!K1575="Normative")</f>
        <v>1</v>
      </c>
      <c r="R1573" s="87" t="b">
        <f>AND(Requirements!L1575&lt;&gt;"Non-testable",Requirements!L1575&lt;&gt;"Deleted",Requirements!L1575&lt;&gt;"")</f>
        <v>0</v>
      </c>
      <c r="S1573" s="87" t="b">
        <f>(VLOOKUP(Requirements!I1575,Scope[[Role]:[Description]],2,FALSE)="In")</f>
        <v>1</v>
      </c>
      <c r="T1573" s="87">
        <f t="shared" si="99"/>
        <v>0</v>
      </c>
    </row>
    <row r="1574" spans="1:20">
      <c r="A1574" s="44" t="str">
        <f>Requirements!A1576</f>
        <v>MS-SMB_R2467</v>
      </c>
      <c r="B1574" s="87"/>
      <c r="C1574" s="87"/>
      <c r="D1574" s="87"/>
      <c r="E1574" s="87"/>
      <c r="F1574" s="87"/>
      <c r="G1574" s="87"/>
      <c r="H1574" s="87"/>
      <c r="I1574" s="87"/>
      <c r="J1574" s="87"/>
      <c r="K1574" s="87"/>
      <c r="L1574" s="87"/>
      <c r="M1574" s="87"/>
      <c r="N1574" s="87">
        <f t="shared" si="96"/>
        <v>0</v>
      </c>
      <c r="O1574" s="87">
        <f t="shared" si="97"/>
        <v>0</v>
      </c>
      <c r="P1574" s="87" t="b">
        <f t="shared" si="98"/>
        <v>0</v>
      </c>
      <c r="Q1574" s="87" t="b">
        <f>(Requirements!K1576="Normative")</f>
        <v>1</v>
      </c>
      <c r="R1574" s="87" t="b">
        <f>AND(Requirements!L1576&lt;&gt;"Non-testable",Requirements!L1576&lt;&gt;"Deleted",Requirements!L1576&lt;&gt;"")</f>
        <v>0</v>
      </c>
      <c r="S1574" s="87" t="b">
        <f>(VLOOKUP(Requirements!I1576,Scope[[Role]:[Description]],2,FALSE)="In")</f>
        <v>1</v>
      </c>
      <c r="T1574" s="87">
        <f t="shared" si="99"/>
        <v>0</v>
      </c>
    </row>
    <row r="1575" spans="1:20">
      <c r="A1575" s="84" t="str">
        <f>Requirements!A1577</f>
        <v>MS-SMB_R2468</v>
      </c>
      <c r="B1575" s="87"/>
      <c r="C1575" s="87"/>
      <c r="D1575" s="87"/>
      <c r="E1575" s="87"/>
      <c r="F1575" s="87"/>
      <c r="G1575" s="87"/>
      <c r="H1575" s="87"/>
      <c r="I1575" s="87"/>
      <c r="J1575" s="87"/>
      <c r="K1575" s="87"/>
      <c r="L1575" s="87">
        <v>1</v>
      </c>
      <c r="M1575" s="87">
        <v>1</v>
      </c>
      <c r="N1575" s="87">
        <f t="shared" si="96"/>
        <v>2</v>
      </c>
      <c r="O1575" s="60">
        <f t="shared" si="97"/>
        <v>1</v>
      </c>
      <c r="P1575" s="60" t="b">
        <f t="shared" si="98"/>
        <v>1</v>
      </c>
      <c r="Q1575" s="87" t="b">
        <f>(Requirements!K1577="Normative")</f>
        <v>1</v>
      </c>
      <c r="R1575" s="87" t="b">
        <f>AND(Requirements!L1577&lt;&gt;"Non-testable",Requirements!L1577&lt;&gt;"Deleted",Requirements!L1577&lt;&gt;"")</f>
        <v>1</v>
      </c>
      <c r="S1575" s="87" t="b">
        <f>(VLOOKUP(Requirements!I1577,Scope[[Role]:[Description]],2,FALSE)="In")</f>
        <v>1</v>
      </c>
      <c r="T1575" s="87">
        <f t="shared" si="99"/>
        <v>1</v>
      </c>
    </row>
    <row r="1576" spans="1:20">
      <c r="A1576" s="44" t="str">
        <f>Requirements!A1578</f>
        <v>MS-SMB_R5030</v>
      </c>
      <c r="B1576" s="87"/>
      <c r="C1576" s="87"/>
      <c r="D1576" s="87"/>
      <c r="E1576" s="87"/>
      <c r="F1576" s="87"/>
      <c r="G1576" s="87"/>
      <c r="H1576" s="87"/>
      <c r="I1576" s="87"/>
      <c r="J1576" s="87"/>
      <c r="K1576" s="87"/>
      <c r="L1576" s="87"/>
      <c r="M1576" s="87"/>
      <c r="N1576" s="87">
        <f t="shared" si="96"/>
        <v>0</v>
      </c>
      <c r="O1576" s="87">
        <f t="shared" si="97"/>
        <v>0</v>
      </c>
      <c r="P1576" s="87" t="b">
        <f t="shared" si="98"/>
        <v>0</v>
      </c>
      <c r="Q1576" s="87" t="b">
        <f>(Requirements!K1578="Normative")</f>
        <v>0</v>
      </c>
      <c r="R1576" s="87" t="b">
        <f>AND(Requirements!L1578&lt;&gt;"Non-testable",Requirements!L1578&lt;&gt;"Deleted",Requirements!L1578&lt;&gt;"")</f>
        <v>1</v>
      </c>
      <c r="S1576" s="87" t="b">
        <f>(VLOOKUP(Requirements!I1578,Scope[[Role]:[Description]],2,FALSE)="In")</f>
        <v>1</v>
      </c>
      <c r="T1576" s="87">
        <f t="shared" si="99"/>
        <v>0</v>
      </c>
    </row>
    <row r="1577" spans="1:20">
      <c r="A1577" s="44" t="str">
        <f>Requirements!A1579</f>
        <v>MS-SMB_R5073</v>
      </c>
      <c r="B1577" s="87"/>
      <c r="C1577" s="87"/>
      <c r="D1577" s="87"/>
      <c r="E1577" s="87"/>
      <c r="F1577" s="87"/>
      <c r="G1577" s="87"/>
      <c r="H1577" s="87"/>
      <c r="I1577" s="87"/>
      <c r="J1577" s="87"/>
      <c r="K1577" s="87"/>
      <c r="L1577" s="87"/>
      <c r="M1577" s="87"/>
      <c r="N1577" s="87">
        <f t="shared" si="96"/>
        <v>0</v>
      </c>
      <c r="O1577" s="87">
        <f t="shared" si="97"/>
        <v>0</v>
      </c>
      <c r="P1577" s="87" t="b">
        <f t="shared" si="98"/>
        <v>0</v>
      </c>
      <c r="Q1577" s="87" t="b">
        <f>(Requirements!K1579="Normative")</f>
        <v>0</v>
      </c>
      <c r="R1577" s="87" t="b">
        <f>AND(Requirements!L1579&lt;&gt;"Non-testable",Requirements!L1579&lt;&gt;"Deleted",Requirements!L1579&lt;&gt;"")</f>
        <v>1</v>
      </c>
      <c r="S1577" s="87" t="b">
        <f>(VLOOKUP(Requirements!I1579,Scope[[Role]:[Description]],2,FALSE)="In")</f>
        <v>1</v>
      </c>
      <c r="T1577" s="87">
        <f t="shared" si="99"/>
        <v>0</v>
      </c>
    </row>
    <row r="1578" spans="1:20">
      <c r="A1578" s="44" t="str">
        <f>Requirements!A1580</f>
        <v>MS-SMB_R5074</v>
      </c>
      <c r="B1578" s="87"/>
      <c r="C1578" s="87"/>
      <c r="D1578" s="87"/>
      <c r="E1578" s="87"/>
      <c r="F1578" s="87"/>
      <c r="G1578" s="87"/>
      <c r="H1578" s="87"/>
      <c r="I1578" s="87"/>
      <c r="J1578" s="87"/>
      <c r="K1578" s="87"/>
      <c r="L1578" s="87"/>
      <c r="M1578" s="87"/>
      <c r="N1578" s="87">
        <f t="shared" si="96"/>
        <v>0</v>
      </c>
      <c r="O1578" s="87">
        <f t="shared" si="97"/>
        <v>0</v>
      </c>
      <c r="P1578" s="87" t="b">
        <f t="shared" si="98"/>
        <v>0</v>
      </c>
      <c r="Q1578" s="87" t="b">
        <f>(Requirements!K1580="Normative")</f>
        <v>1</v>
      </c>
      <c r="R1578" s="87" t="b">
        <f>AND(Requirements!L1580&lt;&gt;"Non-testable",Requirements!L1580&lt;&gt;"Deleted",Requirements!L1580&lt;&gt;"")</f>
        <v>0</v>
      </c>
      <c r="S1578" s="87" t="b">
        <f>(VLOOKUP(Requirements!I1580,Scope[[Role]:[Description]],2,FALSE)="In")</f>
        <v>1</v>
      </c>
      <c r="T1578" s="87">
        <f t="shared" si="99"/>
        <v>0</v>
      </c>
    </row>
    <row r="1579" spans="1:20">
      <c r="A1579" s="44" t="str">
        <f>Requirements!A1581</f>
        <v>MS-SMB_R5075</v>
      </c>
      <c r="B1579" s="87"/>
      <c r="C1579" s="87"/>
      <c r="D1579" s="87"/>
      <c r="E1579" s="87"/>
      <c r="F1579" s="87"/>
      <c r="G1579" s="87"/>
      <c r="H1579" s="87"/>
      <c r="I1579" s="87"/>
      <c r="J1579" s="87"/>
      <c r="K1579" s="87"/>
      <c r="L1579" s="87"/>
      <c r="M1579" s="87"/>
      <c r="N1579" s="87">
        <f t="shared" si="96"/>
        <v>0</v>
      </c>
      <c r="O1579" s="87">
        <f t="shared" si="97"/>
        <v>0</v>
      </c>
      <c r="P1579" s="87" t="b">
        <f t="shared" si="98"/>
        <v>0</v>
      </c>
      <c r="Q1579" s="87" t="b">
        <f>(Requirements!K1581="Normative")</f>
        <v>0</v>
      </c>
      <c r="R1579" s="87" t="b">
        <f>AND(Requirements!L1581&lt;&gt;"Non-testable",Requirements!L1581&lt;&gt;"Deleted",Requirements!L1581&lt;&gt;"")</f>
        <v>1</v>
      </c>
      <c r="S1579" s="87" t="b">
        <f>(VLOOKUP(Requirements!I1581,Scope[[Role]:[Description]],2,FALSE)="In")</f>
        <v>1</v>
      </c>
      <c r="T1579" s="87">
        <f t="shared" si="99"/>
        <v>0</v>
      </c>
    </row>
    <row r="1580" spans="1:20">
      <c r="A1580" s="44" t="str">
        <f>Requirements!A1582</f>
        <v>MS-SMB_R18</v>
      </c>
      <c r="B1580" s="87"/>
      <c r="C1580" s="87"/>
      <c r="D1580" s="87"/>
      <c r="E1580" s="87"/>
      <c r="F1580" s="87"/>
      <c r="G1580" s="87"/>
      <c r="H1580" s="87"/>
      <c r="I1580" s="87"/>
      <c r="J1580" s="87"/>
      <c r="K1580" s="87"/>
      <c r="L1580" s="87"/>
      <c r="M1580" s="87"/>
      <c r="N1580" s="87">
        <f t="shared" si="96"/>
        <v>0</v>
      </c>
      <c r="O1580" s="87">
        <f t="shared" si="97"/>
        <v>0</v>
      </c>
      <c r="P1580" s="87" t="b">
        <f t="shared" si="98"/>
        <v>0</v>
      </c>
      <c r="Q1580" s="87" t="b">
        <f>(Requirements!K1582="Normative")</f>
        <v>0</v>
      </c>
      <c r="R1580" s="87" t="b">
        <f>AND(Requirements!L1582&lt;&gt;"Non-testable",Requirements!L1582&lt;&gt;"Deleted",Requirements!L1582&lt;&gt;"")</f>
        <v>1</v>
      </c>
      <c r="S1580" s="87" t="b">
        <f>(VLOOKUP(Requirements!I1582,Scope[[Role]:[Description]],2,FALSE)="In")</f>
        <v>1</v>
      </c>
      <c r="T1580" s="87">
        <f t="shared" si="99"/>
        <v>0</v>
      </c>
    </row>
    <row r="1581" spans="1:20">
      <c r="A1581" s="44" t="str">
        <f>Requirements!A1583</f>
        <v>MS-SMB_R19</v>
      </c>
      <c r="B1581" s="87"/>
      <c r="C1581" s="87"/>
      <c r="D1581" s="87"/>
      <c r="E1581" s="87"/>
      <c r="F1581" s="87"/>
      <c r="G1581" s="87"/>
      <c r="H1581" s="87"/>
      <c r="I1581" s="87"/>
      <c r="J1581" s="87"/>
      <c r="K1581" s="87"/>
      <c r="L1581" s="87"/>
      <c r="M1581" s="87"/>
      <c r="N1581" s="87">
        <f t="shared" si="96"/>
        <v>0</v>
      </c>
      <c r="O1581" s="87">
        <f t="shared" si="97"/>
        <v>0</v>
      </c>
      <c r="P1581" s="87" t="b">
        <f t="shared" si="98"/>
        <v>0</v>
      </c>
      <c r="Q1581" s="87" t="b">
        <f>(Requirements!K1583="Normative")</f>
        <v>0</v>
      </c>
      <c r="R1581" s="87" t="b">
        <f>AND(Requirements!L1583&lt;&gt;"Non-testable",Requirements!L1583&lt;&gt;"Deleted",Requirements!L1583&lt;&gt;"")</f>
        <v>1</v>
      </c>
      <c r="S1581" s="87" t="b">
        <f>(VLOOKUP(Requirements!I1583,Scope[[Role]:[Description]],2,FALSE)="In")</f>
        <v>1</v>
      </c>
      <c r="T1581" s="87">
        <f t="shared" si="99"/>
        <v>0</v>
      </c>
    </row>
    <row r="1582" spans="1:20">
      <c r="A1582" s="44" t="str">
        <f>Requirements!A1584</f>
        <v>MS-SMB_R9500</v>
      </c>
      <c r="B1582" s="87"/>
      <c r="C1582" s="87"/>
      <c r="D1582" s="87"/>
      <c r="E1582" s="87"/>
      <c r="F1582" s="87"/>
      <c r="G1582" s="87"/>
      <c r="H1582" s="87"/>
      <c r="I1582" s="87"/>
      <c r="J1582" s="87"/>
      <c r="K1582" s="87"/>
      <c r="L1582" s="87"/>
      <c r="M1582" s="87"/>
      <c r="N1582" s="87">
        <f t="shared" si="96"/>
        <v>0</v>
      </c>
      <c r="O1582" s="87">
        <f t="shared" si="97"/>
        <v>0</v>
      </c>
      <c r="P1582" s="87" t="b">
        <f t="shared" si="98"/>
        <v>0</v>
      </c>
      <c r="Q1582" s="87" t="b">
        <f>(Requirements!K1584="Normative")</f>
        <v>0</v>
      </c>
      <c r="R1582" s="87" t="b">
        <f>AND(Requirements!L1584&lt;&gt;"Non-testable",Requirements!L1584&lt;&gt;"Deleted",Requirements!L1584&lt;&gt;"")</f>
        <v>1</v>
      </c>
      <c r="S1582" s="87" t="b">
        <f>(VLOOKUP(Requirements!I1584,Scope[[Role]:[Description]],2,FALSE)="In")</f>
        <v>1</v>
      </c>
      <c r="T1582" s="87">
        <f t="shared" si="99"/>
        <v>0</v>
      </c>
    </row>
    <row r="1583" spans="1:20">
      <c r="A1583" s="44" t="str">
        <f>Requirements!A1585</f>
        <v>MS-SMB_R9501</v>
      </c>
      <c r="B1583" s="87"/>
      <c r="C1583" s="87"/>
      <c r="D1583" s="87"/>
      <c r="E1583" s="87"/>
      <c r="F1583" s="87"/>
      <c r="G1583" s="87"/>
      <c r="H1583" s="87"/>
      <c r="I1583" s="87"/>
      <c r="J1583" s="87"/>
      <c r="K1583" s="87"/>
      <c r="L1583" s="87"/>
      <c r="M1583" s="87"/>
      <c r="N1583" s="87">
        <f t="shared" si="96"/>
        <v>0</v>
      </c>
      <c r="O1583" s="87">
        <f t="shared" si="97"/>
        <v>0</v>
      </c>
      <c r="P1583" s="87" t="b">
        <f t="shared" si="98"/>
        <v>0</v>
      </c>
      <c r="Q1583" s="87" t="b">
        <f>(Requirements!K1585="Normative")</f>
        <v>0</v>
      </c>
      <c r="R1583" s="87" t="b">
        <f>AND(Requirements!L1585&lt;&gt;"Non-testable",Requirements!L1585&lt;&gt;"Deleted",Requirements!L1585&lt;&gt;"")</f>
        <v>1</v>
      </c>
      <c r="S1583" s="87" t="b">
        <f>(VLOOKUP(Requirements!I1585,Scope[[Role]:[Description]],2,FALSE)="In")</f>
        <v>1</v>
      </c>
      <c r="T1583" s="87">
        <f t="shared" si="99"/>
        <v>0</v>
      </c>
    </row>
    <row r="1584" spans="1:20">
      <c r="A1584" s="44" t="str">
        <f>Requirements!A1586</f>
        <v>MS-SMB_R9502</v>
      </c>
      <c r="B1584" s="87"/>
      <c r="C1584" s="87"/>
      <c r="D1584" s="87"/>
      <c r="E1584" s="87"/>
      <c r="F1584" s="87"/>
      <c r="G1584" s="87"/>
      <c r="H1584" s="87"/>
      <c r="I1584" s="87"/>
      <c r="J1584" s="87"/>
      <c r="K1584" s="87"/>
      <c r="L1584" s="87"/>
      <c r="M1584" s="87"/>
      <c r="N1584" s="87">
        <f t="shared" si="96"/>
        <v>0</v>
      </c>
      <c r="O1584" s="87">
        <f t="shared" si="97"/>
        <v>0</v>
      </c>
      <c r="P1584" s="87" t="b">
        <f t="shared" si="98"/>
        <v>0</v>
      </c>
      <c r="Q1584" s="87" t="b">
        <f>(Requirements!K1586="Normative")</f>
        <v>0</v>
      </c>
      <c r="R1584" s="87" t="b">
        <f>AND(Requirements!L1586&lt;&gt;"Non-testable",Requirements!L1586&lt;&gt;"Deleted",Requirements!L1586&lt;&gt;"")</f>
        <v>1</v>
      </c>
      <c r="S1584" s="87" t="b">
        <f>(VLOOKUP(Requirements!I1586,Scope[[Role]:[Description]],2,FALSE)="In")</f>
        <v>1</v>
      </c>
      <c r="T1584" s="87">
        <f t="shared" si="99"/>
        <v>0</v>
      </c>
    </row>
    <row r="1585" spans="1:20">
      <c r="A1585" s="44" t="str">
        <f>Requirements!A1587</f>
        <v>MS-SMB_R9503</v>
      </c>
      <c r="B1585" s="87"/>
      <c r="C1585" s="87"/>
      <c r="D1585" s="87"/>
      <c r="E1585" s="87"/>
      <c r="F1585" s="87"/>
      <c r="G1585" s="87"/>
      <c r="H1585" s="87"/>
      <c r="I1585" s="87"/>
      <c r="J1585" s="87"/>
      <c r="K1585" s="87"/>
      <c r="L1585" s="87"/>
      <c r="M1585" s="87"/>
      <c r="N1585" s="87">
        <f t="shared" si="96"/>
        <v>0</v>
      </c>
      <c r="O1585" s="87">
        <f t="shared" si="97"/>
        <v>0</v>
      </c>
      <c r="P1585" s="87" t="b">
        <f t="shared" si="98"/>
        <v>0</v>
      </c>
      <c r="Q1585" s="87" t="b">
        <f>(Requirements!K1587="Normative")</f>
        <v>0</v>
      </c>
      <c r="R1585" s="87" t="b">
        <f>AND(Requirements!L1587&lt;&gt;"Non-testable",Requirements!L1587&lt;&gt;"Deleted",Requirements!L1587&lt;&gt;"")</f>
        <v>1</v>
      </c>
      <c r="S1585" s="87" t="b">
        <f>(VLOOKUP(Requirements!I1587,Scope[[Role]:[Description]],2,FALSE)="In")</f>
        <v>1</v>
      </c>
      <c r="T1585" s="87">
        <f t="shared" si="99"/>
        <v>0</v>
      </c>
    </row>
    <row r="1586" spans="1:20">
      <c r="A1586" s="84" t="str">
        <f>Requirements!A1588</f>
        <v>MS-SMB_R5</v>
      </c>
      <c r="B1586" s="87"/>
      <c r="C1586" s="87"/>
      <c r="D1586" s="87"/>
      <c r="E1586" s="87"/>
      <c r="F1586" s="87"/>
      <c r="G1586" s="87"/>
      <c r="H1586" s="87"/>
      <c r="I1586" s="87"/>
      <c r="J1586" s="87">
        <v>1</v>
      </c>
      <c r="K1586" s="87"/>
      <c r="L1586" s="87"/>
      <c r="M1586" s="87"/>
      <c r="N1586" s="87">
        <f t="shared" si="96"/>
        <v>1</v>
      </c>
      <c r="O1586" s="60">
        <f t="shared" si="97"/>
        <v>1</v>
      </c>
      <c r="P1586" s="60" t="b">
        <f t="shared" si="98"/>
        <v>1</v>
      </c>
      <c r="Q1586" s="87" t="b">
        <f>(Requirements!K1588="Normative")</f>
        <v>1</v>
      </c>
      <c r="R1586" s="87" t="b">
        <f>AND(Requirements!L1588&lt;&gt;"Non-testable",Requirements!L1588&lt;&gt;"Deleted",Requirements!L1588&lt;&gt;"")</f>
        <v>1</v>
      </c>
      <c r="S1586" s="87" t="b">
        <f>(VLOOKUP(Requirements!I1588,Scope[[Role]:[Description]],2,FALSE)="In")</f>
        <v>1</v>
      </c>
      <c r="T1586" s="87">
        <f t="shared" si="99"/>
        <v>1</v>
      </c>
    </row>
    <row r="1587" spans="1:20">
      <c r="A1587" s="44" t="str">
        <f>Requirements!A1589</f>
        <v>MS-SMB_R9505</v>
      </c>
      <c r="B1587" s="87"/>
      <c r="C1587" s="87"/>
      <c r="D1587" s="87"/>
      <c r="E1587" s="87"/>
      <c r="F1587" s="87"/>
      <c r="G1587" s="87"/>
      <c r="H1587" s="87"/>
      <c r="I1587" s="87"/>
      <c r="J1587" s="87"/>
      <c r="K1587" s="87"/>
      <c r="L1587" s="87"/>
      <c r="M1587" s="87"/>
      <c r="N1587" s="87">
        <f t="shared" si="96"/>
        <v>0</v>
      </c>
      <c r="O1587" s="87">
        <f t="shared" si="97"/>
        <v>0</v>
      </c>
      <c r="P1587" s="87" t="b">
        <f t="shared" si="98"/>
        <v>0</v>
      </c>
      <c r="Q1587" s="87" t="b">
        <f>(Requirements!K1589="Normative")</f>
        <v>0</v>
      </c>
      <c r="R1587" s="87" t="b">
        <f>AND(Requirements!L1589&lt;&gt;"Non-testable",Requirements!L1589&lt;&gt;"Deleted",Requirements!L1589&lt;&gt;"")</f>
        <v>1</v>
      </c>
      <c r="S1587" s="87" t="b">
        <f>(VLOOKUP(Requirements!I1589,Scope[[Role]:[Description]],2,FALSE)="In")</f>
        <v>1</v>
      </c>
      <c r="T1587" s="87">
        <f t="shared" si="99"/>
        <v>0</v>
      </c>
    </row>
    <row r="1588" spans="1:20">
      <c r="A1588" s="44" t="str">
        <f>Requirements!A1590</f>
        <v>MS-SMB_R9506</v>
      </c>
      <c r="B1588" s="87"/>
      <c r="C1588" s="87"/>
      <c r="D1588" s="87"/>
      <c r="E1588" s="87"/>
      <c r="F1588" s="87"/>
      <c r="G1588" s="87"/>
      <c r="H1588" s="87"/>
      <c r="I1588" s="87"/>
      <c r="J1588" s="87"/>
      <c r="K1588" s="87"/>
      <c r="L1588" s="87"/>
      <c r="M1588" s="87"/>
      <c r="N1588" s="87">
        <f t="shared" si="96"/>
        <v>0</v>
      </c>
      <c r="O1588" s="87">
        <f t="shared" si="97"/>
        <v>0</v>
      </c>
      <c r="P1588" s="87" t="b">
        <f t="shared" si="98"/>
        <v>0</v>
      </c>
      <c r="Q1588" s="87" t="b">
        <f>(Requirements!K1590="Normative")</f>
        <v>0</v>
      </c>
      <c r="R1588" s="87" t="b">
        <f>AND(Requirements!L1590&lt;&gt;"Non-testable",Requirements!L1590&lt;&gt;"Deleted",Requirements!L1590&lt;&gt;"")</f>
        <v>1</v>
      </c>
      <c r="S1588" s="87" t="b">
        <f>(VLOOKUP(Requirements!I1590,Scope[[Role]:[Description]],2,FALSE)="In")</f>
        <v>1</v>
      </c>
      <c r="T1588" s="87">
        <f t="shared" si="99"/>
        <v>0</v>
      </c>
    </row>
    <row r="1589" spans="1:20">
      <c r="A1589" s="44" t="str">
        <f>Requirements!A1591</f>
        <v>MS-SMB_R9507</v>
      </c>
      <c r="B1589" s="87"/>
      <c r="C1589" s="87"/>
      <c r="D1589" s="87"/>
      <c r="E1589" s="87"/>
      <c r="F1589" s="87"/>
      <c r="G1589" s="87"/>
      <c r="H1589" s="87"/>
      <c r="I1589" s="87"/>
      <c r="J1589" s="87"/>
      <c r="K1589" s="87"/>
      <c r="L1589" s="87"/>
      <c r="M1589" s="87"/>
      <c r="N1589" s="87">
        <f t="shared" si="96"/>
        <v>0</v>
      </c>
      <c r="O1589" s="87">
        <f t="shared" si="97"/>
        <v>0</v>
      </c>
      <c r="P1589" s="87" t="b">
        <f t="shared" si="98"/>
        <v>0</v>
      </c>
      <c r="Q1589" s="87" t="b">
        <f>(Requirements!K1591="Normative")</f>
        <v>0</v>
      </c>
      <c r="R1589" s="87" t="b">
        <f>AND(Requirements!L1591&lt;&gt;"Non-testable",Requirements!L1591&lt;&gt;"Deleted",Requirements!L1591&lt;&gt;"")</f>
        <v>1</v>
      </c>
      <c r="S1589" s="87" t="b">
        <f>(VLOOKUP(Requirements!I1591,Scope[[Role]:[Description]],2,FALSE)="In")</f>
        <v>1</v>
      </c>
      <c r="T1589" s="87">
        <f t="shared" si="99"/>
        <v>0</v>
      </c>
    </row>
    <row r="1590" spans="1:20">
      <c r="A1590" s="44" t="str">
        <f>Requirements!A1592</f>
        <v>MS-SMB_R9508</v>
      </c>
      <c r="B1590" s="87"/>
      <c r="C1590" s="87"/>
      <c r="D1590" s="87"/>
      <c r="E1590" s="87"/>
      <c r="F1590" s="87"/>
      <c r="G1590" s="87"/>
      <c r="H1590" s="87"/>
      <c r="I1590" s="87"/>
      <c r="J1590" s="87"/>
      <c r="K1590" s="87"/>
      <c r="L1590" s="87"/>
      <c r="M1590" s="87"/>
      <c r="N1590" s="87">
        <f t="shared" si="96"/>
        <v>0</v>
      </c>
      <c r="O1590" s="87">
        <f t="shared" si="97"/>
        <v>0</v>
      </c>
      <c r="P1590" s="87" t="b">
        <f t="shared" si="98"/>
        <v>0</v>
      </c>
      <c r="Q1590" s="87" t="b">
        <f>(Requirements!K1592="Normative")</f>
        <v>0</v>
      </c>
      <c r="R1590" s="87" t="b">
        <f>AND(Requirements!L1592&lt;&gt;"Non-testable",Requirements!L1592&lt;&gt;"Deleted",Requirements!L1592&lt;&gt;"")</f>
        <v>1</v>
      </c>
      <c r="S1590" s="87" t="b">
        <f>(VLOOKUP(Requirements!I1592,Scope[[Role]:[Description]],2,FALSE)="In")</f>
        <v>1</v>
      </c>
      <c r="T1590" s="87">
        <f t="shared" si="99"/>
        <v>0</v>
      </c>
    </row>
    <row r="1591" spans="1:20">
      <c r="A1591" s="44" t="str">
        <f>Requirements!A1593</f>
        <v>MS-SMB_R81</v>
      </c>
      <c r="B1591" s="87"/>
      <c r="C1591" s="87"/>
      <c r="D1591" s="87"/>
      <c r="E1591" s="87"/>
      <c r="F1591" s="87"/>
      <c r="G1591" s="87"/>
      <c r="H1591" s="87"/>
      <c r="I1591" s="87"/>
      <c r="J1591" s="87"/>
      <c r="K1591" s="87"/>
      <c r="L1591" s="87"/>
      <c r="M1591" s="87"/>
      <c r="N1591" s="87">
        <f t="shared" si="96"/>
        <v>0</v>
      </c>
      <c r="O1591" s="87">
        <f t="shared" si="97"/>
        <v>0</v>
      </c>
      <c r="P1591" s="87" t="b">
        <f t="shared" si="98"/>
        <v>0</v>
      </c>
      <c r="Q1591" s="87" t="b">
        <f>(Requirements!K1593="Normative")</f>
        <v>0</v>
      </c>
      <c r="R1591" s="87" t="b">
        <f>AND(Requirements!L1593&lt;&gt;"Non-testable",Requirements!L1593&lt;&gt;"Deleted",Requirements!L1593&lt;&gt;"")</f>
        <v>1</v>
      </c>
      <c r="S1591" s="87" t="b">
        <f>(VLOOKUP(Requirements!I1593,Scope[[Role]:[Description]],2,FALSE)="In")</f>
        <v>1</v>
      </c>
      <c r="T1591" s="87">
        <f t="shared" si="99"/>
        <v>0</v>
      </c>
    </row>
    <row r="1592" spans="1:20">
      <c r="A1592" s="85" t="str">
        <f>Requirements!A1594</f>
        <v>MS-SMB_R6858</v>
      </c>
      <c r="B1592" s="87"/>
      <c r="C1592" s="87"/>
      <c r="D1592" s="87"/>
      <c r="E1592" s="87"/>
      <c r="F1592" s="87"/>
      <c r="G1592" s="87"/>
      <c r="H1592" s="87"/>
      <c r="I1592" s="87"/>
      <c r="J1592" s="87"/>
      <c r="K1592" s="87"/>
      <c r="L1592" s="87"/>
      <c r="M1592" s="87"/>
      <c r="N1592" s="87">
        <f t="shared" si="96"/>
        <v>0</v>
      </c>
      <c r="O1592" s="61">
        <f t="shared" si="97"/>
        <v>0</v>
      </c>
      <c r="P1592" s="61" t="b">
        <f t="shared" si="98"/>
        <v>1</v>
      </c>
      <c r="Q1592" s="87" t="b">
        <f>(Requirements!K1594="Normative")</f>
        <v>1</v>
      </c>
      <c r="R1592" s="87" t="b">
        <f>AND(Requirements!L1594&lt;&gt;"Non-testable",Requirements!L1594&lt;&gt;"Deleted",Requirements!L1594&lt;&gt;"")</f>
        <v>1</v>
      </c>
      <c r="S1592" s="87" t="b">
        <f>(VLOOKUP(Requirements!I1594,Scope[[Role]:[Description]],2,FALSE)="In")</f>
        <v>1</v>
      </c>
      <c r="T1592" s="87">
        <f t="shared" si="99"/>
        <v>0</v>
      </c>
    </row>
    <row r="1593" spans="1:20">
      <c r="A1593" s="44" t="str">
        <f>Requirements!A1595</f>
        <v>MS-SMB_R9511</v>
      </c>
      <c r="B1593" s="87"/>
      <c r="C1593" s="87"/>
      <c r="D1593" s="87"/>
      <c r="E1593" s="87"/>
      <c r="F1593" s="87"/>
      <c r="G1593" s="87"/>
      <c r="H1593" s="87"/>
      <c r="I1593" s="87"/>
      <c r="J1593" s="87"/>
      <c r="K1593" s="87"/>
      <c r="L1593" s="87"/>
      <c r="M1593" s="87"/>
      <c r="N1593" s="87">
        <f t="shared" si="96"/>
        <v>0</v>
      </c>
      <c r="O1593" s="87">
        <f t="shared" si="97"/>
        <v>0</v>
      </c>
      <c r="P1593" s="87" t="b">
        <f t="shared" si="98"/>
        <v>0</v>
      </c>
      <c r="Q1593" s="87" t="b">
        <f>(Requirements!K1595="Normative")</f>
        <v>0</v>
      </c>
      <c r="R1593" s="87" t="b">
        <f>AND(Requirements!L1595&lt;&gt;"Non-testable",Requirements!L1595&lt;&gt;"Deleted",Requirements!L1595&lt;&gt;"")</f>
        <v>1</v>
      </c>
      <c r="S1593" s="87" t="b">
        <f>(VLOOKUP(Requirements!I1595,Scope[[Role]:[Description]],2,FALSE)="In")</f>
        <v>1</v>
      </c>
      <c r="T1593" s="87">
        <f t="shared" si="99"/>
        <v>0</v>
      </c>
    </row>
    <row r="1594" spans="1:20">
      <c r="A1594" s="44" t="str">
        <f>Requirements!A1596</f>
        <v>MS-SMB_R9512</v>
      </c>
      <c r="B1594" s="87"/>
      <c r="C1594" s="87"/>
      <c r="D1594" s="87"/>
      <c r="E1594" s="87"/>
      <c r="F1594" s="87"/>
      <c r="G1594" s="87"/>
      <c r="H1594" s="87"/>
      <c r="I1594" s="87"/>
      <c r="J1594" s="87"/>
      <c r="K1594" s="87"/>
      <c r="L1594" s="87"/>
      <c r="M1594" s="87"/>
      <c r="N1594" s="87">
        <f t="shared" si="96"/>
        <v>0</v>
      </c>
      <c r="O1594" s="87">
        <f t="shared" si="97"/>
        <v>0</v>
      </c>
      <c r="P1594" s="87" t="b">
        <f t="shared" si="98"/>
        <v>0</v>
      </c>
      <c r="Q1594" s="87" t="b">
        <f>(Requirements!K1596="Normative")</f>
        <v>0</v>
      </c>
      <c r="R1594" s="87" t="b">
        <f>AND(Requirements!L1596&lt;&gt;"Non-testable",Requirements!L1596&lt;&gt;"Deleted",Requirements!L1596&lt;&gt;"")</f>
        <v>1</v>
      </c>
      <c r="S1594" s="87" t="b">
        <f>(VLOOKUP(Requirements!I1596,Scope[[Role]:[Description]],2,FALSE)="In")</f>
        <v>1</v>
      </c>
      <c r="T1594" s="87">
        <f t="shared" si="99"/>
        <v>0</v>
      </c>
    </row>
    <row r="1595" spans="1:20">
      <c r="A1595" s="44" t="str">
        <f>Requirements!A1597</f>
        <v>MS-SMB_R9513</v>
      </c>
      <c r="B1595" s="87"/>
      <c r="C1595" s="87"/>
      <c r="D1595" s="87"/>
      <c r="E1595" s="87"/>
      <c r="F1595" s="87"/>
      <c r="G1595" s="87"/>
      <c r="H1595" s="87"/>
      <c r="I1595" s="87"/>
      <c r="J1595" s="87"/>
      <c r="K1595" s="87"/>
      <c r="L1595" s="87"/>
      <c r="M1595" s="87"/>
      <c r="N1595" s="87">
        <f t="shared" si="96"/>
        <v>0</v>
      </c>
      <c r="O1595" s="87">
        <f t="shared" si="97"/>
        <v>0</v>
      </c>
      <c r="P1595" s="87" t="b">
        <f t="shared" si="98"/>
        <v>0</v>
      </c>
      <c r="Q1595" s="87" t="b">
        <f>(Requirements!K1597="Normative")</f>
        <v>0</v>
      </c>
      <c r="R1595" s="87" t="b">
        <f>AND(Requirements!L1597&lt;&gt;"Non-testable",Requirements!L1597&lt;&gt;"Deleted",Requirements!L1597&lt;&gt;"")</f>
        <v>1</v>
      </c>
      <c r="S1595" s="87" t="b">
        <f>(VLOOKUP(Requirements!I1597,Scope[[Role]:[Description]],2,FALSE)="In")</f>
        <v>1</v>
      </c>
      <c r="T1595" s="87">
        <f t="shared" si="99"/>
        <v>0</v>
      </c>
    </row>
    <row r="1596" spans="1:20">
      <c r="A1596" s="44" t="str">
        <f>Requirements!A1598</f>
        <v>MS-SMB_R9514</v>
      </c>
      <c r="B1596" s="87"/>
      <c r="C1596" s="87"/>
      <c r="D1596" s="87"/>
      <c r="E1596" s="87"/>
      <c r="F1596" s="87"/>
      <c r="G1596" s="87"/>
      <c r="H1596" s="87"/>
      <c r="I1596" s="87"/>
      <c r="J1596" s="87"/>
      <c r="K1596" s="87"/>
      <c r="L1596" s="87"/>
      <c r="M1596" s="87"/>
      <c r="N1596" s="87">
        <f t="shared" si="96"/>
        <v>0</v>
      </c>
      <c r="O1596" s="87">
        <f t="shared" si="97"/>
        <v>0</v>
      </c>
      <c r="P1596" s="87" t="b">
        <f t="shared" si="98"/>
        <v>0</v>
      </c>
      <c r="Q1596" s="87" t="b">
        <f>(Requirements!K1598="Normative")</f>
        <v>0</v>
      </c>
      <c r="R1596" s="87" t="b">
        <f>AND(Requirements!L1598&lt;&gt;"Non-testable",Requirements!L1598&lt;&gt;"Deleted",Requirements!L1598&lt;&gt;"")</f>
        <v>1</v>
      </c>
      <c r="S1596" s="87" t="b">
        <f>(VLOOKUP(Requirements!I1598,Scope[[Role]:[Description]],2,FALSE)="In")</f>
        <v>1</v>
      </c>
      <c r="T1596" s="87">
        <f t="shared" si="99"/>
        <v>0</v>
      </c>
    </row>
    <row r="1597" spans="1:20">
      <c r="A1597" s="44" t="str">
        <f>Requirements!A1599</f>
        <v>MS-SMB_R9515</v>
      </c>
      <c r="B1597" s="87"/>
      <c r="C1597" s="87"/>
      <c r="D1597" s="87"/>
      <c r="E1597" s="87"/>
      <c r="F1597" s="87"/>
      <c r="G1597" s="87"/>
      <c r="H1597" s="87"/>
      <c r="I1597" s="87"/>
      <c r="J1597" s="87"/>
      <c r="K1597" s="87"/>
      <c r="L1597" s="87"/>
      <c r="M1597" s="87"/>
      <c r="N1597" s="87">
        <f t="shared" si="96"/>
        <v>0</v>
      </c>
      <c r="O1597" s="87">
        <f t="shared" si="97"/>
        <v>0</v>
      </c>
      <c r="P1597" s="87" t="b">
        <f t="shared" si="98"/>
        <v>0</v>
      </c>
      <c r="Q1597" s="87" t="b">
        <f>(Requirements!K1599="Normative")</f>
        <v>0</v>
      </c>
      <c r="R1597" s="87" t="b">
        <f>AND(Requirements!L1599&lt;&gt;"Non-testable",Requirements!L1599&lt;&gt;"Deleted",Requirements!L1599&lt;&gt;"")</f>
        <v>1</v>
      </c>
      <c r="S1597" s="87" t="b">
        <f>(VLOOKUP(Requirements!I1599,Scope[[Role]:[Description]],2,FALSE)="In")</f>
        <v>1</v>
      </c>
      <c r="T1597" s="87">
        <f t="shared" si="99"/>
        <v>0</v>
      </c>
    </row>
    <row r="1598" spans="1:20">
      <c r="A1598" s="44" t="str">
        <f>Requirements!A1600</f>
        <v>MS-SMB_R9516</v>
      </c>
      <c r="B1598" s="87"/>
      <c r="C1598" s="87"/>
      <c r="D1598" s="87"/>
      <c r="E1598" s="87"/>
      <c r="F1598" s="87"/>
      <c r="G1598" s="87"/>
      <c r="H1598" s="87"/>
      <c r="I1598" s="87"/>
      <c r="J1598" s="87"/>
      <c r="K1598" s="87"/>
      <c r="L1598" s="87"/>
      <c r="M1598" s="87"/>
      <c r="N1598" s="87">
        <f t="shared" si="96"/>
        <v>0</v>
      </c>
      <c r="O1598" s="87">
        <f t="shared" si="97"/>
        <v>0</v>
      </c>
      <c r="P1598" s="87" t="b">
        <f t="shared" si="98"/>
        <v>0</v>
      </c>
      <c r="Q1598" s="87" t="b">
        <f>(Requirements!K1600="Normative")</f>
        <v>0</v>
      </c>
      <c r="R1598" s="87" t="b">
        <f>AND(Requirements!L1600&lt;&gt;"Non-testable",Requirements!L1600&lt;&gt;"Deleted",Requirements!L1600&lt;&gt;"")</f>
        <v>1</v>
      </c>
      <c r="S1598" s="87" t="b">
        <f>(VLOOKUP(Requirements!I1600,Scope[[Role]:[Description]],2,FALSE)="In")</f>
        <v>1</v>
      </c>
      <c r="T1598" s="87">
        <f t="shared" si="99"/>
        <v>0</v>
      </c>
    </row>
    <row r="1599" spans="1:20">
      <c r="A1599" s="44" t="str">
        <f>Requirements!A1601</f>
        <v>MS-SMB_R9517</v>
      </c>
      <c r="B1599" s="87"/>
      <c r="C1599" s="87"/>
      <c r="D1599" s="87"/>
      <c r="E1599" s="87"/>
      <c r="F1599" s="87"/>
      <c r="G1599" s="87"/>
      <c r="H1599" s="87"/>
      <c r="I1599" s="87"/>
      <c r="J1599" s="87"/>
      <c r="K1599" s="87"/>
      <c r="L1599" s="87"/>
      <c r="M1599" s="87"/>
      <c r="N1599" s="87">
        <f t="shared" si="96"/>
        <v>0</v>
      </c>
      <c r="O1599" s="87">
        <f t="shared" si="97"/>
        <v>0</v>
      </c>
      <c r="P1599" s="87" t="b">
        <f t="shared" si="98"/>
        <v>0</v>
      </c>
      <c r="Q1599" s="87" t="b">
        <f>(Requirements!K1601="Normative")</f>
        <v>0</v>
      </c>
      <c r="R1599" s="87" t="b">
        <f>AND(Requirements!L1601&lt;&gt;"Non-testable",Requirements!L1601&lt;&gt;"Deleted",Requirements!L1601&lt;&gt;"")</f>
        <v>1</v>
      </c>
      <c r="S1599" s="87" t="b">
        <f>(VLOOKUP(Requirements!I1601,Scope[[Role]:[Description]],2,FALSE)="In")</f>
        <v>1</v>
      </c>
      <c r="T1599" s="87">
        <f t="shared" si="99"/>
        <v>0</v>
      </c>
    </row>
    <row r="1600" spans="1:20">
      <c r="A1600" s="44" t="str">
        <f>Requirements!A1602</f>
        <v>MS-SMB_R9518</v>
      </c>
      <c r="B1600" s="87"/>
      <c r="C1600" s="87"/>
      <c r="D1600" s="87"/>
      <c r="E1600" s="87"/>
      <c r="F1600" s="87"/>
      <c r="G1600" s="87"/>
      <c r="H1600" s="87"/>
      <c r="I1600" s="87"/>
      <c r="J1600" s="87"/>
      <c r="K1600" s="87"/>
      <c r="L1600" s="87"/>
      <c r="M1600" s="87"/>
      <c r="N1600" s="87">
        <f t="shared" si="96"/>
        <v>0</v>
      </c>
      <c r="O1600" s="87">
        <f t="shared" si="97"/>
        <v>0</v>
      </c>
      <c r="P1600" s="87" t="b">
        <f t="shared" si="98"/>
        <v>0</v>
      </c>
      <c r="Q1600" s="87" t="b">
        <f>(Requirements!K1602="Normative")</f>
        <v>0</v>
      </c>
      <c r="R1600" s="87" t="b">
        <f>AND(Requirements!L1602&lt;&gt;"Non-testable",Requirements!L1602&lt;&gt;"Deleted",Requirements!L1602&lt;&gt;"")</f>
        <v>1</v>
      </c>
      <c r="S1600" s="87" t="b">
        <f>(VLOOKUP(Requirements!I1602,Scope[[Role]:[Description]],2,FALSE)="In")</f>
        <v>1</v>
      </c>
      <c r="T1600" s="87">
        <f t="shared" si="99"/>
        <v>0</v>
      </c>
    </row>
    <row r="1601" spans="1:20">
      <c r="A1601" s="44" t="str">
        <f>Requirements!A1603</f>
        <v>MS-SMB_R9519</v>
      </c>
      <c r="B1601" s="87"/>
      <c r="C1601" s="87"/>
      <c r="D1601" s="87"/>
      <c r="E1601" s="87"/>
      <c r="F1601" s="87"/>
      <c r="G1601" s="87"/>
      <c r="H1601" s="87"/>
      <c r="I1601" s="87"/>
      <c r="J1601" s="87"/>
      <c r="K1601" s="87"/>
      <c r="L1601" s="87"/>
      <c r="M1601" s="87"/>
      <c r="N1601" s="87">
        <f t="shared" si="96"/>
        <v>0</v>
      </c>
      <c r="O1601" s="87">
        <f t="shared" si="97"/>
        <v>0</v>
      </c>
      <c r="P1601" s="87" t="b">
        <f t="shared" si="98"/>
        <v>0</v>
      </c>
      <c r="Q1601" s="87" t="b">
        <f>(Requirements!K1603="Normative")</f>
        <v>0</v>
      </c>
      <c r="R1601" s="87" t="b">
        <f>AND(Requirements!L1603&lt;&gt;"Non-testable",Requirements!L1603&lt;&gt;"Deleted",Requirements!L1603&lt;&gt;"")</f>
        <v>1</v>
      </c>
      <c r="S1601" s="87" t="b">
        <f>(VLOOKUP(Requirements!I1603,Scope[[Role]:[Description]],2,FALSE)="In")</f>
        <v>1</v>
      </c>
      <c r="T1601" s="87">
        <f t="shared" si="99"/>
        <v>0</v>
      </c>
    </row>
    <row r="1602" spans="1:20">
      <c r="A1602" s="44" t="str">
        <f>Requirements!A1604</f>
        <v>MS-SMB_R9520</v>
      </c>
      <c r="B1602" s="87"/>
      <c r="C1602" s="87"/>
      <c r="D1602" s="87"/>
      <c r="E1602" s="87"/>
      <c r="F1602" s="87"/>
      <c r="G1602" s="87"/>
      <c r="H1602" s="87"/>
      <c r="I1602" s="87"/>
      <c r="J1602" s="87"/>
      <c r="K1602" s="87"/>
      <c r="L1602" s="87"/>
      <c r="M1602" s="87"/>
      <c r="N1602" s="87">
        <f t="shared" si="96"/>
        <v>0</v>
      </c>
      <c r="O1602" s="87">
        <f t="shared" si="97"/>
        <v>0</v>
      </c>
      <c r="P1602" s="87" t="b">
        <f t="shared" si="98"/>
        <v>0</v>
      </c>
      <c r="Q1602" s="87" t="b">
        <f>(Requirements!K1604="Normative")</f>
        <v>0</v>
      </c>
      <c r="R1602" s="87" t="b">
        <f>AND(Requirements!L1604&lt;&gt;"Non-testable",Requirements!L1604&lt;&gt;"Deleted",Requirements!L1604&lt;&gt;"")</f>
        <v>1</v>
      </c>
      <c r="S1602" s="87" t="b">
        <f>(VLOOKUP(Requirements!I1604,Scope[[Role]:[Description]],2,FALSE)="In")</f>
        <v>1</v>
      </c>
      <c r="T1602" s="87">
        <f t="shared" si="99"/>
        <v>0</v>
      </c>
    </row>
    <row r="1603" spans="1:20">
      <c r="A1603" s="44" t="str">
        <f>Requirements!A1605</f>
        <v>MS-SMB_R9521</v>
      </c>
      <c r="B1603" s="87"/>
      <c r="C1603" s="87"/>
      <c r="D1603" s="87"/>
      <c r="E1603" s="87"/>
      <c r="F1603" s="87"/>
      <c r="G1603" s="87"/>
      <c r="H1603" s="87"/>
      <c r="I1603" s="87"/>
      <c r="J1603" s="87"/>
      <c r="K1603" s="87"/>
      <c r="L1603" s="87"/>
      <c r="M1603" s="87"/>
      <c r="N1603" s="87">
        <f t="shared" si="96"/>
        <v>0</v>
      </c>
      <c r="O1603" s="87">
        <f t="shared" si="97"/>
        <v>0</v>
      </c>
      <c r="P1603" s="87" t="b">
        <f t="shared" si="98"/>
        <v>0</v>
      </c>
      <c r="Q1603" s="87" t="b">
        <f>(Requirements!K1605="Normative")</f>
        <v>0</v>
      </c>
      <c r="R1603" s="87" t="b">
        <f>AND(Requirements!L1605&lt;&gt;"Non-testable",Requirements!L1605&lt;&gt;"Deleted",Requirements!L1605&lt;&gt;"")</f>
        <v>1</v>
      </c>
      <c r="S1603" s="87" t="b">
        <f>(VLOOKUP(Requirements!I1605,Scope[[Role]:[Description]],2,FALSE)="In")</f>
        <v>1</v>
      </c>
      <c r="T1603" s="87">
        <f t="shared" si="99"/>
        <v>0</v>
      </c>
    </row>
    <row r="1604" spans="1:20">
      <c r="A1604" s="44" t="str">
        <f>Requirements!A1606</f>
        <v>MS-SMB_R9522</v>
      </c>
      <c r="B1604" s="87"/>
      <c r="C1604" s="87"/>
      <c r="D1604" s="87"/>
      <c r="E1604" s="87"/>
      <c r="F1604" s="87"/>
      <c r="G1604" s="87"/>
      <c r="H1604" s="87"/>
      <c r="I1604" s="87"/>
      <c r="J1604" s="87"/>
      <c r="K1604" s="87"/>
      <c r="L1604" s="87"/>
      <c r="M1604" s="87"/>
      <c r="N1604" s="87">
        <f t="shared" si="96"/>
        <v>0</v>
      </c>
      <c r="O1604" s="87">
        <f t="shared" si="97"/>
        <v>0</v>
      </c>
      <c r="P1604" s="87" t="b">
        <f t="shared" si="98"/>
        <v>0</v>
      </c>
      <c r="Q1604" s="87" t="b">
        <f>(Requirements!K1606="Normative")</f>
        <v>0</v>
      </c>
      <c r="R1604" s="87" t="b">
        <f>AND(Requirements!L1606&lt;&gt;"Non-testable",Requirements!L1606&lt;&gt;"Deleted",Requirements!L1606&lt;&gt;"")</f>
        <v>1</v>
      </c>
      <c r="S1604" s="87" t="b">
        <f>(VLOOKUP(Requirements!I1606,Scope[[Role]:[Description]],2,FALSE)="In")</f>
        <v>1</v>
      </c>
      <c r="T1604" s="87">
        <f t="shared" si="99"/>
        <v>0</v>
      </c>
    </row>
    <row r="1605" spans="1:20">
      <c r="A1605" s="44" t="str">
        <f>Requirements!A1607</f>
        <v>MS-SMB_R9523</v>
      </c>
      <c r="B1605" s="87"/>
      <c r="C1605" s="87"/>
      <c r="D1605" s="87"/>
      <c r="E1605" s="87"/>
      <c r="F1605" s="87"/>
      <c r="G1605" s="87"/>
      <c r="H1605" s="87"/>
      <c r="I1605" s="87"/>
      <c r="J1605" s="87"/>
      <c r="K1605" s="87"/>
      <c r="L1605" s="87"/>
      <c r="M1605" s="87"/>
      <c r="N1605" s="87">
        <f t="shared" si="96"/>
        <v>0</v>
      </c>
      <c r="O1605" s="87">
        <f t="shared" si="97"/>
        <v>0</v>
      </c>
      <c r="P1605" s="87" t="b">
        <f t="shared" si="98"/>
        <v>0</v>
      </c>
      <c r="Q1605" s="87" t="b">
        <f>(Requirements!K1607="Normative")</f>
        <v>0</v>
      </c>
      <c r="R1605" s="87" t="b">
        <f>AND(Requirements!L1607&lt;&gt;"Non-testable",Requirements!L1607&lt;&gt;"Deleted",Requirements!L1607&lt;&gt;"")</f>
        <v>1</v>
      </c>
      <c r="S1605" s="87" t="b">
        <f>(VLOOKUP(Requirements!I1607,Scope[[Role]:[Description]],2,FALSE)="In")</f>
        <v>1</v>
      </c>
      <c r="T1605" s="87">
        <f t="shared" si="99"/>
        <v>0</v>
      </c>
    </row>
    <row r="1606" spans="1:20">
      <c r="A1606" s="44" t="str">
        <f>Requirements!A1608</f>
        <v>MS-SMB_R9524</v>
      </c>
      <c r="B1606" s="87"/>
      <c r="C1606" s="87"/>
      <c r="D1606" s="87"/>
      <c r="E1606" s="87"/>
      <c r="F1606" s="87"/>
      <c r="G1606" s="87"/>
      <c r="H1606" s="87"/>
      <c r="I1606" s="87"/>
      <c r="J1606" s="87"/>
      <c r="K1606" s="87"/>
      <c r="L1606" s="87"/>
      <c r="M1606" s="87"/>
      <c r="N1606" s="87">
        <f t="shared" si="96"/>
        <v>0</v>
      </c>
      <c r="O1606" s="87">
        <f t="shared" si="97"/>
        <v>0</v>
      </c>
      <c r="P1606" s="87" t="b">
        <f t="shared" si="98"/>
        <v>0</v>
      </c>
      <c r="Q1606" s="87" t="b">
        <f>(Requirements!K1608="Normative")</f>
        <v>0</v>
      </c>
      <c r="R1606" s="87" t="b">
        <f>AND(Requirements!L1608&lt;&gt;"Non-testable",Requirements!L1608&lt;&gt;"Deleted",Requirements!L1608&lt;&gt;"")</f>
        <v>1</v>
      </c>
      <c r="S1606" s="87" t="b">
        <f>(VLOOKUP(Requirements!I1608,Scope[[Role]:[Description]],2,FALSE)="In")</f>
        <v>1</v>
      </c>
      <c r="T1606" s="87">
        <f t="shared" si="99"/>
        <v>0</v>
      </c>
    </row>
    <row r="1607" spans="1:20">
      <c r="A1607" s="44" t="str">
        <f>Requirements!A1609</f>
        <v>MS-SMB_R9525</v>
      </c>
      <c r="B1607" s="87"/>
      <c r="C1607" s="87"/>
      <c r="D1607" s="87"/>
      <c r="E1607" s="87"/>
      <c r="F1607" s="87"/>
      <c r="G1607" s="87"/>
      <c r="H1607" s="87"/>
      <c r="I1607" s="87"/>
      <c r="J1607" s="87"/>
      <c r="K1607" s="87"/>
      <c r="L1607" s="87"/>
      <c r="M1607" s="87"/>
      <c r="N1607" s="87">
        <f t="shared" si="96"/>
        <v>0</v>
      </c>
      <c r="O1607" s="87">
        <f t="shared" si="97"/>
        <v>0</v>
      </c>
      <c r="P1607" s="87" t="b">
        <f t="shared" si="98"/>
        <v>0</v>
      </c>
      <c r="Q1607" s="87" t="b">
        <f>(Requirements!K1609="Normative")</f>
        <v>0</v>
      </c>
      <c r="R1607" s="87" t="b">
        <f>AND(Requirements!L1609&lt;&gt;"Non-testable",Requirements!L1609&lt;&gt;"Deleted",Requirements!L1609&lt;&gt;"")</f>
        <v>1</v>
      </c>
      <c r="S1607" s="87" t="b">
        <f>(VLOOKUP(Requirements!I1609,Scope[[Role]:[Description]],2,FALSE)="In")</f>
        <v>1</v>
      </c>
      <c r="T1607" s="87">
        <f t="shared" si="99"/>
        <v>0</v>
      </c>
    </row>
    <row r="1608" spans="1:20">
      <c r="A1608" s="44" t="str">
        <f>Requirements!A1610</f>
        <v>MS-SMB_R9526</v>
      </c>
      <c r="B1608" s="87"/>
      <c r="C1608" s="87"/>
      <c r="D1608" s="87"/>
      <c r="E1608" s="87"/>
      <c r="F1608" s="87"/>
      <c r="G1608" s="87"/>
      <c r="H1608" s="87"/>
      <c r="I1608" s="87"/>
      <c r="J1608" s="87"/>
      <c r="K1608" s="87"/>
      <c r="L1608" s="87"/>
      <c r="M1608" s="87"/>
      <c r="N1608" s="87">
        <f t="shared" si="96"/>
        <v>0</v>
      </c>
      <c r="O1608" s="87">
        <f t="shared" si="97"/>
        <v>0</v>
      </c>
      <c r="P1608" s="87" t="b">
        <f t="shared" si="98"/>
        <v>0</v>
      </c>
      <c r="Q1608" s="87" t="b">
        <f>(Requirements!K1610="Normative")</f>
        <v>0</v>
      </c>
      <c r="R1608" s="87" t="b">
        <f>AND(Requirements!L1610&lt;&gt;"Non-testable",Requirements!L1610&lt;&gt;"Deleted",Requirements!L1610&lt;&gt;"")</f>
        <v>1</v>
      </c>
      <c r="S1608" s="87" t="b">
        <f>(VLOOKUP(Requirements!I1610,Scope[[Role]:[Description]],2,FALSE)="In")</f>
        <v>1</v>
      </c>
      <c r="T1608" s="87">
        <f t="shared" si="99"/>
        <v>0</v>
      </c>
    </row>
    <row r="1609" spans="1:20">
      <c r="A1609" s="44" t="str">
        <f>Requirements!A1611</f>
        <v>MS-SMB_R9527</v>
      </c>
      <c r="B1609" s="87"/>
      <c r="C1609" s="87"/>
      <c r="D1609" s="87"/>
      <c r="E1609" s="87"/>
      <c r="F1609" s="87"/>
      <c r="G1609" s="87"/>
      <c r="H1609" s="87"/>
      <c r="I1609" s="87"/>
      <c r="J1609" s="87"/>
      <c r="K1609" s="87"/>
      <c r="L1609" s="87"/>
      <c r="M1609" s="87"/>
      <c r="N1609" s="87">
        <f t="shared" si="96"/>
        <v>0</v>
      </c>
      <c r="O1609" s="87">
        <f t="shared" si="97"/>
        <v>0</v>
      </c>
      <c r="P1609" s="87" t="b">
        <f t="shared" si="98"/>
        <v>0</v>
      </c>
      <c r="Q1609" s="87" t="b">
        <f>(Requirements!K1611="Normative")</f>
        <v>0</v>
      </c>
      <c r="R1609" s="87" t="b">
        <f>AND(Requirements!L1611&lt;&gt;"Non-testable",Requirements!L1611&lt;&gt;"Deleted",Requirements!L1611&lt;&gt;"")</f>
        <v>1</v>
      </c>
      <c r="S1609" s="87" t="b">
        <f>(VLOOKUP(Requirements!I1611,Scope[[Role]:[Description]],2,FALSE)="In")</f>
        <v>1</v>
      </c>
      <c r="T1609" s="87">
        <f t="shared" si="99"/>
        <v>0</v>
      </c>
    </row>
    <row r="1610" spans="1:20">
      <c r="A1610" s="84" t="str">
        <f>Requirements!A1612</f>
        <v>MS-SMB_R108</v>
      </c>
      <c r="B1610" s="87"/>
      <c r="C1610" s="87"/>
      <c r="D1610" s="87"/>
      <c r="E1610" s="87"/>
      <c r="F1610" s="87"/>
      <c r="G1610" s="87"/>
      <c r="H1610" s="87"/>
      <c r="I1610" s="87"/>
      <c r="J1610" s="87">
        <v>1</v>
      </c>
      <c r="K1610" s="87"/>
      <c r="L1610" s="87"/>
      <c r="M1610" s="87"/>
      <c r="N1610" s="87">
        <f t="shared" si="96"/>
        <v>1</v>
      </c>
      <c r="O1610" s="60">
        <f t="shared" si="97"/>
        <v>1</v>
      </c>
      <c r="P1610" s="60" t="b">
        <f t="shared" si="98"/>
        <v>1</v>
      </c>
      <c r="Q1610" s="87" t="b">
        <f>(Requirements!K1612="Normative")</f>
        <v>1</v>
      </c>
      <c r="R1610" s="87" t="b">
        <f>AND(Requirements!L1612&lt;&gt;"Non-testable",Requirements!L1612&lt;&gt;"Deleted",Requirements!L1612&lt;&gt;"")</f>
        <v>1</v>
      </c>
      <c r="S1610" s="87" t="b">
        <f>(VLOOKUP(Requirements!I1612,Scope[[Role]:[Description]],2,FALSE)="In")</f>
        <v>1</v>
      </c>
      <c r="T1610" s="87">
        <f t="shared" si="99"/>
        <v>1</v>
      </c>
    </row>
    <row r="1611" spans="1:20">
      <c r="A1611" s="44" t="str">
        <f>Requirements!A1613</f>
        <v>MS-SMB_R130</v>
      </c>
      <c r="B1611" s="87"/>
      <c r="C1611" s="87"/>
      <c r="D1611" s="87"/>
      <c r="E1611" s="87"/>
      <c r="F1611" s="87"/>
      <c r="G1611" s="87"/>
      <c r="H1611" s="87"/>
      <c r="I1611" s="87"/>
      <c r="J1611" s="87"/>
      <c r="K1611" s="87"/>
      <c r="L1611" s="87"/>
      <c r="M1611" s="87"/>
      <c r="N1611" s="87">
        <f t="shared" si="96"/>
        <v>0</v>
      </c>
      <c r="O1611" s="87">
        <f t="shared" si="97"/>
        <v>0</v>
      </c>
      <c r="P1611" s="87" t="b">
        <f t="shared" si="98"/>
        <v>0</v>
      </c>
      <c r="Q1611" s="87" t="b">
        <f>(Requirements!K1613="Normative")</f>
        <v>1</v>
      </c>
      <c r="R1611" s="87" t="b">
        <f>AND(Requirements!L1613&lt;&gt;"Non-testable",Requirements!L1613&lt;&gt;"Deleted",Requirements!L1613&lt;&gt;"")</f>
        <v>0</v>
      </c>
      <c r="S1611" s="87" t="b">
        <f>(VLOOKUP(Requirements!I1613,Scope[[Role]:[Description]],2,FALSE)="In")</f>
        <v>1</v>
      </c>
      <c r="T1611" s="87">
        <f t="shared" si="99"/>
        <v>0</v>
      </c>
    </row>
    <row r="1612" spans="1:20">
      <c r="A1612" s="44" t="str">
        <f>Requirements!A1614</f>
        <v>MS-SMB_R6867</v>
      </c>
      <c r="B1612" s="87"/>
      <c r="C1612" s="87"/>
      <c r="D1612" s="87"/>
      <c r="E1612" s="87"/>
      <c r="F1612" s="87"/>
      <c r="G1612" s="87"/>
      <c r="H1612" s="87"/>
      <c r="I1612" s="87"/>
      <c r="J1612" s="87"/>
      <c r="K1612" s="87"/>
      <c r="L1612" s="87"/>
      <c r="M1612" s="87"/>
      <c r="N1612" s="87">
        <f t="shared" si="96"/>
        <v>0</v>
      </c>
      <c r="O1612" s="87">
        <f t="shared" si="97"/>
        <v>0</v>
      </c>
      <c r="P1612" s="87" t="b">
        <f t="shared" si="98"/>
        <v>0</v>
      </c>
      <c r="Q1612" s="87" t="b">
        <f>(Requirements!K1614="Normative")</f>
        <v>0</v>
      </c>
      <c r="R1612" s="87" t="b">
        <f>AND(Requirements!L1614&lt;&gt;"Non-testable",Requirements!L1614&lt;&gt;"Deleted",Requirements!L1614&lt;&gt;"")</f>
        <v>1</v>
      </c>
      <c r="S1612" s="87" t="b">
        <f>(VLOOKUP(Requirements!I1614,Scope[[Role]:[Description]],2,FALSE)="In")</f>
        <v>1</v>
      </c>
      <c r="T1612" s="87">
        <f t="shared" si="99"/>
        <v>0</v>
      </c>
    </row>
    <row r="1613" spans="1:20">
      <c r="A1613" s="85" t="str">
        <f>Requirements!A1615</f>
        <v>MS-SMB_R6868</v>
      </c>
      <c r="B1613" s="87"/>
      <c r="C1613" s="87"/>
      <c r="D1613" s="87"/>
      <c r="E1613" s="87"/>
      <c r="F1613" s="87"/>
      <c r="G1613" s="87"/>
      <c r="H1613" s="87"/>
      <c r="I1613" s="87"/>
      <c r="J1613" s="87"/>
      <c r="K1613" s="87"/>
      <c r="L1613" s="87"/>
      <c r="M1613" s="87"/>
      <c r="N1613" s="87">
        <f t="shared" si="96"/>
        <v>0</v>
      </c>
      <c r="O1613" s="61">
        <f t="shared" si="97"/>
        <v>0</v>
      </c>
      <c r="P1613" s="61" t="b">
        <f t="shared" si="98"/>
        <v>1</v>
      </c>
      <c r="Q1613" s="87" t="b">
        <f>(Requirements!K1615="Normative")</f>
        <v>1</v>
      </c>
      <c r="R1613" s="87" t="b">
        <f>AND(Requirements!L1615&lt;&gt;"Non-testable",Requirements!L1615&lt;&gt;"Deleted",Requirements!L1615&lt;&gt;"")</f>
        <v>1</v>
      </c>
      <c r="S1613" s="87" t="b">
        <f>(VLOOKUP(Requirements!I1615,Scope[[Role]:[Description]],2,FALSE)="In")</f>
        <v>1</v>
      </c>
      <c r="T1613" s="87">
        <f t="shared" si="99"/>
        <v>0</v>
      </c>
    </row>
    <row r="1614" spans="1:20">
      <c r="A1614" s="85" t="str">
        <f>Requirements!A1616</f>
        <v>MS-SMB_R6869</v>
      </c>
      <c r="B1614" s="87"/>
      <c r="C1614" s="87"/>
      <c r="D1614" s="87"/>
      <c r="E1614" s="87"/>
      <c r="F1614" s="87"/>
      <c r="G1614" s="87"/>
      <c r="H1614" s="87"/>
      <c r="I1614" s="87"/>
      <c r="J1614" s="87"/>
      <c r="K1614" s="87"/>
      <c r="L1614" s="87"/>
      <c r="M1614" s="87"/>
      <c r="N1614" s="87">
        <f t="shared" si="96"/>
        <v>0</v>
      </c>
      <c r="O1614" s="61">
        <f t="shared" si="97"/>
        <v>0</v>
      </c>
      <c r="P1614" s="61" t="b">
        <f t="shared" si="98"/>
        <v>1</v>
      </c>
      <c r="Q1614" s="87" t="b">
        <f>(Requirements!K1616="Normative")</f>
        <v>1</v>
      </c>
      <c r="R1614" s="87" t="b">
        <f>AND(Requirements!L1616&lt;&gt;"Non-testable",Requirements!L1616&lt;&gt;"Deleted",Requirements!L1616&lt;&gt;"")</f>
        <v>1</v>
      </c>
      <c r="S1614" s="87" t="b">
        <f>(VLOOKUP(Requirements!I1616,Scope[[Role]:[Description]],2,FALSE)="In")</f>
        <v>1</v>
      </c>
      <c r="T1614" s="87">
        <f t="shared" si="99"/>
        <v>0</v>
      </c>
    </row>
    <row r="1615" spans="1:20">
      <c r="A1615" s="85" t="str">
        <f>Requirements!A1617</f>
        <v>MS-SMB_R6870</v>
      </c>
      <c r="B1615" s="87"/>
      <c r="C1615" s="87"/>
      <c r="D1615" s="87"/>
      <c r="E1615" s="87"/>
      <c r="F1615" s="87"/>
      <c r="G1615" s="87"/>
      <c r="H1615" s="87"/>
      <c r="I1615" s="87"/>
      <c r="J1615" s="87"/>
      <c r="K1615" s="87"/>
      <c r="L1615" s="87"/>
      <c r="M1615" s="87"/>
      <c r="N1615" s="87">
        <f t="shared" si="96"/>
        <v>0</v>
      </c>
      <c r="O1615" s="61">
        <f t="shared" si="97"/>
        <v>0</v>
      </c>
      <c r="P1615" s="61" t="b">
        <f t="shared" si="98"/>
        <v>1</v>
      </c>
      <c r="Q1615" s="87" t="b">
        <f>(Requirements!K1617="Normative")</f>
        <v>1</v>
      </c>
      <c r="R1615" s="87" t="b">
        <f>AND(Requirements!L1617&lt;&gt;"Non-testable",Requirements!L1617&lt;&gt;"Deleted",Requirements!L1617&lt;&gt;"")</f>
        <v>1</v>
      </c>
      <c r="S1615" s="87" t="b">
        <f>(VLOOKUP(Requirements!I1617,Scope[[Role]:[Description]],2,FALSE)="In")</f>
        <v>1</v>
      </c>
      <c r="T1615" s="87">
        <f t="shared" si="99"/>
        <v>0</v>
      </c>
    </row>
    <row r="1616" spans="1:20">
      <c r="A1616" s="85" t="str">
        <f>Requirements!A1618</f>
        <v>MS-SMB_R6871</v>
      </c>
      <c r="B1616" s="87"/>
      <c r="C1616" s="87"/>
      <c r="D1616" s="87"/>
      <c r="E1616" s="87"/>
      <c r="F1616" s="87"/>
      <c r="G1616" s="87"/>
      <c r="H1616" s="87"/>
      <c r="I1616" s="87"/>
      <c r="J1616" s="87"/>
      <c r="K1616" s="87"/>
      <c r="L1616" s="87"/>
      <c r="M1616" s="87"/>
      <c r="N1616" s="87">
        <f t="shared" si="96"/>
        <v>0</v>
      </c>
      <c r="O1616" s="61">
        <f t="shared" si="97"/>
        <v>0</v>
      </c>
      <c r="P1616" s="61" t="b">
        <f t="shared" si="98"/>
        <v>1</v>
      </c>
      <c r="Q1616" s="87" t="b">
        <f>(Requirements!K1618="Normative")</f>
        <v>1</v>
      </c>
      <c r="R1616" s="87" t="b">
        <f>AND(Requirements!L1618&lt;&gt;"Non-testable",Requirements!L1618&lt;&gt;"Deleted",Requirements!L1618&lt;&gt;"")</f>
        <v>1</v>
      </c>
      <c r="S1616" s="87" t="b">
        <f>(VLOOKUP(Requirements!I1618,Scope[[Role]:[Description]],2,FALSE)="In")</f>
        <v>1</v>
      </c>
      <c r="T1616" s="87">
        <f t="shared" si="99"/>
        <v>0</v>
      </c>
    </row>
    <row r="1617" spans="1:60">
      <c r="A1617" s="85" t="str">
        <f>Requirements!A1619</f>
        <v>MS-SMB_R6872</v>
      </c>
      <c r="B1617" s="87"/>
      <c r="C1617" s="87"/>
      <c r="D1617" s="87"/>
      <c r="E1617" s="87"/>
      <c r="F1617" s="87"/>
      <c r="G1617" s="87"/>
      <c r="H1617" s="87"/>
      <c r="I1617" s="87"/>
      <c r="J1617" s="87"/>
      <c r="K1617" s="87"/>
      <c r="L1617" s="87"/>
      <c r="M1617" s="87"/>
      <c r="N1617" s="87">
        <f t="shared" si="96"/>
        <v>0</v>
      </c>
      <c r="O1617" s="61">
        <f t="shared" si="97"/>
        <v>0</v>
      </c>
      <c r="P1617" s="61" t="b">
        <f t="shared" si="98"/>
        <v>1</v>
      </c>
      <c r="Q1617" s="87" t="b">
        <f>(Requirements!K1619="Normative")</f>
        <v>1</v>
      </c>
      <c r="R1617" s="87" t="b">
        <f>AND(Requirements!L1619&lt;&gt;"Non-testable",Requirements!L1619&lt;&gt;"Deleted",Requirements!L1619&lt;&gt;"")</f>
        <v>1</v>
      </c>
      <c r="S1617" s="87" t="b">
        <f>(VLOOKUP(Requirements!I1619,Scope[[Role]:[Description]],2,FALSE)="In")</f>
        <v>1</v>
      </c>
      <c r="T1617" s="87">
        <f t="shared" si="99"/>
        <v>0</v>
      </c>
    </row>
    <row r="1618" spans="1:60">
      <c r="A1618" s="85" t="str">
        <f>Requirements!A1620</f>
        <v>MS-SMB_R6873</v>
      </c>
      <c r="B1618" s="87"/>
      <c r="C1618" s="87"/>
      <c r="D1618" s="87"/>
      <c r="E1618" s="87"/>
      <c r="F1618" s="87"/>
      <c r="G1618" s="87"/>
      <c r="H1618" s="87"/>
      <c r="I1618" s="87"/>
      <c r="J1618" s="87"/>
      <c r="K1618" s="87"/>
      <c r="L1618" s="87"/>
      <c r="M1618" s="87"/>
      <c r="N1618" s="87">
        <f t="shared" si="96"/>
        <v>0</v>
      </c>
      <c r="O1618" s="61">
        <f t="shared" si="97"/>
        <v>0</v>
      </c>
      <c r="P1618" s="61" t="b">
        <f t="shared" si="98"/>
        <v>1</v>
      </c>
      <c r="Q1618" s="87" t="b">
        <f>(Requirements!K1620="Normative")</f>
        <v>1</v>
      </c>
      <c r="R1618" s="87" t="b">
        <f>AND(Requirements!L1620&lt;&gt;"Non-testable",Requirements!L1620&lt;&gt;"Deleted",Requirements!L1620&lt;&gt;"")</f>
        <v>1</v>
      </c>
      <c r="S1618" s="87" t="b">
        <f>(VLOOKUP(Requirements!I1620,Scope[[Role]:[Description]],2,FALSE)="In")</f>
        <v>1</v>
      </c>
      <c r="T1618" s="87">
        <f t="shared" si="99"/>
        <v>0</v>
      </c>
    </row>
    <row r="1619" spans="1:60">
      <c r="A1619" s="85" t="str">
        <f>Requirements!A1621</f>
        <v>MS-SMB_R6874</v>
      </c>
      <c r="B1619" s="87"/>
      <c r="C1619" s="87"/>
      <c r="D1619" s="87"/>
      <c r="E1619" s="87"/>
      <c r="F1619" s="87"/>
      <c r="G1619" s="87"/>
      <c r="H1619" s="87"/>
      <c r="I1619" s="87"/>
      <c r="J1619" s="87"/>
      <c r="K1619" s="87"/>
      <c r="L1619" s="87"/>
      <c r="M1619" s="87"/>
      <c r="N1619" s="87">
        <f t="shared" si="96"/>
        <v>0</v>
      </c>
      <c r="O1619" s="61">
        <f t="shared" si="97"/>
        <v>0</v>
      </c>
      <c r="P1619" s="61" t="b">
        <f t="shared" si="98"/>
        <v>1</v>
      </c>
      <c r="Q1619" s="87" t="b">
        <f>(Requirements!K1621="Normative")</f>
        <v>1</v>
      </c>
      <c r="R1619" s="87" t="b">
        <f>AND(Requirements!L1621&lt;&gt;"Non-testable",Requirements!L1621&lt;&gt;"Deleted",Requirements!L1621&lt;&gt;"")</f>
        <v>1</v>
      </c>
      <c r="S1619" s="87" t="b">
        <f>(VLOOKUP(Requirements!I1621,Scope[[Role]:[Description]],2,FALSE)="In")</f>
        <v>1</v>
      </c>
      <c r="T1619" s="87">
        <f t="shared" si="99"/>
        <v>0</v>
      </c>
    </row>
    <row r="1620" spans="1:60">
      <c r="A1620" s="85" t="str">
        <f>Requirements!A1622</f>
        <v>MS-SMB_R6875</v>
      </c>
      <c r="B1620" s="87"/>
      <c r="C1620" s="87"/>
      <c r="D1620" s="87"/>
      <c r="E1620" s="87"/>
      <c r="F1620" s="87"/>
      <c r="G1620" s="87"/>
      <c r="H1620" s="87"/>
      <c r="I1620" s="87"/>
      <c r="J1620" s="87"/>
      <c r="K1620" s="87"/>
      <c r="L1620" s="87"/>
      <c r="M1620" s="87"/>
      <c r="N1620" s="87">
        <f t="shared" ref="N1620:N1683" si="100">SUM(B1620:M1620)</f>
        <v>0</v>
      </c>
      <c r="O1620" s="61">
        <f t="shared" ref="O1620:O1683" si="101">IF(N1620=0,0,1)</f>
        <v>0</v>
      </c>
      <c r="P1620" s="61" t="b">
        <f t="shared" ref="P1620:P1683" si="102">AND(Q1620:S1620)</f>
        <v>1</v>
      </c>
      <c r="Q1620" s="87" t="b">
        <f>(Requirements!K1622="Normative")</f>
        <v>1</v>
      </c>
      <c r="R1620" s="87" t="b">
        <f>AND(Requirements!L1622&lt;&gt;"Non-testable",Requirements!L1622&lt;&gt;"Deleted",Requirements!L1622&lt;&gt;"")</f>
        <v>1</v>
      </c>
      <c r="S1620" s="87" t="b">
        <f>(VLOOKUP(Requirements!I1622,Scope[[Role]:[Description]],2,FALSE)="In")</f>
        <v>1</v>
      </c>
      <c r="T1620" s="87">
        <f t="shared" ref="T1620:T1683" si="103">IF(P1620,O1620, 0)</f>
        <v>0</v>
      </c>
    </row>
    <row r="1621" spans="1:60">
      <c r="A1621" s="44" t="str">
        <f>Requirements!A1623</f>
        <v>MS-SMB_R6876</v>
      </c>
      <c r="B1621" s="87"/>
      <c r="C1621" s="87"/>
      <c r="D1621" s="87"/>
      <c r="E1621" s="87"/>
      <c r="F1621" s="87"/>
      <c r="G1621" s="87"/>
      <c r="H1621" s="87"/>
      <c r="I1621" s="87"/>
      <c r="J1621" s="87"/>
      <c r="K1621" s="87"/>
      <c r="L1621" s="87"/>
      <c r="M1621" s="87"/>
      <c r="N1621" s="87">
        <f t="shared" si="100"/>
        <v>0</v>
      </c>
      <c r="O1621" s="87">
        <f t="shared" si="101"/>
        <v>0</v>
      </c>
      <c r="P1621" s="87" t="b">
        <f t="shared" si="102"/>
        <v>0</v>
      </c>
      <c r="Q1621" s="87" t="b">
        <f>(Requirements!K1623="Normative")</f>
        <v>0</v>
      </c>
      <c r="R1621" s="87" t="b">
        <f>AND(Requirements!L1623&lt;&gt;"Non-testable",Requirements!L1623&lt;&gt;"Deleted",Requirements!L1623&lt;&gt;"")</f>
        <v>1</v>
      </c>
      <c r="S1621" s="87" t="b">
        <f>(VLOOKUP(Requirements!I1623,Scope[[Role]:[Description]],2,FALSE)="In")</f>
        <v>1</v>
      </c>
      <c r="T1621" s="87">
        <f t="shared" si="103"/>
        <v>0</v>
      </c>
    </row>
    <row r="1622" spans="1:60">
      <c r="A1622" s="44" t="str">
        <f>Requirements!A1624</f>
        <v>MS-SMB_R9528</v>
      </c>
      <c r="B1622" s="87"/>
      <c r="C1622" s="87"/>
      <c r="D1622" s="87"/>
      <c r="E1622" s="87"/>
      <c r="F1622" s="87"/>
      <c r="G1622" s="87"/>
      <c r="H1622" s="87"/>
      <c r="I1622" s="87"/>
      <c r="J1622" s="87"/>
      <c r="K1622" s="87"/>
      <c r="L1622" s="87"/>
      <c r="M1622" s="87"/>
      <c r="N1622" s="87">
        <f t="shared" si="100"/>
        <v>0</v>
      </c>
      <c r="O1622" s="87">
        <f t="shared" si="101"/>
        <v>0</v>
      </c>
      <c r="P1622" s="87" t="b">
        <f t="shared" si="102"/>
        <v>0</v>
      </c>
      <c r="Q1622" s="87" t="b">
        <f>(Requirements!K1624="Normative")</f>
        <v>1</v>
      </c>
      <c r="R1622" s="87" t="b">
        <f>AND(Requirements!L1624&lt;&gt;"Non-testable",Requirements!L1624&lt;&gt;"Deleted",Requirements!L1624&lt;&gt;"")</f>
        <v>0</v>
      </c>
      <c r="S1622" s="87" t="b">
        <f>(VLOOKUP(Requirements!I1624,Scope[[Role]:[Description]],2,FALSE)="In")</f>
        <v>1</v>
      </c>
      <c r="T1622" s="87">
        <f t="shared" si="103"/>
        <v>0</v>
      </c>
    </row>
    <row r="1623" spans="1:60">
      <c r="A1623" s="44" t="str">
        <f>Requirements!A1625</f>
        <v>MS-SMB_R9529</v>
      </c>
      <c r="B1623" s="87"/>
      <c r="C1623" s="87"/>
      <c r="D1623" s="87"/>
      <c r="E1623" s="87"/>
      <c r="F1623" s="87"/>
      <c r="G1623" s="87"/>
      <c r="H1623" s="87"/>
      <c r="I1623" s="87"/>
      <c r="J1623" s="87"/>
      <c r="K1623" s="87"/>
      <c r="L1623" s="87"/>
      <c r="M1623" s="87"/>
      <c r="N1623" s="87">
        <f t="shared" si="100"/>
        <v>0</v>
      </c>
      <c r="O1623" s="87">
        <f t="shared" si="101"/>
        <v>0</v>
      </c>
      <c r="P1623" s="87" t="b">
        <f t="shared" si="102"/>
        <v>0</v>
      </c>
      <c r="Q1623" s="87" t="b">
        <f>(Requirements!K1625="Normative")</f>
        <v>1</v>
      </c>
      <c r="R1623" s="87" t="b">
        <f>AND(Requirements!L1625&lt;&gt;"Non-testable",Requirements!L1625&lt;&gt;"Deleted",Requirements!L1625&lt;&gt;"")</f>
        <v>0</v>
      </c>
      <c r="S1623" s="87" t="b">
        <f>(VLOOKUP(Requirements!I1625,Scope[[Role]:[Description]],2,FALSE)="In")</f>
        <v>1</v>
      </c>
      <c r="T1623" s="87">
        <f t="shared" si="103"/>
        <v>0</v>
      </c>
    </row>
    <row r="1624" spans="1:60">
      <c r="A1624" s="44" t="str">
        <f>Requirements!A1626</f>
        <v>MS-SMB_R9530</v>
      </c>
      <c r="B1624" s="87"/>
      <c r="C1624" s="87"/>
      <c r="D1624" s="87"/>
      <c r="E1624" s="87"/>
      <c r="F1624" s="87"/>
      <c r="G1624" s="87"/>
      <c r="H1624" s="87"/>
      <c r="I1624" s="87"/>
      <c r="J1624" s="87"/>
      <c r="K1624" s="87"/>
      <c r="L1624" s="87"/>
      <c r="M1624" s="87"/>
      <c r="N1624" s="87">
        <f t="shared" si="100"/>
        <v>0</v>
      </c>
      <c r="O1624" s="87">
        <f t="shared" si="101"/>
        <v>0</v>
      </c>
      <c r="P1624" s="87" t="b">
        <f t="shared" si="102"/>
        <v>0</v>
      </c>
      <c r="Q1624" s="87" t="b">
        <f>(Requirements!K1626="Normative")</f>
        <v>1</v>
      </c>
      <c r="R1624" s="87" t="b">
        <f>AND(Requirements!L1626&lt;&gt;"Non-testable",Requirements!L1626&lt;&gt;"Deleted",Requirements!L1626&lt;&gt;"")</f>
        <v>0</v>
      </c>
      <c r="S1624" s="87" t="b">
        <f>(VLOOKUP(Requirements!I1626,Scope[[Role]:[Description]],2,FALSE)="In")</f>
        <v>1</v>
      </c>
      <c r="T1624" s="87">
        <f t="shared" si="103"/>
        <v>0</v>
      </c>
    </row>
    <row r="1625" spans="1:60">
      <c r="A1625" s="44" t="str">
        <f>Requirements!A1627</f>
        <v>MS-SMB_R109530</v>
      </c>
      <c r="B1625" s="87"/>
      <c r="C1625" s="87"/>
      <c r="D1625" s="87"/>
      <c r="E1625" s="87"/>
      <c r="F1625" s="87"/>
      <c r="G1625" s="87"/>
      <c r="H1625" s="87"/>
      <c r="I1625" s="87"/>
      <c r="J1625" s="87"/>
      <c r="K1625" s="87"/>
      <c r="L1625" s="87"/>
      <c r="M1625" s="87"/>
      <c r="N1625" s="87">
        <f t="shared" si="100"/>
        <v>0</v>
      </c>
      <c r="O1625" s="87">
        <f t="shared" si="101"/>
        <v>0</v>
      </c>
      <c r="P1625" s="87" t="b">
        <f t="shared" si="102"/>
        <v>0</v>
      </c>
      <c r="Q1625" s="87" t="b">
        <f>(Requirements!K1627="Normative")</f>
        <v>1</v>
      </c>
      <c r="R1625" s="87" t="b">
        <f>AND(Requirements!L1627&lt;&gt;"Non-testable",Requirements!L1627&lt;&gt;"Deleted",Requirements!L1627&lt;&gt;"")</f>
        <v>0</v>
      </c>
      <c r="S1625" s="87" t="b">
        <f>(VLOOKUP(Requirements!I1627,Scope[[Role]:[Description]],2,FALSE)="In")</f>
        <v>1</v>
      </c>
      <c r="T1625" s="87">
        <f t="shared" si="103"/>
        <v>0</v>
      </c>
    </row>
    <row r="1626" spans="1:60">
      <c r="A1626" s="44" t="str">
        <f>Requirements!A1628</f>
        <v>MS-SMB_R9531</v>
      </c>
      <c r="B1626" s="87"/>
      <c r="C1626" s="87"/>
      <c r="D1626" s="87"/>
      <c r="E1626" s="87"/>
      <c r="F1626" s="87"/>
      <c r="G1626" s="87"/>
      <c r="H1626" s="87"/>
      <c r="I1626" s="87"/>
      <c r="J1626" s="87"/>
      <c r="K1626" s="87"/>
      <c r="L1626" s="87"/>
      <c r="M1626" s="87"/>
      <c r="N1626" s="87">
        <f t="shared" si="100"/>
        <v>0</v>
      </c>
      <c r="O1626" s="87">
        <f t="shared" si="101"/>
        <v>0</v>
      </c>
      <c r="P1626" s="87" t="b">
        <f t="shared" si="102"/>
        <v>0</v>
      </c>
      <c r="Q1626" s="87" t="b">
        <f>(Requirements!K1628="Normative")</f>
        <v>0</v>
      </c>
      <c r="R1626" s="87" t="b">
        <f>AND(Requirements!L1628&lt;&gt;"Non-testable",Requirements!L1628&lt;&gt;"Deleted",Requirements!L1628&lt;&gt;"")</f>
        <v>1</v>
      </c>
      <c r="S1626" s="87" t="b">
        <f>(VLOOKUP(Requirements!I1628,Scope[[Role]:[Description]],2,FALSE)="In")</f>
        <v>1</v>
      </c>
      <c r="T1626" s="87">
        <f t="shared" si="103"/>
        <v>0</v>
      </c>
    </row>
    <row r="1627" spans="1:60">
      <c r="A1627" s="83" t="str">
        <f>Requirements!A1629</f>
        <v>MS-SMB_R9532</v>
      </c>
      <c r="B1627" s="46"/>
      <c r="C1627" s="46"/>
      <c r="D1627" s="46"/>
      <c r="E1627" s="46"/>
      <c r="F1627" s="46"/>
      <c r="G1627" s="46"/>
      <c r="H1627" s="46"/>
      <c r="I1627" s="46"/>
      <c r="J1627" s="46"/>
      <c r="K1627" s="46"/>
      <c r="L1627" s="46"/>
      <c r="M1627" s="46"/>
      <c r="N1627" s="46">
        <f t="shared" si="100"/>
        <v>0</v>
      </c>
      <c r="O1627" s="46">
        <f t="shared" si="101"/>
        <v>0</v>
      </c>
      <c r="P1627" s="46" t="b">
        <f t="shared" si="102"/>
        <v>0</v>
      </c>
      <c r="Q1627" s="46" t="b">
        <f>(Requirements!K1629="Normative")</f>
        <v>0</v>
      </c>
      <c r="R1627" s="46" t="b">
        <f>AND(Requirements!L1629&lt;&gt;"Non-testable",Requirements!L1629&lt;&gt;"Deleted",Requirements!L1629&lt;&gt;"")</f>
        <v>0</v>
      </c>
      <c r="S1627" s="46" t="b">
        <f>(VLOOKUP(Requirements!I1629,Scope[[Role]:[Description]],2,FALSE)="In")</f>
        <v>1</v>
      </c>
      <c r="T1627" s="46">
        <f t="shared" si="103"/>
        <v>0</v>
      </c>
      <c r="U1627" s="45"/>
      <c r="V1627" s="45"/>
      <c r="W1627" s="45"/>
      <c r="X1627" s="45"/>
      <c r="Y1627" s="45"/>
      <c r="Z1627" s="45"/>
      <c r="AA1627" s="45"/>
      <c r="AB1627" s="45"/>
      <c r="AC1627" s="45"/>
      <c r="AD1627" s="45"/>
      <c r="AE1627" s="45"/>
      <c r="AF1627" s="45"/>
      <c r="AG1627" s="45"/>
      <c r="AH1627" s="45"/>
      <c r="AI1627" s="45"/>
      <c r="AJ1627" s="45"/>
      <c r="AK1627" s="45"/>
      <c r="AL1627" s="45"/>
      <c r="AM1627" s="45"/>
      <c r="AN1627" s="45"/>
      <c r="AO1627" s="45"/>
      <c r="AP1627" s="45"/>
      <c r="AQ1627" s="45"/>
      <c r="AR1627" s="45"/>
      <c r="AS1627" s="45"/>
      <c r="AT1627" s="45"/>
      <c r="AU1627" s="45"/>
      <c r="AV1627" s="45"/>
      <c r="AW1627" s="45"/>
      <c r="AX1627" s="45"/>
      <c r="AY1627" s="45"/>
      <c r="AZ1627" s="45"/>
      <c r="BA1627" s="45"/>
      <c r="BB1627" s="45"/>
      <c r="BC1627" s="45"/>
      <c r="BD1627" s="45"/>
      <c r="BE1627" s="45"/>
      <c r="BF1627" s="45"/>
      <c r="BG1627" s="45"/>
      <c r="BH1627" s="45"/>
    </row>
    <row r="1628" spans="1:60">
      <c r="A1628" s="85" t="str">
        <f>Requirements!A1630</f>
        <v>MS-SMB_R9533</v>
      </c>
      <c r="B1628" s="87"/>
      <c r="C1628" s="87"/>
      <c r="D1628" s="87"/>
      <c r="E1628" s="87"/>
      <c r="F1628" s="87"/>
      <c r="G1628" s="87"/>
      <c r="H1628" s="87"/>
      <c r="I1628" s="87"/>
      <c r="J1628" s="87"/>
      <c r="K1628" s="87"/>
      <c r="L1628" s="87"/>
      <c r="M1628" s="87"/>
      <c r="N1628" s="87">
        <f t="shared" si="100"/>
        <v>0</v>
      </c>
      <c r="O1628" s="61">
        <f t="shared" si="101"/>
        <v>0</v>
      </c>
      <c r="P1628" s="61" t="b">
        <f t="shared" si="102"/>
        <v>1</v>
      </c>
      <c r="Q1628" s="87" t="b">
        <f>(Requirements!K1630="Normative")</f>
        <v>1</v>
      </c>
      <c r="R1628" s="87" t="b">
        <f>AND(Requirements!L1630&lt;&gt;"Non-testable",Requirements!L1630&lt;&gt;"Deleted",Requirements!L1630&lt;&gt;"")</f>
        <v>1</v>
      </c>
      <c r="S1628" s="87" t="b">
        <f>(VLOOKUP(Requirements!I1630,Scope[[Role]:[Description]],2,FALSE)="In")</f>
        <v>1</v>
      </c>
      <c r="T1628" s="87">
        <f t="shared" si="103"/>
        <v>0</v>
      </c>
    </row>
    <row r="1629" spans="1:60">
      <c r="A1629" s="44" t="str">
        <f>Requirements!A1631</f>
        <v>MS-SMB_R109533</v>
      </c>
      <c r="B1629" s="87"/>
      <c r="C1629" s="87"/>
      <c r="D1629" s="87"/>
      <c r="E1629" s="87"/>
      <c r="F1629" s="87"/>
      <c r="G1629" s="87"/>
      <c r="H1629" s="87"/>
      <c r="I1629" s="87"/>
      <c r="J1629" s="87"/>
      <c r="K1629" s="87"/>
      <c r="L1629" s="87"/>
      <c r="M1629" s="87"/>
      <c r="N1629" s="87">
        <f t="shared" si="100"/>
        <v>0</v>
      </c>
      <c r="O1629" s="87">
        <f t="shared" si="101"/>
        <v>0</v>
      </c>
      <c r="P1629" s="87" t="b">
        <f t="shared" si="102"/>
        <v>0</v>
      </c>
      <c r="Q1629" s="87" t="b">
        <f>(Requirements!K1631="Normative")</f>
        <v>1</v>
      </c>
      <c r="R1629" s="87" t="b">
        <f>AND(Requirements!L1631&lt;&gt;"Non-testable",Requirements!L1631&lt;&gt;"Deleted",Requirements!L1631&lt;&gt;"")</f>
        <v>0</v>
      </c>
      <c r="S1629" s="87" t="b">
        <f>(VLOOKUP(Requirements!I1631,Scope[[Role]:[Description]],2,FALSE)="In")</f>
        <v>1</v>
      </c>
      <c r="T1629" s="87">
        <f t="shared" si="103"/>
        <v>0</v>
      </c>
    </row>
    <row r="1630" spans="1:60">
      <c r="A1630" s="83" t="str">
        <f>Requirements!A1632</f>
        <v>MS-SMB_R209533</v>
      </c>
      <c r="B1630" s="46"/>
      <c r="C1630" s="46"/>
      <c r="D1630" s="46"/>
      <c r="E1630" s="46"/>
      <c r="F1630" s="46"/>
      <c r="G1630" s="46"/>
      <c r="H1630" s="46"/>
      <c r="I1630" s="46"/>
      <c r="J1630" s="46"/>
      <c r="K1630" s="46"/>
      <c r="L1630" s="46"/>
      <c r="M1630" s="46"/>
      <c r="N1630" s="46">
        <f t="shared" si="100"/>
        <v>0</v>
      </c>
      <c r="O1630" s="46">
        <f t="shared" si="101"/>
        <v>0</v>
      </c>
      <c r="P1630" s="46" t="b">
        <f t="shared" si="102"/>
        <v>0</v>
      </c>
      <c r="Q1630" s="46" t="b">
        <f>(Requirements!K1632="Normative")</f>
        <v>0</v>
      </c>
      <c r="R1630" s="46" t="b">
        <f>AND(Requirements!L1632&lt;&gt;"Non-testable",Requirements!L1632&lt;&gt;"Deleted",Requirements!L1632&lt;&gt;"")</f>
        <v>0</v>
      </c>
      <c r="S1630" s="46" t="b">
        <f>(VLOOKUP(Requirements!I1632,Scope[[Role]:[Description]],2,FALSE)="In")</f>
        <v>1</v>
      </c>
      <c r="T1630" s="46">
        <f t="shared" si="103"/>
        <v>0</v>
      </c>
      <c r="U1630" s="45"/>
      <c r="V1630" s="45"/>
      <c r="W1630" s="45"/>
      <c r="X1630" s="45"/>
      <c r="Y1630" s="45"/>
      <c r="Z1630" s="45"/>
      <c r="AA1630" s="45"/>
      <c r="AB1630" s="45"/>
      <c r="AC1630" s="45"/>
      <c r="AD1630" s="45"/>
      <c r="AE1630" s="45"/>
      <c r="AF1630" s="45"/>
      <c r="AG1630" s="45"/>
      <c r="AH1630" s="45"/>
      <c r="AI1630" s="45"/>
      <c r="AJ1630" s="45"/>
      <c r="AK1630" s="45"/>
      <c r="AL1630" s="45"/>
      <c r="AM1630" s="45"/>
      <c r="AN1630" s="45"/>
      <c r="AO1630" s="45"/>
      <c r="AP1630" s="45"/>
      <c r="AQ1630" s="45"/>
      <c r="AR1630" s="45"/>
      <c r="AS1630" s="45"/>
      <c r="AT1630" s="45"/>
      <c r="AU1630" s="45"/>
      <c r="AV1630" s="45"/>
      <c r="AW1630" s="45"/>
      <c r="AX1630" s="45"/>
      <c r="AY1630" s="45"/>
      <c r="AZ1630" s="45"/>
      <c r="BA1630" s="45"/>
      <c r="BB1630" s="45"/>
      <c r="BC1630" s="45"/>
      <c r="BD1630" s="45"/>
      <c r="BE1630" s="45"/>
      <c r="BF1630" s="45"/>
      <c r="BG1630" s="45"/>
      <c r="BH1630" s="45"/>
    </row>
    <row r="1631" spans="1:60">
      <c r="A1631" s="84" t="str">
        <f>Requirements!A1633</f>
        <v>MS-SMB_R6894</v>
      </c>
      <c r="B1631" s="87"/>
      <c r="C1631" s="87"/>
      <c r="D1631" s="87"/>
      <c r="E1631" s="87"/>
      <c r="F1631" s="87"/>
      <c r="G1631" s="87"/>
      <c r="H1631" s="87"/>
      <c r="I1631" s="87"/>
      <c r="J1631" s="87"/>
      <c r="K1631" s="87"/>
      <c r="L1631" s="87">
        <v>1</v>
      </c>
      <c r="M1631" s="87"/>
      <c r="N1631" s="87">
        <f t="shared" si="100"/>
        <v>1</v>
      </c>
      <c r="O1631" s="60">
        <f t="shared" si="101"/>
        <v>1</v>
      </c>
      <c r="P1631" s="60" t="b">
        <f t="shared" si="102"/>
        <v>1</v>
      </c>
      <c r="Q1631" s="87" t="b">
        <f>(Requirements!K1633="Normative")</f>
        <v>1</v>
      </c>
      <c r="R1631" s="87" t="b">
        <f>AND(Requirements!L1633&lt;&gt;"Non-testable",Requirements!L1633&lt;&gt;"Deleted",Requirements!L1633&lt;&gt;"")</f>
        <v>1</v>
      </c>
      <c r="S1631" s="87" t="b">
        <f>(VLOOKUP(Requirements!I1633,Scope[[Role]:[Description]],2,FALSE)="In")</f>
        <v>1</v>
      </c>
      <c r="T1631" s="87">
        <f t="shared" si="103"/>
        <v>1</v>
      </c>
    </row>
    <row r="1632" spans="1:60">
      <c r="A1632" s="85" t="str">
        <f>Requirements!A1634</f>
        <v>MS-SMB_R6895</v>
      </c>
      <c r="B1632" s="87"/>
      <c r="C1632" s="87"/>
      <c r="D1632" s="87"/>
      <c r="E1632" s="87"/>
      <c r="F1632" s="87"/>
      <c r="G1632" s="87"/>
      <c r="H1632" s="87"/>
      <c r="I1632" s="87"/>
      <c r="J1632" s="87"/>
      <c r="K1632" s="87"/>
      <c r="L1632" s="87"/>
      <c r="M1632" s="87"/>
      <c r="N1632" s="87">
        <f t="shared" si="100"/>
        <v>0</v>
      </c>
      <c r="O1632" s="61">
        <f t="shared" si="101"/>
        <v>0</v>
      </c>
      <c r="P1632" s="61" t="b">
        <f t="shared" si="102"/>
        <v>1</v>
      </c>
      <c r="Q1632" s="87" t="b">
        <f>(Requirements!K1634="Normative")</f>
        <v>1</v>
      </c>
      <c r="R1632" s="87" t="b">
        <f>AND(Requirements!L1634&lt;&gt;"Non-testable",Requirements!L1634&lt;&gt;"Deleted",Requirements!L1634&lt;&gt;"")</f>
        <v>1</v>
      </c>
      <c r="S1632" s="87" t="b">
        <f>(VLOOKUP(Requirements!I1634,Scope[[Role]:[Description]],2,FALSE)="In")</f>
        <v>1</v>
      </c>
      <c r="T1632" s="87">
        <f t="shared" si="103"/>
        <v>0</v>
      </c>
    </row>
    <row r="1633" spans="1:60">
      <c r="A1633" s="85" t="str">
        <f>Requirements!A1635</f>
        <v>MS-SMB_R6897</v>
      </c>
      <c r="B1633" s="87"/>
      <c r="C1633" s="87"/>
      <c r="D1633" s="87"/>
      <c r="E1633" s="87"/>
      <c r="F1633" s="87"/>
      <c r="G1633" s="87"/>
      <c r="H1633" s="87"/>
      <c r="I1633" s="87"/>
      <c r="J1633" s="87"/>
      <c r="K1633" s="87"/>
      <c r="L1633" s="87"/>
      <c r="M1633" s="87"/>
      <c r="N1633" s="87">
        <f t="shared" si="100"/>
        <v>0</v>
      </c>
      <c r="O1633" s="61">
        <f t="shared" si="101"/>
        <v>0</v>
      </c>
      <c r="P1633" s="61" t="b">
        <f t="shared" si="102"/>
        <v>1</v>
      </c>
      <c r="Q1633" s="87" t="b">
        <f>(Requirements!K1635="Normative")</f>
        <v>1</v>
      </c>
      <c r="R1633" s="87" t="b">
        <f>AND(Requirements!L1635&lt;&gt;"Non-testable",Requirements!L1635&lt;&gt;"Deleted",Requirements!L1635&lt;&gt;"")</f>
        <v>1</v>
      </c>
      <c r="S1633" s="87" t="b">
        <f>(VLOOKUP(Requirements!I1635,Scope[[Role]:[Description]],2,FALSE)="In")</f>
        <v>1</v>
      </c>
      <c r="T1633" s="87">
        <f t="shared" si="103"/>
        <v>0</v>
      </c>
    </row>
    <row r="1634" spans="1:60">
      <c r="A1634" s="85" t="str">
        <f>Requirements!A1636</f>
        <v>MS-SMB_R6898</v>
      </c>
      <c r="B1634" s="87"/>
      <c r="C1634" s="87"/>
      <c r="D1634" s="87"/>
      <c r="E1634" s="87"/>
      <c r="F1634" s="87"/>
      <c r="G1634" s="87"/>
      <c r="H1634" s="87"/>
      <c r="I1634" s="87"/>
      <c r="J1634" s="87"/>
      <c r="K1634" s="87"/>
      <c r="L1634" s="87"/>
      <c r="M1634" s="87"/>
      <c r="N1634" s="87">
        <f t="shared" si="100"/>
        <v>0</v>
      </c>
      <c r="O1634" s="61">
        <f t="shared" si="101"/>
        <v>0</v>
      </c>
      <c r="P1634" s="61" t="b">
        <f t="shared" si="102"/>
        <v>1</v>
      </c>
      <c r="Q1634" s="87" t="b">
        <f>(Requirements!K1636="Normative")</f>
        <v>1</v>
      </c>
      <c r="R1634" s="87" t="b">
        <f>AND(Requirements!L1636&lt;&gt;"Non-testable",Requirements!L1636&lt;&gt;"Deleted",Requirements!L1636&lt;&gt;"")</f>
        <v>1</v>
      </c>
      <c r="S1634" s="87" t="b">
        <f>(VLOOKUP(Requirements!I1636,Scope[[Role]:[Description]],2,FALSE)="In")</f>
        <v>1</v>
      </c>
      <c r="T1634" s="87">
        <f t="shared" si="103"/>
        <v>0</v>
      </c>
    </row>
    <row r="1635" spans="1:60">
      <c r="A1635" s="85" t="str">
        <f>Requirements!A1637</f>
        <v>MS-SMB_R6899</v>
      </c>
      <c r="B1635" s="87"/>
      <c r="C1635" s="87"/>
      <c r="D1635" s="87"/>
      <c r="E1635" s="87"/>
      <c r="F1635" s="87"/>
      <c r="G1635" s="87"/>
      <c r="H1635" s="87"/>
      <c r="I1635" s="87"/>
      <c r="J1635" s="87"/>
      <c r="K1635" s="87"/>
      <c r="L1635" s="87"/>
      <c r="M1635" s="87"/>
      <c r="N1635" s="87">
        <f t="shared" si="100"/>
        <v>0</v>
      </c>
      <c r="O1635" s="61">
        <f t="shared" si="101"/>
        <v>0</v>
      </c>
      <c r="P1635" s="61" t="b">
        <f t="shared" si="102"/>
        <v>1</v>
      </c>
      <c r="Q1635" s="87" t="b">
        <f>(Requirements!K1637="Normative")</f>
        <v>1</v>
      </c>
      <c r="R1635" s="87" t="b">
        <f>AND(Requirements!L1637&lt;&gt;"Non-testable",Requirements!L1637&lt;&gt;"Deleted",Requirements!L1637&lt;&gt;"")</f>
        <v>1</v>
      </c>
      <c r="S1635" s="87" t="b">
        <f>(VLOOKUP(Requirements!I1637,Scope[[Role]:[Description]],2,FALSE)="In")</f>
        <v>1</v>
      </c>
      <c r="T1635" s="87">
        <f t="shared" si="103"/>
        <v>0</v>
      </c>
    </row>
    <row r="1636" spans="1:60">
      <c r="A1636" s="84" t="str">
        <f>Requirements!A1638</f>
        <v>MS-SMB_R106919</v>
      </c>
      <c r="B1636" s="87"/>
      <c r="C1636" s="87"/>
      <c r="D1636" s="87"/>
      <c r="E1636" s="87"/>
      <c r="F1636" s="87"/>
      <c r="G1636" s="87"/>
      <c r="H1636" s="87"/>
      <c r="I1636" s="87"/>
      <c r="J1636" s="87"/>
      <c r="K1636" s="87"/>
      <c r="L1636" s="87">
        <v>1</v>
      </c>
      <c r="M1636" s="87"/>
      <c r="N1636" s="87">
        <f t="shared" si="100"/>
        <v>1</v>
      </c>
      <c r="O1636" s="60">
        <f t="shared" si="101"/>
        <v>1</v>
      </c>
      <c r="P1636" s="60" t="b">
        <f t="shared" si="102"/>
        <v>1</v>
      </c>
      <c r="Q1636" s="87" t="b">
        <f>(Requirements!K1638="Normative")</f>
        <v>1</v>
      </c>
      <c r="R1636" s="87" t="b">
        <f>AND(Requirements!L1638&lt;&gt;"Non-testable",Requirements!L1638&lt;&gt;"Deleted",Requirements!L1638&lt;&gt;"")</f>
        <v>1</v>
      </c>
      <c r="S1636" s="87" t="b">
        <f>(VLOOKUP(Requirements!I1638,Scope[[Role]:[Description]],2,FALSE)="In")</f>
        <v>1</v>
      </c>
      <c r="T1636" s="87">
        <f t="shared" si="103"/>
        <v>1</v>
      </c>
    </row>
    <row r="1637" spans="1:60">
      <c r="A1637" s="44" t="str">
        <f>Requirements!A1639</f>
        <v>MS-SMB_R6925</v>
      </c>
      <c r="B1637" s="87"/>
      <c r="C1637" s="87"/>
      <c r="D1637" s="87"/>
      <c r="E1637" s="87"/>
      <c r="F1637" s="87"/>
      <c r="G1637" s="87"/>
      <c r="H1637" s="87"/>
      <c r="I1637" s="87"/>
      <c r="J1637" s="87"/>
      <c r="K1637" s="87"/>
      <c r="L1637" s="87"/>
      <c r="M1637" s="87"/>
      <c r="N1637" s="87">
        <f t="shared" si="100"/>
        <v>0</v>
      </c>
      <c r="O1637" s="87">
        <f t="shared" si="101"/>
        <v>0</v>
      </c>
      <c r="P1637" s="87" t="b">
        <f t="shared" si="102"/>
        <v>0</v>
      </c>
      <c r="Q1637" s="87" t="b">
        <f>(Requirements!K1639="Normative")</f>
        <v>0</v>
      </c>
      <c r="R1637" s="87" t="b">
        <f>AND(Requirements!L1639&lt;&gt;"Non-testable",Requirements!L1639&lt;&gt;"Deleted",Requirements!L1639&lt;&gt;"")</f>
        <v>1</v>
      </c>
      <c r="S1637" s="87" t="b">
        <f>(VLOOKUP(Requirements!I1639,Scope[[Role]:[Description]],2,FALSE)="In")</f>
        <v>1</v>
      </c>
      <c r="T1637" s="87">
        <f t="shared" si="103"/>
        <v>0</v>
      </c>
    </row>
    <row r="1638" spans="1:60">
      <c r="A1638" s="84" t="str">
        <f>Requirements!A1640</f>
        <v>MS-SMB_R106932</v>
      </c>
      <c r="B1638" s="87"/>
      <c r="C1638" s="87"/>
      <c r="D1638" s="87"/>
      <c r="E1638" s="87"/>
      <c r="F1638" s="87"/>
      <c r="G1638" s="87"/>
      <c r="H1638" s="87"/>
      <c r="I1638" s="87"/>
      <c r="J1638" s="87"/>
      <c r="K1638" s="87"/>
      <c r="L1638" s="87">
        <v>1</v>
      </c>
      <c r="M1638" s="87"/>
      <c r="N1638" s="87">
        <f t="shared" si="100"/>
        <v>1</v>
      </c>
      <c r="O1638" s="60">
        <f t="shared" si="101"/>
        <v>1</v>
      </c>
      <c r="P1638" s="60" t="b">
        <f t="shared" si="102"/>
        <v>1</v>
      </c>
      <c r="Q1638" s="87" t="b">
        <f>(Requirements!K1640="Normative")</f>
        <v>1</v>
      </c>
      <c r="R1638" s="87" t="b">
        <f>AND(Requirements!L1640&lt;&gt;"Non-testable",Requirements!L1640&lt;&gt;"Deleted",Requirements!L1640&lt;&gt;"")</f>
        <v>1</v>
      </c>
      <c r="S1638" s="87" t="b">
        <f>(VLOOKUP(Requirements!I1640,Scope[[Role]:[Description]],2,FALSE)="In")</f>
        <v>1</v>
      </c>
      <c r="T1638" s="87">
        <f t="shared" si="103"/>
        <v>1</v>
      </c>
    </row>
    <row r="1639" spans="1:60">
      <c r="A1639" s="84" t="str">
        <f>Requirements!A1641</f>
        <v>MS-SMB_R206932</v>
      </c>
      <c r="B1639" s="87"/>
      <c r="C1639" s="87"/>
      <c r="D1639" s="87"/>
      <c r="E1639" s="87"/>
      <c r="F1639" s="87"/>
      <c r="G1639" s="87"/>
      <c r="H1639" s="87"/>
      <c r="I1639" s="87"/>
      <c r="J1639" s="87"/>
      <c r="K1639" s="87"/>
      <c r="L1639" s="87">
        <v>1</v>
      </c>
      <c r="M1639" s="87"/>
      <c r="N1639" s="87">
        <f t="shared" si="100"/>
        <v>1</v>
      </c>
      <c r="O1639" s="60">
        <f t="shared" si="101"/>
        <v>1</v>
      </c>
      <c r="P1639" s="60" t="b">
        <f t="shared" si="102"/>
        <v>1</v>
      </c>
      <c r="Q1639" s="87" t="b">
        <f>(Requirements!K1641="Normative")</f>
        <v>1</v>
      </c>
      <c r="R1639" s="87" t="b">
        <f>AND(Requirements!L1641&lt;&gt;"Non-testable",Requirements!L1641&lt;&gt;"Deleted",Requirements!L1641&lt;&gt;"")</f>
        <v>1</v>
      </c>
      <c r="S1639" s="87" t="b">
        <f>(VLOOKUP(Requirements!I1641,Scope[[Role]:[Description]],2,FALSE)="In")</f>
        <v>1</v>
      </c>
      <c r="T1639" s="87">
        <f t="shared" si="103"/>
        <v>1</v>
      </c>
    </row>
    <row r="1640" spans="1:60">
      <c r="A1640" s="84" t="str">
        <f>Requirements!A1642</f>
        <v>MS-SMB_R306932</v>
      </c>
      <c r="B1640" s="87"/>
      <c r="C1640" s="87"/>
      <c r="D1640" s="87"/>
      <c r="E1640" s="87"/>
      <c r="F1640" s="87"/>
      <c r="G1640" s="87"/>
      <c r="H1640" s="87"/>
      <c r="I1640" s="87"/>
      <c r="J1640" s="87"/>
      <c r="K1640" s="87"/>
      <c r="L1640" s="87">
        <v>1</v>
      </c>
      <c r="M1640" s="87"/>
      <c r="N1640" s="87">
        <f t="shared" si="100"/>
        <v>1</v>
      </c>
      <c r="O1640" s="60">
        <f t="shared" si="101"/>
        <v>1</v>
      </c>
      <c r="P1640" s="60" t="b">
        <f t="shared" si="102"/>
        <v>1</v>
      </c>
      <c r="Q1640" s="87" t="b">
        <f>(Requirements!K1642="Normative")</f>
        <v>1</v>
      </c>
      <c r="R1640" s="87" t="b">
        <f>AND(Requirements!L1642&lt;&gt;"Non-testable",Requirements!L1642&lt;&gt;"Deleted",Requirements!L1642&lt;&gt;"")</f>
        <v>1</v>
      </c>
      <c r="S1640" s="87" t="b">
        <f>(VLOOKUP(Requirements!I1642,Scope[[Role]:[Description]],2,FALSE)="In")</f>
        <v>1</v>
      </c>
      <c r="T1640" s="87">
        <f t="shared" si="103"/>
        <v>1</v>
      </c>
    </row>
    <row r="1641" spans="1:60">
      <c r="A1641" s="84" t="str">
        <f>Requirements!A1643</f>
        <v>MS-SMB_R406932</v>
      </c>
      <c r="B1641" s="87"/>
      <c r="C1641" s="87"/>
      <c r="D1641" s="87"/>
      <c r="E1641" s="87"/>
      <c r="F1641" s="87"/>
      <c r="G1641" s="87"/>
      <c r="H1641" s="87"/>
      <c r="I1641" s="87"/>
      <c r="J1641" s="87"/>
      <c r="K1641" s="87"/>
      <c r="L1641" s="87">
        <v>1</v>
      </c>
      <c r="M1641" s="87"/>
      <c r="N1641" s="87">
        <f t="shared" si="100"/>
        <v>1</v>
      </c>
      <c r="O1641" s="60">
        <f t="shared" si="101"/>
        <v>1</v>
      </c>
      <c r="P1641" s="60" t="b">
        <f t="shared" si="102"/>
        <v>1</v>
      </c>
      <c r="Q1641" s="87" t="b">
        <f>(Requirements!K1643="Normative")</f>
        <v>1</v>
      </c>
      <c r="R1641" s="87" t="b">
        <f>AND(Requirements!L1643&lt;&gt;"Non-testable",Requirements!L1643&lt;&gt;"Deleted",Requirements!L1643&lt;&gt;"")</f>
        <v>1</v>
      </c>
      <c r="S1641" s="87" t="b">
        <f>(VLOOKUP(Requirements!I1643,Scope[[Role]:[Description]],2,FALSE)="In")</f>
        <v>1</v>
      </c>
      <c r="T1641" s="87">
        <f t="shared" si="103"/>
        <v>1</v>
      </c>
    </row>
    <row r="1642" spans="1:60">
      <c r="A1642" s="84" t="str">
        <f>Requirements!A1644</f>
        <v>MS-SMB_R11004</v>
      </c>
      <c r="B1642" s="87"/>
      <c r="C1642" s="87"/>
      <c r="D1642" s="87"/>
      <c r="E1642" s="87"/>
      <c r="F1642" s="87"/>
      <c r="G1642" s="87"/>
      <c r="H1642" s="87"/>
      <c r="I1642" s="87"/>
      <c r="J1642" s="87"/>
      <c r="K1642" s="87"/>
      <c r="L1642" s="87">
        <v>1</v>
      </c>
      <c r="M1642" s="87"/>
      <c r="N1642" s="87">
        <f t="shared" si="100"/>
        <v>1</v>
      </c>
      <c r="O1642" s="60">
        <f t="shared" si="101"/>
        <v>1</v>
      </c>
      <c r="P1642" s="60" t="b">
        <f t="shared" si="102"/>
        <v>1</v>
      </c>
      <c r="Q1642" s="87" t="b">
        <f>(Requirements!K1644="Normative")</f>
        <v>1</v>
      </c>
      <c r="R1642" s="87" t="b">
        <f>AND(Requirements!L1644&lt;&gt;"Non-testable",Requirements!L1644&lt;&gt;"Deleted",Requirements!L1644&lt;&gt;"")</f>
        <v>1</v>
      </c>
      <c r="S1642" s="87" t="b">
        <f>(VLOOKUP(Requirements!I1644,Scope[[Role]:[Description]],2,FALSE)="In")</f>
        <v>1</v>
      </c>
      <c r="T1642" s="87">
        <f t="shared" si="103"/>
        <v>1</v>
      </c>
    </row>
    <row r="1643" spans="1:60">
      <c r="A1643" s="84" t="str">
        <f>Requirements!A1645</f>
        <v>MS-SMB_R6932</v>
      </c>
      <c r="B1643" s="87"/>
      <c r="C1643" s="87"/>
      <c r="D1643" s="87"/>
      <c r="E1643" s="87"/>
      <c r="F1643" s="87"/>
      <c r="G1643" s="87"/>
      <c r="H1643" s="87"/>
      <c r="I1643" s="87"/>
      <c r="J1643" s="87"/>
      <c r="K1643" s="87"/>
      <c r="L1643" s="87">
        <v>1</v>
      </c>
      <c r="M1643" s="87"/>
      <c r="N1643" s="87">
        <f t="shared" si="100"/>
        <v>1</v>
      </c>
      <c r="O1643" s="60">
        <f t="shared" si="101"/>
        <v>1</v>
      </c>
      <c r="P1643" s="60" t="b">
        <f t="shared" si="102"/>
        <v>1</v>
      </c>
      <c r="Q1643" s="87" t="b">
        <f>(Requirements!K1645="Normative")</f>
        <v>1</v>
      </c>
      <c r="R1643" s="87" t="b">
        <f>AND(Requirements!L1645&lt;&gt;"Non-testable",Requirements!L1645&lt;&gt;"Deleted",Requirements!L1645&lt;&gt;"")</f>
        <v>1</v>
      </c>
      <c r="S1643" s="87" t="b">
        <f>(VLOOKUP(Requirements!I1645,Scope[[Role]:[Description]],2,FALSE)="In")</f>
        <v>1</v>
      </c>
      <c r="T1643" s="87">
        <f t="shared" si="103"/>
        <v>1</v>
      </c>
    </row>
    <row r="1644" spans="1:60">
      <c r="A1644" s="83" t="str">
        <f>Requirements!A1646</f>
        <v>MS-SMB_R6933</v>
      </c>
      <c r="B1644" s="46"/>
      <c r="C1644" s="46"/>
      <c r="D1644" s="46"/>
      <c r="E1644" s="46"/>
      <c r="F1644" s="46"/>
      <c r="G1644" s="46"/>
      <c r="H1644" s="46"/>
      <c r="I1644" s="46"/>
      <c r="J1644" s="46"/>
      <c r="K1644" s="46"/>
      <c r="L1644" s="46"/>
      <c r="M1644" s="46"/>
      <c r="N1644" s="46">
        <f t="shared" si="100"/>
        <v>0</v>
      </c>
      <c r="O1644" s="46">
        <f t="shared" si="101"/>
        <v>0</v>
      </c>
      <c r="P1644" s="46" t="b">
        <f t="shared" si="102"/>
        <v>0</v>
      </c>
      <c r="Q1644" s="46" t="b">
        <f>(Requirements!K1646="Normative")</f>
        <v>0</v>
      </c>
      <c r="R1644" s="46" t="b">
        <f>AND(Requirements!L1646&lt;&gt;"Non-testable",Requirements!L1646&lt;&gt;"Deleted",Requirements!L1646&lt;&gt;"")</f>
        <v>0</v>
      </c>
      <c r="S1644" s="46" t="b">
        <f>(VLOOKUP(Requirements!I1646,Scope[[Role]:[Description]],2,FALSE)="In")</f>
        <v>1</v>
      </c>
      <c r="T1644" s="46">
        <f t="shared" si="103"/>
        <v>0</v>
      </c>
      <c r="U1644" s="45"/>
      <c r="V1644" s="45"/>
      <c r="W1644" s="45"/>
      <c r="X1644" s="45"/>
      <c r="Y1644" s="45"/>
      <c r="Z1644" s="45"/>
      <c r="AA1644" s="45"/>
      <c r="AB1644" s="45"/>
      <c r="AC1644" s="45"/>
      <c r="AD1644" s="45"/>
      <c r="AE1644" s="45"/>
      <c r="AF1644" s="45"/>
      <c r="AG1644" s="45"/>
      <c r="AH1644" s="45"/>
      <c r="AI1644" s="45"/>
      <c r="AJ1644" s="45"/>
      <c r="AK1644" s="45"/>
      <c r="AL1644" s="45"/>
      <c r="AM1644" s="45"/>
      <c r="AN1644" s="45"/>
      <c r="AO1644" s="45"/>
      <c r="AP1644" s="45"/>
      <c r="AQ1644" s="45"/>
      <c r="AR1644" s="45"/>
      <c r="AS1644" s="45"/>
      <c r="AT1644" s="45"/>
      <c r="AU1644" s="45"/>
      <c r="AV1644" s="45"/>
      <c r="AW1644" s="45"/>
      <c r="AX1644" s="45"/>
      <c r="AY1644" s="45"/>
      <c r="AZ1644" s="45"/>
      <c r="BA1644" s="45"/>
      <c r="BB1644" s="45"/>
      <c r="BC1644" s="45"/>
      <c r="BD1644" s="45"/>
      <c r="BE1644" s="45"/>
      <c r="BF1644" s="45"/>
      <c r="BG1644" s="45"/>
      <c r="BH1644" s="45"/>
    </row>
    <row r="1645" spans="1:60">
      <c r="A1645" s="84" t="str">
        <f>Requirements!A1647</f>
        <v>MS-SMB_R6934</v>
      </c>
      <c r="B1645" s="87"/>
      <c r="C1645" s="87"/>
      <c r="D1645" s="87"/>
      <c r="E1645" s="87"/>
      <c r="F1645" s="87"/>
      <c r="G1645" s="87"/>
      <c r="H1645" s="87"/>
      <c r="I1645" s="87"/>
      <c r="J1645" s="87"/>
      <c r="K1645" s="87"/>
      <c r="L1645" s="87">
        <v>1</v>
      </c>
      <c r="M1645" s="87"/>
      <c r="N1645" s="87">
        <f t="shared" si="100"/>
        <v>1</v>
      </c>
      <c r="O1645" s="60">
        <f t="shared" si="101"/>
        <v>1</v>
      </c>
      <c r="P1645" s="60" t="b">
        <f t="shared" si="102"/>
        <v>1</v>
      </c>
      <c r="Q1645" s="87" t="b">
        <f>(Requirements!K1647="Normative")</f>
        <v>1</v>
      </c>
      <c r="R1645" s="87" t="b">
        <f>AND(Requirements!L1647&lt;&gt;"Non-testable",Requirements!L1647&lt;&gt;"Deleted",Requirements!L1647&lt;&gt;"")</f>
        <v>1</v>
      </c>
      <c r="S1645" s="87" t="b">
        <f>(VLOOKUP(Requirements!I1647,Scope[[Role]:[Description]],2,FALSE)="In")</f>
        <v>1</v>
      </c>
      <c r="T1645" s="87">
        <f t="shared" si="103"/>
        <v>1</v>
      </c>
    </row>
    <row r="1646" spans="1:60">
      <c r="A1646" s="44" t="str">
        <f>Requirements!A1648</f>
        <v>MS-SMB_R6935</v>
      </c>
      <c r="B1646" s="87"/>
      <c r="C1646" s="87"/>
      <c r="D1646" s="87"/>
      <c r="E1646" s="87"/>
      <c r="F1646" s="87"/>
      <c r="G1646" s="87"/>
      <c r="H1646" s="87"/>
      <c r="I1646" s="87"/>
      <c r="J1646" s="87"/>
      <c r="K1646" s="87"/>
      <c r="L1646" s="87"/>
      <c r="M1646" s="87"/>
      <c r="N1646" s="87">
        <f t="shared" si="100"/>
        <v>0</v>
      </c>
      <c r="O1646" s="87">
        <f t="shared" si="101"/>
        <v>0</v>
      </c>
      <c r="P1646" s="87" t="b">
        <f t="shared" si="102"/>
        <v>0</v>
      </c>
      <c r="Q1646" s="87" t="b">
        <f>(Requirements!K1648="Normative")</f>
        <v>0</v>
      </c>
      <c r="R1646" s="87" t="b">
        <f>AND(Requirements!L1648&lt;&gt;"Non-testable",Requirements!L1648&lt;&gt;"Deleted",Requirements!L1648&lt;&gt;"")</f>
        <v>1</v>
      </c>
      <c r="S1646" s="87" t="b">
        <f>(VLOOKUP(Requirements!I1648,Scope[[Role]:[Description]],2,FALSE)="In")</f>
        <v>1</v>
      </c>
      <c r="T1646" s="87">
        <f t="shared" si="103"/>
        <v>0</v>
      </c>
    </row>
    <row r="1647" spans="1:60">
      <c r="A1647" s="44" t="str">
        <f>Requirements!A1649</f>
        <v>MS-SMB_R285</v>
      </c>
      <c r="B1647" s="87"/>
      <c r="C1647" s="87"/>
      <c r="D1647" s="87"/>
      <c r="E1647" s="87"/>
      <c r="F1647" s="87"/>
      <c r="G1647" s="87"/>
      <c r="H1647" s="87"/>
      <c r="I1647" s="87"/>
      <c r="J1647" s="87"/>
      <c r="K1647" s="87"/>
      <c r="L1647" s="87"/>
      <c r="M1647" s="87"/>
      <c r="N1647" s="87">
        <f t="shared" si="100"/>
        <v>0</v>
      </c>
      <c r="O1647" s="87">
        <f t="shared" si="101"/>
        <v>0</v>
      </c>
      <c r="P1647" s="87" t="b">
        <f t="shared" si="102"/>
        <v>0</v>
      </c>
      <c r="Q1647" s="87" t="b">
        <f>(Requirements!K1649="Normative")</f>
        <v>1</v>
      </c>
      <c r="R1647" s="87" t="b">
        <f>AND(Requirements!L1649&lt;&gt;"Non-testable",Requirements!L1649&lt;&gt;"Deleted",Requirements!L1649&lt;&gt;"")</f>
        <v>0</v>
      </c>
      <c r="S1647" s="87" t="b">
        <f>(VLOOKUP(Requirements!I1649,Scope[[Role]:[Description]],2,FALSE)="In")</f>
        <v>1</v>
      </c>
      <c r="T1647" s="87">
        <f t="shared" si="103"/>
        <v>0</v>
      </c>
    </row>
    <row r="1648" spans="1:60">
      <c r="A1648" s="85" t="str">
        <f>Requirements!A1650</f>
        <v>MS-SMB_R109538</v>
      </c>
      <c r="B1648" s="87"/>
      <c r="C1648" s="87"/>
      <c r="D1648" s="87"/>
      <c r="E1648" s="87"/>
      <c r="F1648" s="87"/>
      <c r="G1648" s="87"/>
      <c r="H1648" s="87"/>
      <c r="I1648" s="87"/>
      <c r="J1648" s="87"/>
      <c r="K1648" s="87"/>
      <c r="L1648" s="87"/>
      <c r="M1648" s="87"/>
      <c r="N1648" s="87">
        <f t="shared" si="100"/>
        <v>0</v>
      </c>
      <c r="O1648" s="61">
        <f t="shared" si="101"/>
        <v>0</v>
      </c>
      <c r="P1648" s="61" t="b">
        <f t="shared" si="102"/>
        <v>1</v>
      </c>
      <c r="Q1648" s="87" t="b">
        <f>(Requirements!K1650="Normative")</f>
        <v>1</v>
      </c>
      <c r="R1648" s="87" t="b">
        <f>AND(Requirements!L1650&lt;&gt;"Non-testable",Requirements!L1650&lt;&gt;"Deleted",Requirements!L1650&lt;&gt;"")</f>
        <v>1</v>
      </c>
      <c r="S1648" s="87" t="b">
        <f>(VLOOKUP(Requirements!I1650,Scope[[Role]:[Description]],2,FALSE)="In")</f>
        <v>1</v>
      </c>
      <c r="T1648" s="87">
        <f t="shared" si="103"/>
        <v>0</v>
      </c>
    </row>
    <row r="1649" spans="1:60">
      <c r="A1649" s="44" t="str">
        <f>Requirements!A1651</f>
        <v>MS-SMB_R209538</v>
      </c>
      <c r="B1649" s="87"/>
      <c r="C1649" s="87"/>
      <c r="D1649" s="87"/>
      <c r="E1649" s="87"/>
      <c r="F1649" s="87"/>
      <c r="G1649" s="87"/>
      <c r="H1649" s="87"/>
      <c r="I1649" s="87"/>
      <c r="J1649" s="87"/>
      <c r="K1649" s="87"/>
      <c r="L1649" s="87"/>
      <c r="M1649" s="87"/>
      <c r="N1649" s="87">
        <f t="shared" si="100"/>
        <v>0</v>
      </c>
      <c r="O1649" s="87">
        <f t="shared" si="101"/>
        <v>0</v>
      </c>
      <c r="P1649" s="87" t="b">
        <f t="shared" si="102"/>
        <v>0</v>
      </c>
      <c r="Q1649" s="87" t="b">
        <f>(Requirements!K1651="Normative")</f>
        <v>0</v>
      </c>
      <c r="R1649" s="87" t="b">
        <f>AND(Requirements!L1651&lt;&gt;"Non-testable",Requirements!L1651&lt;&gt;"Deleted",Requirements!L1651&lt;&gt;"")</f>
        <v>1</v>
      </c>
      <c r="S1649" s="87" t="b">
        <f>(VLOOKUP(Requirements!I1651,Scope[[Role]:[Description]],2,FALSE)="In")</f>
        <v>1</v>
      </c>
      <c r="T1649" s="87">
        <f t="shared" si="103"/>
        <v>0</v>
      </c>
    </row>
    <row r="1650" spans="1:60">
      <c r="A1650" s="84" t="str">
        <f>Requirements!A1652</f>
        <v>MS-SMB_R9538</v>
      </c>
      <c r="B1650" s="87"/>
      <c r="C1650" s="87"/>
      <c r="D1650" s="87"/>
      <c r="E1650" s="87"/>
      <c r="F1650" s="87"/>
      <c r="G1650" s="87"/>
      <c r="H1650" s="87"/>
      <c r="I1650" s="87"/>
      <c r="J1650" s="87"/>
      <c r="K1650" s="87"/>
      <c r="L1650" s="87">
        <v>1</v>
      </c>
      <c r="M1650" s="87"/>
      <c r="N1650" s="87">
        <f t="shared" si="100"/>
        <v>1</v>
      </c>
      <c r="O1650" s="60">
        <f t="shared" si="101"/>
        <v>1</v>
      </c>
      <c r="P1650" s="60" t="b">
        <f t="shared" si="102"/>
        <v>1</v>
      </c>
      <c r="Q1650" s="87" t="b">
        <f>(Requirements!K1652="Normative")</f>
        <v>1</v>
      </c>
      <c r="R1650" s="87" t="b">
        <f>AND(Requirements!L1652&lt;&gt;"Non-testable",Requirements!L1652&lt;&gt;"Deleted",Requirements!L1652&lt;&gt;"")</f>
        <v>1</v>
      </c>
      <c r="S1650" s="87" t="b">
        <f>(VLOOKUP(Requirements!I1652,Scope[[Role]:[Description]],2,FALSE)="In")</f>
        <v>1</v>
      </c>
      <c r="T1650" s="87">
        <f t="shared" si="103"/>
        <v>1</v>
      </c>
    </row>
    <row r="1651" spans="1:60">
      <c r="A1651" s="85" t="str">
        <f>Requirements!A1653</f>
        <v>MS-SMB_R9539</v>
      </c>
      <c r="B1651" s="87"/>
      <c r="C1651" s="87"/>
      <c r="D1651" s="87"/>
      <c r="E1651" s="87"/>
      <c r="F1651" s="87"/>
      <c r="G1651" s="87"/>
      <c r="H1651" s="87"/>
      <c r="I1651" s="87"/>
      <c r="J1651" s="87"/>
      <c r="K1651" s="87"/>
      <c r="L1651" s="87"/>
      <c r="M1651" s="87"/>
      <c r="N1651" s="87">
        <f t="shared" si="100"/>
        <v>0</v>
      </c>
      <c r="O1651" s="61">
        <f t="shared" si="101"/>
        <v>0</v>
      </c>
      <c r="P1651" s="61" t="b">
        <f t="shared" si="102"/>
        <v>1</v>
      </c>
      <c r="Q1651" s="87" t="b">
        <f>(Requirements!K1653="Normative")</f>
        <v>1</v>
      </c>
      <c r="R1651" s="87" t="b">
        <f>AND(Requirements!L1653&lt;&gt;"Non-testable",Requirements!L1653&lt;&gt;"Deleted",Requirements!L1653&lt;&gt;"")</f>
        <v>1</v>
      </c>
      <c r="S1651" s="87" t="b">
        <f>(VLOOKUP(Requirements!I1653,Scope[[Role]:[Description]],2,FALSE)="In")</f>
        <v>1</v>
      </c>
      <c r="T1651" s="87">
        <f t="shared" si="103"/>
        <v>0</v>
      </c>
    </row>
    <row r="1652" spans="1:60">
      <c r="A1652" s="85" t="str">
        <f>Requirements!A1654</f>
        <v>MS-SMB_R9540</v>
      </c>
      <c r="B1652" s="87"/>
      <c r="C1652" s="87"/>
      <c r="D1652" s="87"/>
      <c r="E1652" s="87"/>
      <c r="F1652" s="87"/>
      <c r="G1652" s="87"/>
      <c r="H1652" s="87"/>
      <c r="I1652" s="87"/>
      <c r="J1652" s="87"/>
      <c r="K1652" s="87"/>
      <c r="L1652" s="87"/>
      <c r="M1652" s="87"/>
      <c r="N1652" s="87">
        <f t="shared" si="100"/>
        <v>0</v>
      </c>
      <c r="O1652" s="61">
        <f t="shared" si="101"/>
        <v>0</v>
      </c>
      <c r="P1652" s="61" t="b">
        <f t="shared" si="102"/>
        <v>1</v>
      </c>
      <c r="Q1652" s="87" t="b">
        <f>(Requirements!K1654="Normative")</f>
        <v>1</v>
      </c>
      <c r="R1652" s="87" t="b">
        <f>AND(Requirements!L1654&lt;&gt;"Non-testable",Requirements!L1654&lt;&gt;"Deleted",Requirements!L1654&lt;&gt;"")</f>
        <v>1</v>
      </c>
      <c r="S1652" s="87" t="b">
        <f>(VLOOKUP(Requirements!I1654,Scope[[Role]:[Description]],2,FALSE)="In")</f>
        <v>1</v>
      </c>
      <c r="T1652" s="87">
        <f t="shared" si="103"/>
        <v>0</v>
      </c>
    </row>
    <row r="1653" spans="1:60">
      <c r="A1653" s="84" t="str">
        <f>Requirements!A1655</f>
        <v>MS-SMB_R9541</v>
      </c>
      <c r="B1653" s="87"/>
      <c r="C1653" s="87"/>
      <c r="D1653" s="87"/>
      <c r="E1653" s="87"/>
      <c r="F1653" s="87"/>
      <c r="G1653" s="87"/>
      <c r="H1653" s="87"/>
      <c r="I1653" s="87"/>
      <c r="J1653" s="87"/>
      <c r="K1653" s="87"/>
      <c r="L1653" s="87">
        <v>1</v>
      </c>
      <c r="M1653" s="87"/>
      <c r="N1653" s="87">
        <f t="shared" si="100"/>
        <v>1</v>
      </c>
      <c r="O1653" s="60">
        <f t="shared" si="101"/>
        <v>1</v>
      </c>
      <c r="P1653" s="60" t="b">
        <f t="shared" si="102"/>
        <v>1</v>
      </c>
      <c r="Q1653" s="87" t="b">
        <f>(Requirements!K1655="Normative")</f>
        <v>1</v>
      </c>
      <c r="R1653" s="87" t="b">
        <f>AND(Requirements!L1655&lt;&gt;"Non-testable",Requirements!L1655&lt;&gt;"Deleted",Requirements!L1655&lt;&gt;"")</f>
        <v>1</v>
      </c>
      <c r="S1653" s="87" t="b">
        <f>(VLOOKUP(Requirements!I1655,Scope[[Role]:[Description]],2,FALSE)="In")</f>
        <v>1</v>
      </c>
      <c r="T1653" s="87">
        <f t="shared" si="103"/>
        <v>1</v>
      </c>
    </row>
    <row r="1654" spans="1:60">
      <c r="A1654" s="44" t="str">
        <f>Requirements!A1656</f>
        <v>MS-SMB_R109541</v>
      </c>
      <c r="B1654" s="87"/>
      <c r="C1654" s="87"/>
      <c r="D1654" s="87"/>
      <c r="E1654" s="87"/>
      <c r="F1654" s="87"/>
      <c r="G1654" s="87"/>
      <c r="H1654" s="87"/>
      <c r="I1654" s="87"/>
      <c r="J1654" s="87"/>
      <c r="K1654" s="87"/>
      <c r="L1654" s="87"/>
      <c r="M1654" s="87"/>
      <c r="N1654" s="87">
        <f t="shared" si="100"/>
        <v>0</v>
      </c>
      <c r="O1654" s="87">
        <f t="shared" si="101"/>
        <v>0</v>
      </c>
      <c r="P1654" s="87" t="b">
        <f t="shared" si="102"/>
        <v>0</v>
      </c>
      <c r="Q1654" s="87" t="b">
        <f>(Requirements!K1656="Normative")</f>
        <v>1</v>
      </c>
      <c r="R1654" s="87" t="b">
        <f>AND(Requirements!L1656&lt;&gt;"Non-testable",Requirements!L1656&lt;&gt;"Deleted",Requirements!L1656&lt;&gt;"")</f>
        <v>0</v>
      </c>
      <c r="S1654" s="87" t="b">
        <f>(VLOOKUP(Requirements!I1656,Scope[[Role]:[Description]],2,FALSE)="In")</f>
        <v>1</v>
      </c>
      <c r="T1654" s="87">
        <f t="shared" si="103"/>
        <v>0</v>
      </c>
    </row>
    <row r="1655" spans="1:60">
      <c r="A1655" s="83" t="str">
        <f>Requirements!A1657</f>
        <v>MS-SMB_R309541</v>
      </c>
      <c r="B1655" s="46"/>
      <c r="C1655" s="46"/>
      <c r="D1655" s="46"/>
      <c r="E1655" s="46"/>
      <c r="F1655" s="46"/>
      <c r="G1655" s="46"/>
      <c r="H1655" s="46"/>
      <c r="I1655" s="46"/>
      <c r="J1655" s="46"/>
      <c r="K1655" s="46"/>
      <c r="L1655" s="46"/>
      <c r="M1655" s="46"/>
      <c r="N1655" s="46">
        <f t="shared" si="100"/>
        <v>0</v>
      </c>
      <c r="O1655" s="46">
        <f t="shared" si="101"/>
        <v>0</v>
      </c>
      <c r="P1655" s="46" t="b">
        <f t="shared" si="102"/>
        <v>0</v>
      </c>
      <c r="Q1655" s="46" t="b">
        <f>(Requirements!K1657="Normative")</f>
        <v>0</v>
      </c>
      <c r="R1655" s="46" t="b">
        <f>AND(Requirements!L1657&lt;&gt;"Non-testable",Requirements!L1657&lt;&gt;"Deleted",Requirements!L1657&lt;&gt;"")</f>
        <v>0</v>
      </c>
      <c r="S1655" s="46" t="b">
        <f>(VLOOKUP(Requirements!I1657,Scope[[Role]:[Description]],2,FALSE)="In")</f>
        <v>1</v>
      </c>
      <c r="T1655" s="46">
        <f t="shared" si="103"/>
        <v>0</v>
      </c>
      <c r="U1655" s="45"/>
      <c r="V1655" s="45"/>
      <c r="W1655" s="45"/>
      <c r="X1655" s="45"/>
      <c r="Y1655" s="45"/>
      <c r="Z1655" s="45"/>
      <c r="AA1655" s="45"/>
      <c r="AB1655" s="45"/>
      <c r="AC1655" s="45"/>
      <c r="AD1655" s="45"/>
      <c r="AE1655" s="45"/>
      <c r="AF1655" s="45"/>
      <c r="AG1655" s="45"/>
      <c r="AH1655" s="45"/>
      <c r="AI1655" s="45"/>
      <c r="AJ1655" s="45"/>
      <c r="AK1655" s="45"/>
      <c r="AL1655" s="45"/>
      <c r="AM1655" s="45"/>
      <c r="AN1655" s="45"/>
      <c r="AO1655" s="45"/>
      <c r="AP1655" s="45"/>
      <c r="AQ1655" s="45"/>
      <c r="AR1655" s="45"/>
      <c r="AS1655" s="45"/>
      <c r="AT1655" s="45"/>
      <c r="AU1655" s="45"/>
      <c r="AV1655" s="45"/>
      <c r="AW1655" s="45"/>
      <c r="AX1655" s="45"/>
      <c r="AY1655" s="45"/>
      <c r="AZ1655" s="45"/>
      <c r="BA1655" s="45"/>
      <c r="BB1655" s="45"/>
      <c r="BC1655" s="45"/>
      <c r="BD1655" s="45"/>
      <c r="BE1655" s="45"/>
      <c r="BF1655" s="45"/>
      <c r="BG1655" s="45"/>
      <c r="BH1655" s="45"/>
    </row>
    <row r="1656" spans="1:60">
      <c r="A1656" s="44" t="str">
        <f>Requirements!A1658</f>
        <v>MS-SMB_R209541</v>
      </c>
      <c r="B1656" s="87"/>
      <c r="C1656" s="87"/>
      <c r="D1656" s="87"/>
      <c r="E1656" s="87"/>
      <c r="F1656" s="87"/>
      <c r="G1656" s="87"/>
      <c r="H1656" s="87"/>
      <c r="I1656" s="87"/>
      <c r="J1656" s="87"/>
      <c r="K1656" s="87"/>
      <c r="L1656" s="87"/>
      <c r="M1656" s="87"/>
      <c r="N1656" s="87">
        <f t="shared" si="100"/>
        <v>0</v>
      </c>
      <c r="O1656" s="87">
        <f t="shared" si="101"/>
        <v>0</v>
      </c>
      <c r="P1656" s="87" t="b">
        <f t="shared" si="102"/>
        <v>0</v>
      </c>
      <c r="Q1656" s="87" t="b">
        <f>(Requirements!K1658="Normative")</f>
        <v>1</v>
      </c>
      <c r="R1656" s="87" t="b">
        <f>AND(Requirements!L1658&lt;&gt;"Non-testable",Requirements!L1658&lt;&gt;"Deleted",Requirements!L1658&lt;&gt;"")</f>
        <v>0</v>
      </c>
      <c r="S1656" s="87" t="b">
        <f>(VLOOKUP(Requirements!I1658,Scope[[Role]:[Description]],2,FALSE)="In")</f>
        <v>1</v>
      </c>
      <c r="T1656" s="87">
        <f t="shared" si="103"/>
        <v>0</v>
      </c>
    </row>
    <row r="1657" spans="1:60">
      <c r="A1657" s="44" t="str">
        <f>Requirements!A1659</f>
        <v>MS-SMB_R6953</v>
      </c>
      <c r="B1657" s="87"/>
      <c r="C1657" s="87"/>
      <c r="D1657" s="87"/>
      <c r="E1657" s="87"/>
      <c r="F1657" s="87"/>
      <c r="G1657" s="87"/>
      <c r="H1657" s="87"/>
      <c r="I1657" s="87"/>
      <c r="J1657" s="87"/>
      <c r="K1657" s="87"/>
      <c r="L1657" s="87"/>
      <c r="M1657" s="87"/>
      <c r="N1657" s="87">
        <f t="shared" si="100"/>
        <v>0</v>
      </c>
      <c r="O1657" s="87">
        <f t="shared" si="101"/>
        <v>0</v>
      </c>
      <c r="P1657" s="87" t="b">
        <f t="shared" si="102"/>
        <v>0</v>
      </c>
      <c r="Q1657" s="87" t="b">
        <f>(Requirements!K1659="Normative")</f>
        <v>0</v>
      </c>
      <c r="R1657" s="87" t="b">
        <f>AND(Requirements!L1659&lt;&gt;"Non-testable",Requirements!L1659&lt;&gt;"Deleted",Requirements!L1659&lt;&gt;"")</f>
        <v>1</v>
      </c>
      <c r="S1657" s="87" t="b">
        <f>(VLOOKUP(Requirements!I1659,Scope[[Role]:[Description]],2,FALSE)="In")</f>
        <v>1</v>
      </c>
      <c r="T1657" s="87">
        <f t="shared" si="103"/>
        <v>0</v>
      </c>
    </row>
    <row r="1658" spans="1:60">
      <c r="A1658" s="44" t="str">
        <f>Requirements!A1660</f>
        <v>MS-SMB_R6954</v>
      </c>
      <c r="B1658" s="87"/>
      <c r="C1658" s="87"/>
      <c r="D1658" s="87"/>
      <c r="E1658" s="87"/>
      <c r="F1658" s="87"/>
      <c r="G1658" s="87"/>
      <c r="H1658" s="87"/>
      <c r="I1658" s="87"/>
      <c r="J1658" s="87"/>
      <c r="K1658" s="87"/>
      <c r="L1658" s="87"/>
      <c r="M1658" s="87"/>
      <c r="N1658" s="87">
        <f t="shared" si="100"/>
        <v>0</v>
      </c>
      <c r="O1658" s="87">
        <f t="shared" si="101"/>
        <v>0</v>
      </c>
      <c r="P1658" s="87" t="b">
        <f t="shared" si="102"/>
        <v>0</v>
      </c>
      <c r="Q1658" s="87" t="b">
        <f>(Requirements!K1660="Normative")</f>
        <v>1</v>
      </c>
      <c r="R1658" s="87" t="b">
        <f>AND(Requirements!L1660&lt;&gt;"Non-testable",Requirements!L1660&lt;&gt;"Deleted",Requirements!L1660&lt;&gt;"")</f>
        <v>0</v>
      </c>
      <c r="S1658" s="87" t="b">
        <f>(VLOOKUP(Requirements!I1660,Scope[[Role]:[Description]],2,FALSE)="In")</f>
        <v>1</v>
      </c>
      <c r="T1658" s="87">
        <f t="shared" si="103"/>
        <v>0</v>
      </c>
    </row>
    <row r="1659" spans="1:60">
      <c r="A1659" s="85" t="str">
        <f>Requirements!A1661</f>
        <v>MS-SMB_R9599</v>
      </c>
      <c r="B1659" s="87"/>
      <c r="C1659" s="87"/>
      <c r="D1659" s="87"/>
      <c r="E1659" s="87"/>
      <c r="F1659" s="87"/>
      <c r="G1659" s="87"/>
      <c r="H1659" s="87"/>
      <c r="I1659" s="87"/>
      <c r="J1659" s="87"/>
      <c r="K1659" s="87"/>
      <c r="L1659" s="87"/>
      <c r="M1659" s="87"/>
      <c r="N1659" s="87">
        <f t="shared" si="100"/>
        <v>0</v>
      </c>
      <c r="O1659" s="61">
        <f t="shared" si="101"/>
        <v>0</v>
      </c>
      <c r="P1659" s="61" t="b">
        <f t="shared" si="102"/>
        <v>1</v>
      </c>
      <c r="Q1659" s="87" t="b">
        <f>(Requirements!K1661="Normative")</f>
        <v>1</v>
      </c>
      <c r="R1659" s="87" t="b">
        <f>AND(Requirements!L1661&lt;&gt;"Non-testable",Requirements!L1661&lt;&gt;"Deleted",Requirements!L1661&lt;&gt;"")</f>
        <v>1</v>
      </c>
      <c r="S1659" s="87" t="b">
        <f>(VLOOKUP(Requirements!I1661,Scope[[Role]:[Description]],2,FALSE)="In")</f>
        <v>1</v>
      </c>
      <c r="T1659" s="87">
        <f t="shared" si="103"/>
        <v>0</v>
      </c>
    </row>
    <row r="1660" spans="1:60">
      <c r="A1660" s="44" t="str">
        <f>Requirements!A1662</f>
        <v>MS-SMB_R9600</v>
      </c>
      <c r="B1660" s="87"/>
      <c r="C1660" s="87"/>
      <c r="D1660" s="87"/>
      <c r="E1660" s="87"/>
      <c r="F1660" s="87"/>
      <c r="G1660" s="87"/>
      <c r="H1660" s="87"/>
      <c r="I1660" s="87"/>
      <c r="J1660" s="87"/>
      <c r="K1660" s="87"/>
      <c r="L1660" s="87"/>
      <c r="M1660" s="87"/>
      <c r="N1660" s="87">
        <f t="shared" si="100"/>
        <v>0</v>
      </c>
      <c r="O1660" s="87">
        <f t="shared" si="101"/>
        <v>0</v>
      </c>
      <c r="P1660" s="87" t="b">
        <f t="shared" si="102"/>
        <v>0</v>
      </c>
      <c r="Q1660" s="87" t="b">
        <f>(Requirements!K1662="Normative")</f>
        <v>0</v>
      </c>
      <c r="R1660" s="87" t="b">
        <f>AND(Requirements!L1662&lt;&gt;"Non-testable",Requirements!L1662&lt;&gt;"Deleted",Requirements!L1662&lt;&gt;"")</f>
        <v>1</v>
      </c>
      <c r="S1660" s="87" t="b">
        <f>(VLOOKUP(Requirements!I1662,Scope[[Role]:[Description]],2,FALSE)="In")</f>
        <v>1</v>
      </c>
      <c r="T1660" s="87">
        <f t="shared" si="103"/>
        <v>0</v>
      </c>
    </row>
    <row r="1661" spans="1:60">
      <c r="A1661" s="85" t="str">
        <f>Requirements!A1663</f>
        <v>MS-SMB_R9601</v>
      </c>
      <c r="B1661" s="87"/>
      <c r="C1661" s="87"/>
      <c r="D1661" s="87"/>
      <c r="E1661" s="87"/>
      <c r="F1661" s="87"/>
      <c r="G1661" s="87"/>
      <c r="H1661" s="87"/>
      <c r="I1661" s="87"/>
      <c r="J1661" s="87"/>
      <c r="K1661" s="87"/>
      <c r="L1661" s="87"/>
      <c r="M1661" s="87"/>
      <c r="N1661" s="87">
        <f t="shared" si="100"/>
        <v>0</v>
      </c>
      <c r="O1661" s="61">
        <f t="shared" si="101"/>
        <v>0</v>
      </c>
      <c r="P1661" s="61" t="b">
        <f t="shared" si="102"/>
        <v>1</v>
      </c>
      <c r="Q1661" s="87" t="b">
        <f>(Requirements!K1663="Normative")</f>
        <v>1</v>
      </c>
      <c r="R1661" s="87" t="b">
        <f>AND(Requirements!L1663&lt;&gt;"Non-testable",Requirements!L1663&lt;&gt;"Deleted",Requirements!L1663&lt;&gt;"")</f>
        <v>1</v>
      </c>
      <c r="S1661" s="87" t="b">
        <f>(VLOOKUP(Requirements!I1663,Scope[[Role]:[Description]],2,FALSE)="In")</f>
        <v>1</v>
      </c>
      <c r="T1661" s="87">
        <f t="shared" si="103"/>
        <v>0</v>
      </c>
    </row>
    <row r="1662" spans="1:60">
      <c r="A1662" s="85" t="str">
        <f>Requirements!A1664</f>
        <v>MS-SMB_R9602</v>
      </c>
      <c r="B1662" s="87"/>
      <c r="C1662" s="87"/>
      <c r="D1662" s="87"/>
      <c r="E1662" s="87"/>
      <c r="F1662" s="87"/>
      <c r="G1662" s="87"/>
      <c r="H1662" s="87"/>
      <c r="I1662" s="87"/>
      <c r="J1662" s="87"/>
      <c r="K1662" s="87"/>
      <c r="L1662" s="87"/>
      <c r="M1662" s="87"/>
      <c r="N1662" s="87">
        <f t="shared" si="100"/>
        <v>0</v>
      </c>
      <c r="O1662" s="61">
        <f t="shared" si="101"/>
        <v>0</v>
      </c>
      <c r="P1662" s="61" t="b">
        <f t="shared" si="102"/>
        <v>1</v>
      </c>
      <c r="Q1662" s="87" t="b">
        <f>(Requirements!K1664="Normative")</f>
        <v>1</v>
      </c>
      <c r="R1662" s="87" t="b">
        <f>AND(Requirements!L1664&lt;&gt;"Non-testable",Requirements!L1664&lt;&gt;"Deleted",Requirements!L1664&lt;&gt;"")</f>
        <v>1</v>
      </c>
      <c r="S1662" s="87" t="b">
        <f>(VLOOKUP(Requirements!I1664,Scope[[Role]:[Description]],2,FALSE)="In")</f>
        <v>1</v>
      </c>
      <c r="T1662" s="87">
        <f t="shared" si="103"/>
        <v>0</v>
      </c>
    </row>
    <row r="1663" spans="1:60">
      <c r="A1663" s="44" t="str">
        <f>Requirements!A1665</f>
        <v>MS-SMB_R9603</v>
      </c>
      <c r="B1663" s="87"/>
      <c r="C1663" s="87"/>
      <c r="D1663" s="87"/>
      <c r="E1663" s="87"/>
      <c r="F1663" s="87"/>
      <c r="G1663" s="87"/>
      <c r="H1663" s="87"/>
      <c r="I1663" s="87"/>
      <c r="J1663" s="87"/>
      <c r="K1663" s="87"/>
      <c r="L1663" s="87"/>
      <c r="M1663" s="87"/>
      <c r="N1663" s="87">
        <f t="shared" si="100"/>
        <v>0</v>
      </c>
      <c r="O1663" s="87">
        <f t="shared" si="101"/>
        <v>0</v>
      </c>
      <c r="P1663" s="87" t="b">
        <f t="shared" si="102"/>
        <v>0</v>
      </c>
      <c r="Q1663" s="87" t="b">
        <f>(Requirements!K1665="Normative")</f>
        <v>0</v>
      </c>
      <c r="R1663" s="87" t="b">
        <f>AND(Requirements!L1665&lt;&gt;"Non-testable",Requirements!L1665&lt;&gt;"Deleted",Requirements!L1665&lt;&gt;"")</f>
        <v>1</v>
      </c>
      <c r="S1663" s="87" t="b">
        <f>(VLOOKUP(Requirements!I1665,Scope[[Role]:[Description]],2,FALSE)="In")</f>
        <v>1</v>
      </c>
      <c r="T1663" s="87">
        <f t="shared" si="103"/>
        <v>0</v>
      </c>
    </row>
    <row r="1664" spans="1:60">
      <c r="A1664" s="85" t="str">
        <f>Requirements!A1666</f>
        <v>MS-SMB_R9604</v>
      </c>
      <c r="B1664" s="87"/>
      <c r="C1664" s="87"/>
      <c r="D1664" s="87"/>
      <c r="E1664" s="87"/>
      <c r="F1664" s="87"/>
      <c r="G1664" s="87"/>
      <c r="H1664" s="87"/>
      <c r="I1664" s="87"/>
      <c r="J1664" s="87"/>
      <c r="K1664" s="87"/>
      <c r="L1664" s="87"/>
      <c r="M1664" s="87"/>
      <c r="N1664" s="87">
        <f t="shared" si="100"/>
        <v>0</v>
      </c>
      <c r="O1664" s="61">
        <f t="shared" si="101"/>
        <v>0</v>
      </c>
      <c r="P1664" s="61" t="b">
        <f t="shared" si="102"/>
        <v>1</v>
      </c>
      <c r="Q1664" s="87" t="b">
        <f>(Requirements!K1666="Normative")</f>
        <v>1</v>
      </c>
      <c r="R1664" s="87" t="b">
        <f>AND(Requirements!L1666&lt;&gt;"Non-testable",Requirements!L1666&lt;&gt;"Deleted",Requirements!L1666&lt;&gt;"")</f>
        <v>1</v>
      </c>
      <c r="S1664" s="87" t="b">
        <f>(VLOOKUP(Requirements!I1666,Scope[[Role]:[Description]],2,FALSE)="In")</f>
        <v>1</v>
      </c>
      <c r="T1664" s="87">
        <f t="shared" si="103"/>
        <v>0</v>
      </c>
    </row>
    <row r="1665" spans="1:20">
      <c r="A1665" s="44" t="str">
        <f>Requirements!A1667</f>
        <v>MS-SMB_R9605</v>
      </c>
      <c r="B1665" s="87"/>
      <c r="C1665" s="87"/>
      <c r="D1665" s="87"/>
      <c r="E1665" s="87"/>
      <c r="F1665" s="87"/>
      <c r="G1665" s="87"/>
      <c r="H1665" s="87"/>
      <c r="I1665" s="87"/>
      <c r="J1665" s="87"/>
      <c r="K1665" s="87"/>
      <c r="L1665" s="87"/>
      <c r="M1665" s="87"/>
      <c r="N1665" s="87">
        <f t="shared" si="100"/>
        <v>0</v>
      </c>
      <c r="O1665" s="87">
        <f t="shared" si="101"/>
        <v>0</v>
      </c>
      <c r="P1665" s="87" t="b">
        <f t="shared" si="102"/>
        <v>0</v>
      </c>
      <c r="Q1665" s="87" t="b">
        <f>(Requirements!K1667="Normative")</f>
        <v>0</v>
      </c>
      <c r="R1665" s="87" t="b">
        <f>AND(Requirements!L1667&lt;&gt;"Non-testable",Requirements!L1667&lt;&gt;"Deleted",Requirements!L1667&lt;&gt;"")</f>
        <v>1</v>
      </c>
      <c r="S1665" s="87" t="b">
        <f>(VLOOKUP(Requirements!I1667,Scope[[Role]:[Description]],2,FALSE)="In")</f>
        <v>1</v>
      </c>
      <c r="T1665" s="87">
        <f t="shared" si="103"/>
        <v>0</v>
      </c>
    </row>
    <row r="1666" spans="1:20">
      <c r="A1666" s="44" t="str">
        <f>Requirements!A1668</f>
        <v>MS-SMB_R9606</v>
      </c>
      <c r="B1666" s="87"/>
      <c r="C1666" s="87"/>
      <c r="D1666" s="87"/>
      <c r="E1666" s="87"/>
      <c r="F1666" s="87"/>
      <c r="G1666" s="87"/>
      <c r="H1666" s="87"/>
      <c r="I1666" s="87"/>
      <c r="J1666" s="87"/>
      <c r="K1666" s="87"/>
      <c r="L1666" s="87"/>
      <c r="M1666" s="87"/>
      <c r="N1666" s="87">
        <f t="shared" si="100"/>
        <v>0</v>
      </c>
      <c r="O1666" s="87">
        <f t="shared" si="101"/>
        <v>0</v>
      </c>
      <c r="P1666" s="87" t="b">
        <f t="shared" si="102"/>
        <v>0</v>
      </c>
      <c r="Q1666" s="87" t="b">
        <f>(Requirements!K1668="Normative")</f>
        <v>0</v>
      </c>
      <c r="R1666" s="87" t="b">
        <f>AND(Requirements!L1668&lt;&gt;"Non-testable",Requirements!L1668&lt;&gt;"Deleted",Requirements!L1668&lt;&gt;"")</f>
        <v>1</v>
      </c>
      <c r="S1666" s="87" t="b">
        <f>(VLOOKUP(Requirements!I1668,Scope[[Role]:[Description]],2,FALSE)="In")</f>
        <v>1</v>
      </c>
      <c r="T1666" s="87">
        <f t="shared" si="103"/>
        <v>0</v>
      </c>
    </row>
    <row r="1667" spans="1:20">
      <c r="A1667" s="44" t="str">
        <f>Requirements!A1669</f>
        <v>MS-SMB_R9607</v>
      </c>
      <c r="B1667" s="87"/>
      <c r="C1667" s="87"/>
      <c r="D1667" s="87"/>
      <c r="E1667" s="87"/>
      <c r="F1667" s="87"/>
      <c r="G1667" s="87"/>
      <c r="H1667" s="87"/>
      <c r="I1667" s="87"/>
      <c r="J1667" s="87"/>
      <c r="K1667" s="87"/>
      <c r="L1667" s="87"/>
      <c r="M1667" s="87"/>
      <c r="N1667" s="87">
        <f t="shared" si="100"/>
        <v>0</v>
      </c>
      <c r="O1667" s="87">
        <f t="shared" si="101"/>
        <v>0</v>
      </c>
      <c r="P1667" s="87" t="b">
        <f t="shared" si="102"/>
        <v>0</v>
      </c>
      <c r="Q1667" s="87" t="b">
        <f>(Requirements!K1669="Normative")</f>
        <v>0</v>
      </c>
      <c r="R1667" s="87" t="b">
        <f>AND(Requirements!L1669&lt;&gt;"Non-testable",Requirements!L1669&lt;&gt;"Deleted",Requirements!L1669&lt;&gt;"")</f>
        <v>1</v>
      </c>
      <c r="S1667" s="87" t="b">
        <f>(VLOOKUP(Requirements!I1669,Scope[[Role]:[Description]],2,FALSE)="In")</f>
        <v>1</v>
      </c>
      <c r="T1667" s="87">
        <f t="shared" si="103"/>
        <v>0</v>
      </c>
    </row>
    <row r="1668" spans="1:20">
      <c r="A1668" s="44" t="str">
        <f>Requirements!A1670</f>
        <v>MS-SMB_R9608</v>
      </c>
      <c r="B1668" s="87"/>
      <c r="C1668" s="87"/>
      <c r="D1668" s="87"/>
      <c r="E1668" s="87"/>
      <c r="F1668" s="87"/>
      <c r="G1668" s="87"/>
      <c r="H1668" s="87"/>
      <c r="I1668" s="87"/>
      <c r="J1668" s="87"/>
      <c r="K1668" s="87"/>
      <c r="L1668" s="87"/>
      <c r="M1668" s="87"/>
      <c r="N1668" s="87">
        <f t="shared" si="100"/>
        <v>0</v>
      </c>
      <c r="O1668" s="87">
        <f t="shared" si="101"/>
        <v>0</v>
      </c>
      <c r="P1668" s="87" t="b">
        <f t="shared" si="102"/>
        <v>0</v>
      </c>
      <c r="Q1668" s="87" t="b">
        <f>(Requirements!K1670="Normative")</f>
        <v>0</v>
      </c>
      <c r="R1668" s="87" t="b">
        <f>AND(Requirements!L1670&lt;&gt;"Non-testable",Requirements!L1670&lt;&gt;"Deleted",Requirements!L1670&lt;&gt;"")</f>
        <v>1</v>
      </c>
      <c r="S1668" s="87" t="b">
        <f>(VLOOKUP(Requirements!I1670,Scope[[Role]:[Description]],2,FALSE)="In")</f>
        <v>1</v>
      </c>
      <c r="T1668" s="87">
        <f t="shared" si="103"/>
        <v>0</v>
      </c>
    </row>
    <row r="1669" spans="1:20">
      <c r="A1669" s="44" t="str">
        <f>Requirements!A1671</f>
        <v>MS-SMB_R9542</v>
      </c>
      <c r="B1669" s="87"/>
      <c r="C1669" s="87"/>
      <c r="D1669" s="87"/>
      <c r="E1669" s="87"/>
      <c r="F1669" s="87"/>
      <c r="G1669" s="87"/>
      <c r="H1669" s="87"/>
      <c r="I1669" s="87"/>
      <c r="J1669" s="87"/>
      <c r="K1669" s="87"/>
      <c r="L1669" s="87"/>
      <c r="M1669" s="87"/>
      <c r="N1669" s="87">
        <f t="shared" si="100"/>
        <v>0</v>
      </c>
      <c r="O1669" s="87">
        <f t="shared" si="101"/>
        <v>0</v>
      </c>
      <c r="P1669" s="87" t="b">
        <f t="shared" si="102"/>
        <v>0</v>
      </c>
      <c r="Q1669" s="87" t="b">
        <f>(Requirements!K1671="Normative")</f>
        <v>0</v>
      </c>
      <c r="R1669" s="87" t="b">
        <f>AND(Requirements!L1671&lt;&gt;"Non-testable",Requirements!L1671&lt;&gt;"Deleted",Requirements!L1671&lt;&gt;"")</f>
        <v>1</v>
      </c>
      <c r="S1669" s="87" t="b">
        <f>(VLOOKUP(Requirements!I1671,Scope[[Role]:[Description]],2,FALSE)="In")</f>
        <v>1</v>
      </c>
      <c r="T1669" s="87">
        <f t="shared" si="103"/>
        <v>0</v>
      </c>
    </row>
    <row r="1670" spans="1:20">
      <c r="A1670" s="44" t="str">
        <f>Requirements!A1672</f>
        <v>MS-SMB_R9543</v>
      </c>
      <c r="B1670" s="87"/>
      <c r="C1670" s="87"/>
      <c r="D1670" s="87"/>
      <c r="E1670" s="87"/>
      <c r="F1670" s="87"/>
      <c r="G1670" s="87"/>
      <c r="H1670" s="87"/>
      <c r="I1670" s="87"/>
      <c r="J1670" s="87"/>
      <c r="K1670" s="87"/>
      <c r="L1670" s="87"/>
      <c r="M1670" s="87"/>
      <c r="N1670" s="87">
        <f t="shared" si="100"/>
        <v>0</v>
      </c>
      <c r="O1670" s="87">
        <f t="shared" si="101"/>
        <v>0</v>
      </c>
      <c r="P1670" s="87" t="b">
        <f t="shared" si="102"/>
        <v>0</v>
      </c>
      <c r="Q1670" s="87" t="b">
        <f>(Requirements!K1672="Normative")</f>
        <v>0</v>
      </c>
      <c r="R1670" s="87" t="b">
        <f>AND(Requirements!L1672&lt;&gt;"Non-testable",Requirements!L1672&lt;&gt;"Deleted",Requirements!L1672&lt;&gt;"")</f>
        <v>1</v>
      </c>
      <c r="S1670" s="87" t="b">
        <f>(VLOOKUP(Requirements!I1672,Scope[[Role]:[Description]],2,FALSE)="In")</f>
        <v>1</v>
      </c>
      <c r="T1670" s="87">
        <f t="shared" si="103"/>
        <v>0</v>
      </c>
    </row>
    <row r="1671" spans="1:20">
      <c r="A1671" s="44" t="str">
        <f>Requirements!A1673</f>
        <v>MS-SMB_R9544</v>
      </c>
      <c r="B1671" s="87"/>
      <c r="C1671" s="87"/>
      <c r="D1671" s="87"/>
      <c r="E1671" s="87"/>
      <c r="F1671" s="87"/>
      <c r="G1671" s="87"/>
      <c r="H1671" s="87"/>
      <c r="I1671" s="87"/>
      <c r="J1671" s="87"/>
      <c r="K1671" s="87"/>
      <c r="L1671" s="87"/>
      <c r="M1671" s="87"/>
      <c r="N1671" s="87">
        <f t="shared" si="100"/>
        <v>0</v>
      </c>
      <c r="O1671" s="87">
        <f t="shared" si="101"/>
        <v>0</v>
      </c>
      <c r="P1671" s="87" t="b">
        <f t="shared" si="102"/>
        <v>0</v>
      </c>
      <c r="Q1671" s="87" t="b">
        <f>(Requirements!K1673="Normative")</f>
        <v>0</v>
      </c>
      <c r="R1671" s="87" t="b">
        <f>AND(Requirements!L1673&lt;&gt;"Non-testable",Requirements!L1673&lt;&gt;"Deleted",Requirements!L1673&lt;&gt;"")</f>
        <v>1</v>
      </c>
      <c r="S1671" s="87" t="b">
        <f>(VLOOKUP(Requirements!I1673,Scope[[Role]:[Description]],2,FALSE)="In")</f>
        <v>1</v>
      </c>
      <c r="T1671" s="87">
        <f t="shared" si="103"/>
        <v>0</v>
      </c>
    </row>
    <row r="1672" spans="1:20">
      <c r="A1672" s="44" t="str">
        <f>Requirements!A1674</f>
        <v>MS-SMB_R9545</v>
      </c>
      <c r="B1672" s="87"/>
      <c r="C1672" s="87"/>
      <c r="D1672" s="87"/>
      <c r="E1672" s="87"/>
      <c r="F1672" s="87"/>
      <c r="G1672" s="87"/>
      <c r="H1672" s="87"/>
      <c r="I1672" s="87"/>
      <c r="J1672" s="87"/>
      <c r="K1672" s="87"/>
      <c r="L1672" s="87"/>
      <c r="M1672" s="87"/>
      <c r="N1672" s="87">
        <f t="shared" si="100"/>
        <v>0</v>
      </c>
      <c r="O1672" s="87">
        <f t="shared" si="101"/>
        <v>0</v>
      </c>
      <c r="P1672" s="87" t="b">
        <f t="shared" si="102"/>
        <v>0</v>
      </c>
      <c r="Q1672" s="87" t="b">
        <f>(Requirements!K1674="Normative")</f>
        <v>0</v>
      </c>
      <c r="R1672" s="87" t="b">
        <f>AND(Requirements!L1674&lt;&gt;"Non-testable",Requirements!L1674&lt;&gt;"Deleted",Requirements!L1674&lt;&gt;"")</f>
        <v>1</v>
      </c>
      <c r="S1672" s="87" t="b">
        <f>(VLOOKUP(Requirements!I1674,Scope[[Role]:[Description]],2,FALSE)="In")</f>
        <v>1</v>
      </c>
      <c r="T1672" s="87">
        <f t="shared" si="103"/>
        <v>0</v>
      </c>
    </row>
    <row r="1673" spans="1:20">
      <c r="A1673" s="85" t="str">
        <f>Requirements!A1675</f>
        <v>MS-SMB_R9546</v>
      </c>
      <c r="B1673" s="87"/>
      <c r="C1673" s="87"/>
      <c r="D1673" s="87"/>
      <c r="E1673" s="87"/>
      <c r="F1673" s="87"/>
      <c r="G1673" s="87"/>
      <c r="H1673" s="87"/>
      <c r="I1673" s="87"/>
      <c r="J1673" s="87"/>
      <c r="K1673" s="87"/>
      <c r="L1673" s="87"/>
      <c r="M1673" s="87"/>
      <c r="N1673" s="87">
        <f t="shared" si="100"/>
        <v>0</v>
      </c>
      <c r="O1673" s="61">
        <f t="shared" si="101"/>
        <v>0</v>
      </c>
      <c r="P1673" s="61" t="b">
        <f t="shared" si="102"/>
        <v>1</v>
      </c>
      <c r="Q1673" s="87" t="b">
        <f>(Requirements!K1675="Normative")</f>
        <v>1</v>
      </c>
      <c r="R1673" s="87" t="b">
        <f>AND(Requirements!L1675&lt;&gt;"Non-testable",Requirements!L1675&lt;&gt;"Deleted",Requirements!L1675&lt;&gt;"")</f>
        <v>1</v>
      </c>
      <c r="S1673" s="87" t="b">
        <f>(VLOOKUP(Requirements!I1675,Scope[[Role]:[Description]],2,FALSE)="In")</f>
        <v>1</v>
      </c>
      <c r="T1673" s="87">
        <f t="shared" si="103"/>
        <v>0</v>
      </c>
    </row>
    <row r="1674" spans="1:20">
      <c r="A1674" s="84" t="str">
        <f>Requirements!A1676</f>
        <v>MS-SMB_R9547</v>
      </c>
      <c r="B1674" s="87"/>
      <c r="C1674" s="87"/>
      <c r="D1674" s="87"/>
      <c r="E1674" s="87"/>
      <c r="F1674" s="87"/>
      <c r="G1674" s="87"/>
      <c r="H1674" s="87"/>
      <c r="I1674" s="87"/>
      <c r="J1674" s="87"/>
      <c r="K1674" s="87"/>
      <c r="L1674" s="87">
        <v>1</v>
      </c>
      <c r="M1674" s="87"/>
      <c r="N1674" s="87">
        <f t="shared" si="100"/>
        <v>1</v>
      </c>
      <c r="O1674" s="60">
        <f t="shared" si="101"/>
        <v>1</v>
      </c>
      <c r="P1674" s="60" t="b">
        <f t="shared" si="102"/>
        <v>1</v>
      </c>
      <c r="Q1674" s="87" t="b">
        <f>(Requirements!K1676="Normative")</f>
        <v>1</v>
      </c>
      <c r="R1674" s="87" t="b">
        <f>AND(Requirements!L1676&lt;&gt;"Non-testable",Requirements!L1676&lt;&gt;"Deleted",Requirements!L1676&lt;&gt;"")</f>
        <v>1</v>
      </c>
      <c r="S1674" s="87" t="b">
        <f>(VLOOKUP(Requirements!I1676,Scope[[Role]:[Description]],2,FALSE)="In")</f>
        <v>1</v>
      </c>
      <c r="T1674" s="87">
        <f t="shared" si="103"/>
        <v>1</v>
      </c>
    </row>
    <row r="1675" spans="1:20">
      <c r="A1675" s="85" t="str">
        <f>Requirements!A1677</f>
        <v>MS-SMB_R9548</v>
      </c>
      <c r="B1675" s="87"/>
      <c r="C1675" s="87"/>
      <c r="D1675" s="87"/>
      <c r="E1675" s="87"/>
      <c r="F1675" s="87"/>
      <c r="G1675" s="87"/>
      <c r="H1675" s="87"/>
      <c r="I1675" s="87"/>
      <c r="J1675" s="87"/>
      <c r="K1675" s="87"/>
      <c r="L1675" s="87"/>
      <c r="M1675" s="87"/>
      <c r="N1675" s="87">
        <f t="shared" si="100"/>
        <v>0</v>
      </c>
      <c r="O1675" s="61">
        <f t="shared" si="101"/>
        <v>0</v>
      </c>
      <c r="P1675" s="61" t="b">
        <f t="shared" si="102"/>
        <v>1</v>
      </c>
      <c r="Q1675" s="87" t="b">
        <f>(Requirements!K1677="Normative")</f>
        <v>1</v>
      </c>
      <c r="R1675" s="87" t="b">
        <f>AND(Requirements!L1677&lt;&gt;"Non-testable",Requirements!L1677&lt;&gt;"Deleted",Requirements!L1677&lt;&gt;"")</f>
        <v>1</v>
      </c>
      <c r="S1675" s="87" t="b">
        <f>(VLOOKUP(Requirements!I1677,Scope[[Role]:[Description]],2,FALSE)="In")</f>
        <v>1</v>
      </c>
      <c r="T1675" s="87">
        <f t="shared" si="103"/>
        <v>0</v>
      </c>
    </row>
    <row r="1676" spans="1:20">
      <c r="A1676" s="84" t="str">
        <f>Requirements!A1678</f>
        <v>MS-SMB_R9623</v>
      </c>
      <c r="B1676" s="87"/>
      <c r="C1676" s="87"/>
      <c r="D1676" s="87"/>
      <c r="E1676" s="87"/>
      <c r="F1676" s="87"/>
      <c r="G1676" s="87"/>
      <c r="H1676" s="87"/>
      <c r="I1676" s="87"/>
      <c r="J1676" s="87"/>
      <c r="K1676" s="87"/>
      <c r="L1676" s="87">
        <v>1</v>
      </c>
      <c r="M1676" s="87"/>
      <c r="N1676" s="87">
        <f t="shared" si="100"/>
        <v>1</v>
      </c>
      <c r="O1676" s="60">
        <f t="shared" si="101"/>
        <v>1</v>
      </c>
      <c r="P1676" s="60" t="b">
        <f t="shared" si="102"/>
        <v>1</v>
      </c>
      <c r="Q1676" s="87" t="b">
        <f>(Requirements!K1678="Normative")</f>
        <v>1</v>
      </c>
      <c r="R1676" s="87" t="b">
        <f>AND(Requirements!L1678&lt;&gt;"Non-testable",Requirements!L1678&lt;&gt;"Deleted",Requirements!L1678&lt;&gt;"")</f>
        <v>1</v>
      </c>
      <c r="S1676" s="87" t="b">
        <f>(VLOOKUP(Requirements!I1678,Scope[[Role]:[Description]],2,FALSE)="In")</f>
        <v>1</v>
      </c>
      <c r="T1676" s="87">
        <f t="shared" si="103"/>
        <v>1</v>
      </c>
    </row>
    <row r="1677" spans="1:20">
      <c r="A1677" s="84" t="str">
        <f>Requirements!A1679</f>
        <v>MS-SMB_R9549</v>
      </c>
      <c r="B1677" s="87"/>
      <c r="C1677" s="87"/>
      <c r="D1677" s="87"/>
      <c r="E1677" s="87"/>
      <c r="F1677" s="87"/>
      <c r="G1677" s="87"/>
      <c r="H1677" s="87"/>
      <c r="I1677" s="87"/>
      <c r="J1677" s="87"/>
      <c r="K1677" s="87"/>
      <c r="L1677" s="87">
        <v>1</v>
      </c>
      <c r="M1677" s="87"/>
      <c r="N1677" s="87">
        <f t="shared" si="100"/>
        <v>1</v>
      </c>
      <c r="O1677" s="60">
        <f t="shared" si="101"/>
        <v>1</v>
      </c>
      <c r="P1677" s="60" t="b">
        <f t="shared" si="102"/>
        <v>1</v>
      </c>
      <c r="Q1677" s="87" t="b">
        <f>(Requirements!K1679="Normative")</f>
        <v>1</v>
      </c>
      <c r="R1677" s="87" t="b">
        <f>AND(Requirements!L1679&lt;&gt;"Non-testable",Requirements!L1679&lt;&gt;"Deleted",Requirements!L1679&lt;&gt;"")</f>
        <v>1</v>
      </c>
      <c r="S1677" s="87" t="b">
        <f>(VLOOKUP(Requirements!I1679,Scope[[Role]:[Description]],2,FALSE)="In")</f>
        <v>1</v>
      </c>
      <c r="T1677" s="87">
        <f t="shared" si="103"/>
        <v>1</v>
      </c>
    </row>
    <row r="1678" spans="1:20">
      <c r="A1678" s="44" t="str">
        <f>Requirements!A1680</f>
        <v>MS-SMB_R9550</v>
      </c>
      <c r="B1678" s="87"/>
      <c r="C1678" s="87"/>
      <c r="D1678" s="87"/>
      <c r="E1678" s="87"/>
      <c r="F1678" s="87"/>
      <c r="G1678" s="87"/>
      <c r="H1678" s="87"/>
      <c r="I1678" s="87"/>
      <c r="J1678" s="87"/>
      <c r="K1678" s="87"/>
      <c r="L1678" s="87"/>
      <c r="M1678" s="87"/>
      <c r="N1678" s="87">
        <f t="shared" si="100"/>
        <v>0</v>
      </c>
      <c r="O1678" s="87">
        <f t="shared" si="101"/>
        <v>0</v>
      </c>
      <c r="P1678" s="87" t="b">
        <f t="shared" si="102"/>
        <v>0</v>
      </c>
      <c r="Q1678" s="87" t="b">
        <f>(Requirements!K1680="Normative")</f>
        <v>1</v>
      </c>
      <c r="R1678" s="87" t="b">
        <f>AND(Requirements!L1680&lt;&gt;"Non-testable",Requirements!L1680&lt;&gt;"Deleted",Requirements!L1680&lt;&gt;"")</f>
        <v>0</v>
      </c>
      <c r="S1678" s="87" t="b">
        <f>(VLOOKUP(Requirements!I1680,Scope[[Role]:[Description]],2,FALSE)="In")</f>
        <v>1</v>
      </c>
      <c r="T1678" s="87">
        <f t="shared" si="103"/>
        <v>0</v>
      </c>
    </row>
    <row r="1679" spans="1:20">
      <c r="A1679" s="84" t="str">
        <f>Requirements!A1681</f>
        <v>MS-SMB_R109550</v>
      </c>
      <c r="B1679" s="87"/>
      <c r="C1679" s="87"/>
      <c r="D1679" s="87"/>
      <c r="E1679" s="87"/>
      <c r="F1679" s="87"/>
      <c r="G1679" s="87"/>
      <c r="H1679" s="87"/>
      <c r="I1679" s="87">
        <v>1</v>
      </c>
      <c r="J1679" s="87"/>
      <c r="K1679" s="87"/>
      <c r="L1679" s="87"/>
      <c r="M1679" s="87"/>
      <c r="N1679" s="87">
        <f t="shared" si="100"/>
        <v>1</v>
      </c>
      <c r="O1679" s="60">
        <f t="shared" si="101"/>
        <v>1</v>
      </c>
      <c r="P1679" s="60" t="b">
        <f t="shared" si="102"/>
        <v>1</v>
      </c>
      <c r="Q1679" s="87" t="b">
        <f>(Requirements!K1681="Normative")</f>
        <v>1</v>
      </c>
      <c r="R1679" s="87" t="b">
        <f>AND(Requirements!L1681&lt;&gt;"Non-testable",Requirements!L1681&lt;&gt;"Deleted",Requirements!L1681&lt;&gt;"")</f>
        <v>1</v>
      </c>
      <c r="S1679" s="87" t="b">
        <f>(VLOOKUP(Requirements!I1681,Scope[[Role]:[Description]],2,FALSE)="In")</f>
        <v>1</v>
      </c>
      <c r="T1679" s="87">
        <f t="shared" si="103"/>
        <v>1</v>
      </c>
    </row>
    <row r="1680" spans="1:20">
      <c r="A1680" s="85" t="str">
        <f>Requirements!A1682</f>
        <v>MS-SMB_R9551</v>
      </c>
      <c r="B1680" s="87"/>
      <c r="C1680" s="87"/>
      <c r="D1680" s="87"/>
      <c r="E1680" s="87"/>
      <c r="F1680" s="87"/>
      <c r="G1680" s="87"/>
      <c r="H1680" s="87"/>
      <c r="I1680" s="87"/>
      <c r="J1680" s="87"/>
      <c r="K1680" s="87"/>
      <c r="L1680" s="87"/>
      <c r="M1680" s="87"/>
      <c r="N1680" s="87">
        <f t="shared" si="100"/>
        <v>0</v>
      </c>
      <c r="O1680" s="61">
        <f t="shared" si="101"/>
        <v>0</v>
      </c>
      <c r="P1680" s="61" t="b">
        <f t="shared" si="102"/>
        <v>1</v>
      </c>
      <c r="Q1680" s="87" t="b">
        <f>(Requirements!K1682="Normative")</f>
        <v>1</v>
      </c>
      <c r="R1680" s="87" t="b">
        <f>AND(Requirements!L1682&lt;&gt;"Non-testable",Requirements!L1682&lt;&gt;"Deleted",Requirements!L1682&lt;&gt;"")</f>
        <v>1</v>
      </c>
      <c r="S1680" s="87" t="b">
        <f>(VLOOKUP(Requirements!I1682,Scope[[Role]:[Description]],2,FALSE)="In")</f>
        <v>1</v>
      </c>
      <c r="T1680" s="87">
        <f t="shared" si="103"/>
        <v>0</v>
      </c>
    </row>
    <row r="1681" spans="1:60">
      <c r="A1681" s="44" t="str">
        <f>Requirements!A1683</f>
        <v>MS-SMB_R109551</v>
      </c>
      <c r="B1681" s="87"/>
      <c r="C1681" s="87"/>
      <c r="D1681" s="87"/>
      <c r="E1681" s="87"/>
      <c r="F1681" s="87"/>
      <c r="G1681" s="87"/>
      <c r="H1681" s="87"/>
      <c r="I1681" s="87"/>
      <c r="J1681" s="87"/>
      <c r="K1681" s="87"/>
      <c r="L1681" s="87"/>
      <c r="M1681" s="87"/>
      <c r="N1681" s="87">
        <f t="shared" si="100"/>
        <v>0</v>
      </c>
      <c r="O1681" s="87">
        <f t="shared" si="101"/>
        <v>0</v>
      </c>
      <c r="P1681" s="87" t="b">
        <f t="shared" si="102"/>
        <v>0</v>
      </c>
      <c r="Q1681" s="87" t="b">
        <f>(Requirements!K1683="Normative")</f>
        <v>1</v>
      </c>
      <c r="R1681" s="87" t="b">
        <f>AND(Requirements!L1683&lt;&gt;"Non-testable",Requirements!L1683&lt;&gt;"Deleted",Requirements!L1683&lt;&gt;"")</f>
        <v>0</v>
      </c>
      <c r="S1681" s="87" t="b">
        <f>(VLOOKUP(Requirements!I1683,Scope[[Role]:[Description]],2,FALSE)="In")</f>
        <v>1</v>
      </c>
      <c r="T1681" s="87">
        <f t="shared" si="103"/>
        <v>0</v>
      </c>
    </row>
    <row r="1682" spans="1:60">
      <c r="A1682" s="85" t="str">
        <f>Requirements!A1684</f>
        <v>MS-SMB_R119551</v>
      </c>
      <c r="B1682" s="87"/>
      <c r="C1682" s="87"/>
      <c r="D1682" s="87"/>
      <c r="E1682" s="87"/>
      <c r="F1682" s="87"/>
      <c r="G1682" s="87"/>
      <c r="H1682" s="87"/>
      <c r="I1682" s="87"/>
      <c r="J1682" s="87"/>
      <c r="K1682" s="87"/>
      <c r="L1682" s="87"/>
      <c r="M1682" s="87"/>
      <c r="N1682" s="87">
        <f t="shared" si="100"/>
        <v>0</v>
      </c>
      <c r="O1682" s="61">
        <f t="shared" si="101"/>
        <v>0</v>
      </c>
      <c r="P1682" s="61" t="b">
        <f t="shared" si="102"/>
        <v>1</v>
      </c>
      <c r="Q1682" s="87" t="b">
        <f>(Requirements!K1684="Normative")</f>
        <v>1</v>
      </c>
      <c r="R1682" s="87" t="b">
        <f>AND(Requirements!L1684&lt;&gt;"Non-testable",Requirements!L1684&lt;&gt;"Deleted",Requirements!L1684&lt;&gt;"")</f>
        <v>1</v>
      </c>
      <c r="S1682" s="87" t="b">
        <f>(VLOOKUP(Requirements!I1684,Scope[[Role]:[Description]],2,FALSE)="In")</f>
        <v>1</v>
      </c>
      <c r="T1682" s="87">
        <f t="shared" si="103"/>
        <v>0</v>
      </c>
    </row>
    <row r="1683" spans="1:60">
      <c r="A1683" s="84" t="str">
        <f>Requirements!A1685</f>
        <v>MS-SMB_R9552</v>
      </c>
      <c r="B1683" s="87"/>
      <c r="C1683" s="87"/>
      <c r="D1683" s="87"/>
      <c r="E1683" s="87"/>
      <c r="F1683" s="87"/>
      <c r="G1683" s="87"/>
      <c r="H1683" s="87"/>
      <c r="I1683" s="87"/>
      <c r="J1683" s="87"/>
      <c r="K1683" s="87"/>
      <c r="L1683" s="87">
        <v>1</v>
      </c>
      <c r="M1683" s="87"/>
      <c r="N1683" s="87">
        <f t="shared" si="100"/>
        <v>1</v>
      </c>
      <c r="O1683" s="60">
        <f t="shared" si="101"/>
        <v>1</v>
      </c>
      <c r="P1683" s="60" t="b">
        <f t="shared" si="102"/>
        <v>1</v>
      </c>
      <c r="Q1683" s="87" t="b">
        <f>(Requirements!K1685="Normative")</f>
        <v>1</v>
      </c>
      <c r="R1683" s="87" t="b">
        <f>AND(Requirements!L1685&lt;&gt;"Non-testable",Requirements!L1685&lt;&gt;"Deleted",Requirements!L1685&lt;&gt;"")</f>
        <v>1</v>
      </c>
      <c r="S1683" s="87" t="b">
        <f>(VLOOKUP(Requirements!I1685,Scope[[Role]:[Description]],2,FALSE)="In")</f>
        <v>1</v>
      </c>
      <c r="T1683" s="87">
        <f t="shared" si="103"/>
        <v>1</v>
      </c>
    </row>
    <row r="1684" spans="1:60">
      <c r="A1684" s="84" t="str">
        <f>Requirements!A1686</f>
        <v>MS-SMB_R9609</v>
      </c>
      <c r="B1684" s="87"/>
      <c r="C1684" s="87"/>
      <c r="D1684" s="87"/>
      <c r="E1684" s="87"/>
      <c r="F1684" s="87"/>
      <c r="G1684" s="87"/>
      <c r="H1684" s="87"/>
      <c r="I1684" s="87"/>
      <c r="J1684" s="87"/>
      <c r="K1684" s="87"/>
      <c r="L1684" s="87">
        <v>1</v>
      </c>
      <c r="M1684" s="87"/>
      <c r="N1684" s="87">
        <f t="shared" ref="N1684:N1747" si="104">SUM(B1684:M1684)</f>
        <v>1</v>
      </c>
      <c r="O1684" s="60">
        <f t="shared" ref="O1684:O1747" si="105">IF(N1684=0,0,1)</f>
        <v>1</v>
      </c>
      <c r="P1684" s="60" t="b">
        <f t="shared" ref="P1684:P1747" si="106">AND(Q1684:S1684)</f>
        <v>1</v>
      </c>
      <c r="Q1684" s="87" t="b">
        <f>(Requirements!K1686="Normative")</f>
        <v>1</v>
      </c>
      <c r="R1684" s="87" t="b">
        <f>AND(Requirements!L1686&lt;&gt;"Non-testable",Requirements!L1686&lt;&gt;"Deleted",Requirements!L1686&lt;&gt;"")</f>
        <v>1</v>
      </c>
      <c r="S1684" s="87" t="b">
        <f>(VLOOKUP(Requirements!I1686,Scope[[Role]:[Description]],2,FALSE)="In")</f>
        <v>1</v>
      </c>
      <c r="T1684" s="87">
        <f t="shared" ref="T1684:T1747" si="107">IF(P1684,O1684, 0)</f>
        <v>1</v>
      </c>
    </row>
    <row r="1685" spans="1:60">
      <c r="A1685" s="84" t="str">
        <f>Requirements!A1687</f>
        <v>MS-SMB_R9610</v>
      </c>
      <c r="B1685" s="87"/>
      <c r="C1685" s="87"/>
      <c r="D1685" s="87"/>
      <c r="E1685" s="87"/>
      <c r="F1685" s="87"/>
      <c r="G1685" s="87"/>
      <c r="H1685" s="87"/>
      <c r="I1685" s="87"/>
      <c r="J1685" s="87"/>
      <c r="K1685" s="87"/>
      <c r="L1685" s="87">
        <v>1</v>
      </c>
      <c r="M1685" s="87"/>
      <c r="N1685" s="87">
        <f t="shared" si="104"/>
        <v>1</v>
      </c>
      <c r="O1685" s="60">
        <f t="shared" si="105"/>
        <v>1</v>
      </c>
      <c r="P1685" s="60" t="b">
        <f t="shared" si="106"/>
        <v>1</v>
      </c>
      <c r="Q1685" s="87" t="b">
        <f>(Requirements!K1687="Normative")</f>
        <v>1</v>
      </c>
      <c r="R1685" s="87" t="b">
        <f>AND(Requirements!L1687&lt;&gt;"Non-testable",Requirements!L1687&lt;&gt;"Deleted",Requirements!L1687&lt;&gt;"")</f>
        <v>1</v>
      </c>
      <c r="S1685" s="87" t="b">
        <f>(VLOOKUP(Requirements!I1687,Scope[[Role]:[Description]],2,FALSE)="In")</f>
        <v>1</v>
      </c>
      <c r="T1685" s="87">
        <f t="shared" si="107"/>
        <v>1</v>
      </c>
    </row>
    <row r="1686" spans="1:60">
      <c r="A1686" s="84" t="str">
        <f>Requirements!A1688</f>
        <v>MS-SMB_R9611</v>
      </c>
      <c r="B1686" s="87"/>
      <c r="C1686" s="87"/>
      <c r="D1686" s="87"/>
      <c r="E1686" s="87"/>
      <c r="F1686" s="87"/>
      <c r="G1686" s="87"/>
      <c r="H1686" s="87"/>
      <c r="I1686" s="87"/>
      <c r="J1686" s="87"/>
      <c r="K1686" s="87"/>
      <c r="L1686" s="87">
        <v>1</v>
      </c>
      <c r="M1686" s="87"/>
      <c r="N1686" s="87">
        <f t="shared" si="104"/>
        <v>1</v>
      </c>
      <c r="O1686" s="60">
        <f t="shared" si="105"/>
        <v>1</v>
      </c>
      <c r="P1686" s="60" t="b">
        <f t="shared" si="106"/>
        <v>1</v>
      </c>
      <c r="Q1686" s="87" t="b">
        <f>(Requirements!K1688="Normative")</f>
        <v>1</v>
      </c>
      <c r="R1686" s="87" t="b">
        <f>AND(Requirements!L1688&lt;&gt;"Non-testable",Requirements!L1688&lt;&gt;"Deleted",Requirements!L1688&lt;&gt;"")</f>
        <v>1</v>
      </c>
      <c r="S1686" s="87" t="b">
        <f>(VLOOKUP(Requirements!I1688,Scope[[Role]:[Description]],2,FALSE)="In")</f>
        <v>1</v>
      </c>
      <c r="T1686" s="87">
        <f t="shared" si="107"/>
        <v>1</v>
      </c>
    </row>
    <row r="1687" spans="1:60">
      <c r="A1687" s="84" t="str">
        <f>Requirements!A1689</f>
        <v>MS-SMB_R11005</v>
      </c>
      <c r="B1687" s="87"/>
      <c r="C1687" s="87"/>
      <c r="D1687" s="87"/>
      <c r="E1687" s="87"/>
      <c r="F1687" s="87"/>
      <c r="G1687" s="87"/>
      <c r="H1687" s="87"/>
      <c r="I1687" s="87"/>
      <c r="J1687" s="87"/>
      <c r="K1687" s="87"/>
      <c r="L1687" s="87">
        <v>1</v>
      </c>
      <c r="M1687" s="87"/>
      <c r="N1687" s="87">
        <f t="shared" si="104"/>
        <v>1</v>
      </c>
      <c r="O1687" s="60">
        <f t="shared" si="105"/>
        <v>1</v>
      </c>
      <c r="P1687" s="60" t="b">
        <f t="shared" si="106"/>
        <v>1</v>
      </c>
      <c r="Q1687" s="87" t="b">
        <f>(Requirements!K1689="Normative")</f>
        <v>1</v>
      </c>
      <c r="R1687" s="87" t="b">
        <f>AND(Requirements!L1689&lt;&gt;"Non-testable",Requirements!L1689&lt;&gt;"Deleted",Requirements!L1689&lt;&gt;"")</f>
        <v>1</v>
      </c>
      <c r="S1687" s="87" t="b">
        <f>(VLOOKUP(Requirements!I1689,Scope[[Role]:[Description]],2,FALSE)="In")</f>
        <v>1</v>
      </c>
      <c r="T1687" s="87">
        <f t="shared" si="107"/>
        <v>1</v>
      </c>
    </row>
    <row r="1688" spans="1:60">
      <c r="A1688" s="85" t="str">
        <f>Requirements!A1690</f>
        <v>MS-SMB_R11006</v>
      </c>
      <c r="B1688" s="87"/>
      <c r="C1688" s="87"/>
      <c r="D1688" s="87"/>
      <c r="E1688" s="87"/>
      <c r="F1688" s="87"/>
      <c r="G1688" s="87"/>
      <c r="H1688" s="87"/>
      <c r="I1688" s="87"/>
      <c r="J1688" s="87"/>
      <c r="K1688" s="87"/>
      <c r="L1688" s="87"/>
      <c r="M1688" s="87"/>
      <c r="N1688" s="87">
        <f t="shared" si="104"/>
        <v>0</v>
      </c>
      <c r="O1688" s="61">
        <f t="shared" si="105"/>
        <v>0</v>
      </c>
      <c r="P1688" s="61" t="b">
        <f t="shared" si="106"/>
        <v>1</v>
      </c>
      <c r="Q1688" s="87" t="b">
        <f>(Requirements!K1690="Normative")</f>
        <v>1</v>
      </c>
      <c r="R1688" s="87" t="b">
        <f>AND(Requirements!L1690&lt;&gt;"Non-testable",Requirements!L1690&lt;&gt;"Deleted",Requirements!L1690&lt;&gt;"")</f>
        <v>1</v>
      </c>
      <c r="S1688" s="87" t="b">
        <f>(VLOOKUP(Requirements!I1690,Scope[[Role]:[Description]],2,FALSE)="In")</f>
        <v>1</v>
      </c>
      <c r="T1688" s="87">
        <f t="shared" si="107"/>
        <v>0</v>
      </c>
    </row>
    <row r="1689" spans="1:60">
      <c r="A1689" s="84" t="str">
        <f>Requirements!A1691</f>
        <v>MS-SMB_R9612</v>
      </c>
      <c r="B1689" s="87"/>
      <c r="C1689" s="87"/>
      <c r="D1689" s="87"/>
      <c r="E1689" s="87"/>
      <c r="F1689" s="87"/>
      <c r="G1689" s="87"/>
      <c r="H1689" s="87"/>
      <c r="I1689" s="87"/>
      <c r="J1689" s="87"/>
      <c r="K1689" s="87"/>
      <c r="L1689" s="87">
        <v>1</v>
      </c>
      <c r="M1689" s="87"/>
      <c r="N1689" s="87">
        <f t="shared" si="104"/>
        <v>1</v>
      </c>
      <c r="O1689" s="60">
        <f t="shared" si="105"/>
        <v>1</v>
      </c>
      <c r="P1689" s="60" t="b">
        <f t="shared" si="106"/>
        <v>1</v>
      </c>
      <c r="Q1689" s="87" t="b">
        <f>(Requirements!K1691="Normative")</f>
        <v>1</v>
      </c>
      <c r="R1689" s="87" t="b">
        <f>AND(Requirements!L1691&lt;&gt;"Non-testable",Requirements!L1691&lt;&gt;"Deleted",Requirements!L1691&lt;&gt;"")</f>
        <v>1</v>
      </c>
      <c r="S1689" s="87" t="b">
        <f>(VLOOKUP(Requirements!I1691,Scope[[Role]:[Description]],2,FALSE)="In")</f>
        <v>1</v>
      </c>
      <c r="T1689" s="87">
        <f t="shared" si="107"/>
        <v>1</v>
      </c>
    </row>
    <row r="1690" spans="1:60">
      <c r="A1690" s="83" t="str">
        <f>Requirements!A1692</f>
        <v>MS-SMB_R9613</v>
      </c>
      <c r="B1690" s="46"/>
      <c r="C1690" s="46"/>
      <c r="D1690" s="46"/>
      <c r="E1690" s="46"/>
      <c r="F1690" s="46"/>
      <c r="G1690" s="46"/>
      <c r="H1690" s="46"/>
      <c r="I1690" s="46"/>
      <c r="J1690" s="46"/>
      <c r="K1690" s="46"/>
      <c r="L1690" s="46"/>
      <c r="M1690" s="46"/>
      <c r="N1690" s="46">
        <f t="shared" si="104"/>
        <v>0</v>
      </c>
      <c r="O1690" s="46">
        <f t="shared" si="105"/>
        <v>0</v>
      </c>
      <c r="P1690" s="46" t="b">
        <f t="shared" si="106"/>
        <v>0</v>
      </c>
      <c r="Q1690" s="46" t="b">
        <f>(Requirements!K1692="Normative")</f>
        <v>0</v>
      </c>
      <c r="R1690" s="46" t="b">
        <f>AND(Requirements!L1692&lt;&gt;"Non-testable",Requirements!L1692&lt;&gt;"Deleted",Requirements!L1692&lt;&gt;"")</f>
        <v>0</v>
      </c>
      <c r="S1690" s="46" t="b">
        <f>(VLOOKUP(Requirements!I1692,Scope[[Role]:[Description]],2,FALSE)="In")</f>
        <v>1</v>
      </c>
      <c r="T1690" s="46">
        <f t="shared" si="107"/>
        <v>0</v>
      </c>
      <c r="U1690" s="45"/>
      <c r="V1690" s="45"/>
      <c r="W1690" s="45"/>
      <c r="X1690" s="45"/>
      <c r="Y1690" s="45"/>
      <c r="Z1690" s="45"/>
      <c r="AA1690" s="45"/>
      <c r="AB1690" s="45"/>
      <c r="AC1690" s="45"/>
      <c r="AD1690" s="45"/>
      <c r="AE1690" s="45"/>
      <c r="AF1690" s="45"/>
      <c r="AG1690" s="45"/>
      <c r="AH1690" s="45"/>
      <c r="AI1690" s="45"/>
      <c r="AJ1690" s="45"/>
      <c r="AK1690" s="45"/>
      <c r="AL1690" s="45"/>
      <c r="AM1690" s="45"/>
      <c r="AN1690" s="45"/>
      <c r="AO1690" s="45"/>
      <c r="AP1690" s="45"/>
      <c r="AQ1690" s="45"/>
      <c r="AR1690" s="45"/>
      <c r="AS1690" s="45"/>
      <c r="AT1690" s="45"/>
      <c r="AU1690" s="45"/>
      <c r="AV1690" s="45"/>
      <c r="AW1690" s="45"/>
      <c r="AX1690" s="45"/>
      <c r="AY1690" s="45"/>
      <c r="AZ1690" s="45"/>
      <c r="BA1690" s="45"/>
      <c r="BB1690" s="45"/>
      <c r="BC1690" s="45"/>
      <c r="BD1690" s="45"/>
      <c r="BE1690" s="45"/>
      <c r="BF1690" s="45"/>
      <c r="BG1690" s="45"/>
      <c r="BH1690" s="45"/>
    </row>
    <row r="1691" spans="1:60">
      <c r="A1691" s="83" t="str">
        <f>Requirements!A1693</f>
        <v>MS-SMB_R9614</v>
      </c>
      <c r="B1691" s="46"/>
      <c r="C1691" s="46"/>
      <c r="D1691" s="46"/>
      <c r="E1691" s="46"/>
      <c r="F1691" s="46"/>
      <c r="G1691" s="46"/>
      <c r="H1691" s="46"/>
      <c r="I1691" s="46"/>
      <c r="J1691" s="46"/>
      <c r="K1691" s="46"/>
      <c r="L1691" s="46"/>
      <c r="M1691" s="46"/>
      <c r="N1691" s="46">
        <f t="shared" si="104"/>
        <v>0</v>
      </c>
      <c r="O1691" s="46">
        <f t="shared" si="105"/>
        <v>0</v>
      </c>
      <c r="P1691" s="46" t="b">
        <f t="shared" si="106"/>
        <v>0</v>
      </c>
      <c r="Q1691" s="46" t="b">
        <f>(Requirements!K1693="Normative")</f>
        <v>0</v>
      </c>
      <c r="R1691" s="46" t="b">
        <f>AND(Requirements!L1693&lt;&gt;"Non-testable",Requirements!L1693&lt;&gt;"Deleted",Requirements!L1693&lt;&gt;"")</f>
        <v>0</v>
      </c>
      <c r="S1691" s="46" t="b">
        <f>(VLOOKUP(Requirements!I1693,Scope[[Role]:[Description]],2,FALSE)="In")</f>
        <v>1</v>
      </c>
      <c r="T1691" s="46">
        <f t="shared" si="107"/>
        <v>0</v>
      </c>
      <c r="U1691" s="45"/>
      <c r="V1691" s="45"/>
      <c r="W1691" s="45"/>
      <c r="X1691" s="45"/>
      <c r="Y1691" s="45"/>
      <c r="Z1691" s="45"/>
      <c r="AA1691" s="45"/>
      <c r="AB1691" s="45"/>
      <c r="AC1691" s="45"/>
      <c r="AD1691" s="45"/>
      <c r="AE1691" s="45"/>
      <c r="AF1691" s="45"/>
      <c r="AG1691" s="45"/>
      <c r="AH1691" s="45"/>
      <c r="AI1691" s="45"/>
      <c r="AJ1691" s="45"/>
      <c r="AK1691" s="45"/>
      <c r="AL1691" s="45"/>
      <c r="AM1691" s="45"/>
      <c r="AN1691" s="45"/>
      <c r="AO1691" s="45"/>
      <c r="AP1691" s="45"/>
      <c r="AQ1691" s="45"/>
      <c r="AR1691" s="45"/>
      <c r="AS1691" s="45"/>
      <c r="AT1691" s="45"/>
      <c r="AU1691" s="45"/>
      <c r="AV1691" s="45"/>
      <c r="AW1691" s="45"/>
      <c r="AX1691" s="45"/>
      <c r="AY1691" s="45"/>
      <c r="AZ1691" s="45"/>
      <c r="BA1691" s="45"/>
      <c r="BB1691" s="45"/>
      <c r="BC1691" s="45"/>
      <c r="BD1691" s="45"/>
      <c r="BE1691" s="45"/>
      <c r="BF1691" s="45"/>
      <c r="BG1691" s="45"/>
      <c r="BH1691" s="45"/>
    </row>
    <row r="1692" spans="1:60">
      <c r="A1692" s="85" t="str">
        <f>Requirements!A1694</f>
        <v>MS-SMB_R9615</v>
      </c>
      <c r="B1692" s="87"/>
      <c r="C1692" s="87"/>
      <c r="D1692" s="87"/>
      <c r="E1692" s="87"/>
      <c r="F1692" s="87"/>
      <c r="G1692" s="87"/>
      <c r="H1692" s="87"/>
      <c r="I1692" s="87"/>
      <c r="J1692" s="87"/>
      <c r="K1692" s="87"/>
      <c r="L1692" s="87"/>
      <c r="M1692" s="87"/>
      <c r="N1692" s="87">
        <f t="shared" si="104"/>
        <v>0</v>
      </c>
      <c r="O1692" s="61">
        <f t="shared" si="105"/>
        <v>0</v>
      </c>
      <c r="P1692" s="61" t="b">
        <f t="shared" si="106"/>
        <v>1</v>
      </c>
      <c r="Q1692" s="87" t="b">
        <f>(Requirements!K1694="Normative")</f>
        <v>1</v>
      </c>
      <c r="R1692" s="87" t="b">
        <f>AND(Requirements!L1694&lt;&gt;"Non-testable",Requirements!L1694&lt;&gt;"Deleted",Requirements!L1694&lt;&gt;"")</f>
        <v>1</v>
      </c>
      <c r="S1692" s="87" t="b">
        <f>(VLOOKUP(Requirements!I1694,Scope[[Role]:[Description]],2,FALSE)="In")</f>
        <v>1</v>
      </c>
      <c r="T1692" s="87">
        <f t="shared" si="107"/>
        <v>0</v>
      </c>
    </row>
    <row r="1693" spans="1:60">
      <c r="A1693" s="84" t="str">
        <f>Requirements!A1695</f>
        <v>MS-SMB_R9616</v>
      </c>
      <c r="B1693" s="87"/>
      <c r="C1693" s="87"/>
      <c r="D1693" s="87"/>
      <c r="E1693" s="87"/>
      <c r="F1693" s="87"/>
      <c r="G1693" s="87"/>
      <c r="H1693" s="87"/>
      <c r="I1693" s="87"/>
      <c r="J1693" s="87"/>
      <c r="K1693" s="87"/>
      <c r="L1693" s="87">
        <v>1</v>
      </c>
      <c r="M1693" s="87"/>
      <c r="N1693" s="87">
        <f t="shared" si="104"/>
        <v>1</v>
      </c>
      <c r="O1693" s="60">
        <f t="shared" si="105"/>
        <v>1</v>
      </c>
      <c r="P1693" s="60" t="b">
        <f t="shared" si="106"/>
        <v>1</v>
      </c>
      <c r="Q1693" s="87" t="b">
        <f>(Requirements!K1695="Normative")</f>
        <v>1</v>
      </c>
      <c r="R1693" s="87" t="b">
        <f>AND(Requirements!L1695&lt;&gt;"Non-testable",Requirements!L1695&lt;&gt;"Deleted",Requirements!L1695&lt;&gt;"")</f>
        <v>1</v>
      </c>
      <c r="S1693" s="87" t="b">
        <f>(VLOOKUP(Requirements!I1695,Scope[[Role]:[Description]],2,FALSE)="In")</f>
        <v>1</v>
      </c>
      <c r="T1693" s="87">
        <f t="shared" si="107"/>
        <v>1</v>
      </c>
    </row>
    <row r="1694" spans="1:60">
      <c r="A1694" s="84" t="str">
        <f>Requirements!A1696</f>
        <v>MS-SMB_R9617</v>
      </c>
      <c r="B1694" s="87"/>
      <c r="C1694" s="87"/>
      <c r="D1694" s="87"/>
      <c r="E1694" s="87"/>
      <c r="F1694" s="87"/>
      <c r="G1694" s="87"/>
      <c r="H1694" s="87"/>
      <c r="I1694" s="87"/>
      <c r="J1694" s="87"/>
      <c r="K1694" s="87"/>
      <c r="L1694" s="87">
        <v>1</v>
      </c>
      <c r="M1694" s="87"/>
      <c r="N1694" s="87">
        <f t="shared" si="104"/>
        <v>1</v>
      </c>
      <c r="O1694" s="60">
        <f t="shared" si="105"/>
        <v>1</v>
      </c>
      <c r="P1694" s="60" t="b">
        <f t="shared" si="106"/>
        <v>1</v>
      </c>
      <c r="Q1694" s="87" t="b">
        <f>(Requirements!K1696="Normative")</f>
        <v>1</v>
      </c>
      <c r="R1694" s="87" t="b">
        <f>AND(Requirements!L1696&lt;&gt;"Non-testable",Requirements!L1696&lt;&gt;"Deleted",Requirements!L1696&lt;&gt;"")</f>
        <v>1</v>
      </c>
      <c r="S1694" s="87" t="b">
        <f>(VLOOKUP(Requirements!I1696,Scope[[Role]:[Description]],2,FALSE)="In")</f>
        <v>1</v>
      </c>
      <c r="T1694" s="87">
        <f t="shared" si="107"/>
        <v>1</v>
      </c>
    </row>
    <row r="1695" spans="1:60">
      <c r="A1695" s="44" t="str">
        <f>Requirements!A1697</f>
        <v>MS-SMB_R9618</v>
      </c>
      <c r="B1695" s="87"/>
      <c r="C1695" s="87"/>
      <c r="D1695" s="87"/>
      <c r="E1695" s="87"/>
      <c r="F1695" s="87"/>
      <c r="G1695" s="87"/>
      <c r="H1695" s="87"/>
      <c r="I1695" s="87"/>
      <c r="J1695" s="87"/>
      <c r="K1695" s="87"/>
      <c r="L1695" s="87"/>
      <c r="M1695" s="87"/>
      <c r="N1695" s="87">
        <f t="shared" si="104"/>
        <v>0</v>
      </c>
      <c r="O1695" s="87">
        <f t="shared" si="105"/>
        <v>0</v>
      </c>
      <c r="P1695" s="87" t="b">
        <f t="shared" si="106"/>
        <v>0</v>
      </c>
      <c r="Q1695" s="87" t="b">
        <f>(Requirements!K1697="Normative")</f>
        <v>0</v>
      </c>
      <c r="R1695" s="87" t="b">
        <f>AND(Requirements!L1697&lt;&gt;"Non-testable",Requirements!L1697&lt;&gt;"Deleted",Requirements!L1697&lt;&gt;"")</f>
        <v>1</v>
      </c>
      <c r="S1695" s="87" t="b">
        <f>(VLOOKUP(Requirements!I1697,Scope[[Role]:[Description]],2,FALSE)="In")</f>
        <v>1</v>
      </c>
      <c r="T1695" s="87">
        <f t="shared" si="107"/>
        <v>0</v>
      </c>
    </row>
    <row r="1696" spans="1:60">
      <c r="A1696" s="85" t="str">
        <f>Requirements!A1698</f>
        <v>MS-SMB_R9619</v>
      </c>
      <c r="B1696" s="87"/>
      <c r="C1696" s="87"/>
      <c r="D1696" s="87"/>
      <c r="E1696" s="87"/>
      <c r="F1696" s="87"/>
      <c r="G1696" s="87"/>
      <c r="H1696" s="87"/>
      <c r="I1696" s="87"/>
      <c r="J1696" s="87"/>
      <c r="K1696" s="87"/>
      <c r="L1696" s="87"/>
      <c r="M1696" s="87"/>
      <c r="N1696" s="87">
        <f t="shared" si="104"/>
        <v>0</v>
      </c>
      <c r="O1696" s="61">
        <f t="shared" si="105"/>
        <v>0</v>
      </c>
      <c r="P1696" s="61" t="b">
        <f t="shared" si="106"/>
        <v>1</v>
      </c>
      <c r="Q1696" s="87" t="b">
        <f>(Requirements!K1698="Normative")</f>
        <v>1</v>
      </c>
      <c r="R1696" s="87" t="b">
        <f>AND(Requirements!L1698&lt;&gt;"Non-testable",Requirements!L1698&lt;&gt;"Deleted",Requirements!L1698&lt;&gt;"")</f>
        <v>1</v>
      </c>
      <c r="S1696" s="87" t="b">
        <f>(VLOOKUP(Requirements!I1698,Scope[[Role]:[Description]],2,FALSE)="In")</f>
        <v>1</v>
      </c>
      <c r="T1696" s="87">
        <f t="shared" si="107"/>
        <v>0</v>
      </c>
    </row>
    <row r="1697" spans="1:20">
      <c r="A1697" s="44" t="str">
        <f>Requirements!A1699</f>
        <v>MS-SMB_R9620</v>
      </c>
      <c r="B1697" s="87"/>
      <c r="C1697" s="87"/>
      <c r="D1697" s="87"/>
      <c r="E1697" s="87"/>
      <c r="F1697" s="87"/>
      <c r="G1697" s="87"/>
      <c r="H1697" s="87"/>
      <c r="I1697" s="87"/>
      <c r="J1697" s="87"/>
      <c r="K1697" s="87"/>
      <c r="L1697" s="87"/>
      <c r="M1697" s="87"/>
      <c r="N1697" s="87">
        <f t="shared" si="104"/>
        <v>0</v>
      </c>
      <c r="O1697" s="87">
        <f t="shared" si="105"/>
        <v>0</v>
      </c>
      <c r="P1697" s="87" t="b">
        <f t="shared" si="106"/>
        <v>0</v>
      </c>
      <c r="Q1697" s="87" t="b">
        <f>(Requirements!K1699="Normative")</f>
        <v>1</v>
      </c>
      <c r="R1697" s="87" t="b">
        <f>AND(Requirements!L1699&lt;&gt;"Non-testable",Requirements!L1699&lt;&gt;"Deleted",Requirements!L1699&lt;&gt;"")</f>
        <v>0</v>
      </c>
      <c r="S1697" s="87" t="b">
        <f>(VLOOKUP(Requirements!I1699,Scope[[Role]:[Description]],2,FALSE)="In")</f>
        <v>1</v>
      </c>
      <c r="T1697" s="87">
        <f t="shared" si="107"/>
        <v>0</v>
      </c>
    </row>
    <row r="1698" spans="1:20">
      <c r="A1698" s="85" t="str">
        <f>Requirements!A1700</f>
        <v>MS-SMB_R9621</v>
      </c>
      <c r="B1698" s="87"/>
      <c r="C1698" s="87"/>
      <c r="D1698" s="87"/>
      <c r="E1698" s="87"/>
      <c r="F1698" s="87"/>
      <c r="G1698" s="87"/>
      <c r="H1698" s="87"/>
      <c r="I1698" s="87"/>
      <c r="J1698" s="87"/>
      <c r="K1698" s="87"/>
      <c r="L1698" s="87"/>
      <c r="M1698" s="87"/>
      <c r="N1698" s="87">
        <f t="shared" si="104"/>
        <v>0</v>
      </c>
      <c r="O1698" s="61">
        <f t="shared" si="105"/>
        <v>0</v>
      </c>
      <c r="P1698" s="61" t="b">
        <f t="shared" si="106"/>
        <v>1</v>
      </c>
      <c r="Q1698" s="87" t="b">
        <f>(Requirements!K1700="Normative")</f>
        <v>1</v>
      </c>
      <c r="R1698" s="87" t="b">
        <f>AND(Requirements!L1700&lt;&gt;"Non-testable",Requirements!L1700&lt;&gt;"Deleted",Requirements!L1700&lt;&gt;"")</f>
        <v>1</v>
      </c>
      <c r="S1698" s="87" t="b">
        <f>(VLOOKUP(Requirements!I1700,Scope[[Role]:[Description]],2,FALSE)="In")</f>
        <v>1</v>
      </c>
      <c r="T1698" s="87">
        <f t="shared" si="107"/>
        <v>0</v>
      </c>
    </row>
    <row r="1699" spans="1:20">
      <c r="A1699" s="44" t="str">
        <f>Requirements!A1701</f>
        <v>MS-SMB_R9556</v>
      </c>
      <c r="B1699" s="87"/>
      <c r="C1699" s="87"/>
      <c r="D1699" s="87"/>
      <c r="E1699" s="87"/>
      <c r="F1699" s="87"/>
      <c r="G1699" s="87"/>
      <c r="H1699" s="87"/>
      <c r="I1699" s="87"/>
      <c r="J1699" s="87"/>
      <c r="K1699" s="87"/>
      <c r="L1699" s="87"/>
      <c r="M1699" s="87"/>
      <c r="N1699" s="87">
        <f t="shared" si="104"/>
        <v>0</v>
      </c>
      <c r="O1699" s="87">
        <f t="shared" si="105"/>
        <v>0</v>
      </c>
      <c r="P1699" s="87" t="b">
        <f t="shared" si="106"/>
        <v>0</v>
      </c>
      <c r="Q1699" s="87" t="b">
        <f>(Requirements!K1701="Normative")</f>
        <v>0</v>
      </c>
      <c r="R1699" s="87" t="b">
        <f>AND(Requirements!L1701&lt;&gt;"Non-testable",Requirements!L1701&lt;&gt;"Deleted",Requirements!L1701&lt;&gt;"")</f>
        <v>1</v>
      </c>
      <c r="S1699" s="87" t="b">
        <f>(VLOOKUP(Requirements!I1701,Scope[[Role]:[Description]],2,FALSE)="In")</f>
        <v>1</v>
      </c>
      <c r="T1699" s="87">
        <f t="shared" si="107"/>
        <v>0</v>
      </c>
    </row>
    <row r="1700" spans="1:20">
      <c r="A1700" s="44" t="str">
        <f>Requirements!A1702</f>
        <v>MS-SMB_R9557</v>
      </c>
      <c r="B1700" s="87"/>
      <c r="C1700" s="87"/>
      <c r="D1700" s="87"/>
      <c r="E1700" s="87"/>
      <c r="F1700" s="87"/>
      <c r="G1700" s="87"/>
      <c r="H1700" s="87"/>
      <c r="I1700" s="87"/>
      <c r="J1700" s="87"/>
      <c r="K1700" s="87"/>
      <c r="L1700" s="87"/>
      <c r="M1700" s="87"/>
      <c r="N1700" s="87">
        <f t="shared" si="104"/>
        <v>0</v>
      </c>
      <c r="O1700" s="87">
        <f t="shared" si="105"/>
        <v>0</v>
      </c>
      <c r="P1700" s="87" t="b">
        <f t="shared" si="106"/>
        <v>0</v>
      </c>
      <c r="Q1700" s="87" t="b">
        <f>(Requirements!K1702="Normative")</f>
        <v>0</v>
      </c>
      <c r="R1700" s="87" t="b">
        <f>AND(Requirements!L1702&lt;&gt;"Non-testable",Requirements!L1702&lt;&gt;"Deleted",Requirements!L1702&lt;&gt;"")</f>
        <v>1</v>
      </c>
      <c r="S1700" s="87" t="b">
        <f>(VLOOKUP(Requirements!I1702,Scope[[Role]:[Description]],2,FALSE)="In")</f>
        <v>1</v>
      </c>
      <c r="T1700" s="87">
        <f t="shared" si="107"/>
        <v>0</v>
      </c>
    </row>
    <row r="1701" spans="1:20">
      <c r="A1701" s="85" t="str">
        <f>Requirements!A1703</f>
        <v>MS-SMB_R9622</v>
      </c>
      <c r="B1701" s="87"/>
      <c r="C1701" s="87"/>
      <c r="D1701" s="87"/>
      <c r="E1701" s="87"/>
      <c r="F1701" s="87"/>
      <c r="G1701" s="87"/>
      <c r="H1701" s="87"/>
      <c r="I1701" s="87"/>
      <c r="J1701" s="87"/>
      <c r="K1701" s="87"/>
      <c r="L1701" s="87"/>
      <c r="M1701" s="87"/>
      <c r="N1701" s="87">
        <f t="shared" si="104"/>
        <v>0</v>
      </c>
      <c r="O1701" s="61">
        <f t="shared" si="105"/>
        <v>0</v>
      </c>
      <c r="P1701" s="61" t="b">
        <f t="shared" si="106"/>
        <v>1</v>
      </c>
      <c r="Q1701" s="87" t="b">
        <f>(Requirements!K1703="Normative")</f>
        <v>1</v>
      </c>
      <c r="R1701" s="87" t="b">
        <f>AND(Requirements!L1703&lt;&gt;"Non-testable",Requirements!L1703&lt;&gt;"Deleted",Requirements!L1703&lt;&gt;"")</f>
        <v>1</v>
      </c>
      <c r="S1701" s="87" t="b">
        <f>(VLOOKUP(Requirements!I1703,Scope[[Role]:[Description]],2,FALSE)="In")</f>
        <v>1</v>
      </c>
      <c r="T1701" s="87">
        <f t="shared" si="107"/>
        <v>0</v>
      </c>
    </row>
    <row r="1702" spans="1:20">
      <c r="A1702" s="44" t="str">
        <f>Requirements!A1704</f>
        <v>MS-SMB_R9558</v>
      </c>
      <c r="B1702" s="87"/>
      <c r="C1702" s="87"/>
      <c r="D1702" s="87"/>
      <c r="E1702" s="87"/>
      <c r="F1702" s="87"/>
      <c r="G1702" s="87"/>
      <c r="H1702" s="87"/>
      <c r="I1702" s="87"/>
      <c r="J1702" s="87"/>
      <c r="K1702" s="87"/>
      <c r="L1702" s="87"/>
      <c r="M1702" s="87"/>
      <c r="N1702" s="87">
        <f t="shared" si="104"/>
        <v>0</v>
      </c>
      <c r="O1702" s="87">
        <f t="shared" si="105"/>
        <v>0</v>
      </c>
      <c r="P1702" s="87" t="b">
        <f t="shared" si="106"/>
        <v>0</v>
      </c>
      <c r="Q1702" s="87" t="b">
        <f>(Requirements!K1704="Normative")</f>
        <v>0</v>
      </c>
      <c r="R1702" s="87" t="b">
        <f>AND(Requirements!L1704&lt;&gt;"Non-testable",Requirements!L1704&lt;&gt;"Deleted",Requirements!L1704&lt;&gt;"")</f>
        <v>1</v>
      </c>
      <c r="S1702" s="87" t="b">
        <f>(VLOOKUP(Requirements!I1704,Scope[[Role]:[Description]],2,FALSE)="In")</f>
        <v>1</v>
      </c>
      <c r="T1702" s="87">
        <f t="shared" si="107"/>
        <v>0</v>
      </c>
    </row>
    <row r="1703" spans="1:20">
      <c r="A1703" s="44" t="str">
        <f>Requirements!A1705</f>
        <v>MS-SMB_R9559</v>
      </c>
      <c r="B1703" s="87"/>
      <c r="C1703" s="87"/>
      <c r="D1703" s="87"/>
      <c r="E1703" s="87"/>
      <c r="F1703" s="87"/>
      <c r="G1703" s="87"/>
      <c r="H1703" s="87"/>
      <c r="I1703" s="87"/>
      <c r="J1703" s="87"/>
      <c r="K1703" s="87"/>
      <c r="L1703" s="87"/>
      <c r="M1703" s="87"/>
      <c r="N1703" s="87">
        <f t="shared" si="104"/>
        <v>0</v>
      </c>
      <c r="O1703" s="87">
        <f t="shared" si="105"/>
        <v>0</v>
      </c>
      <c r="P1703" s="87" t="b">
        <f t="shared" si="106"/>
        <v>0</v>
      </c>
      <c r="Q1703" s="87" t="b">
        <f>(Requirements!K1705="Normative")</f>
        <v>0</v>
      </c>
      <c r="R1703" s="87" t="b">
        <f>AND(Requirements!L1705&lt;&gt;"Non-testable",Requirements!L1705&lt;&gt;"Deleted",Requirements!L1705&lt;&gt;"")</f>
        <v>1</v>
      </c>
      <c r="S1703" s="87" t="b">
        <f>(VLOOKUP(Requirements!I1705,Scope[[Role]:[Description]],2,FALSE)="In")</f>
        <v>1</v>
      </c>
      <c r="T1703" s="87">
        <f t="shared" si="107"/>
        <v>0</v>
      </c>
    </row>
    <row r="1704" spans="1:20">
      <c r="A1704" s="84" t="str">
        <f>Requirements!A1706</f>
        <v>MS-SMB_R9560</v>
      </c>
      <c r="B1704" s="87"/>
      <c r="C1704" s="87"/>
      <c r="D1704" s="87"/>
      <c r="E1704" s="87"/>
      <c r="F1704" s="87"/>
      <c r="G1704" s="87">
        <v>1</v>
      </c>
      <c r="H1704" s="87"/>
      <c r="I1704" s="87"/>
      <c r="J1704" s="87"/>
      <c r="K1704" s="87"/>
      <c r="L1704" s="87"/>
      <c r="M1704" s="87"/>
      <c r="N1704" s="87">
        <f t="shared" si="104"/>
        <v>1</v>
      </c>
      <c r="O1704" s="60">
        <f t="shared" si="105"/>
        <v>1</v>
      </c>
      <c r="P1704" s="60" t="b">
        <f t="shared" si="106"/>
        <v>1</v>
      </c>
      <c r="Q1704" s="87" t="b">
        <f>(Requirements!K1706="Normative")</f>
        <v>1</v>
      </c>
      <c r="R1704" s="87" t="b">
        <f>AND(Requirements!L1706&lt;&gt;"Non-testable",Requirements!L1706&lt;&gt;"Deleted",Requirements!L1706&lt;&gt;"")</f>
        <v>1</v>
      </c>
      <c r="S1704" s="87" t="b">
        <f>(VLOOKUP(Requirements!I1706,Scope[[Role]:[Description]],2,FALSE)="In")</f>
        <v>1</v>
      </c>
      <c r="T1704" s="87">
        <f t="shared" si="107"/>
        <v>1</v>
      </c>
    </row>
    <row r="1705" spans="1:20">
      <c r="A1705" s="44" t="str">
        <f>Requirements!A1707</f>
        <v>MS-SMB_R9561</v>
      </c>
      <c r="B1705" s="87"/>
      <c r="C1705" s="87"/>
      <c r="D1705" s="87"/>
      <c r="E1705" s="87"/>
      <c r="F1705" s="87"/>
      <c r="G1705" s="87"/>
      <c r="H1705" s="87"/>
      <c r="I1705" s="87"/>
      <c r="J1705" s="87"/>
      <c r="K1705" s="87"/>
      <c r="L1705" s="87"/>
      <c r="M1705" s="87"/>
      <c r="N1705" s="87">
        <f t="shared" si="104"/>
        <v>0</v>
      </c>
      <c r="O1705" s="87">
        <f t="shared" si="105"/>
        <v>0</v>
      </c>
      <c r="P1705" s="87" t="b">
        <f t="shared" si="106"/>
        <v>0</v>
      </c>
      <c r="Q1705" s="87" t="b">
        <f>(Requirements!K1707="Normative")</f>
        <v>0</v>
      </c>
      <c r="R1705" s="87" t="b">
        <f>AND(Requirements!L1707&lt;&gt;"Non-testable",Requirements!L1707&lt;&gt;"Deleted",Requirements!L1707&lt;&gt;"")</f>
        <v>1</v>
      </c>
      <c r="S1705" s="87" t="b">
        <f>(VLOOKUP(Requirements!I1707,Scope[[Role]:[Description]],2,FALSE)="In")</f>
        <v>1</v>
      </c>
      <c r="T1705" s="87">
        <f t="shared" si="107"/>
        <v>0</v>
      </c>
    </row>
    <row r="1706" spans="1:20">
      <c r="A1706" s="44" t="str">
        <f>Requirements!A1708</f>
        <v>MS-SMB_R9562</v>
      </c>
      <c r="B1706" s="87"/>
      <c r="C1706" s="87"/>
      <c r="D1706" s="87"/>
      <c r="E1706" s="87"/>
      <c r="F1706" s="87"/>
      <c r="G1706" s="87"/>
      <c r="H1706" s="87"/>
      <c r="I1706" s="87"/>
      <c r="J1706" s="87"/>
      <c r="K1706" s="87"/>
      <c r="L1706" s="87"/>
      <c r="M1706" s="87"/>
      <c r="N1706" s="87">
        <f t="shared" si="104"/>
        <v>0</v>
      </c>
      <c r="O1706" s="87">
        <f t="shared" si="105"/>
        <v>0</v>
      </c>
      <c r="P1706" s="87" t="b">
        <f t="shared" si="106"/>
        <v>0</v>
      </c>
      <c r="Q1706" s="87" t="b">
        <f>(Requirements!K1708="Normative")</f>
        <v>0</v>
      </c>
      <c r="R1706" s="87" t="b">
        <f>AND(Requirements!L1708&lt;&gt;"Non-testable",Requirements!L1708&lt;&gt;"Deleted",Requirements!L1708&lt;&gt;"")</f>
        <v>1</v>
      </c>
      <c r="S1706" s="87" t="b">
        <f>(VLOOKUP(Requirements!I1708,Scope[[Role]:[Description]],2,FALSE)="In")</f>
        <v>1</v>
      </c>
      <c r="T1706" s="87">
        <f t="shared" si="107"/>
        <v>0</v>
      </c>
    </row>
    <row r="1707" spans="1:20">
      <c r="A1707" s="44" t="str">
        <f>Requirements!A1709</f>
        <v>MS-SMB_R9563</v>
      </c>
      <c r="B1707" s="87"/>
      <c r="C1707" s="87"/>
      <c r="D1707" s="87"/>
      <c r="E1707" s="87"/>
      <c r="F1707" s="87"/>
      <c r="G1707" s="87"/>
      <c r="H1707" s="87"/>
      <c r="I1707" s="87"/>
      <c r="J1707" s="87"/>
      <c r="K1707" s="87"/>
      <c r="L1707" s="87"/>
      <c r="M1707" s="87"/>
      <c r="N1707" s="87">
        <f t="shared" si="104"/>
        <v>0</v>
      </c>
      <c r="O1707" s="87">
        <f t="shared" si="105"/>
        <v>0</v>
      </c>
      <c r="P1707" s="87" t="b">
        <f t="shared" si="106"/>
        <v>0</v>
      </c>
      <c r="Q1707" s="87" t="b">
        <f>(Requirements!K1709="Normative")</f>
        <v>0</v>
      </c>
      <c r="R1707" s="87" t="b">
        <f>AND(Requirements!L1709&lt;&gt;"Non-testable",Requirements!L1709&lt;&gt;"Deleted",Requirements!L1709&lt;&gt;"")</f>
        <v>1</v>
      </c>
      <c r="S1707" s="87" t="b">
        <f>(VLOOKUP(Requirements!I1709,Scope[[Role]:[Description]],2,FALSE)="In")</f>
        <v>1</v>
      </c>
      <c r="T1707" s="87">
        <f t="shared" si="107"/>
        <v>0</v>
      </c>
    </row>
    <row r="1708" spans="1:20">
      <c r="A1708" s="44" t="str">
        <f>Requirements!A1710</f>
        <v>MS-SMB_R9564</v>
      </c>
      <c r="B1708" s="87"/>
      <c r="C1708" s="87"/>
      <c r="D1708" s="87"/>
      <c r="E1708" s="87"/>
      <c r="F1708" s="87"/>
      <c r="G1708" s="87"/>
      <c r="H1708" s="87"/>
      <c r="I1708" s="87"/>
      <c r="J1708" s="87"/>
      <c r="K1708" s="87"/>
      <c r="L1708" s="87"/>
      <c r="M1708" s="87"/>
      <c r="N1708" s="87">
        <f t="shared" si="104"/>
        <v>0</v>
      </c>
      <c r="O1708" s="87">
        <f t="shared" si="105"/>
        <v>0</v>
      </c>
      <c r="P1708" s="87" t="b">
        <f t="shared" si="106"/>
        <v>0</v>
      </c>
      <c r="Q1708" s="87" t="b">
        <f>(Requirements!K1710="Normative")</f>
        <v>0</v>
      </c>
      <c r="R1708" s="87" t="b">
        <f>AND(Requirements!L1710&lt;&gt;"Non-testable",Requirements!L1710&lt;&gt;"Deleted",Requirements!L1710&lt;&gt;"")</f>
        <v>1</v>
      </c>
      <c r="S1708" s="87" t="b">
        <f>(VLOOKUP(Requirements!I1710,Scope[[Role]:[Description]],2,FALSE)="In")</f>
        <v>1</v>
      </c>
      <c r="T1708" s="87">
        <f t="shared" si="107"/>
        <v>0</v>
      </c>
    </row>
    <row r="1709" spans="1:20">
      <c r="A1709" s="44" t="str">
        <f>Requirements!A1711</f>
        <v>MS-SMB_R9565</v>
      </c>
      <c r="B1709" s="87"/>
      <c r="C1709" s="87"/>
      <c r="D1709" s="87"/>
      <c r="E1709" s="87"/>
      <c r="F1709" s="87"/>
      <c r="G1709" s="87"/>
      <c r="H1709" s="87"/>
      <c r="I1709" s="87"/>
      <c r="J1709" s="87"/>
      <c r="K1709" s="87"/>
      <c r="L1709" s="87"/>
      <c r="M1709" s="87"/>
      <c r="N1709" s="87">
        <f t="shared" si="104"/>
        <v>0</v>
      </c>
      <c r="O1709" s="87">
        <f t="shared" si="105"/>
        <v>0</v>
      </c>
      <c r="P1709" s="87" t="b">
        <f t="shared" si="106"/>
        <v>0</v>
      </c>
      <c r="Q1709" s="87" t="b">
        <f>(Requirements!K1711="Normative")</f>
        <v>0</v>
      </c>
      <c r="R1709" s="87" t="b">
        <f>AND(Requirements!L1711&lt;&gt;"Non-testable",Requirements!L1711&lt;&gt;"Deleted",Requirements!L1711&lt;&gt;"")</f>
        <v>1</v>
      </c>
      <c r="S1709" s="87" t="b">
        <f>(VLOOKUP(Requirements!I1711,Scope[[Role]:[Description]],2,FALSE)="In")</f>
        <v>1</v>
      </c>
      <c r="T1709" s="87">
        <f t="shared" si="107"/>
        <v>0</v>
      </c>
    </row>
    <row r="1710" spans="1:20">
      <c r="A1710" s="44" t="str">
        <f>Requirements!A1712</f>
        <v>MS-SMB_R9566</v>
      </c>
      <c r="B1710" s="87"/>
      <c r="C1710" s="87"/>
      <c r="D1710" s="87"/>
      <c r="E1710" s="87"/>
      <c r="F1710" s="87"/>
      <c r="G1710" s="87"/>
      <c r="H1710" s="87"/>
      <c r="I1710" s="87"/>
      <c r="J1710" s="87"/>
      <c r="K1710" s="87"/>
      <c r="L1710" s="87"/>
      <c r="M1710" s="87"/>
      <c r="N1710" s="87">
        <f t="shared" si="104"/>
        <v>0</v>
      </c>
      <c r="O1710" s="87">
        <f t="shared" si="105"/>
        <v>0</v>
      </c>
      <c r="P1710" s="87" t="b">
        <f t="shared" si="106"/>
        <v>0</v>
      </c>
      <c r="Q1710" s="87" t="b">
        <f>(Requirements!K1712="Normative")</f>
        <v>0</v>
      </c>
      <c r="R1710" s="87" t="b">
        <f>AND(Requirements!L1712&lt;&gt;"Non-testable",Requirements!L1712&lt;&gt;"Deleted",Requirements!L1712&lt;&gt;"")</f>
        <v>1</v>
      </c>
      <c r="S1710" s="87" t="b">
        <f>(VLOOKUP(Requirements!I1712,Scope[[Role]:[Description]],2,FALSE)="In")</f>
        <v>1</v>
      </c>
      <c r="T1710" s="87">
        <f t="shared" si="107"/>
        <v>0</v>
      </c>
    </row>
    <row r="1711" spans="1:20">
      <c r="A1711" s="44" t="str">
        <f>Requirements!A1713</f>
        <v>MS-SMB_R9567</v>
      </c>
      <c r="B1711" s="87"/>
      <c r="C1711" s="87"/>
      <c r="D1711" s="87"/>
      <c r="E1711" s="87"/>
      <c r="F1711" s="87"/>
      <c r="G1711" s="87"/>
      <c r="H1711" s="87"/>
      <c r="I1711" s="87"/>
      <c r="J1711" s="87"/>
      <c r="K1711" s="87"/>
      <c r="L1711" s="87"/>
      <c r="M1711" s="87"/>
      <c r="N1711" s="87">
        <f t="shared" si="104"/>
        <v>0</v>
      </c>
      <c r="O1711" s="87">
        <f t="shared" si="105"/>
        <v>0</v>
      </c>
      <c r="P1711" s="87" t="b">
        <f t="shared" si="106"/>
        <v>0</v>
      </c>
      <c r="Q1711" s="87" t="b">
        <f>(Requirements!K1713="Normative")</f>
        <v>0</v>
      </c>
      <c r="R1711" s="87" t="b">
        <f>AND(Requirements!L1713&lt;&gt;"Non-testable",Requirements!L1713&lt;&gt;"Deleted",Requirements!L1713&lt;&gt;"")</f>
        <v>1</v>
      </c>
      <c r="S1711" s="87" t="b">
        <f>(VLOOKUP(Requirements!I1713,Scope[[Role]:[Description]],2,FALSE)="In")</f>
        <v>1</v>
      </c>
      <c r="T1711" s="87">
        <f t="shared" si="107"/>
        <v>0</v>
      </c>
    </row>
    <row r="1712" spans="1:20">
      <c r="A1712" s="84" t="str">
        <f>Requirements!A1714</f>
        <v>MS-SMB_R9568</v>
      </c>
      <c r="B1712" s="87"/>
      <c r="C1712" s="87"/>
      <c r="D1712" s="87"/>
      <c r="E1712" s="87"/>
      <c r="F1712" s="87"/>
      <c r="G1712" s="87">
        <v>1</v>
      </c>
      <c r="H1712" s="87"/>
      <c r="I1712" s="87"/>
      <c r="J1712" s="87"/>
      <c r="K1712" s="87"/>
      <c r="L1712" s="87"/>
      <c r="M1712" s="87"/>
      <c r="N1712" s="87">
        <f t="shared" si="104"/>
        <v>1</v>
      </c>
      <c r="O1712" s="60">
        <f t="shared" si="105"/>
        <v>1</v>
      </c>
      <c r="P1712" s="60" t="b">
        <f t="shared" si="106"/>
        <v>1</v>
      </c>
      <c r="Q1712" s="87" t="b">
        <f>(Requirements!K1714="Normative")</f>
        <v>1</v>
      </c>
      <c r="R1712" s="87" t="b">
        <f>AND(Requirements!L1714&lt;&gt;"Non-testable",Requirements!L1714&lt;&gt;"Deleted",Requirements!L1714&lt;&gt;"")</f>
        <v>1</v>
      </c>
      <c r="S1712" s="87" t="b">
        <f>(VLOOKUP(Requirements!I1714,Scope[[Role]:[Description]],2,FALSE)="In")</f>
        <v>1</v>
      </c>
      <c r="T1712" s="87">
        <f t="shared" si="107"/>
        <v>1</v>
      </c>
    </row>
    <row r="1713" spans="1:20">
      <c r="A1713" s="44" t="str">
        <f>Requirements!A1715</f>
        <v>MS-SMB_R9569</v>
      </c>
      <c r="B1713" s="87"/>
      <c r="C1713" s="87"/>
      <c r="D1713" s="87"/>
      <c r="E1713" s="87"/>
      <c r="F1713" s="87"/>
      <c r="G1713" s="87"/>
      <c r="H1713" s="87"/>
      <c r="I1713" s="87"/>
      <c r="J1713" s="87"/>
      <c r="K1713" s="87"/>
      <c r="L1713" s="87"/>
      <c r="M1713" s="87"/>
      <c r="N1713" s="87">
        <f t="shared" si="104"/>
        <v>0</v>
      </c>
      <c r="O1713" s="87">
        <f t="shared" si="105"/>
        <v>0</v>
      </c>
      <c r="P1713" s="87" t="b">
        <f t="shared" si="106"/>
        <v>0</v>
      </c>
      <c r="Q1713" s="87" t="b">
        <f>(Requirements!K1715="Normative")</f>
        <v>0</v>
      </c>
      <c r="R1713" s="87" t="b">
        <f>AND(Requirements!L1715&lt;&gt;"Non-testable",Requirements!L1715&lt;&gt;"Deleted",Requirements!L1715&lt;&gt;"")</f>
        <v>1</v>
      </c>
      <c r="S1713" s="87" t="b">
        <f>(VLOOKUP(Requirements!I1715,Scope[[Role]:[Description]],2,FALSE)="In")</f>
        <v>1</v>
      </c>
      <c r="T1713" s="87">
        <f t="shared" si="107"/>
        <v>0</v>
      </c>
    </row>
    <row r="1714" spans="1:20">
      <c r="A1714" s="85" t="str">
        <f>Requirements!A1716</f>
        <v>MS-SMB_R9570</v>
      </c>
      <c r="B1714" s="87"/>
      <c r="C1714" s="87"/>
      <c r="D1714" s="87"/>
      <c r="E1714" s="87"/>
      <c r="F1714" s="87"/>
      <c r="G1714" s="87"/>
      <c r="H1714" s="87"/>
      <c r="I1714" s="87"/>
      <c r="J1714" s="87"/>
      <c r="K1714" s="87"/>
      <c r="L1714" s="87"/>
      <c r="M1714" s="87"/>
      <c r="N1714" s="87">
        <f t="shared" si="104"/>
        <v>0</v>
      </c>
      <c r="O1714" s="61">
        <f t="shared" si="105"/>
        <v>0</v>
      </c>
      <c r="P1714" s="61" t="b">
        <f t="shared" si="106"/>
        <v>1</v>
      </c>
      <c r="Q1714" s="87" t="b">
        <f>(Requirements!K1716="Normative")</f>
        <v>1</v>
      </c>
      <c r="R1714" s="87" t="b">
        <f>AND(Requirements!L1716&lt;&gt;"Non-testable",Requirements!L1716&lt;&gt;"Deleted",Requirements!L1716&lt;&gt;"")</f>
        <v>1</v>
      </c>
      <c r="S1714" s="87" t="b">
        <f>(VLOOKUP(Requirements!I1716,Scope[[Role]:[Description]],2,FALSE)="In")</f>
        <v>1</v>
      </c>
      <c r="T1714" s="87">
        <f t="shared" si="107"/>
        <v>0</v>
      </c>
    </row>
    <row r="1715" spans="1:20">
      <c r="A1715" s="84" t="str">
        <f>Requirements!A1717</f>
        <v>MS-SMB_R9571</v>
      </c>
      <c r="B1715" s="87"/>
      <c r="C1715" s="87"/>
      <c r="D1715" s="87"/>
      <c r="E1715" s="87"/>
      <c r="F1715" s="87"/>
      <c r="G1715" s="87">
        <v>1</v>
      </c>
      <c r="H1715" s="87"/>
      <c r="I1715" s="87"/>
      <c r="J1715" s="87"/>
      <c r="K1715" s="87"/>
      <c r="L1715" s="87"/>
      <c r="M1715" s="87"/>
      <c r="N1715" s="87">
        <f t="shared" si="104"/>
        <v>1</v>
      </c>
      <c r="O1715" s="60">
        <f t="shared" si="105"/>
        <v>1</v>
      </c>
      <c r="P1715" s="60" t="b">
        <f t="shared" si="106"/>
        <v>1</v>
      </c>
      <c r="Q1715" s="87" t="b">
        <f>(Requirements!K1717="Normative")</f>
        <v>1</v>
      </c>
      <c r="R1715" s="87" t="b">
        <f>AND(Requirements!L1717&lt;&gt;"Non-testable",Requirements!L1717&lt;&gt;"Deleted",Requirements!L1717&lt;&gt;"")</f>
        <v>1</v>
      </c>
      <c r="S1715" s="87" t="b">
        <f>(VLOOKUP(Requirements!I1717,Scope[[Role]:[Description]],2,FALSE)="In")</f>
        <v>1</v>
      </c>
      <c r="T1715" s="87">
        <f t="shared" si="107"/>
        <v>1</v>
      </c>
    </row>
    <row r="1716" spans="1:20">
      <c r="A1716" s="44" t="str">
        <f>Requirements!A1718</f>
        <v>MS-SMB_R9572</v>
      </c>
      <c r="B1716" s="87"/>
      <c r="C1716" s="87"/>
      <c r="D1716" s="87"/>
      <c r="E1716" s="87"/>
      <c r="F1716" s="87"/>
      <c r="G1716" s="87"/>
      <c r="H1716" s="87"/>
      <c r="I1716" s="87"/>
      <c r="J1716" s="87"/>
      <c r="K1716" s="87"/>
      <c r="L1716" s="87"/>
      <c r="M1716" s="87"/>
      <c r="N1716" s="87">
        <f t="shared" si="104"/>
        <v>0</v>
      </c>
      <c r="O1716" s="87">
        <f t="shared" si="105"/>
        <v>0</v>
      </c>
      <c r="P1716" s="87" t="b">
        <f t="shared" si="106"/>
        <v>0</v>
      </c>
      <c r="Q1716" s="87" t="b">
        <f>(Requirements!K1718="Normative")</f>
        <v>0</v>
      </c>
      <c r="R1716" s="87" t="b">
        <f>AND(Requirements!L1718&lt;&gt;"Non-testable",Requirements!L1718&lt;&gt;"Deleted",Requirements!L1718&lt;&gt;"")</f>
        <v>1</v>
      </c>
      <c r="S1716" s="87" t="b">
        <f>(VLOOKUP(Requirements!I1718,Scope[[Role]:[Description]],2,FALSE)="In")</f>
        <v>1</v>
      </c>
      <c r="T1716" s="87">
        <f t="shared" si="107"/>
        <v>0</v>
      </c>
    </row>
    <row r="1717" spans="1:20">
      <c r="A1717" s="44" t="str">
        <f>Requirements!A1719</f>
        <v>MS-SMB_R9573</v>
      </c>
      <c r="B1717" s="87"/>
      <c r="C1717" s="87"/>
      <c r="D1717" s="87"/>
      <c r="E1717" s="87"/>
      <c r="F1717" s="87"/>
      <c r="G1717" s="87"/>
      <c r="H1717" s="87"/>
      <c r="I1717" s="87"/>
      <c r="J1717" s="87"/>
      <c r="K1717" s="87"/>
      <c r="L1717" s="87"/>
      <c r="M1717" s="87"/>
      <c r="N1717" s="87">
        <f t="shared" si="104"/>
        <v>0</v>
      </c>
      <c r="O1717" s="87">
        <f t="shared" si="105"/>
        <v>0</v>
      </c>
      <c r="P1717" s="87" t="b">
        <f t="shared" si="106"/>
        <v>0</v>
      </c>
      <c r="Q1717" s="87" t="b">
        <f>(Requirements!K1719="Normative")</f>
        <v>0</v>
      </c>
      <c r="R1717" s="87" t="b">
        <f>AND(Requirements!L1719&lt;&gt;"Non-testable",Requirements!L1719&lt;&gt;"Deleted",Requirements!L1719&lt;&gt;"")</f>
        <v>1</v>
      </c>
      <c r="S1717" s="87" t="b">
        <f>(VLOOKUP(Requirements!I1719,Scope[[Role]:[Description]],2,FALSE)="In")</f>
        <v>1</v>
      </c>
      <c r="T1717" s="87">
        <f t="shared" si="107"/>
        <v>0</v>
      </c>
    </row>
    <row r="1718" spans="1:20">
      <c r="A1718" s="44" t="str">
        <f>Requirements!A1720</f>
        <v>MS-SMB_R9574</v>
      </c>
      <c r="B1718" s="87"/>
      <c r="C1718" s="87"/>
      <c r="D1718" s="87"/>
      <c r="E1718" s="87"/>
      <c r="F1718" s="87"/>
      <c r="G1718" s="87"/>
      <c r="H1718" s="87"/>
      <c r="I1718" s="87"/>
      <c r="J1718" s="87"/>
      <c r="K1718" s="87"/>
      <c r="L1718" s="87"/>
      <c r="M1718" s="87"/>
      <c r="N1718" s="87">
        <f t="shared" si="104"/>
        <v>0</v>
      </c>
      <c r="O1718" s="87">
        <f t="shared" si="105"/>
        <v>0</v>
      </c>
      <c r="P1718" s="87" t="b">
        <f t="shared" si="106"/>
        <v>0</v>
      </c>
      <c r="Q1718" s="87" t="b">
        <f>(Requirements!K1720="Normative")</f>
        <v>0</v>
      </c>
      <c r="R1718" s="87" t="b">
        <f>AND(Requirements!L1720&lt;&gt;"Non-testable",Requirements!L1720&lt;&gt;"Deleted",Requirements!L1720&lt;&gt;"")</f>
        <v>1</v>
      </c>
      <c r="S1718" s="87" t="b">
        <f>(VLOOKUP(Requirements!I1720,Scope[[Role]:[Description]],2,FALSE)="In")</f>
        <v>1</v>
      </c>
      <c r="T1718" s="87">
        <f t="shared" si="107"/>
        <v>0</v>
      </c>
    </row>
    <row r="1719" spans="1:20">
      <c r="A1719" s="44" t="str">
        <f>Requirements!A1721</f>
        <v>MS-SMB_R9575</v>
      </c>
      <c r="B1719" s="87"/>
      <c r="C1719" s="87"/>
      <c r="D1719" s="87"/>
      <c r="E1719" s="87"/>
      <c r="F1719" s="87"/>
      <c r="G1719" s="87"/>
      <c r="H1719" s="87"/>
      <c r="I1719" s="87"/>
      <c r="J1719" s="87"/>
      <c r="K1719" s="87"/>
      <c r="L1719" s="87"/>
      <c r="M1719" s="87"/>
      <c r="N1719" s="87">
        <f t="shared" si="104"/>
        <v>0</v>
      </c>
      <c r="O1719" s="87">
        <f t="shared" si="105"/>
        <v>0</v>
      </c>
      <c r="P1719" s="87" t="b">
        <f t="shared" si="106"/>
        <v>0</v>
      </c>
      <c r="Q1719" s="87" t="b">
        <f>(Requirements!K1721="Normative")</f>
        <v>0</v>
      </c>
      <c r="R1719" s="87" t="b">
        <f>AND(Requirements!L1721&lt;&gt;"Non-testable",Requirements!L1721&lt;&gt;"Deleted",Requirements!L1721&lt;&gt;"")</f>
        <v>1</v>
      </c>
      <c r="S1719" s="87" t="b">
        <f>(VLOOKUP(Requirements!I1721,Scope[[Role]:[Description]],2,FALSE)="In")</f>
        <v>1</v>
      </c>
      <c r="T1719" s="87">
        <f t="shared" si="107"/>
        <v>0</v>
      </c>
    </row>
    <row r="1720" spans="1:20">
      <c r="A1720" s="84" t="str">
        <f>Requirements!A1722</f>
        <v>MS-SMB_R9576</v>
      </c>
      <c r="B1720" s="87"/>
      <c r="C1720" s="87"/>
      <c r="D1720" s="87"/>
      <c r="E1720" s="87"/>
      <c r="F1720" s="87"/>
      <c r="G1720" s="87">
        <v>1</v>
      </c>
      <c r="H1720" s="87"/>
      <c r="I1720" s="87"/>
      <c r="J1720" s="87"/>
      <c r="K1720" s="87"/>
      <c r="L1720" s="87"/>
      <c r="M1720" s="87"/>
      <c r="N1720" s="87">
        <f t="shared" si="104"/>
        <v>1</v>
      </c>
      <c r="O1720" s="60">
        <f t="shared" si="105"/>
        <v>1</v>
      </c>
      <c r="P1720" s="60" t="b">
        <f t="shared" si="106"/>
        <v>1</v>
      </c>
      <c r="Q1720" s="87" t="b">
        <f>(Requirements!K1722="Normative")</f>
        <v>1</v>
      </c>
      <c r="R1720" s="87" t="b">
        <f>AND(Requirements!L1722&lt;&gt;"Non-testable",Requirements!L1722&lt;&gt;"Deleted",Requirements!L1722&lt;&gt;"")</f>
        <v>1</v>
      </c>
      <c r="S1720" s="87" t="b">
        <f>(VLOOKUP(Requirements!I1722,Scope[[Role]:[Description]],2,FALSE)="In")</f>
        <v>1</v>
      </c>
      <c r="T1720" s="87">
        <f t="shared" si="107"/>
        <v>1</v>
      </c>
    </row>
    <row r="1721" spans="1:20">
      <c r="A1721" s="85" t="str">
        <f>Requirements!A1723</f>
        <v>MS-SMB_R9577</v>
      </c>
      <c r="B1721" s="87"/>
      <c r="C1721" s="87"/>
      <c r="D1721" s="87"/>
      <c r="E1721" s="87"/>
      <c r="F1721" s="87"/>
      <c r="G1721" s="87"/>
      <c r="H1721" s="87"/>
      <c r="I1721" s="87"/>
      <c r="J1721" s="87"/>
      <c r="K1721" s="87"/>
      <c r="L1721" s="87"/>
      <c r="M1721" s="87"/>
      <c r="N1721" s="87">
        <f t="shared" si="104"/>
        <v>0</v>
      </c>
      <c r="O1721" s="61">
        <f t="shared" si="105"/>
        <v>0</v>
      </c>
      <c r="P1721" s="61" t="b">
        <f t="shared" si="106"/>
        <v>1</v>
      </c>
      <c r="Q1721" s="87" t="b">
        <f>(Requirements!K1723="Normative")</f>
        <v>1</v>
      </c>
      <c r="R1721" s="87" t="b">
        <f>AND(Requirements!L1723&lt;&gt;"Non-testable",Requirements!L1723&lt;&gt;"Deleted",Requirements!L1723&lt;&gt;"")</f>
        <v>1</v>
      </c>
      <c r="S1721" s="87" t="b">
        <f>(VLOOKUP(Requirements!I1723,Scope[[Role]:[Description]],2,FALSE)="In")</f>
        <v>1</v>
      </c>
      <c r="T1721" s="87">
        <f t="shared" si="107"/>
        <v>0</v>
      </c>
    </row>
    <row r="1722" spans="1:20">
      <c r="A1722" s="84" t="str">
        <f>Requirements!A1724</f>
        <v>MS-SMB_R9578</v>
      </c>
      <c r="B1722" s="87"/>
      <c r="C1722" s="87"/>
      <c r="D1722" s="87"/>
      <c r="E1722" s="87"/>
      <c r="F1722" s="87"/>
      <c r="G1722" s="87">
        <v>1</v>
      </c>
      <c r="H1722" s="87"/>
      <c r="I1722" s="87"/>
      <c r="J1722" s="87"/>
      <c r="K1722" s="87"/>
      <c r="L1722" s="87"/>
      <c r="M1722" s="87"/>
      <c r="N1722" s="87">
        <f t="shared" si="104"/>
        <v>1</v>
      </c>
      <c r="O1722" s="60">
        <f t="shared" si="105"/>
        <v>1</v>
      </c>
      <c r="P1722" s="60" t="b">
        <f t="shared" si="106"/>
        <v>1</v>
      </c>
      <c r="Q1722" s="87" t="b">
        <f>(Requirements!K1724="Normative")</f>
        <v>1</v>
      </c>
      <c r="R1722" s="87" t="b">
        <f>AND(Requirements!L1724&lt;&gt;"Non-testable",Requirements!L1724&lt;&gt;"Deleted",Requirements!L1724&lt;&gt;"")</f>
        <v>1</v>
      </c>
      <c r="S1722" s="87" t="b">
        <f>(VLOOKUP(Requirements!I1724,Scope[[Role]:[Description]],2,FALSE)="In")</f>
        <v>1</v>
      </c>
      <c r="T1722" s="87">
        <f t="shared" si="107"/>
        <v>1</v>
      </c>
    </row>
    <row r="1723" spans="1:20">
      <c r="A1723" s="44" t="str">
        <f>Requirements!A1725</f>
        <v>MS-SMB_R9579</v>
      </c>
      <c r="B1723" s="87"/>
      <c r="C1723" s="87"/>
      <c r="D1723" s="87"/>
      <c r="E1723" s="87"/>
      <c r="F1723" s="87"/>
      <c r="G1723" s="87"/>
      <c r="H1723" s="87"/>
      <c r="I1723" s="87"/>
      <c r="J1723" s="87"/>
      <c r="K1723" s="87"/>
      <c r="L1723" s="87"/>
      <c r="M1723" s="87"/>
      <c r="N1723" s="87">
        <f t="shared" si="104"/>
        <v>0</v>
      </c>
      <c r="O1723" s="87">
        <f t="shared" si="105"/>
        <v>0</v>
      </c>
      <c r="P1723" s="87" t="b">
        <f t="shared" si="106"/>
        <v>0</v>
      </c>
      <c r="Q1723" s="87" t="b">
        <f>(Requirements!K1725="Normative")</f>
        <v>0</v>
      </c>
      <c r="R1723" s="87" t="b">
        <f>AND(Requirements!L1725&lt;&gt;"Non-testable",Requirements!L1725&lt;&gt;"Deleted",Requirements!L1725&lt;&gt;"")</f>
        <v>1</v>
      </c>
      <c r="S1723" s="87" t="b">
        <f>(VLOOKUP(Requirements!I1725,Scope[[Role]:[Description]],2,FALSE)="In")</f>
        <v>1</v>
      </c>
      <c r="T1723" s="87">
        <f t="shared" si="107"/>
        <v>0</v>
      </c>
    </row>
    <row r="1724" spans="1:20">
      <c r="A1724" s="44" t="str">
        <f>Requirements!A1726</f>
        <v>MS-SMB_R9580</v>
      </c>
      <c r="B1724" s="87"/>
      <c r="C1724" s="87"/>
      <c r="D1724" s="87"/>
      <c r="E1724" s="87"/>
      <c r="F1724" s="87"/>
      <c r="G1724" s="87"/>
      <c r="H1724" s="87"/>
      <c r="I1724" s="87"/>
      <c r="J1724" s="87"/>
      <c r="K1724" s="87"/>
      <c r="L1724" s="87"/>
      <c r="M1724" s="87"/>
      <c r="N1724" s="87">
        <f t="shared" si="104"/>
        <v>0</v>
      </c>
      <c r="O1724" s="87">
        <f t="shared" si="105"/>
        <v>0</v>
      </c>
      <c r="P1724" s="87" t="b">
        <f t="shared" si="106"/>
        <v>0</v>
      </c>
      <c r="Q1724" s="87" t="b">
        <f>(Requirements!K1726="Normative")</f>
        <v>0</v>
      </c>
      <c r="R1724" s="87" t="b">
        <f>AND(Requirements!L1726&lt;&gt;"Non-testable",Requirements!L1726&lt;&gt;"Deleted",Requirements!L1726&lt;&gt;"")</f>
        <v>1</v>
      </c>
      <c r="S1724" s="87" t="b">
        <f>(VLOOKUP(Requirements!I1726,Scope[[Role]:[Description]],2,FALSE)="In")</f>
        <v>1</v>
      </c>
      <c r="T1724" s="87">
        <f t="shared" si="107"/>
        <v>0</v>
      </c>
    </row>
    <row r="1725" spans="1:20">
      <c r="A1725" s="44" t="str">
        <f>Requirements!A1727</f>
        <v>MS-SMB_R9581</v>
      </c>
      <c r="B1725" s="87"/>
      <c r="C1725" s="87"/>
      <c r="D1725" s="87"/>
      <c r="E1725" s="87"/>
      <c r="F1725" s="87"/>
      <c r="G1725" s="87"/>
      <c r="H1725" s="87"/>
      <c r="I1725" s="87"/>
      <c r="J1725" s="87"/>
      <c r="K1725" s="87"/>
      <c r="L1725" s="87"/>
      <c r="M1725" s="87"/>
      <c r="N1725" s="87">
        <f t="shared" si="104"/>
        <v>0</v>
      </c>
      <c r="O1725" s="87">
        <f t="shared" si="105"/>
        <v>0</v>
      </c>
      <c r="P1725" s="87" t="b">
        <f t="shared" si="106"/>
        <v>0</v>
      </c>
      <c r="Q1725" s="87" t="b">
        <f>(Requirements!K1727="Normative")</f>
        <v>0</v>
      </c>
      <c r="R1725" s="87" t="b">
        <f>AND(Requirements!L1727&lt;&gt;"Non-testable",Requirements!L1727&lt;&gt;"Deleted",Requirements!L1727&lt;&gt;"")</f>
        <v>1</v>
      </c>
      <c r="S1725" s="87" t="b">
        <f>(VLOOKUP(Requirements!I1727,Scope[[Role]:[Description]],2,FALSE)="In")</f>
        <v>1</v>
      </c>
      <c r="T1725" s="87">
        <f t="shared" si="107"/>
        <v>0</v>
      </c>
    </row>
    <row r="1726" spans="1:20">
      <c r="A1726" s="44" t="str">
        <f>Requirements!A1728</f>
        <v>MS-SMB_R9582</v>
      </c>
      <c r="B1726" s="87"/>
      <c r="C1726" s="87"/>
      <c r="D1726" s="87"/>
      <c r="E1726" s="87"/>
      <c r="F1726" s="87"/>
      <c r="G1726" s="87"/>
      <c r="H1726" s="87"/>
      <c r="I1726" s="87"/>
      <c r="J1726" s="87"/>
      <c r="K1726" s="87"/>
      <c r="L1726" s="87"/>
      <c r="M1726" s="87"/>
      <c r="N1726" s="87">
        <f t="shared" si="104"/>
        <v>0</v>
      </c>
      <c r="O1726" s="87">
        <f t="shared" si="105"/>
        <v>0</v>
      </c>
      <c r="P1726" s="87" t="b">
        <f t="shared" si="106"/>
        <v>0</v>
      </c>
      <c r="Q1726" s="87" t="b">
        <f>(Requirements!K1728="Normative")</f>
        <v>0</v>
      </c>
      <c r="R1726" s="87" t="b">
        <f>AND(Requirements!L1728&lt;&gt;"Non-testable",Requirements!L1728&lt;&gt;"Deleted",Requirements!L1728&lt;&gt;"")</f>
        <v>1</v>
      </c>
      <c r="S1726" s="87" t="b">
        <f>(VLOOKUP(Requirements!I1728,Scope[[Role]:[Description]],2,FALSE)="In")</f>
        <v>1</v>
      </c>
      <c r="T1726" s="87">
        <f t="shared" si="107"/>
        <v>0</v>
      </c>
    </row>
    <row r="1727" spans="1:20">
      <c r="A1727" s="44" t="str">
        <f>Requirements!A1729</f>
        <v>MS-SMB_R9583</v>
      </c>
      <c r="B1727" s="87"/>
      <c r="C1727" s="87"/>
      <c r="D1727" s="87"/>
      <c r="E1727" s="87"/>
      <c r="F1727" s="87"/>
      <c r="G1727" s="87"/>
      <c r="H1727" s="87"/>
      <c r="I1727" s="87"/>
      <c r="J1727" s="87"/>
      <c r="K1727" s="87"/>
      <c r="L1727" s="87"/>
      <c r="M1727" s="87"/>
      <c r="N1727" s="87">
        <f t="shared" si="104"/>
        <v>0</v>
      </c>
      <c r="O1727" s="87">
        <f t="shared" si="105"/>
        <v>0</v>
      </c>
      <c r="P1727" s="87" t="b">
        <f t="shared" si="106"/>
        <v>0</v>
      </c>
      <c r="Q1727" s="87" t="b">
        <f>(Requirements!K1729="Normative")</f>
        <v>1</v>
      </c>
      <c r="R1727" s="87" t="b">
        <f>AND(Requirements!L1729&lt;&gt;"Non-testable",Requirements!L1729&lt;&gt;"Deleted",Requirements!L1729&lt;&gt;"")</f>
        <v>0</v>
      </c>
      <c r="S1727" s="87" t="b">
        <f>(VLOOKUP(Requirements!I1729,Scope[[Role]:[Description]],2,FALSE)="In")</f>
        <v>1</v>
      </c>
      <c r="T1727" s="87">
        <f t="shared" si="107"/>
        <v>0</v>
      </c>
    </row>
    <row r="1728" spans="1:20">
      <c r="A1728" s="44" t="str">
        <f>Requirements!A1730</f>
        <v>MS-SMB_R9584</v>
      </c>
      <c r="B1728" s="87"/>
      <c r="C1728" s="87"/>
      <c r="D1728" s="87"/>
      <c r="E1728" s="87"/>
      <c r="F1728" s="87"/>
      <c r="G1728" s="87"/>
      <c r="H1728" s="87"/>
      <c r="I1728" s="87"/>
      <c r="J1728" s="87"/>
      <c r="K1728" s="87"/>
      <c r="L1728" s="87"/>
      <c r="M1728" s="87"/>
      <c r="N1728" s="87">
        <f t="shared" si="104"/>
        <v>0</v>
      </c>
      <c r="O1728" s="87">
        <f t="shared" si="105"/>
        <v>0</v>
      </c>
      <c r="P1728" s="87" t="b">
        <f t="shared" si="106"/>
        <v>0</v>
      </c>
      <c r="Q1728" s="87" t="b">
        <f>(Requirements!K1730="Normative")</f>
        <v>0</v>
      </c>
      <c r="R1728" s="87" t="b">
        <f>AND(Requirements!L1730&lt;&gt;"Non-testable",Requirements!L1730&lt;&gt;"Deleted",Requirements!L1730&lt;&gt;"")</f>
        <v>1</v>
      </c>
      <c r="S1728" s="87" t="b">
        <f>(VLOOKUP(Requirements!I1730,Scope[[Role]:[Description]],2,FALSE)="In")</f>
        <v>1</v>
      </c>
      <c r="T1728" s="87">
        <f t="shared" si="107"/>
        <v>0</v>
      </c>
    </row>
    <row r="1729" spans="1:20">
      <c r="A1729" s="44" t="str">
        <f>Requirements!A1731</f>
        <v>MS-SMB_R9585</v>
      </c>
      <c r="B1729" s="87"/>
      <c r="C1729" s="87"/>
      <c r="D1729" s="87"/>
      <c r="E1729" s="87"/>
      <c r="F1729" s="87"/>
      <c r="G1729" s="87"/>
      <c r="H1729" s="87"/>
      <c r="I1729" s="87"/>
      <c r="J1729" s="87"/>
      <c r="K1729" s="87"/>
      <c r="L1729" s="87"/>
      <c r="M1729" s="87"/>
      <c r="N1729" s="87">
        <f t="shared" si="104"/>
        <v>0</v>
      </c>
      <c r="O1729" s="87">
        <f t="shared" si="105"/>
        <v>0</v>
      </c>
      <c r="P1729" s="87" t="b">
        <f t="shared" si="106"/>
        <v>0</v>
      </c>
      <c r="Q1729" s="87" t="b">
        <f>(Requirements!K1731="Normative")</f>
        <v>0</v>
      </c>
      <c r="R1729" s="87" t="b">
        <f>AND(Requirements!L1731&lt;&gt;"Non-testable",Requirements!L1731&lt;&gt;"Deleted",Requirements!L1731&lt;&gt;"")</f>
        <v>1</v>
      </c>
      <c r="S1729" s="87" t="b">
        <f>(VLOOKUP(Requirements!I1731,Scope[[Role]:[Description]],2,FALSE)="In")</f>
        <v>1</v>
      </c>
      <c r="T1729" s="87">
        <f t="shared" si="107"/>
        <v>0</v>
      </c>
    </row>
    <row r="1730" spans="1:20">
      <c r="A1730" s="44" t="str">
        <f>Requirements!A1732</f>
        <v>MS-SMB_R9586</v>
      </c>
      <c r="B1730" s="87"/>
      <c r="C1730" s="87"/>
      <c r="D1730" s="87"/>
      <c r="E1730" s="87"/>
      <c r="F1730" s="87"/>
      <c r="G1730" s="87"/>
      <c r="H1730" s="87"/>
      <c r="I1730" s="87"/>
      <c r="J1730" s="87"/>
      <c r="K1730" s="87"/>
      <c r="L1730" s="87"/>
      <c r="M1730" s="87"/>
      <c r="N1730" s="87">
        <f t="shared" si="104"/>
        <v>0</v>
      </c>
      <c r="O1730" s="87">
        <f t="shared" si="105"/>
        <v>0</v>
      </c>
      <c r="P1730" s="87" t="b">
        <f t="shared" si="106"/>
        <v>0</v>
      </c>
      <c r="Q1730" s="87" t="b">
        <f>(Requirements!K1732="Normative")</f>
        <v>0</v>
      </c>
      <c r="R1730" s="87" t="b">
        <f>AND(Requirements!L1732&lt;&gt;"Non-testable",Requirements!L1732&lt;&gt;"Deleted",Requirements!L1732&lt;&gt;"")</f>
        <v>1</v>
      </c>
      <c r="S1730" s="87" t="b">
        <f>(VLOOKUP(Requirements!I1732,Scope[[Role]:[Description]],2,FALSE)="In")</f>
        <v>1</v>
      </c>
      <c r="T1730" s="87">
        <f t="shared" si="107"/>
        <v>0</v>
      </c>
    </row>
    <row r="1731" spans="1:20">
      <c r="A1731" s="84" t="str">
        <f>Requirements!A1733</f>
        <v>MS-SMB_R9587</v>
      </c>
      <c r="B1731" s="87">
        <v>1</v>
      </c>
      <c r="C1731" s="87"/>
      <c r="D1731" s="87">
        <v>1</v>
      </c>
      <c r="E1731" s="87"/>
      <c r="F1731" s="87"/>
      <c r="G1731" s="87"/>
      <c r="H1731" s="87"/>
      <c r="I1731" s="87"/>
      <c r="J1731" s="87"/>
      <c r="K1731" s="87"/>
      <c r="L1731" s="87"/>
      <c r="M1731" s="87"/>
      <c r="N1731" s="87">
        <f t="shared" si="104"/>
        <v>2</v>
      </c>
      <c r="O1731" s="60">
        <f t="shared" si="105"/>
        <v>1</v>
      </c>
      <c r="P1731" s="60" t="b">
        <f t="shared" si="106"/>
        <v>1</v>
      </c>
      <c r="Q1731" s="87" t="b">
        <f>(Requirements!K1733="Normative")</f>
        <v>1</v>
      </c>
      <c r="R1731" s="87" t="b">
        <f>AND(Requirements!L1733&lt;&gt;"Non-testable",Requirements!L1733&lt;&gt;"Deleted",Requirements!L1733&lt;&gt;"")</f>
        <v>1</v>
      </c>
      <c r="S1731" s="87" t="b">
        <f>(VLOOKUP(Requirements!I1733,Scope[[Role]:[Description]],2,FALSE)="In")</f>
        <v>1</v>
      </c>
      <c r="T1731" s="87">
        <f t="shared" si="107"/>
        <v>1</v>
      </c>
    </row>
    <row r="1732" spans="1:20">
      <c r="A1732" s="84" t="str">
        <f>Requirements!A1734</f>
        <v>MS-SMB_R9588</v>
      </c>
      <c r="B1732" s="87">
        <v>1</v>
      </c>
      <c r="C1732" s="87"/>
      <c r="D1732" s="87">
        <v>1</v>
      </c>
      <c r="E1732" s="87"/>
      <c r="F1732" s="87"/>
      <c r="G1732" s="87"/>
      <c r="H1732" s="87"/>
      <c r="I1732" s="87"/>
      <c r="J1732" s="87"/>
      <c r="K1732" s="87"/>
      <c r="L1732" s="87"/>
      <c r="M1732" s="87"/>
      <c r="N1732" s="87">
        <f t="shared" si="104"/>
        <v>2</v>
      </c>
      <c r="O1732" s="60">
        <f t="shared" si="105"/>
        <v>1</v>
      </c>
      <c r="P1732" s="60" t="b">
        <f t="shared" si="106"/>
        <v>1</v>
      </c>
      <c r="Q1732" s="87" t="b">
        <f>(Requirements!K1734="Normative")</f>
        <v>1</v>
      </c>
      <c r="R1732" s="87" t="b">
        <f>AND(Requirements!L1734&lt;&gt;"Non-testable",Requirements!L1734&lt;&gt;"Deleted",Requirements!L1734&lt;&gt;"")</f>
        <v>1</v>
      </c>
      <c r="S1732" s="87" t="b">
        <f>(VLOOKUP(Requirements!I1734,Scope[[Role]:[Description]],2,FALSE)="In")</f>
        <v>1</v>
      </c>
      <c r="T1732" s="87">
        <f t="shared" si="107"/>
        <v>1</v>
      </c>
    </row>
    <row r="1733" spans="1:20">
      <c r="A1733" s="44" t="str">
        <f>Requirements!A1735</f>
        <v>MS-SMB_R9589</v>
      </c>
      <c r="B1733" s="87"/>
      <c r="C1733" s="87"/>
      <c r="D1733" s="87"/>
      <c r="E1733" s="87"/>
      <c r="F1733" s="87"/>
      <c r="G1733" s="87"/>
      <c r="H1733" s="87"/>
      <c r="I1733" s="87"/>
      <c r="J1733" s="87"/>
      <c r="K1733" s="87"/>
      <c r="L1733" s="87"/>
      <c r="M1733" s="87"/>
      <c r="N1733" s="87">
        <f t="shared" si="104"/>
        <v>0</v>
      </c>
      <c r="O1733" s="87">
        <f t="shared" si="105"/>
        <v>0</v>
      </c>
      <c r="P1733" s="87" t="b">
        <f t="shared" si="106"/>
        <v>0</v>
      </c>
      <c r="Q1733" s="87" t="b">
        <f>(Requirements!K1735="Normative")</f>
        <v>0</v>
      </c>
      <c r="R1733" s="87" t="b">
        <f>AND(Requirements!L1735&lt;&gt;"Non-testable",Requirements!L1735&lt;&gt;"Deleted",Requirements!L1735&lt;&gt;"")</f>
        <v>1</v>
      </c>
      <c r="S1733" s="87" t="b">
        <f>(VLOOKUP(Requirements!I1735,Scope[[Role]:[Description]],2,FALSE)="In")</f>
        <v>1</v>
      </c>
      <c r="T1733" s="87">
        <f t="shared" si="107"/>
        <v>0</v>
      </c>
    </row>
    <row r="1734" spans="1:20">
      <c r="A1734" s="44" t="str">
        <f>Requirements!A1736</f>
        <v>MS-SMB_R9590</v>
      </c>
      <c r="B1734" s="87"/>
      <c r="C1734" s="87"/>
      <c r="D1734" s="87"/>
      <c r="E1734" s="87"/>
      <c r="F1734" s="87"/>
      <c r="G1734" s="87"/>
      <c r="H1734" s="87"/>
      <c r="I1734" s="87"/>
      <c r="J1734" s="87"/>
      <c r="K1734" s="87"/>
      <c r="L1734" s="87"/>
      <c r="M1734" s="87"/>
      <c r="N1734" s="87">
        <f t="shared" si="104"/>
        <v>0</v>
      </c>
      <c r="O1734" s="87">
        <f t="shared" si="105"/>
        <v>0</v>
      </c>
      <c r="P1734" s="87" t="b">
        <f t="shared" si="106"/>
        <v>0</v>
      </c>
      <c r="Q1734" s="87" t="b">
        <f>(Requirements!K1736="Normative")</f>
        <v>1</v>
      </c>
      <c r="R1734" s="87" t="b">
        <f>AND(Requirements!L1736&lt;&gt;"Non-testable",Requirements!L1736&lt;&gt;"Deleted",Requirements!L1736&lt;&gt;"")</f>
        <v>0</v>
      </c>
      <c r="S1734" s="87" t="b">
        <f>(VLOOKUP(Requirements!I1736,Scope[[Role]:[Description]],2,FALSE)="In")</f>
        <v>1</v>
      </c>
      <c r="T1734" s="87">
        <f t="shared" si="107"/>
        <v>0</v>
      </c>
    </row>
    <row r="1735" spans="1:20">
      <c r="A1735" s="84" t="str">
        <f>Requirements!A1737</f>
        <v>MS-SMB_R109590</v>
      </c>
      <c r="B1735" s="87"/>
      <c r="C1735" s="87"/>
      <c r="D1735" s="87"/>
      <c r="E1735" s="87"/>
      <c r="F1735" s="87"/>
      <c r="G1735" s="87"/>
      <c r="H1735" s="87"/>
      <c r="I1735" s="87">
        <v>1</v>
      </c>
      <c r="J1735" s="87"/>
      <c r="K1735" s="87"/>
      <c r="L1735" s="87"/>
      <c r="M1735" s="87"/>
      <c r="N1735" s="87">
        <f t="shared" si="104"/>
        <v>1</v>
      </c>
      <c r="O1735" s="60">
        <f t="shared" si="105"/>
        <v>1</v>
      </c>
      <c r="P1735" s="60" t="b">
        <f t="shared" si="106"/>
        <v>1</v>
      </c>
      <c r="Q1735" s="87" t="b">
        <f>(Requirements!K1737="Normative")</f>
        <v>1</v>
      </c>
      <c r="R1735" s="87" t="b">
        <f>AND(Requirements!L1737&lt;&gt;"Non-testable",Requirements!L1737&lt;&gt;"Deleted",Requirements!L1737&lt;&gt;"")</f>
        <v>1</v>
      </c>
      <c r="S1735" s="87" t="b">
        <f>(VLOOKUP(Requirements!I1737,Scope[[Role]:[Description]],2,FALSE)="In")</f>
        <v>1</v>
      </c>
      <c r="T1735" s="87">
        <f t="shared" si="107"/>
        <v>1</v>
      </c>
    </row>
    <row r="1736" spans="1:20">
      <c r="A1736" s="44" t="str">
        <f>Requirements!A1738</f>
        <v>MS-SMB_R9591</v>
      </c>
      <c r="B1736" s="87"/>
      <c r="C1736" s="87"/>
      <c r="D1736" s="87"/>
      <c r="E1736" s="87"/>
      <c r="F1736" s="87"/>
      <c r="G1736" s="87"/>
      <c r="H1736" s="87"/>
      <c r="I1736" s="87"/>
      <c r="J1736" s="87"/>
      <c r="K1736" s="87"/>
      <c r="L1736" s="87"/>
      <c r="M1736" s="87"/>
      <c r="N1736" s="87">
        <f t="shared" si="104"/>
        <v>0</v>
      </c>
      <c r="O1736" s="87">
        <f t="shared" si="105"/>
        <v>0</v>
      </c>
      <c r="P1736" s="87" t="b">
        <f t="shared" si="106"/>
        <v>0</v>
      </c>
      <c r="Q1736" s="87" t="b">
        <f>(Requirements!K1738="Normative")</f>
        <v>0</v>
      </c>
      <c r="R1736" s="87" t="b">
        <f>AND(Requirements!L1738&lt;&gt;"Non-testable",Requirements!L1738&lt;&gt;"Deleted",Requirements!L1738&lt;&gt;"")</f>
        <v>1</v>
      </c>
      <c r="S1736" s="87" t="b">
        <f>(VLOOKUP(Requirements!I1738,Scope[[Role]:[Description]],2,FALSE)="In")</f>
        <v>1</v>
      </c>
      <c r="T1736" s="87">
        <f t="shared" si="107"/>
        <v>0</v>
      </c>
    </row>
    <row r="1737" spans="1:20">
      <c r="A1737" s="44" t="str">
        <f>Requirements!A1739</f>
        <v>MS-SMB_R9592</v>
      </c>
      <c r="B1737" s="87"/>
      <c r="C1737" s="87"/>
      <c r="D1737" s="87"/>
      <c r="E1737" s="87"/>
      <c r="F1737" s="87"/>
      <c r="G1737" s="87"/>
      <c r="H1737" s="87"/>
      <c r="I1737" s="87"/>
      <c r="J1737" s="87"/>
      <c r="K1737" s="87"/>
      <c r="L1737" s="87"/>
      <c r="M1737" s="87"/>
      <c r="N1737" s="87">
        <f t="shared" si="104"/>
        <v>0</v>
      </c>
      <c r="O1737" s="87">
        <f t="shared" si="105"/>
        <v>0</v>
      </c>
      <c r="P1737" s="87" t="b">
        <f t="shared" si="106"/>
        <v>0</v>
      </c>
      <c r="Q1737" s="87" t="b">
        <f>(Requirements!K1739="Normative")</f>
        <v>0</v>
      </c>
      <c r="R1737" s="87" t="b">
        <f>AND(Requirements!L1739&lt;&gt;"Non-testable",Requirements!L1739&lt;&gt;"Deleted",Requirements!L1739&lt;&gt;"")</f>
        <v>1</v>
      </c>
      <c r="S1737" s="87" t="b">
        <f>(VLOOKUP(Requirements!I1739,Scope[[Role]:[Description]],2,FALSE)="In")</f>
        <v>1</v>
      </c>
      <c r="T1737" s="87">
        <f t="shared" si="107"/>
        <v>0</v>
      </c>
    </row>
    <row r="1738" spans="1:20">
      <c r="A1738" s="44" t="str">
        <f>Requirements!A1740</f>
        <v>MS-SMB_R9593</v>
      </c>
      <c r="B1738" s="87"/>
      <c r="C1738" s="87"/>
      <c r="D1738" s="87"/>
      <c r="E1738" s="87"/>
      <c r="F1738" s="87"/>
      <c r="G1738" s="87"/>
      <c r="H1738" s="87"/>
      <c r="I1738" s="87"/>
      <c r="J1738" s="87"/>
      <c r="K1738" s="87"/>
      <c r="L1738" s="87"/>
      <c r="M1738" s="87"/>
      <c r="N1738" s="87">
        <f t="shared" si="104"/>
        <v>0</v>
      </c>
      <c r="O1738" s="87">
        <f t="shared" si="105"/>
        <v>0</v>
      </c>
      <c r="P1738" s="87" t="b">
        <f t="shared" si="106"/>
        <v>0</v>
      </c>
      <c r="Q1738" s="87" t="b">
        <f>(Requirements!K1740="Normative")</f>
        <v>0</v>
      </c>
      <c r="R1738" s="87" t="b">
        <f>AND(Requirements!L1740&lt;&gt;"Non-testable",Requirements!L1740&lt;&gt;"Deleted",Requirements!L1740&lt;&gt;"")</f>
        <v>1</v>
      </c>
      <c r="S1738" s="87" t="b">
        <f>(VLOOKUP(Requirements!I1740,Scope[[Role]:[Description]],2,FALSE)="In")</f>
        <v>1</v>
      </c>
      <c r="T1738" s="87">
        <f t="shared" si="107"/>
        <v>0</v>
      </c>
    </row>
    <row r="1739" spans="1:20">
      <c r="A1739" s="44" t="str">
        <f>Requirements!A1741</f>
        <v>MS-SMB_R9594</v>
      </c>
      <c r="B1739" s="87"/>
      <c r="C1739" s="87"/>
      <c r="D1739" s="87"/>
      <c r="E1739" s="87"/>
      <c r="F1739" s="87"/>
      <c r="G1739" s="87"/>
      <c r="H1739" s="87"/>
      <c r="I1739" s="87"/>
      <c r="J1739" s="87"/>
      <c r="K1739" s="87"/>
      <c r="L1739" s="87"/>
      <c r="M1739" s="87"/>
      <c r="N1739" s="87">
        <f t="shared" si="104"/>
        <v>0</v>
      </c>
      <c r="O1739" s="87">
        <f t="shared" si="105"/>
        <v>0</v>
      </c>
      <c r="P1739" s="87" t="b">
        <f t="shared" si="106"/>
        <v>0</v>
      </c>
      <c r="Q1739" s="87" t="b">
        <f>(Requirements!K1741="Normative")</f>
        <v>0</v>
      </c>
      <c r="R1739" s="87" t="b">
        <f>AND(Requirements!L1741&lt;&gt;"Non-testable",Requirements!L1741&lt;&gt;"Deleted",Requirements!L1741&lt;&gt;"")</f>
        <v>1</v>
      </c>
      <c r="S1739" s="87" t="b">
        <f>(VLOOKUP(Requirements!I1741,Scope[[Role]:[Description]],2,FALSE)="In")</f>
        <v>1</v>
      </c>
      <c r="T1739" s="87">
        <f t="shared" si="107"/>
        <v>0</v>
      </c>
    </row>
    <row r="1740" spans="1:20">
      <c r="A1740" s="44" t="str">
        <f>Requirements!A1742</f>
        <v>MS-SMB_R9595</v>
      </c>
      <c r="B1740" s="87"/>
      <c r="C1740" s="87"/>
      <c r="D1740" s="87"/>
      <c r="E1740" s="87"/>
      <c r="F1740" s="87"/>
      <c r="G1740" s="87"/>
      <c r="H1740" s="87"/>
      <c r="I1740" s="87"/>
      <c r="J1740" s="87"/>
      <c r="K1740" s="87"/>
      <c r="L1740" s="87"/>
      <c r="M1740" s="87"/>
      <c r="N1740" s="87">
        <f t="shared" si="104"/>
        <v>0</v>
      </c>
      <c r="O1740" s="87">
        <f t="shared" si="105"/>
        <v>0</v>
      </c>
      <c r="P1740" s="87" t="b">
        <f t="shared" si="106"/>
        <v>0</v>
      </c>
      <c r="Q1740" s="87" t="b">
        <f>(Requirements!K1742="Normative")</f>
        <v>0</v>
      </c>
      <c r="R1740" s="87" t="b">
        <f>AND(Requirements!L1742&lt;&gt;"Non-testable",Requirements!L1742&lt;&gt;"Deleted",Requirements!L1742&lt;&gt;"")</f>
        <v>1</v>
      </c>
      <c r="S1740" s="87" t="b">
        <f>(VLOOKUP(Requirements!I1742,Scope[[Role]:[Description]],2,FALSE)="In")</f>
        <v>1</v>
      </c>
      <c r="T1740" s="87">
        <f t="shared" si="107"/>
        <v>0</v>
      </c>
    </row>
    <row r="1741" spans="1:20">
      <c r="A1741" s="44" t="str">
        <f>Requirements!A1743</f>
        <v>MS-SMB_R9596</v>
      </c>
      <c r="B1741" s="87"/>
      <c r="C1741" s="87"/>
      <c r="D1741" s="87"/>
      <c r="E1741" s="87"/>
      <c r="F1741" s="87"/>
      <c r="G1741" s="87"/>
      <c r="H1741" s="87"/>
      <c r="I1741" s="87"/>
      <c r="J1741" s="87"/>
      <c r="K1741" s="87"/>
      <c r="L1741" s="87"/>
      <c r="M1741" s="87"/>
      <c r="N1741" s="87">
        <f t="shared" si="104"/>
        <v>0</v>
      </c>
      <c r="O1741" s="87">
        <f t="shared" si="105"/>
        <v>0</v>
      </c>
      <c r="P1741" s="87" t="b">
        <f t="shared" si="106"/>
        <v>0</v>
      </c>
      <c r="Q1741" s="87" t="b">
        <f>(Requirements!K1743="Normative")</f>
        <v>0</v>
      </c>
      <c r="R1741" s="87" t="b">
        <f>AND(Requirements!L1743&lt;&gt;"Non-testable",Requirements!L1743&lt;&gt;"Deleted",Requirements!L1743&lt;&gt;"")</f>
        <v>1</v>
      </c>
      <c r="S1741" s="87" t="b">
        <f>(VLOOKUP(Requirements!I1743,Scope[[Role]:[Description]],2,FALSE)="In")</f>
        <v>1</v>
      </c>
      <c r="T1741" s="87">
        <f t="shared" si="107"/>
        <v>0</v>
      </c>
    </row>
    <row r="1742" spans="1:20">
      <c r="A1742" s="44" t="str">
        <f>Requirements!A1744</f>
        <v>MS-SMB_R9597</v>
      </c>
      <c r="B1742" s="87"/>
      <c r="C1742" s="87"/>
      <c r="D1742" s="87"/>
      <c r="E1742" s="87"/>
      <c r="F1742" s="87"/>
      <c r="G1742" s="87"/>
      <c r="H1742" s="87"/>
      <c r="I1742" s="87"/>
      <c r="J1742" s="87"/>
      <c r="K1742" s="87"/>
      <c r="L1742" s="87"/>
      <c r="M1742" s="87"/>
      <c r="N1742" s="87">
        <f t="shared" si="104"/>
        <v>0</v>
      </c>
      <c r="O1742" s="87">
        <f t="shared" si="105"/>
        <v>0</v>
      </c>
      <c r="P1742" s="87" t="b">
        <f t="shared" si="106"/>
        <v>0</v>
      </c>
      <c r="Q1742" s="87" t="b">
        <f>(Requirements!K1744="Normative")</f>
        <v>0</v>
      </c>
      <c r="R1742" s="87" t="b">
        <f>AND(Requirements!L1744&lt;&gt;"Non-testable",Requirements!L1744&lt;&gt;"Deleted",Requirements!L1744&lt;&gt;"")</f>
        <v>1</v>
      </c>
      <c r="S1742" s="87" t="b">
        <f>(VLOOKUP(Requirements!I1744,Scope[[Role]:[Description]],2,FALSE)="In")</f>
        <v>1</v>
      </c>
      <c r="T1742" s="87">
        <f t="shared" si="107"/>
        <v>0</v>
      </c>
    </row>
    <row r="1743" spans="1:20">
      <c r="A1743" s="44" t="str">
        <f>Requirements!A1745</f>
        <v>MS-SMB_R3975</v>
      </c>
      <c r="B1743" s="87"/>
      <c r="C1743" s="87"/>
      <c r="D1743" s="87"/>
      <c r="E1743" s="87"/>
      <c r="F1743" s="87"/>
      <c r="G1743" s="87"/>
      <c r="H1743" s="87"/>
      <c r="I1743" s="87"/>
      <c r="J1743" s="87"/>
      <c r="K1743" s="87"/>
      <c r="L1743" s="87"/>
      <c r="M1743" s="87"/>
      <c r="N1743" s="87">
        <f t="shared" si="104"/>
        <v>0</v>
      </c>
      <c r="O1743" s="87">
        <f t="shared" si="105"/>
        <v>0</v>
      </c>
      <c r="P1743" s="87" t="b">
        <f t="shared" si="106"/>
        <v>0</v>
      </c>
      <c r="Q1743" s="87" t="b">
        <f>(Requirements!K1745="Normative")</f>
        <v>1</v>
      </c>
      <c r="R1743" s="87" t="b">
        <f>AND(Requirements!L1745&lt;&gt;"Non-testable",Requirements!L1745&lt;&gt;"Deleted",Requirements!L1745&lt;&gt;"")</f>
        <v>0</v>
      </c>
      <c r="S1743" s="87" t="b">
        <f>(VLOOKUP(Requirements!I1745,Scope[[Role]:[Description]],2,FALSE)="In")</f>
        <v>1</v>
      </c>
      <c r="T1743" s="87">
        <f t="shared" si="107"/>
        <v>0</v>
      </c>
    </row>
    <row r="1744" spans="1:20">
      <c r="A1744" s="44" t="str">
        <f>Requirements!A1746</f>
        <v>MS-SMB_R3976</v>
      </c>
      <c r="B1744" s="87"/>
      <c r="C1744" s="87"/>
      <c r="D1744" s="87"/>
      <c r="E1744" s="87"/>
      <c r="F1744" s="87"/>
      <c r="G1744" s="87"/>
      <c r="H1744" s="87"/>
      <c r="I1744" s="87"/>
      <c r="J1744" s="87"/>
      <c r="K1744" s="87"/>
      <c r="L1744" s="87"/>
      <c r="M1744" s="87"/>
      <c r="N1744" s="87">
        <f t="shared" si="104"/>
        <v>0</v>
      </c>
      <c r="O1744" s="87">
        <f t="shared" si="105"/>
        <v>0</v>
      </c>
      <c r="P1744" s="87" t="b">
        <f t="shared" si="106"/>
        <v>0</v>
      </c>
      <c r="Q1744" s="87" t="b">
        <f>(Requirements!K1746="Normative")</f>
        <v>1</v>
      </c>
      <c r="R1744" s="87" t="b">
        <f>AND(Requirements!L1746&lt;&gt;"Non-testable",Requirements!L1746&lt;&gt;"Deleted",Requirements!L1746&lt;&gt;"")</f>
        <v>0</v>
      </c>
      <c r="S1744" s="87" t="b">
        <f>(VLOOKUP(Requirements!I1746,Scope[[Role]:[Description]],2,FALSE)="In")</f>
        <v>1</v>
      </c>
      <c r="T1744" s="87">
        <f t="shared" si="107"/>
        <v>0</v>
      </c>
    </row>
    <row r="1745" spans="1:60">
      <c r="A1745" s="44" t="str">
        <f>Requirements!A1747</f>
        <v>MS-SMB_R3992</v>
      </c>
      <c r="B1745" s="87"/>
      <c r="C1745" s="87"/>
      <c r="D1745" s="87"/>
      <c r="E1745" s="87"/>
      <c r="F1745" s="87"/>
      <c r="G1745" s="87"/>
      <c r="H1745" s="87"/>
      <c r="I1745" s="87"/>
      <c r="J1745" s="87"/>
      <c r="K1745" s="87"/>
      <c r="L1745" s="87"/>
      <c r="M1745" s="87"/>
      <c r="N1745" s="87">
        <f t="shared" si="104"/>
        <v>0</v>
      </c>
      <c r="O1745" s="87">
        <f t="shared" si="105"/>
        <v>0</v>
      </c>
      <c r="P1745" s="87" t="b">
        <f t="shared" si="106"/>
        <v>0</v>
      </c>
      <c r="Q1745" s="87" t="b">
        <f>(Requirements!K1747="Normative")</f>
        <v>1</v>
      </c>
      <c r="R1745" s="87" t="b">
        <f>AND(Requirements!L1747&lt;&gt;"Non-testable",Requirements!L1747&lt;&gt;"Deleted",Requirements!L1747&lt;&gt;"")</f>
        <v>0</v>
      </c>
      <c r="S1745" s="87" t="b">
        <f>(VLOOKUP(Requirements!I1747,Scope[[Role]:[Description]],2,FALSE)="In")</f>
        <v>1</v>
      </c>
      <c r="T1745" s="87">
        <f t="shared" si="107"/>
        <v>0</v>
      </c>
    </row>
    <row r="1746" spans="1:60">
      <c r="A1746" s="44" t="str">
        <f>Requirements!A1748</f>
        <v>MS-SMB_R3993</v>
      </c>
      <c r="B1746" s="87"/>
      <c r="C1746" s="87"/>
      <c r="D1746" s="87"/>
      <c r="E1746" s="87"/>
      <c r="F1746" s="87"/>
      <c r="G1746" s="87"/>
      <c r="H1746" s="87"/>
      <c r="I1746" s="87"/>
      <c r="J1746" s="87"/>
      <c r="K1746" s="87"/>
      <c r="L1746" s="87"/>
      <c r="M1746" s="87"/>
      <c r="N1746" s="87">
        <f t="shared" si="104"/>
        <v>0</v>
      </c>
      <c r="O1746" s="87">
        <f t="shared" si="105"/>
        <v>0</v>
      </c>
      <c r="P1746" s="87" t="b">
        <f t="shared" si="106"/>
        <v>0</v>
      </c>
      <c r="Q1746" s="87" t="b">
        <f>(Requirements!K1748="Normative")</f>
        <v>1</v>
      </c>
      <c r="R1746" s="87" t="b">
        <f>AND(Requirements!L1748&lt;&gt;"Non-testable",Requirements!L1748&lt;&gt;"Deleted",Requirements!L1748&lt;&gt;"")</f>
        <v>0</v>
      </c>
      <c r="S1746" s="87" t="b">
        <f>(VLOOKUP(Requirements!I1748,Scope[[Role]:[Description]],2,FALSE)="In")</f>
        <v>1</v>
      </c>
      <c r="T1746" s="87">
        <f t="shared" si="107"/>
        <v>0</v>
      </c>
    </row>
    <row r="1747" spans="1:60">
      <c r="A1747" s="85" t="str">
        <f>Requirements!A1749</f>
        <v>MS-SMB_R8560</v>
      </c>
      <c r="B1747" s="87"/>
      <c r="C1747" s="87"/>
      <c r="D1747" s="87"/>
      <c r="E1747" s="87"/>
      <c r="F1747" s="87"/>
      <c r="G1747" s="87"/>
      <c r="H1747" s="87"/>
      <c r="I1747" s="87"/>
      <c r="J1747" s="87"/>
      <c r="K1747" s="87"/>
      <c r="L1747" s="87"/>
      <c r="M1747" s="87"/>
      <c r="N1747" s="87">
        <f t="shared" si="104"/>
        <v>0</v>
      </c>
      <c r="O1747" s="61">
        <f t="shared" si="105"/>
        <v>0</v>
      </c>
      <c r="P1747" s="61" t="b">
        <f t="shared" si="106"/>
        <v>1</v>
      </c>
      <c r="Q1747" s="87" t="b">
        <f>(Requirements!K1749="Normative")</f>
        <v>1</v>
      </c>
      <c r="R1747" s="87" t="b">
        <f>AND(Requirements!L1749&lt;&gt;"Non-testable",Requirements!L1749&lt;&gt;"Deleted",Requirements!L1749&lt;&gt;"")</f>
        <v>1</v>
      </c>
      <c r="S1747" s="87" t="b">
        <f>(VLOOKUP(Requirements!I1749,Scope[[Role]:[Description]],2,FALSE)="In")</f>
        <v>1</v>
      </c>
      <c r="T1747" s="87">
        <f t="shared" si="107"/>
        <v>0</v>
      </c>
    </row>
    <row r="1748" spans="1:60">
      <c r="A1748" s="85" t="str">
        <f>Requirements!A1750</f>
        <v>MS-SMB_R8561</v>
      </c>
      <c r="B1748" s="87"/>
      <c r="C1748" s="87"/>
      <c r="D1748" s="87"/>
      <c r="E1748" s="87"/>
      <c r="F1748" s="87"/>
      <c r="G1748" s="87"/>
      <c r="H1748" s="87"/>
      <c r="I1748" s="87"/>
      <c r="J1748" s="87"/>
      <c r="K1748" s="87"/>
      <c r="L1748" s="87"/>
      <c r="M1748" s="87"/>
      <c r="N1748" s="87">
        <f t="shared" ref="N1748:N1811" si="108">SUM(B1748:M1748)</f>
        <v>0</v>
      </c>
      <c r="O1748" s="61">
        <f t="shared" ref="O1748:O1811" si="109">IF(N1748=0,0,1)</f>
        <v>0</v>
      </c>
      <c r="P1748" s="61" t="b">
        <f t="shared" ref="P1748:P1811" si="110">AND(Q1748:S1748)</f>
        <v>1</v>
      </c>
      <c r="Q1748" s="87" t="b">
        <f>(Requirements!K1750="Normative")</f>
        <v>1</v>
      </c>
      <c r="R1748" s="87" t="b">
        <f>AND(Requirements!L1750&lt;&gt;"Non-testable",Requirements!L1750&lt;&gt;"Deleted",Requirements!L1750&lt;&gt;"")</f>
        <v>1</v>
      </c>
      <c r="S1748" s="87" t="b">
        <f>(VLOOKUP(Requirements!I1750,Scope[[Role]:[Description]],2,FALSE)="In")</f>
        <v>1</v>
      </c>
      <c r="T1748" s="87">
        <f t="shared" ref="T1748:T1811" si="111">IF(P1748,O1748, 0)</f>
        <v>0</v>
      </c>
    </row>
    <row r="1749" spans="1:60">
      <c r="A1749" s="85" t="str">
        <f>Requirements!A1751</f>
        <v>MS-SMB_R4081</v>
      </c>
      <c r="B1749" s="87"/>
      <c r="C1749" s="87"/>
      <c r="D1749" s="87"/>
      <c r="E1749" s="87"/>
      <c r="F1749" s="87"/>
      <c r="G1749" s="87"/>
      <c r="H1749" s="87"/>
      <c r="I1749" s="87"/>
      <c r="J1749" s="87"/>
      <c r="K1749" s="87"/>
      <c r="L1749" s="87"/>
      <c r="M1749" s="87"/>
      <c r="N1749" s="87">
        <f t="shared" si="108"/>
        <v>0</v>
      </c>
      <c r="O1749" s="61">
        <f t="shared" si="109"/>
        <v>0</v>
      </c>
      <c r="P1749" s="61" t="b">
        <f t="shared" si="110"/>
        <v>1</v>
      </c>
      <c r="Q1749" s="87" t="b">
        <f>(Requirements!K1751="Normative")</f>
        <v>1</v>
      </c>
      <c r="R1749" s="87" t="b">
        <f>AND(Requirements!L1751&lt;&gt;"Non-testable",Requirements!L1751&lt;&gt;"Deleted",Requirements!L1751&lt;&gt;"")</f>
        <v>1</v>
      </c>
      <c r="S1749" s="87" t="b">
        <f>(VLOOKUP(Requirements!I1751,Scope[[Role]:[Description]],2,FALSE)="In")</f>
        <v>1</v>
      </c>
      <c r="T1749" s="87">
        <f t="shared" si="111"/>
        <v>0</v>
      </c>
    </row>
    <row r="1750" spans="1:60">
      <c r="A1750" s="85" t="str">
        <f>Requirements!A1752</f>
        <v>MS-SMB_R4082</v>
      </c>
      <c r="B1750" s="87"/>
      <c r="C1750" s="87"/>
      <c r="D1750" s="87"/>
      <c r="E1750" s="87"/>
      <c r="F1750" s="87"/>
      <c r="G1750" s="87"/>
      <c r="H1750" s="87"/>
      <c r="I1750" s="87"/>
      <c r="J1750" s="87"/>
      <c r="K1750" s="87"/>
      <c r="L1750" s="87"/>
      <c r="M1750" s="87"/>
      <c r="N1750" s="87">
        <f t="shared" si="108"/>
        <v>0</v>
      </c>
      <c r="O1750" s="61">
        <f t="shared" si="109"/>
        <v>0</v>
      </c>
      <c r="P1750" s="61" t="b">
        <f t="shared" si="110"/>
        <v>1</v>
      </c>
      <c r="Q1750" s="87" t="b">
        <f>(Requirements!K1752="Normative")</f>
        <v>1</v>
      </c>
      <c r="R1750" s="87" t="b">
        <f>AND(Requirements!L1752&lt;&gt;"Non-testable",Requirements!L1752&lt;&gt;"Deleted",Requirements!L1752&lt;&gt;"")</f>
        <v>1</v>
      </c>
      <c r="S1750" s="87" t="b">
        <f>(VLOOKUP(Requirements!I1752,Scope[[Role]:[Description]],2,FALSE)="In")</f>
        <v>1</v>
      </c>
      <c r="T1750" s="87">
        <f t="shared" si="111"/>
        <v>0</v>
      </c>
    </row>
    <row r="1751" spans="1:60">
      <c r="A1751" s="85" t="str">
        <f>Requirements!A1753</f>
        <v>MS-SMB_R8563</v>
      </c>
      <c r="B1751" s="87"/>
      <c r="C1751" s="87"/>
      <c r="D1751" s="87"/>
      <c r="E1751" s="87"/>
      <c r="F1751" s="87"/>
      <c r="G1751" s="87"/>
      <c r="H1751" s="87"/>
      <c r="I1751" s="87"/>
      <c r="J1751" s="87"/>
      <c r="K1751" s="87"/>
      <c r="L1751" s="87"/>
      <c r="M1751" s="87"/>
      <c r="N1751" s="87">
        <f t="shared" si="108"/>
        <v>0</v>
      </c>
      <c r="O1751" s="61">
        <f t="shared" si="109"/>
        <v>0</v>
      </c>
      <c r="P1751" s="61" t="b">
        <f t="shared" si="110"/>
        <v>1</v>
      </c>
      <c r="Q1751" s="87" t="b">
        <f>(Requirements!K1753="Normative")</f>
        <v>1</v>
      </c>
      <c r="R1751" s="87" t="b">
        <f>AND(Requirements!L1753&lt;&gt;"Non-testable",Requirements!L1753&lt;&gt;"Deleted",Requirements!L1753&lt;&gt;"")</f>
        <v>1</v>
      </c>
      <c r="S1751" s="87" t="b">
        <f>(VLOOKUP(Requirements!I1753,Scope[[Role]:[Description]],2,FALSE)="In")</f>
        <v>1</v>
      </c>
      <c r="T1751" s="87">
        <f t="shared" si="111"/>
        <v>0</v>
      </c>
    </row>
    <row r="1752" spans="1:60">
      <c r="A1752" s="44" t="str">
        <f>Requirements!A1754</f>
        <v>MS-SMB_R4099</v>
      </c>
      <c r="B1752" s="87"/>
      <c r="C1752" s="87"/>
      <c r="D1752" s="87"/>
      <c r="E1752" s="87"/>
      <c r="F1752" s="87"/>
      <c r="G1752" s="87"/>
      <c r="H1752" s="87"/>
      <c r="I1752" s="87"/>
      <c r="J1752" s="87"/>
      <c r="K1752" s="87"/>
      <c r="L1752" s="87"/>
      <c r="M1752" s="87"/>
      <c r="N1752" s="87">
        <f t="shared" si="108"/>
        <v>0</v>
      </c>
      <c r="O1752" s="87">
        <f t="shared" si="109"/>
        <v>0</v>
      </c>
      <c r="P1752" s="87" t="b">
        <f t="shared" si="110"/>
        <v>0</v>
      </c>
      <c r="Q1752" s="87" t="b">
        <f>(Requirements!K1754="Normative")</f>
        <v>1</v>
      </c>
      <c r="R1752" s="87" t="b">
        <f>AND(Requirements!L1754&lt;&gt;"Non-testable",Requirements!L1754&lt;&gt;"Deleted",Requirements!L1754&lt;&gt;"")</f>
        <v>0</v>
      </c>
      <c r="S1752" s="87" t="b">
        <f>(VLOOKUP(Requirements!I1754,Scope[[Role]:[Description]],2,FALSE)="In")</f>
        <v>1</v>
      </c>
      <c r="T1752" s="87">
        <f t="shared" si="111"/>
        <v>0</v>
      </c>
    </row>
    <row r="1753" spans="1:60">
      <c r="A1753" s="85" t="str">
        <f>Requirements!A1755</f>
        <v>MS-SMB_R4100</v>
      </c>
      <c r="B1753" s="87"/>
      <c r="C1753" s="87"/>
      <c r="D1753" s="87"/>
      <c r="E1753" s="87"/>
      <c r="F1753" s="87"/>
      <c r="G1753" s="87"/>
      <c r="H1753" s="87"/>
      <c r="I1753" s="87"/>
      <c r="J1753" s="87"/>
      <c r="K1753" s="87"/>
      <c r="L1753" s="87"/>
      <c r="M1753" s="87"/>
      <c r="N1753" s="87">
        <f t="shared" si="108"/>
        <v>0</v>
      </c>
      <c r="O1753" s="61">
        <f t="shared" si="109"/>
        <v>0</v>
      </c>
      <c r="P1753" s="61" t="b">
        <f t="shared" si="110"/>
        <v>1</v>
      </c>
      <c r="Q1753" s="87" t="b">
        <f>(Requirements!K1755="Normative")</f>
        <v>1</v>
      </c>
      <c r="R1753" s="87" t="b">
        <f>AND(Requirements!L1755&lt;&gt;"Non-testable",Requirements!L1755&lt;&gt;"Deleted",Requirements!L1755&lt;&gt;"")</f>
        <v>1</v>
      </c>
      <c r="S1753" s="87" t="b">
        <f>(VLOOKUP(Requirements!I1755,Scope[[Role]:[Description]],2,FALSE)="In")</f>
        <v>1</v>
      </c>
      <c r="T1753" s="87">
        <f t="shared" si="111"/>
        <v>0</v>
      </c>
    </row>
    <row r="1754" spans="1:60">
      <c r="A1754" s="44" t="str">
        <f>Requirements!A1756</f>
        <v>MS-SMB_R4101</v>
      </c>
      <c r="B1754" s="87"/>
      <c r="C1754" s="87"/>
      <c r="D1754" s="87"/>
      <c r="E1754" s="87"/>
      <c r="F1754" s="87"/>
      <c r="G1754" s="87"/>
      <c r="H1754" s="87"/>
      <c r="I1754" s="87"/>
      <c r="J1754" s="87"/>
      <c r="K1754" s="87"/>
      <c r="L1754" s="87"/>
      <c r="M1754" s="87"/>
      <c r="N1754" s="87">
        <f t="shared" si="108"/>
        <v>0</v>
      </c>
      <c r="O1754" s="87">
        <f t="shared" si="109"/>
        <v>0</v>
      </c>
      <c r="P1754" s="87" t="b">
        <f t="shared" si="110"/>
        <v>0</v>
      </c>
      <c r="Q1754" s="87" t="b">
        <f>(Requirements!K1756="Normative")</f>
        <v>1</v>
      </c>
      <c r="R1754" s="87" t="b">
        <f>AND(Requirements!L1756&lt;&gt;"Non-testable",Requirements!L1756&lt;&gt;"Deleted",Requirements!L1756&lt;&gt;"")</f>
        <v>0</v>
      </c>
      <c r="S1754" s="87" t="b">
        <f>(VLOOKUP(Requirements!I1756,Scope[[Role]:[Description]],2,FALSE)="In")</f>
        <v>1</v>
      </c>
      <c r="T1754" s="87">
        <f t="shared" si="111"/>
        <v>0</v>
      </c>
    </row>
    <row r="1755" spans="1:60">
      <c r="A1755" s="83" t="str">
        <f>Requirements!A1757</f>
        <v>MS-SMB_R8562</v>
      </c>
      <c r="B1755" s="46"/>
      <c r="C1755" s="46"/>
      <c r="D1755" s="46"/>
      <c r="E1755" s="46"/>
      <c r="F1755" s="46"/>
      <c r="G1755" s="46"/>
      <c r="H1755" s="46"/>
      <c r="I1755" s="46"/>
      <c r="J1755" s="46"/>
      <c r="K1755" s="46"/>
      <c r="L1755" s="46"/>
      <c r="M1755" s="46"/>
      <c r="N1755" s="46">
        <f t="shared" si="108"/>
        <v>0</v>
      </c>
      <c r="O1755" s="46">
        <f t="shared" si="109"/>
        <v>0</v>
      </c>
      <c r="P1755" s="46" t="b">
        <f t="shared" si="110"/>
        <v>0</v>
      </c>
      <c r="Q1755" s="46" t="b">
        <f>(Requirements!K1757="Normative")</f>
        <v>0</v>
      </c>
      <c r="R1755" s="46" t="b">
        <f>AND(Requirements!L1757&lt;&gt;"Non-testable",Requirements!L1757&lt;&gt;"Deleted",Requirements!L1757&lt;&gt;"")</f>
        <v>0</v>
      </c>
      <c r="S1755" s="46" t="b">
        <f>(VLOOKUP(Requirements!I1757,Scope[[Role]:[Description]],2,FALSE)="In")</f>
        <v>1</v>
      </c>
      <c r="T1755" s="46">
        <f t="shared" si="111"/>
        <v>0</v>
      </c>
      <c r="U1755" s="45"/>
      <c r="V1755" s="45"/>
      <c r="W1755" s="45"/>
      <c r="X1755" s="45"/>
      <c r="Y1755" s="45"/>
      <c r="Z1755" s="45"/>
      <c r="AA1755" s="45"/>
      <c r="AB1755" s="45"/>
      <c r="AC1755" s="45"/>
      <c r="AD1755" s="45"/>
      <c r="AE1755" s="45"/>
      <c r="AF1755" s="45"/>
      <c r="AG1755" s="45"/>
      <c r="AH1755" s="45"/>
      <c r="AI1755" s="45"/>
      <c r="AJ1755" s="45"/>
      <c r="AK1755" s="45"/>
      <c r="AL1755" s="45"/>
      <c r="AM1755" s="45"/>
      <c r="AN1755" s="45"/>
      <c r="AO1755" s="45"/>
      <c r="AP1755" s="45"/>
      <c r="AQ1755" s="45"/>
      <c r="AR1755" s="45"/>
      <c r="AS1755" s="45"/>
      <c r="AT1755" s="45"/>
      <c r="AU1755" s="45"/>
      <c r="AV1755" s="45"/>
      <c r="AW1755" s="45"/>
      <c r="AX1755" s="45"/>
      <c r="AY1755" s="45"/>
      <c r="AZ1755" s="45"/>
      <c r="BA1755" s="45"/>
      <c r="BB1755" s="45"/>
      <c r="BC1755" s="45"/>
      <c r="BD1755" s="45"/>
      <c r="BE1755" s="45"/>
      <c r="BF1755" s="45"/>
      <c r="BG1755" s="45"/>
      <c r="BH1755" s="45"/>
    </row>
    <row r="1756" spans="1:60">
      <c r="A1756" s="44" t="str">
        <f>Requirements!A1758</f>
        <v>MS-SMB_R4102</v>
      </c>
      <c r="B1756" s="87"/>
      <c r="C1756" s="87"/>
      <c r="D1756" s="87"/>
      <c r="E1756" s="87"/>
      <c r="F1756" s="87"/>
      <c r="G1756" s="87"/>
      <c r="H1756" s="87"/>
      <c r="I1756" s="87"/>
      <c r="J1756" s="87"/>
      <c r="K1756" s="87"/>
      <c r="L1756" s="87"/>
      <c r="M1756" s="87"/>
      <c r="N1756" s="87">
        <f t="shared" si="108"/>
        <v>0</v>
      </c>
      <c r="O1756" s="87">
        <f t="shared" si="109"/>
        <v>0</v>
      </c>
      <c r="P1756" s="87" t="b">
        <f t="shared" si="110"/>
        <v>0</v>
      </c>
      <c r="Q1756" s="87" t="b">
        <f>(Requirements!K1758="Normative")</f>
        <v>0</v>
      </c>
      <c r="R1756" s="87" t="b">
        <f>AND(Requirements!L1758&lt;&gt;"Non-testable",Requirements!L1758&lt;&gt;"Deleted",Requirements!L1758&lt;&gt;"")</f>
        <v>1</v>
      </c>
      <c r="S1756" s="87" t="b">
        <f>(VLOOKUP(Requirements!I1758,Scope[[Role]:[Description]],2,FALSE)="In")</f>
        <v>1</v>
      </c>
      <c r="T1756" s="87">
        <f t="shared" si="111"/>
        <v>0</v>
      </c>
    </row>
    <row r="1757" spans="1:60">
      <c r="A1757" s="85" t="str">
        <f>Requirements!A1759</f>
        <v>MS-SMB_R8564</v>
      </c>
      <c r="B1757" s="87"/>
      <c r="C1757" s="87"/>
      <c r="D1757" s="87"/>
      <c r="E1757" s="87"/>
      <c r="F1757" s="87"/>
      <c r="G1757" s="87"/>
      <c r="H1757" s="87"/>
      <c r="I1757" s="87"/>
      <c r="J1757" s="87"/>
      <c r="K1757" s="87"/>
      <c r="L1757" s="87"/>
      <c r="M1757" s="87"/>
      <c r="N1757" s="87">
        <f t="shared" si="108"/>
        <v>0</v>
      </c>
      <c r="O1757" s="61">
        <f t="shared" si="109"/>
        <v>0</v>
      </c>
      <c r="P1757" s="61" t="b">
        <f t="shared" si="110"/>
        <v>1</v>
      </c>
      <c r="Q1757" s="87" t="b">
        <f>(Requirements!K1759="Normative")</f>
        <v>1</v>
      </c>
      <c r="R1757" s="87" t="b">
        <f>AND(Requirements!L1759&lt;&gt;"Non-testable",Requirements!L1759&lt;&gt;"Deleted",Requirements!L1759&lt;&gt;"")</f>
        <v>1</v>
      </c>
      <c r="S1757" s="87" t="b">
        <f>(VLOOKUP(Requirements!I1759,Scope[[Role]:[Description]],2,FALSE)="In")</f>
        <v>1</v>
      </c>
      <c r="T1757" s="87">
        <f t="shared" si="111"/>
        <v>0</v>
      </c>
    </row>
    <row r="1758" spans="1:60">
      <c r="A1758" s="85" t="str">
        <f>Requirements!A1760</f>
        <v>MS-SMB_R4107</v>
      </c>
      <c r="B1758" s="87"/>
      <c r="C1758" s="87"/>
      <c r="D1758" s="87"/>
      <c r="E1758" s="87"/>
      <c r="F1758" s="87"/>
      <c r="G1758" s="87"/>
      <c r="H1758" s="87"/>
      <c r="I1758" s="87"/>
      <c r="J1758" s="87"/>
      <c r="K1758" s="87"/>
      <c r="L1758" s="87"/>
      <c r="M1758" s="87"/>
      <c r="N1758" s="87">
        <f t="shared" si="108"/>
        <v>0</v>
      </c>
      <c r="O1758" s="61">
        <f t="shared" si="109"/>
        <v>0</v>
      </c>
      <c r="P1758" s="61" t="b">
        <f t="shared" si="110"/>
        <v>1</v>
      </c>
      <c r="Q1758" s="87" t="b">
        <f>(Requirements!K1760="Normative")</f>
        <v>1</v>
      </c>
      <c r="R1758" s="87" t="b">
        <f>AND(Requirements!L1760&lt;&gt;"Non-testable",Requirements!L1760&lt;&gt;"Deleted",Requirements!L1760&lt;&gt;"")</f>
        <v>1</v>
      </c>
      <c r="S1758" s="87" t="b">
        <f>(VLOOKUP(Requirements!I1760,Scope[[Role]:[Description]],2,FALSE)="In")</f>
        <v>1</v>
      </c>
      <c r="T1758" s="87">
        <f t="shared" si="111"/>
        <v>0</v>
      </c>
    </row>
    <row r="1759" spans="1:60">
      <c r="A1759" s="85" t="str">
        <f>Requirements!A1761</f>
        <v>MS-SMB_R4187</v>
      </c>
      <c r="B1759" s="87"/>
      <c r="C1759" s="87"/>
      <c r="D1759" s="87"/>
      <c r="E1759" s="87"/>
      <c r="F1759" s="87"/>
      <c r="G1759" s="87"/>
      <c r="H1759" s="87"/>
      <c r="I1759" s="87"/>
      <c r="J1759" s="87"/>
      <c r="K1759" s="87"/>
      <c r="L1759" s="87"/>
      <c r="M1759" s="87"/>
      <c r="N1759" s="87">
        <f t="shared" si="108"/>
        <v>0</v>
      </c>
      <c r="O1759" s="61">
        <f t="shared" si="109"/>
        <v>0</v>
      </c>
      <c r="P1759" s="61" t="b">
        <f t="shared" si="110"/>
        <v>1</v>
      </c>
      <c r="Q1759" s="87" t="b">
        <f>(Requirements!K1761="Normative")</f>
        <v>1</v>
      </c>
      <c r="R1759" s="87" t="b">
        <f>AND(Requirements!L1761&lt;&gt;"Non-testable",Requirements!L1761&lt;&gt;"Deleted",Requirements!L1761&lt;&gt;"")</f>
        <v>1</v>
      </c>
      <c r="S1759" s="87" t="b">
        <f>(VLOOKUP(Requirements!I1761,Scope[[Role]:[Description]],2,FALSE)="In")</f>
        <v>1</v>
      </c>
      <c r="T1759" s="87">
        <f t="shared" si="111"/>
        <v>0</v>
      </c>
    </row>
    <row r="1760" spans="1:60">
      <c r="A1760" s="85" t="str">
        <f>Requirements!A1762</f>
        <v>MS-SMB_R4188</v>
      </c>
      <c r="B1760" s="87"/>
      <c r="C1760" s="87"/>
      <c r="D1760" s="87"/>
      <c r="E1760" s="87"/>
      <c r="F1760" s="87"/>
      <c r="G1760" s="87"/>
      <c r="H1760" s="87"/>
      <c r="I1760" s="87"/>
      <c r="J1760" s="87"/>
      <c r="K1760" s="87"/>
      <c r="L1760" s="87"/>
      <c r="M1760" s="87"/>
      <c r="N1760" s="87">
        <f t="shared" si="108"/>
        <v>0</v>
      </c>
      <c r="O1760" s="61">
        <f t="shared" si="109"/>
        <v>0</v>
      </c>
      <c r="P1760" s="61" t="b">
        <f t="shared" si="110"/>
        <v>1</v>
      </c>
      <c r="Q1760" s="87" t="b">
        <f>(Requirements!K1762="Normative")</f>
        <v>1</v>
      </c>
      <c r="R1760" s="87" t="b">
        <f>AND(Requirements!L1762&lt;&gt;"Non-testable",Requirements!L1762&lt;&gt;"Deleted",Requirements!L1762&lt;&gt;"")</f>
        <v>1</v>
      </c>
      <c r="S1760" s="87" t="b">
        <f>(VLOOKUP(Requirements!I1762,Scope[[Role]:[Description]],2,FALSE)="In")</f>
        <v>1</v>
      </c>
      <c r="T1760" s="87">
        <f t="shared" si="111"/>
        <v>0</v>
      </c>
    </row>
    <row r="1761" spans="1:60">
      <c r="A1761" s="44" t="str">
        <f>Requirements!A1763</f>
        <v>MS-SMB_R4189</v>
      </c>
      <c r="B1761" s="87"/>
      <c r="C1761" s="87"/>
      <c r="D1761" s="87"/>
      <c r="E1761" s="87"/>
      <c r="F1761" s="87"/>
      <c r="G1761" s="87"/>
      <c r="H1761" s="87"/>
      <c r="I1761" s="87"/>
      <c r="J1761" s="87"/>
      <c r="K1761" s="87"/>
      <c r="L1761" s="87"/>
      <c r="M1761" s="87"/>
      <c r="N1761" s="87">
        <f t="shared" si="108"/>
        <v>0</v>
      </c>
      <c r="O1761" s="87">
        <f t="shared" si="109"/>
        <v>0</v>
      </c>
      <c r="P1761" s="87" t="b">
        <f t="shared" si="110"/>
        <v>0</v>
      </c>
      <c r="Q1761" s="87" t="b">
        <f>(Requirements!K1763="Normative")</f>
        <v>0</v>
      </c>
      <c r="R1761" s="87" t="b">
        <f>AND(Requirements!L1763&lt;&gt;"Non-testable",Requirements!L1763&lt;&gt;"Deleted",Requirements!L1763&lt;&gt;"")</f>
        <v>1</v>
      </c>
      <c r="S1761" s="87" t="b">
        <f>(VLOOKUP(Requirements!I1763,Scope[[Role]:[Description]],2,FALSE)="In")</f>
        <v>1</v>
      </c>
      <c r="T1761" s="87">
        <f t="shared" si="111"/>
        <v>0</v>
      </c>
    </row>
    <row r="1762" spans="1:60">
      <c r="A1762" s="84" t="str">
        <f>Requirements!A1764</f>
        <v>MS-SMB_R8565</v>
      </c>
      <c r="B1762" s="87"/>
      <c r="C1762" s="87"/>
      <c r="D1762" s="87"/>
      <c r="E1762" s="87"/>
      <c r="F1762" s="87">
        <v>1</v>
      </c>
      <c r="G1762" s="87"/>
      <c r="H1762" s="87"/>
      <c r="I1762" s="87"/>
      <c r="J1762" s="87"/>
      <c r="K1762" s="87"/>
      <c r="L1762" s="87"/>
      <c r="M1762" s="87"/>
      <c r="N1762" s="87">
        <f t="shared" si="108"/>
        <v>1</v>
      </c>
      <c r="O1762" s="60">
        <f t="shared" si="109"/>
        <v>1</v>
      </c>
      <c r="P1762" s="60" t="b">
        <f t="shared" si="110"/>
        <v>1</v>
      </c>
      <c r="Q1762" s="87" t="b">
        <f>(Requirements!K1764="Normative")</f>
        <v>1</v>
      </c>
      <c r="R1762" s="87" t="b">
        <f>AND(Requirements!L1764&lt;&gt;"Non-testable",Requirements!L1764&lt;&gt;"Deleted",Requirements!L1764&lt;&gt;"")</f>
        <v>1</v>
      </c>
      <c r="S1762" s="87" t="b">
        <f>(VLOOKUP(Requirements!I1764,Scope[[Role]:[Description]],2,FALSE)="In")</f>
        <v>1</v>
      </c>
      <c r="T1762" s="87">
        <f t="shared" si="111"/>
        <v>1</v>
      </c>
    </row>
    <row r="1763" spans="1:60">
      <c r="A1763" s="85" t="str">
        <f>Requirements!A1765</f>
        <v>MS-SMB_R4199</v>
      </c>
      <c r="B1763" s="87"/>
      <c r="C1763" s="87"/>
      <c r="D1763" s="87"/>
      <c r="E1763" s="87"/>
      <c r="F1763" s="87"/>
      <c r="G1763" s="87"/>
      <c r="H1763" s="87"/>
      <c r="I1763" s="87"/>
      <c r="J1763" s="87"/>
      <c r="K1763" s="87"/>
      <c r="L1763" s="87"/>
      <c r="M1763" s="87"/>
      <c r="N1763" s="87">
        <f t="shared" si="108"/>
        <v>0</v>
      </c>
      <c r="O1763" s="61">
        <f t="shared" si="109"/>
        <v>0</v>
      </c>
      <c r="P1763" s="61" t="b">
        <f t="shared" si="110"/>
        <v>1</v>
      </c>
      <c r="Q1763" s="87" t="b">
        <f>(Requirements!K1765="Normative")</f>
        <v>1</v>
      </c>
      <c r="R1763" s="87" t="b">
        <f>AND(Requirements!L1765&lt;&gt;"Non-testable",Requirements!L1765&lt;&gt;"Deleted",Requirements!L1765&lt;&gt;"")</f>
        <v>1</v>
      </c>
      <c r="S1763" s="87" t="b">
        <f>(VLOOKUP(Requirements!I1765,Scope[[Role]:[Description]],2,FALSE)="In")</f>
        <v>1</v>
      </c>
      <c r="T1763" s="87">
        <f t="shared" si="111"/>
        <v>0</v>
      </c>
    </row>
    <row r="1764" spans="1:60">
      <c r="A1764" s="85" t="str">
        <f>Requirements!A1766</f>
        <v>MS-SMB_R4200</v>
      </c>
      <c r="B1764" s="87"/>
      <c r="C1764" s="87"/>
      <c r="D1764" s="87"/>
      <c r="E1764" s="87"/>
      <c r="F1764" s="87"/>
      <c r="G1764" s="87"/>
      <c r="H1764" s="87"/>
      <c r="I1764" s="87"/>
      <c r="J1764" s="87"/>
      <c r="K1764" s="87"/>
      <c r="L1764" s="87"/>
      <c r="M1764" s="87"/>
      <c r="N1764" s="87">
        <f t="shared" si="108"/>
        <v>0</v>
      </c>
      <c r="O1764" s="61">
        <f t="shared" si="109"/>
        <v>0</v>
      </c>
      <c r="P1764" s="61" t="b">
        <f t="shared" si="110"/>
        <v>1</v>
      </c>
      <c r="Q1764" s="87" t="b">
        <f>(Requirements!K1766="Normative")</f>
        <v>1</v>
      </c>
      <c r="R1764" s="87" t="b">
        <f>AND(Requirements!L1766&lt;&gt;"Non-testable",Requirements!L1766&lt;&gt;"Deleted",Requirements!L1766&lt;&gt;"")</f>
        <v>1</v>
      </c>
      <c r="S1764" s="87" t="b">
        <f>(VLOOKUP(Requirements!I1766,Scope[[Role]:[Description]],2,FALSE)="In")</f>
        <v>1</v>
      </c>
      <c r="T1764" s="87">
        <f t="shared" si="111"/>
        <v>0</v>
      </c>
    </row>
    <row r="1765" spans="1:60">
      <c r="A1765" s="85" t="str">
        <f>Requirements!A1767</f>
        <v>MS-SMB_R4206</v>
      </c>
      <c r="B1765" s="87"/>
      <c r="C1765" s="87"/>
      <c r="D1765" s="87"/>
      <c r="E1765" s="87"/>
      <c r="F1765" s="87"/>
      <c r="G1765" s="87"/>
      <c r="H1765" s="87"/>
      <c r="I1765" s="87"/>
      <c r="J1765" s="87"/>
      <c r="K1765" s="87"/>
      <c r="L1765" s="87"/>
      <c r="M1765" s="87"/>
      <c r="N1765" s="87">
        <f t="shared" si="108"/>
        <v>0</v>
      </c>
      <c r="O1765" s="61">
        <f t="shared" si="109"/>
        <v>0</v>
      </c>
      <c r="P1765" s="61" t="b">
        <f t="shared" si="110"/>
        <v>1</v>
      </c>
      <c r="Q1765" s="87" t="b">
        <f>(Requirements!K1767="Normative")</f>
        <v>1</v>
      </c>
      <c r="R1765" s="87" t="b">
        <f>AND(Requirements!L1767&lt;&gt;"Non-testable",Requirements!L1767&lt;&gt;"Deleted",Requirements!L1767&lt;&gt;"")</f>
        <v>1</v>
      </c>
      <c r="S1765" s="87" t="b">
        <f>(VLOOKUP(Requirements!I1767,Scope[[Role]:[Description]],2,FALSE)="In")</f>
        <v>1</v>
      </c>
      <c r="T1765" s="87">
        <f t="shared" si="111"/>
        <v>0</v>
      </c>
    </row>
    <row r="1766" spans="1:60">
      <c r="A1766" s="85" t="str">
        <f>Requirements!A1768</f>
        <v>MS-SMB_R8566</v>
      </c>
      <c r="B1766" s="87"/>
      <c r="C1766" s="87"/>
      <c r="D1766" s="87"/>
      <c r="E1766" s="87"/>
      <c r="F1766" s="87"/>
      <c r="G1766" s="87"/>
      <c r="H1766" s="87"/>
      <c r="I1766" s="87"/>
      <c r="J1766" s="87"/>
      <c r="K1766" s="87"/>
      <c r="L1766" s="87"/>
      <c r="M1766" s="87"/>
      <c r="N1766" s="87">
        <f t="shared" si="108"/>
        <v>0</v>
      </c>
      <c r="O1766" s="61">
        <f t="shared" si="109"/>
        <v>0</v>
      </c>
      <c r="P1766" s="61" t="b">
        <f t="shared" si="110"/>
        <v>1</v>
      </c>
      <c r="Q1766" s="87" t="b">
        <f>(Requirements!K1768="Normative")</f>
        <v>1</v>
      </c>
      <c r="R1766" s="87" t="b">
        <f>AND(Requirements!L1768&lt;&gt;"Non-testable",Requirements!L1768&lt;&gt;"Deleted",Requirements!L1768&lt;&gt;"")</f>
        <v>1</v>
      </c>
      <c r="S1766" s="87" t="b">
        <f>(VLOOKUP(Requirements!I1768,Scope[[Role]:[Description]],2,FALSE)="In")</f>
        <v>1</v>
      </c>
      <c r="T1766" s="87">
        <f t="shared" si="111"/>
        <v>0</v>
      </c>
    </row>
    <row r="1767" spans="1:60">
      <c r="A1767" s="85" t="str">
        <f>Requirements!A1769</f>
        <v>MS-SMB_R8567</v>
      </c>
      <c r="B1767" s="87"/>
      <c r="C1767" s="87"/>
      <c r="D1767" s="87"/>
      <c r="E1767" s="87"/>
      <c r="F1767" s="87"/>
      <c r="G1767" s="87"/>
      <c r="H1767" s="87"/>
      <c r="I1767" s="87"/>
      <c r="J1767" s="87"/>
      <c r="K1767" s="87"/>
      <c r="L1767" s="87"/>
      <c r="M1767" s="87"/>
      <c r="N1767" s="87">
        <f t="shared" si="108"/>
        <v>0</v>
      </c>
      <c r="O1767" s="61">
        <f t="shared" si="109"/>
        <v>0</v>
      </c>
      <c r="P1767" s="61" t="b">
        <f t="shared" si="110"/>
        <v>1</v>
      </c>
      <c r="Q1767" s="87" t="b">
        <f>(Requirements!K1769="Normative")</f>
        <v>1</v>
      </c>
      <c r="R1767" s="87" t="b">
        <f>AND(Requirements!L1769&lt;&gt;"Non-testable",Requirements!L1769&lt;&gt;"Deleted",Requirements!L1769&lt;&gt;"")</f>
        <v>1</v>
      </c>
      <c r="S1767" s="87" t="b">
        <f>(VLOOKUP(Requirements!I1769,Scope[[Role]:[Description]],2,FALSE)="In")</f>
        <v>1</v>
      </c>
      <c r="T1767" s="87">
        <f t="shared" si="111"/>
        <v>0</v>
      </c>
    </row>
    <row r="1768" spans="1:60">
      <c r="A1768" s="85" t="str">
        <f>Requirements!A1770</f>
        <v>MS-SMB_R8568</v>
      </c>
      <c r="B1768" s="87"/>
      <c r="C1768" s="87"/>
      <c r="D1768" s="87"/>
      <c r="E1768" s="87"/>
      <c r="F1768" s="87"/>
      <c r="G1768" s="87"/>
      <c r="H1768" s="87"/>
      <c r="I1768" s="87"/>
      <c r="J1768" s="87"/>
      <c r="K1768" s="87"/>
      <c r="L1768" s="87"/>
      <c r="M1768" s="87"/>
      <c r="N1768" s="87">
        <f t="shared" si="108"/>
        <v>0</v>
      </c>
      <c r="O1768" s="61">
        <f t="shared" si="109"/>
        <v>0</v>
      </c>
      <c r="P1768" s="61" t="b">
        <f t="shared" si="110"/>
        <v>1</v>
      </c>
      <c r="Q1768" s="87" t="b">
        <f>(Requirements!K1770="Normative")</f>
        <v>1</v>
      </c>
      <c r="R1768" s="87" t="b">
        <f>AND(Requirements!L1770&lt;&gt;"Non-testable",Requirements!L1770&lt;&gt;"Deleted",Requirements!L1770&lt;&gt;"")</f>
        <v>1</v>
      </c>
      <c r="S1768" s="87" t="b">
        <f>(VLOOKUP(Requirements!I1770,Scope[[Role]:[Description]],2,FALSE)="In")</f>
        <v>1</v>
      </c>
      <c r="T1768" s="87">
        <f t="shared" si="111"/>
        <v>0</v>
      </c>
    </row>
    <row r="1769" spans="1:60">
      <c r="A1769" s="85" t="str">
        <f>Requirements!A1771</f>
        <v>MS-SMB_R4277</v>
      </c>
      <c r="B1769" s="87"/>
      <c r="C1769" s="87"/>
      <c r="D1769" s="87"/>
      <c r="E1769" s="87"/>
      <c r="F1769" s="87"/>
      <c r="G1769" s="87"/>
      <c r="H1769" s="87"/>
      <c r="I1769" s="87"/>
      <c r="J1769" s="87"/>
      <c r="K1769" s="87"/>
      <c r="L1769" s="87"/>
      <c r="M1769" s="87"/>
      <c r="N1769" s="87">
        <f t="shared" si="108"/>
        <v>0</v>
      </c>
      <c r="O1769" s="61">
        <f t="shared" si="109"/>
        <v>0</v>
      </c>
      <c r="P1769" s="61" t="b">
        <f t="shared" si="110"/>
        <v>1</v>
      </c>
      <c r="Q1769" s="87" t="b">
        <f>(Requirements!K1771="Normative")</f>
        <v>1</v>
      </c>
      <c r="R1769" s="87" t="b">
        <f>AND(Requirements!L1771&lt;&gt;"Non-testable",Requirements!L1771&lt;&gt;"Deleted",Requirements!L1771&lt;&gt;"")</f>
        <v>1</v>
      </c>
      <c r="S1769" s="87" t="b">
        <f>(VLOOKUP(Requirements!I1771,Scope[[Role]:[Description]],2,FALSE)="In")</f>
        <v>1</v>
      </c>
      <c r="T1769" s="87">
        <f t="shared" si="111"/>
        <v>0</v>
      </c>
    </row>
    <row r="1770" spans="1:60">
      <c r="A1770" s="85" t="str">
        <f>Requirements!A1772</f>
        <v>MS-SMB_R8569</v>
      </c>
      <c r="B1770" s="87"/>
      <c r="C1770" s="87"/>
      <c r="D1770" s="87"/>
      <c r="E1770" s="87"/>
      <c r="F1770" s="87"/>
      <c r="G1770" s="87"/>
      <c r="H1770" s="87"/>
      <c r="I1770" s="87"/>
      <c r="J1770" s="87"/>
      <c r="K1770" s="87"/>
      <c r="L1770" s="87"/>
      <c r="M1770" s="87"/>
      <c r="N1770" s="87">
        <f t="shared" si="108"/>
        <v>0</v>
      </c>
      <c r="O1770" s="61">
        <f t="shared" si="109"/>
        <v>0</v>
      </c>
      <c r="P1770" s="61" t="b">
        <f t="shared" si="110"/>
        <v>1</v>
      </c>
      <c r="Q1770" s="87" t="b">
        <f>(Requirements!K1772="Normative")</f>
        <v>1</v>
      </c>
      <c r="R1770" s="87" t="b">
        <f>AND(Requirements!L1772&lt;&gt;"Non-testable",Requirements!L1772&lt;&gt;"Deleted",Requirements!L1772&lt;&gt;"")</f>
        <v>1</v>
      </c>
      <c r="S1770" s="87" t="b">
        <f>(VLOOKUP(Requirements!I1772,Scope[[Role]:[Description]],2,FALSE)="In")</f>
        <v>1</v>
      </c>
      <c r="T1770" s="87">
        <f t="shared" si="111"/>
        <v>0</v>
      </c>
    </row>
    <row r="1771" spans="1:60">
      <c r="A1771" s="83" t="str">
        <f>Requirements!A1773</f>
        <v>MS-SMB_R2561</v>
      </c>
      <c r="B1771" s="46"/>
      <c r="C1771" s="46"/>
      <c r="D1771" s="46"/>
      <c r="E1771" s="46"/>
      <c r="F1771" s="46"/>
      <c r="G1771" s="46"/>
      <c r="H1771" s="46"/>
      <c r="I1771" s="46"/>
      <c r="J1771" s="46"/>
      <c r="K1771" s="46"/>
      <c r="L1771" s="46"/>
      <c r="M1771" s="46"/>
      <c r="N1771" s="46">
        <f t="shared" si="108"/>
        <v>0</v>
      </c>
      <c r="O1771" s="46">
        <f t="shared" si="109"/>
        <v>0</v>
      </c>
      <c r="P1771" s="46" t="b">
        <f t="shared" si="110"/>
        <v>0</v>
      </c>
      <c r="Q1771" s="46" t="b">
        <f>(Requirements!K1773="Normative")</f>
        <v>0</v>
      </c>
      <c r="R1771" s="46" t="b">
        <f>AND(Requirements!L1773&lt;&gt;"Non-testable",Requirements!L1773&lt;&gt;"Deleted",Requirements!L1773&lt;&gt;"")</f>
        <v>0</v>
      </c>
      <c r="S1771" s="46" t="b">
        <f>(VLOOKUP(Requirements!I1773,Scope[[Role]:[Description]],2,FALSE)="In")</f>
        <v>1</v>
      </c>
      <c r="T1771" s="46">
        <f t="shared" si="111"/>
        <v>0</v>
      </c>
      <c r="U1771" s="45"/>
      <c r="V1771" s="45"/>
      <c r="W1771" s="45"/>
      <c r="X1771" s="45"/>
      <c r="Y1771" s="45"/>
      <c r="Z1771" s="45"/>
      <c r="AA1771" s="45"/>
      <c r="AB1771" s="45"/>
      <c r="AC1771" s="45"/>
      <c r="AD1771" s="45"/>
      <c r="AE1771" s="45"/>
      <c r="AF1771" s="45"/>
      <c r="AG1771" s="45"/>
      <c r="AH1771" s="45"/>
      <c r="AI1771" s="45"/>
      <c r="AJ1771" s="45"/>
      <c r="AK1771" s="45"/>
      <c r="AL1771" s="45"/>
      <c r="AM1771" s="45"/>
      <c r="AN1771" s="45"/>
      <c r="AO1771" s="45"/>
      <c r="AP1771" s="45"/>
      <c r="AQ1771" s="45"/>
      <c r="AR1771" s="45"/>
      <c r="AS1771" s="45"/>
      <c r="AT1771" s="45"/>
      <c r="AU1771" s="45"/>
      <c r="AV1771" s="45"/>
      <c r="AW1771" s="45"/>
      <c r="AX1771" s="45"/>
      <c r="AY1771" s="45"/>
      <c r="AZ1771" s="45"/>
      <c r="BA1771" s="45"/>
      <c r="BB1771" s="45"/>
      <c r="BC1771" s="45"/>
      <c r="BD1771" s="45"/>
      <c r="BE1771" s="45"/>
      <c r="BF1771" s="45"/>
      <c r="BG1771" s="45"/>
      <c r="BH1771" s="45"/>
    </row>
    <row r="1772" spans="1:60">
      <c r="A1772" s="83" t="str">
        <f>Requirements!A1774</f>
        <v>MS-SMB_R2560</v>
      </c>
      <c r="B1772" s="46"/>
      <c r="C1772" s="46"/>
      <c r="D1772" s="46"/>
      <c r="E1772" s="46"/>
      <c r="F1772" s="46"/>
      <c r="G1772" s="46"/>
      <c r="H1772" s="46"/>
      <c r="I1772" s="46"/>
      <c r="J1772" s="46"/>
      <c r="K1772" s="46"/>
      <c r="L1772" s="46"/>
      <c r="M1772" s="46"/>
      <c r="N1772" s="46">
        <f t="shared" si="108"/>
        <v>0</v>
      </c>
      <c r="O1772" s="46">
        <f t="shared" si="109"/>
        <v>0</v>
      </c>
      <c r="P1772" s="46" t="b">
        <f t="shared" si="110"/>
        <v>0</v>
      </c>
      <c r="Q1772" s="46" t="b">
        <f>(Requirements!K1774="Normative")</f>
        <v>0</v>
      </c>
      <c r="R1772" s="46" t="b">
        <f>AND(Requirements!L1774&lt;&gt;"Non-testable",Requirements!L1774&lt;&gt;"Deleted",Requirements!L1774&lt;&gt;"")</f>
        <v>0</v>
      </c>
      <c r="S1772" s="46" t="b">
        <f>(VLOOKUP(Requirements!I1774,Scope[[Role]:[Description]],2,FALSE)="In")</f>
        <v>1</v>
      </c>
      <c r="T1772" s="46">
        <f t="shared" si="111"/>
        <v>0</v>
      </c>
      <c r="U1772" s="45"/>
      <c r="V1772" s="45"/>
      <c r="W1772" s="45"/>
      <c r="X1772" s="45"/>
      <c r="Y1772" s="45"/>
      <c r="Z1772" s="45"/>
      <c r="AA1772" s="45"/>
      <c r="AB1772" s="45"/>
      <c r="AC1772" s="45"/>
      <c r="AD1772" s="45"/>
      <c r="AE1772" s="45"/>
      <c r="AF1772" s="45"/>
      <c r="AG1772" s="45"/>
      <c r="AH1772" s="45"/>
      <c r="AI1772" s="45"/>
      <c r="AJ1772" s="45"/>
      <c r="AK1772" s="45"/>
      <c r="AL1772" s="45"/>
      <c r="AM1772" s="45"/>
      <c r="AN1772" s="45"/>
      <c r="AO1772" s="45"/>
      <c r="AP1772" s="45"/>
      <c r="AQ1772" s="45"/>
      <c r="AR1772" s="45"/>
      <c r="AS1772" s="45"/>
      <c r="AT1772" s="45"/>
      <c r="AU1772" s="45"/>
      <c r="AV1772" s="45"/>
      <c r="AW1772" s="45"/>
      <c r="AX1772" s="45"/>
      <c r="AY1772" s="45"/>
      <c r="AZ1772" s="45"/>
      <c r="BA1772" s="45"/>
      <c r="BB1772" s="45"/>
      <c r="BC1772" s="45"/>
      <c r="BD1772" s="45"/>
      <c r="BE1772" s="45"/>
      <c r="BF1772" s="45"/>
      <c r="BG1772" s="45"/>
      <c r="BH1772" s="45"/>
    </row>
    <row r="1773" spans="1:60">
      <c r="A1773" s="85" t="str">
        <f>Requirements!A1775</f>
        <v>MS-SMB_R8570</v>
      </c>
      <c r="B1773" s="87"/>
      <c r="C1773" s="87"/>
      <c r="D1773" s="87"/>
      <c r="E1773" s="87"/>
      <c r="F1773" s="87"/>
      <c r="G1773" s="87"/>
      <c r="H1773" s="87"/>
      <c r="I1773" s="87"/>
      <c r="J1773" s="87"/>
      <c r="K1773" s="87"/>
      <c r="L1773" s="87"/>
      <c r="M1773" s="87"/>
      <c r="N1773" s="87">
        <f t="shared" si="108"/>
        <v>0</v>
      </c>
      <c r="O1773" s="61">
        <f t="shared" si="109"/>
        <v>0</v>
      </c>
      <c r="P1773" s="61" t="b">
        <f t="shared" si="110"/>
        <v>1</v>
      </c>
      <c r="Q1773" s="87" t="b">
        <f>(Requirements!K1775="Normative")</f>
        <v>1</v>
      </c>
      <c r="R1773" s="87" t="b">
        <f>AND(Requirements!L1775&lt;&gt;"Non-testable",Requirements!L1775&lt;&gt;"Deleted",Requirements!L1775&lt;&gt;"")</f>
        <v>1</v>
      </c>
      <c r="S1773" s="87" t="b">
        <f>(VLOOKUP(Requirements!I1775,Scope[[Role]:[Description]],2,FALSE)="In")</f>
        <v>1</v>
      </c>
      <c r="T1773" s="87">
        <f t="shared" si="111"/>
        <v>0</v>
      </c>
    </row>
    <row r="1774" spans="1:60">
      <c r="A1774" s="85" t="str">
        <f>Requirements!A1776</f>
        <v>MS-SMB_R8571</v>
      </c>
      <c r="B1774" s="87"/>
      <c r="C1774" s="87"/>
      <c r="D1774" s="87"/>
      <c r="E1774" s="87"/>
      <c r="F1774" s="87"/>
      <c r="G1774" s="87"/>
      <c r="H1774" s="87"/>
      <c r="I1774" s="87"/>
      <c r="J1774" s="87"/>
      <c r="K1774" s="87"/>
      <c r="L1774" s="87"/>
      <c r="M1774" s="87"/>
      <c r="N1774" s="87">
        <f t="shared" si="108"/>
        <v>0</v>
      </c>
      <c r="O1774" s="61">
        <f t="shared" si="109"/>
        <v>0</v>
      </c>
      <c r="P1774" s="61" t="b">
        <f t="shared" si="110"/>
        <v>1</v>
      </c>
      <c r="Q1774" s="87" t="b">
        <f>(Requirements!K1776="Normative")</f>
        <v>1</v>
      </c>
      <c r="R1774" s="87" t="b">
        <f>AND(Requirements!L1776&lt;&gt;"Non-testable",Requirements!L1776&lt;&gt;"Deleted",Requirements!L1776&lt;&gt;"")</f>
        <v>1</v>
      </c>
      <c r="S1774" s="87" t="b">
        <f>(VLOOKUP(Requirements!I1776,Scope[[Role]:[Description]],2,FALSE)="In")</f>
        <v>1</v>
      </c>
      <c r="T1774" s="87">
        <f t="shared" si="111"/>
        <v>0</v>
      </c>
    </row>
    <row r="1775" spans="1:60">
      <c r="A1775" s="85" t="str">
        <f>Requirements!A1777</f>
        <v>MS-SMB_R4381</v>
      </c>
      <c r="B1775" s="87"/>
      <c r="C1775" s="87"/>
      <c r="D1775" s="87"/>
      <c r="E1775" s="87"/>
      <c r="F1775" s="87"/>
      <c r="G1775" s="87"/>
      <c r="H1775" s="87"/>
      <c r="I1775" s="87"/>
      <c r="J1775" s="87"/>
      <c r="K1775" s="87"/>
      <c r="L1775" s="87"/>
      <c r="M1775" s="87"/>
      <c r="N1775" s="87">
        <f t="shared" si="108"/>
        <v>0</v>
      </c>
      <c r="O1775" s="61">
        <f t="shared" si="109"/>
        <v>0</v>
      </c>
      <c r="P1775" s="61" t="b">
        <f t="shared" si="110"/>
        <v>1</v>
      </c>
      <c r="Q1775" s="87" t="b">
        <f>(Requirements!K1777="Normative")</f>
        <v>1</v>
      </c>
      <c r="R1775" s="87" t="b">
        <f>AND(Requirements!L1777&lt;&gt;"Non-testable",Requirements!L1777&lt;&gt;"Deleted",Requirements!L1777&lt;&gt;"")</f>
        <v>1</v>
      </c>
      <c r="S1775" s="87" t="b">
        <f>(VLOOKUP(Requirements!I1777,Scope[[Role]:[Description]],2,FALSE)="In")</f>
        <v>1</v>
      </c>
      <c r="T1775" s="87">
        <f t="shared" si="111"/>
        <v>0</v>
      </c>
    </row>
    <row r="1776" spans="1:60">
      <c r="A1776" s="85" t="str">
        <f>Requirements!A1778</f>
        <v>MS-SMB_R4383</v>
      </c>
      <c r="B1776" s="87"/>
      <c r="C1776" s="87"/>
      <c r="D1776" s="87"/>
      <c r="E1776" s="87"/>
      <c r="F1776" s="87"/>
      <c r="G1776" s="87"/>
      <c r="H1776" s="87"/>
      <c r="I1776" s="87"/>
      <c r="J1776" s="87"/>
      <c r="K1776" s="87"/>
      <c r="L1776" s="87"/>
      <c r="M1776" s="87"/>
      <c r="N1776" s="87">
        <f t="shared" si="108"/>
        <v>0</v>
      </c>
      <c r="O1776" s="61">
        <f t="shared" si="109"/>
        <v>0</v>
      </c>
      <c r="P1776" s="61" t="b">
        <f t="shared" si="110"/>
        <v>1</v>
      </c>
      <c r="Q1776" s="87" t="b">
        <f>(Requirements!K1778="Normative")</f>
        <v>1</v>
      </c>
      <c r="R1776" s="87" t="b">
        <f>AND(Requirements!L1778&lt;&gt;"Non-testable",Requirements!L1778&lt;&gt;"Deleted",Requirements!L1778&lt;&gt;"")</f>
        <v>1</v>
      </c>
      <c r="S1776" s="87" t="b">
        <f>(VLOOKUP(Requirements!I1778,Scope[[Role]:[Description]],2,FALSE)="In")</f>
        <v>1</v>
      </c>
      <c r="T1776" s="87">
        <f t="shared" si="111"/>
        <v>0</v>
      </c>
    </row>
    <row r="1777" spans="1:20">
      <c r="A1777" s="84" t="str">
        <f>Requirements!A1779</f>
        <v>MS-SMB_R8572</v>
      </c>
      <c r="B1777" s="87">
        <v>1</v>
      </c>
      <c r="C1777" s="87"/>
      <c r="D1777" s="87"/>
      <c r="E1777" s="87"/>
      <c r="F1777" s="87"/>
      <c r="G1777" s="87"/>
      <c r="H1777" s="87"/>
      <c r="I1777" s="87"/>
      <c r="J1777" s="87"/>
      <c r="K1777" s="87"/>
      <c r="L1777" s="87"/>
      <c r="M1777" s="87"/>
      <c r="N1777" s="87">
        <f t="shared" si="108"/>
        <v>1</v>
      </c>
      <c r="O1777" s="60">
        <f t="shared" si="109"/>
        <v>1</v>
      </c>
      <c r="P1777" s="60" t="b">
        <f t="shared" si="110"/>
        <v>1</v>
      </c>
      <c r="Q1777" s="87" t="b">
        <f>(Requirements!K1779="Normative")</f>
        <v>1</v>
      </c>
      <c r="R1777" s="87" t="b">
        <f>AND(Requirements!L1779&lt;&gt;"Non-testable",Requirements!L1779&lt;&gt;"Deleted",Requirements!L1779&lt;&gt;"")</f>
        <v>1</v>
      </c>
      <c r="S1777" s="87" t="b">
        <f>(VLOOKUP(Requirements!I1779,Scope[[Role]:[Description]],2,FALSE)="In")</f>
        <v>1</v>
      </c>
      <c r="T1777" s="87">
        <f t="shared" si="111"/>
        <v>1</v>
      </c>
    </row>
    <row r="1778" spans="1:20">
      <c r="A1778" s="84" t="str">
        <f>Requirements!A1780</f>
        <v>MS-SMB_R8573</v>
      </c>
      <c r="B1778" s="87">
        <v>1</v>
      </c>
      <c r="C1778" s="87"/>
      <c r="D1778" s="87"/>
      <c r="E1778" s="87"/>
      <c r="F1778" s="87"/>
      <c r="G1778" s="87"/>
      <c r="H1778" s="87"/>
      <c r="I1778" s="87"/>
      <c r="J1778" s="87"/>
      <c r="K1778" s="87"/>
      <c r="L1778" s="87"/>
      <c r="M1778" s="87"/>
      <c r="N1778" s="87">
        <f t="shared" si="108"/>
        <v>1</v>
      </c>
      <c r="O1778" s="60">
        <f t="shared" si="109"/>
        <v>1</v>
      </c>
      <c r="P1778" s="60" t="b">
        <f t="shared" si="110"/>
        <v>1</v>
      </c>
      <c r="Q1778" s="87" t="b">
        <f>(Requirements!K1780="Normative")</f>
        <v>1</v>
      </c>
      <c r="R1778" s="87" t="b">
        <f>AND(Requirements!L1780&lt;&gt;"Non-testable",Requirements!L1780&lt;&gt;"Deleted",Requirements!L1780&lt;&gt;"")</f>
        <v>1</v>
      </c>
      <c r="S1778" s="87" t="b">
        <f>(VLOOKUP(Requirements!I1780,Scope[[Role]:[Description]],2,FALSE)="In")</f>
        <v>1</v>
      </c>
      <c r="T1778" s="87">
        <f t="shared" si="111"/>
        <v>1</v>
      </c>
    </row>
    <row r="1779" spans="1:20">
      <c r="A1779" s="44" t="str">
        <f>Requirements!A1781</f>
        <v>MS-SMB_R8574</v>
      </c>
      <c r="B1779" s="87"/>
      <c r="C1779" s="87"/>
      <c r="D1779" s="87"/>
      <c r="E1779" s="87"/>
      <c r="F1779" s="87"/>
      <c r="G1779" s="87"/>
      <c r="H1779" s="87"/>
      <c r="I1779" s="87"/>
      <c r="J1779" s="87"/>
      <c r="K1779" s="87"/>
      <c r="L1779" s="87"/>
      <c r="M1779" s="87"/>
      <c r="N1779" s="87">
        <f t="shared" si="108"/>
        <v>0</v>
      </c>
      <c r="O1779" s="87">
        <f t="shared" si="109"/>
        <v>0</v>
      </c>
      <c r="P1779" s="87" t="b">
        <f t="shared" si="110"/>
        <v>0</v>
      </c>
      <c r="Q1779" s="87" t="b">
        <f>(Requirements!K1781="Normative")</f>
        <v>0</v>
      </c>
      <c r="R1779" s="87" t="b">
        <f>AND(Requirements!L1781&lt;&gt;"Non-testable",Requirements!L1781&lt;&gt;"Deleted",Requirements!L1781&lt;&gt;"")</f>
        <v>1</v>
      </c>
      <c r="S1779" s="87" t="b">
        <f>(VLOOKUP(Requirements!I1781,Scope[[Role]:[Description]],2,FALSE)="In")</f>
        <v>1</v>
      </c>
      <c r="T1779" s="87">
        <f t="shared" si="111"/>
        <v>0</v>
      </c>
    </row>
    <row r="1780" spans="1:20">
      <c r="A1780" s="44" t="str">
        <f>Requirements!A1782</f>
        <v>MS-SMB_R8575</v>
      </c>
      <c r="B1780" s="87"/>
      <c r="C1780" s="87"/>
      <c r="D1780" s="87"/>
      <c r="E1780" s="87"/>
      <c r="F1780" s="87"/>
      <c r="G1780" s="87"/>
      <c r="H1780" s="87"/>
      <c r="I1780" s="87"/>
      <c r="J1780" s="87"/>
      <c r="K1780" s="87"/>
      <c r="L1780" s="87"/>
      <c r="M1780" s="87"/>
      <c r="N1780" s="87">
        <f t="shared" si="108"/>
        <v>0</v>
      </c>
      <c r="O1780" s="87">
        <f t="shared" si="109"/>
        <v>0</v>
      </c>
      <c r="P1780" s="87" t="b">
        <f t="shared" si="110"/>
        <v>0</v>
      </c>
      <c r="Q1780" s="87" t="b">
        <f>(Requirements!K1782="Normative")</f>
        <v>0</v>
      </c>
      <c r="R1780" s="87" t="b">
        <f>AND(Requirements!L1782&lt;&gt;"Non-testable",Requirements!L1782&lt;&gt;"Deleted",Requirements!L1782&lt;&gt;"")</f>
        <v>1</v>
      </c>
      <c r="S1780" s="87" t="b">
        <f>(VLOOKUP(Requirements!I1782,Scope[[Role]:[Description]],2,FALSE)="In")</f>
        <v>1</v>
      </c>
      <c r="T1780" s="87">
        <f t="shared" si="111"/>
        <v>0</v>
      </c>
    </row>
    <row r="1781" spans="1:20">
      <c r="A1781" s="44" t="str">
        <f>Requirements!A1783</f>
        <v>MS-SMB_R8576</v>
      </c>
      <c r="B1781" s="87"/>
      <c r="C1781" s="87"/>
      <c r="D1781" s="87"/>
      <c r="E1781" s="87"/>
      <c r="F1781" s="87"/>
      <c r="G1781" s="87"/>
      <c r="H1781" s="87"/>
      <c r="I1781" s="87"/>
      <c r="J1781" s="87"/>
      <c r="K1781" s="87"/>
      <c r="L1781" s="87"/>
      <c r="M1781" s="87"/>
      <c r="N1781" s="87">
        <f t="shared" si="108"/>
        <v>0</v>
      </c>
      <c r="O1781" s="87">
        <f t="shared" si="109"/>
        <v>0</v>
      </c>
      <c r="P1781" s="87" t="b">
        <f t="shared" si="110"/>
        <v>0</v>
      </c>
      <c r="Q1781" s="87" t="b">
        <f>(Requirements!K1783="Normative")</f>
        <v>0</v>
      </c>
      <c r="R1781" s="87" t="b">
        <f>AND(Requirements!L1783&lt;&gt;"Non-testable",Requirements!L1783&lt;&gt;"Deleted",Requirements!L1783&lt;&gt;"")</f>
        <v>1</v>
      </c>
      <c r="S1781" s="87" t="b">
        <f>(VLOOKUP(Requirements!I1783,Scope[[Role]:[Description]],2,FALSE)="In")</f>
        <v>1</v>
      </c>
      <c r="T1781" s="87">
        <f t="shared" si="111"/>
        <v>0</v>
      </c>
    </row>
    <row r="1782" spans="1:20">
      <c r="A1782" s="85" t="str">
        <f>Requirements!A1784</f>
        <v>MS-SMB_R8265</v>
      </c>
      <c r="B1782" s="87"/>
      <c r="C1782" s="87"/>
      <c r="D1782" s="87"/>
      <c r="E1782" s="87"/>
      <c r="F1782" s="87"/>
      <c r="G1782" s="87"/>
      <c r="H1782" s="87"/>
      <c r="I1782" s="87"/>
      <c r="J1782" s="87"/>
      <c r="K1782" s="87"/>
      <c r="L1782" s="87"/>
      <c r="M1782" s="87"/>
      <c r="N1782" s="87">
        <f t="shared" si="108"/>
        <v>0</v>
      </c>
      <c r="O1782" s="61">
        <f t="shared" si="109"/>
        <v>0</v>
      </c>
      <c r="P1782" s="61" t="b">
        <f t="shared" si="110"/>
        <v>1</v>
      </c>
      <c r="Q1782" s="87" t="b">
        <f>(Requirements!K1784="Normative")</f>
        <v>1</v>
      </c>
      <c r="R1782" s="87" t="b">
        <f>AND(Requirements!L1784&lt;&gt;"Non-testable",Requirements!L1784&lt;&gt;"Deleted",Requirements!L1784&lt;&gt;"")</f>
        <v>1</v>
      </c>
      <c r="S1782" s="87" t="b">
        <f>(VLOOKUP(Requirements!I1784,Scope[[Role]:[Description]],2,FALSE)="In")</f>
        <v>1</v>
      </c>
      <c r="T1782" s="87">
        <f t="shared" si="111"/>
        <v>0</v>
      </c>
    </row>
    <row r="1783" spans="1:20">
      <c r="A1783" s="84" t="str">
        <f>Requirements!A1785</f>
        <v>MS-SMB_R118266</v>
      </c>
      <c r="B1783" s="87">
        <v>1</v>
      </c>
      <c r="C1783" s="87"/>
      <c r="D1783" s="87"/>
      <c r="E1783" s="87"/>
      <c r="F1783" s="87"/>
      <c r="G1783" s="87"/>
      <c r="H1783" s="87"/>
      <c r="I1783" s="87"/>
      <c r="J1783" s="87"/>
      <c r="K1783" s="87"/>
      <c r="L1783" s="87"/>
      <c r="M1783" s="87"/>
      <c r="N1783" s="87">
        <f t="shared" si="108"/>
        <v>1</v>
      </c>
      <c r="O1783" s="60">
        <f t="shared" si="109"/>
        <v>1</v>
      </c>
      <c r="P1783" s="60" t="b">
        <f t="shared" si="110"/>
        <v>1</v>
      </c>
      <c r="Q1783" s="87" t="b">
        <f>(Requirements!K1785="Normative")</f>
        <v>1</v>
      </c>
      <c r="R1783" s="87" t="b">
        <f>AND(Requirements!L1785&lt;&gt;"Non-testable",Requirements!L1785&lt;&gt;"Deleted",Requirements!L1785&lt;&gt;"")</f>
        <v>1</v>
      </c>
      <c r="S1783" s="87" t="b">
        <f>(VLOOKUP(Requirements!I1785,Scope[[Role]:[Description]],2,FALSE)="In")</f>
        <v>1</v>
      </c>
      <c r="T1783" s="87">
        <f t="shared" si="111"/>
        <v>1</v>
      </c>
    </row>
    <row r="1784" spans="1:20">
      <c r="A1784" s="44" t="str">
        <f>Requirements!A1786</f>
        <v>MS-SMB_R4690</v>
      </c>
      <c r="B1784" s="87"/>
      <c r="C1784" s="87"/>
      <c r="D1784" s="87"/>
      <c r="E1784" s="87"/>
      <c r="F1784" s="87"/>
      <c r="G1784" s="87"/>
      <c r="H1784" s="87"/>
      <c r="I1784" s="87"/>
      <c r="J1784" s="87"/>
      <c r="K1784" s="87"/>
      <c r="L1784" s="87"/>
      <c r="M1784" s="87"/>
      <c r="N1784" s="87">
        <f t="shared" si="108"/>
        <v>0</v>
      </c>
      <c r="O1784" s="87">
        <f t="shared" si="109"/>
        <v>0</v>
      </c>
      <c r="P1784" s="87" t="b">
        <f t="shared" si="110"/>
        <v>0</v>
      </c>
      <c r="Q1784" s="87" t="b">
        <f>(Requirements!K1786="Normative")</f>
        <v>0</v>
      </c>
      <c r="R1784" s="87" t="b">
        <f>AND(Requirements!L1786&lt;&gt;"Non-testable",Requirements!L1786&lt;&gt;"Deleted",Requirements!L1786&lt;&gt;"")</f>
        <v>1</v>
      </c>
      <c r="S1784" s="87" t="b">
        <f>(VLOOKUP(Requirements!I1786,Scope[[Role]:[Description]],2,FALSE)="In")</f>
        <v>1</v>
      </c>
      <c r="T1784" s="87">
        <f t="shared" si="111"/>
        <v>0</v>
      </c>
    </row>
    <row r="1785" spans="1:20">
      <c r="A1785" s="85" t="str">
        <f>Requirements!A1787</f>
        <v>MS-SMB_R118267</v>
      </c>
      <c r="B1785" s="87"/>
      <c r="C1785" s="87"/>
      <c r="D1785" s="87"/>
      <c r="E1785" s="87"/>
      <c r="F1785" s="87"/>
      <c r="G1785" s="87"/>
      <c r="H1785" s="87"/>
      <c r="I1785" s="87"/>
      <c r="J1785" s="87"/>
      <c r="K1785" s="87"/>
      <c r="L1785" s="87"/>
      <c r="M1785" s="87"/>
      <c r="N1785" s="87">
        <f t="shared" si="108"/>
        <v>0</v>
      </c>
      <c r="O1785" s="61">
        <f t="shared" si="109"/>
        <v>0</v>
      </c>
      <c r="P1785" s="61" t="b">
        <f t="shared" si="110"/>
        <v>1</v>
      </c>
      <c r="Q1785" s="87" t="b">
        <f>(Requirements!K1787="Normative")</f>
        <v>1</v>
      </c>
      <c r="R1785" s="87" t="b">
        <f>AND(Requirements!L1787&lt;&gt;"Non-testable",Requirements!L1787&lt;&gt;"Deleted",Requirements!L1787&lt;&gt;"")</f>
        <v>1</v>
      </c>
      <c r="S1785" s="87" t="b">
        <f>(VLOOKUP(Requirements!I1787,Scope[[Role]:[Description]],2,FALSE)="In")</f>
        <v>1</v>
      </c>
      <c r="T1785" s="87">
        <f t="shared" si="111"/>
        <v>0</v>
      </c>
    </row>
    <row r="1786" spans="1:20">
      <c r="A1786" s="84" t="str">
        <f>Requirements!A1788</f>
        <v>MS-SMB_R8577</v>
      </c>
      <c r="B1786" s="87">
        <v>1</v>
      </c>
      <c r="C1786" s="87"/>
      <c r="D1786" s="87"/>
      <c r="E1786" s="87"/>
      <c r="F1786" s="87"/>
      <c r="G1786" s="87"/>
      <c r="H1786" s="87"/>
      <c r="I1786" s="87"/>
      <c r="J1786" s="87"/>
      <c r="K1786" s="87"/>
      <c r="L1786" s="87"/>
      <c r="M1786" s="87"/>
      <c r="N1786" s="87">
        <f t="shared" si="108"/>
        <v>1</v>
      </c>
      <c r="O1786" s="60">
        <f t="shared" si="109"/>
        <v>1</v>
      </c>
      <c r="P1786" s="60" t="b">
        <f t="shared" si="110"/>
        <v>1</v>
      </c>
      <c r="Q1786" s="87" t="b">
        <f>(Requirements!K1788="Normative")</f>
        <v>1</v>
      </c>
      <c r="R1786" s="87" t="b">
        <f>AND(Requirements!L1788&lt;&gt;"Non-testable",Requirements!L1788&lt;&gt;"Deleted",Requirements!L1788&lt;&gt;"")</f>
        <v>1</v>
      </c>
      <c r="S1786" s="87" t="b">
        <f>(VLOOKUP(Requirements!I1788,Scope[[Role]:[Description]],2,FALSE)="In")</f>
        <v>1</v>
      </c>
      <c r="T1786" s="87">
        <f t="shared" si="111"/>
        <v>1</v>
      </c>
    </row>
    <row r="1787" spans="1:20">
      <c r="A1787" s="84" t="str">
        <f>Requirements!A1789</f>
        <v>MS-SMB_R8578</v>
      </c>
      <c r="B1787" s="87">
        <v>1</v>
      </c>
      <c r="C1787" s="87"/>
      <c r="D1787" s="87"/>
      <c r="E1787" s="87"/>
      <c r="F1787" s="87"/>
      <c r="G1787" s="87"/>
      <c r="H1787" s="87"/>
      <c r="I1787" s="87"/>
      <c r="J1787" s="87"/>
      <c r="K1787" s="87"/>
      <c r="L1787" s="87"/>
      <c r="M1787" s="87"/>
      <c r="N1787" s="87">
        <f t="shared" si="108"/>
        <v>1</v>
      </c>
      <c r="O1787" s="60">
        <f t="shared" si="109"/>
        <v>1</v>
      </c>
      <c r="P1787" s="60" t="b">
        <f t="shared" si="110"/>
        <v>1</v>
      </c>
      <c r="Q1787" s="87" t="b">
        <f>(Requirements!K1789="Normative")</f>
        <v>1</v>
      </c>
      <c r="R1787" s="87" t="b">
        <f>AND(Requirements!L1789&lt;&gt;"Non-testable",Requirements!L1789&lt;&gt;"Deleted",Requirements!L1789&lt;&gt;"")</f>
        <v>1</v>
      </c>
      <c r="S1787" s="87" t="b">
        <f>(VLOOKUP(Requirements!I1789,Scope[[Role]:[Description]],2,FALSE)="In")</f>
        <v>1</v>
      </c>
      <c r="T1787" s="87">
        <f t="shared" si="111"/>
        <v>1</v>
      </c>
    </row>
    <row r="1788" spans="1:20">
      <c r="A1788" s="84" t="str">
        <f>Requirements!A1790</f>
        <v>MS-SMB_R8579</v>
      </c>
      <c r="B1788" s="87">
        <v>1</v>
      </c>
      <c r="C1788" s="87"/>
      <c r="D1788" s="87"/>
      <c r="E1788" s="87"/>
      <c r="F1788" s="87"/>
      <c r="G1788" s="87"/>
      <c r="H1788" s="87"/>
      <c r="I1788" s="87"/>
      <c r="J1788" s="87"/>
      <c r="K1788" s="87"/>
      <c r="L1788" s="87"/>
      <c r="M1788" s="87"/>
      <c r="N1788" s="87">
        <f t="shared" si="108"/>
        <v>1</v>
      </c>
      <c r="O1788" s="60">
        <f t="shared" si="109"/>
        <v>1</v>
      </c>
      <c r="P1788" s="60" t="b">
        <f t="shared" si="110"/>
        <v>1</v>
      </c>
      <c r="Q1788" s="87" t="b">
        <f>(Requirements!K1790="Normative")</f>
        <v>1</v>
      </c>
      <c r="R1788" s="87" t="b">
        <f>AND(Requirements!L1790&lt;&gt;"Non-testable",Requirements!L1790&lt;&gt;"Deleted",Requirements!L1790&lt;&gt;"")</f>
        <v>1</v>
      </c>
      <c r="S1788" s="87" t="b">
        <f>(VLOOKUP(Requirements!I1790,Scope[[Role]:[Description]],2,FALSE)="In")</f>
        <v>1</v>
      </c>
      <c r="T1788" s="87">
        <f t="shared" si="111"/>
        <v>1</v>
      </c>
    </row>
    <row r="1789" spans="1:20">
      <c r="A1789" s="84" t="str">
        <f>Requirements!A1791</f>
        <v>MS-SMB_R8580</v>
      </c>
      <c r="B1789" s="87">
        <v>1</v>
      </c>
      <c r="C1789" s="87"/>
      <c r="D1789" s="87"/>
      <c r="E1789" s="87"/>
      <c r="F1789" s="87"/>
      <c r="G1789" s="87"/>
      <c r="H1789" s="87"/>
      <c r="I1789" s="87"/>
      <c r="J1789" s="87"/>
      <c r="K1789" s="87"/>
      <c r="L1789" s="87"/>
      <c r="M1789" s="87"/>
      <c r="N1789" s="87">
        <f t="shared" si="108"/>
        <v>1</v>
      </c>
      <c r="O1789" s="60">
        <f t="shared" si="109"/>
        <v>1</v>
      </c>
      <c r="P1789" s="60" t="b">
        <f t="shared" si="110"/>
        <v>1</v>
      </c>
      <c r="Q1789" s="87" t="b">
        <f>(Requirements!K1791="Normative")</f>
        <v>1</v>
      </c>
      <c r="R1789" s="87" t="b">
        <f>AND(Requirements!L1791&lt;&gt;"Non-testable",Requirements!L1791&lt;&gt;"Deleted",Requirements!L1791&lt;&gt;"")</f>
        <v>1</v>
      </c>
      <c r="S1789" s="87" t="b">
        <f>(VLOOKUP(Requirements!I1791,Scope[[Role]:[Description]],2,FALSE)="In")</f>
        <v>1</v>
      </c>
      <c r="T1789" s="87">
        <f t="shared" si="111"/>
        <v>1</v>
      </c>
    </row>
    <row r="1790" spans="1:20">
      <c r="A1790" s="84" t="str">
        <f>Requirements!A1792</f>
        <v>MS-SMB_R8581</v>
      </c>
      <c r="B1790" s="87">
        <v>1</v>
      </c>
      <c r="C1790" s="87"/>
      <c r="D1790" s="87"/>
      <c r="E1790" s="87"/>
      <c r="F1790" s="87"/>
      <c r="G1790" s="87"/>
      <c r="H1790" s="87"/>
      <c r="I1790" s="87"/>
      <c r="J1790" s="87"/>
      <c r="K1790" s="87"/>
      <c r="L1790" s="87"/>
      <c r="M1790" s="87"/>
      <c r="N1790" s="87">
        <f t="shared" si="108"/>
        <v>1</v>
      </c>
      <c r="O1790" s="60">
        <f t="shared" si="109"/>
        <v>1</v>
      </c>
      <c r="P1790" s="60" t="b">
        <f t="shared" si="110"/>
        <v>1</v>
      </c>
      <c r="Q1790" s="87" t="b">
        <f>(Requirements!K1792="Normative")</f>
        <v>1</v>
      </c>
      <c r="R1790" s="87" t="b">
        <f>AND(Requirements!L1792&lt;&gt;"Non-testable",Requirements!L1792&lt;&gt;"Deleted",Requirements!L1792&lt;&gt;"")</f>
        <v>1</v>
      </c>
      <c r="S1790" s="87" t="b">
        <f>(VLOOKUP(Requirements!I1792,Scope[[Role]:[Description]],2,FALSE)="In")</f>
        <v>1</v>
      </c>
      <c r="T1790" s="87">
        <f t="shared" si="111"/>
        <v>1</v>
      </c>
    </row>
    <row r="1791" spans="1:20">
      <c r="A1791" s="84" t="str">
        <f>Requirements!A1793</f>
        <v>MS-SMB_R8582</v>
      </c>
      <c r="B1791" s="87">
        <v>1</v>
      </c>
      <c r="C1791" s="87"/>
      <c r="D1791" s="87"/>
      <c r="E1791" s="87"/>
      <c r="F1791" s="87"/>
      <c r="G1791" s="87"/>
      <c r="H1791" s="87"/>
      <c r="I1791" s="87"/>
      <c r="J1791" s="87"/>
      <c r="K1791" s="87"/>
      <c r="L1791" s="87"/>
      <c r="M1791" s="87"/>
      <c r="N1791" s="87">
        <f t="shared" si="108"/>
        <v>1</v>
      </c>
      <c r="O1791" s="60">
        <f t="shared" si="109"/>
        <v>1</v>
      </c>
      <c r="P1791" s="60" t="b">
        <f t="shared" si="110"/>
        <v>1</v>
      </c>
      <c r="Q1791" s="87" t="b">
        <f>(Requirements!K1793="Normative")</f>
        <v>1</v>
      </c>
      <c r="R1791" s="87" t="b">
        <f>AND(Requirements!L1793&lt;&gt;"Non-testable",Requirements!L1793&lt;&gt;"Deleted",Requirements!L1793&lt;&gt;"")</f>
        <v>1</v>
      </c>
      <c r="S1791" s="87" t="b">
        <f>(VLOOKUP(Requirements!I1793,Scope[[Role]:[Description]],2,FALSE)="In")</f>
        <v>1</v>
      </c>
      <c r="T1791" s="87">
        <f t="shared" si="111"/>
        <v>1</v>
      </c>
    </row>
    <row r="1792" spans="1:20">
      <c r="A1792" s="84" t="str">
        <f>Requirements!A1794</f>
        <v>MS-SMB_R8583</v>
      </c>
      <c r="B1792" s="87">
        <v>1</v>
      </c>
      <c r="C1792" s="87"/>
      <c r="D1792" s="87"/>
      <c r="E1792" s="87"/>
      <c r="F1792" s="87"/>
      <c r="G1792" s="87"/>
      <c r="H1792" s="87"/>
      <c r="I1792" s="87"/>
      <c r="J1792" s="87"/>
      <c r="K1792" s="87"/>
      <c r="L1792" s="87"/>
      <c r="M1792" s="87"/>
      <c r="N1792" s="87">
        <f t="shared" si="108"/>
        <v>1</v>
      </c>
      <c r="O1792" s="60">
        <f t="shared" si="109"/>
        <v>1</v>
      </c>
      <c r="P1792" s="60" t="b">
        <f t="shared" si="110"/>
        <v>1</v>
      </c>
      <c r="Q1792" s="87" t="b">
        <f>(Requirements!K1794="Normative")</f>
        <v>1</v>
      </c>
      <c r="R1792" s="87" t="b">
        <f>AND(Requirements!L1794&lt;&gt;"Non-testable",Requirements!L1794&lt;&gt;"Deleted",Requirements!L1794&lt;&gt;"")</f>
        <v>1</v>
      </c>
      <c r="S1792" s="87" t="b">
        <f>(VLOOKUP(Requirements!I1794,Scope[[Role]:[Description]],2,FALSE)="In")</f>
        <v>1</v>
      </c>
      <c r="T1792" s="87">
        <f t="shared" si="111"/>
        <v>1</v>
      </c>
    </row>
    <row r="1793" spans="1:60">
      <c r="A1793" s="84" t="str">
        <f>Requirements!A1795</f>
        <v>MS-SMB_R8584</v>
      </c>
      <c r="B1793" s="87">
        <v>1</v>
      </c>
      <c r="C1793" s="87"/>
      <c r="D1793" s="87"/>
      <c r="E1793" s="87"/>
      <c r="F1793" s="87"/>
      <c r="G1793" s="87"/>
      <c r="H1793" s="87"/>
      <c r="I1793" s="87"/>
      <c r="J1793" s="87"/>
      <c r="K1793" s="87"/>
      <c r="L1793" s="87"/>
      <c r="M1793" s="87"/>
      <c r="N1793" s="87">
        <f t="shared" si="108"/>
        <v>1</v>
      </c>
      <c r="O1793" s="60">
        <f t="shared" si="109"/>
        <v>1</v>
      </c>
      <c r="P1793" s="60" t="b">
        <f t="shared" si="110"/>
        <v>1</v>
      </c>
      <c r="Q1793" s="87" t="b">
        <f>(Requirements!K1795="Normative")</f>
        <v>1</v>
      </c>
      <c r="R1793" s="87" t="b">
        <f>AND(Requirements!L1795&lt;&gt;"Non-testable",Requirements!L1795&lt;&gt;"Deleted",Requirements!L1795&lt;&gt;"")</f>
        <v>1</v>
      </c>
      <c r="S1793" s="87" t="b">
        <f>(VLOOKUP(Requirements!I1795,Scope[[Role]:[Description]],2,FALSE)="In")</f>
        <v>1</v>
      </c>
      <c r="T1793" s="87">
        <f t="shared" si="111"/>
        <v>1</v>
      </c>
    </row>
    <row r="1794" spans="1:60">
      <c r="A1794" s="84" t="str">
        <f>Requirements!A1796</f>
        <v>MS-SMB_R8585</v>
      </c>
      <c r="B1794" s="87">
        <v>1</v>
      </c>
      <c r="C1794" s="87"/>
      <c r="D1794" s="87"/>
      <c r="E1794" s="87"/>
      <c r="F1794" s="87"/>
      <c r="G1794" s="87"/>
      <c r="H1794" s="87"/>
      <c r="I1794" s="87"/>
      <c r="J1794" s="87"/>
      <c r="K1794" s="87"/>
      <c r="L1794" s="87"/>
      <c r="M1794" s="87"/>
      <c r="N1794" s="87">
        <f t="shared" si="108"/>
        <v>1</v>
      </c>
      <c r="O1794" s="60">
        <f t="shared" si="109"/>
        <v>1</v>
      </c>
      <c r="P1794" s="60" t="b">
        <f t="shared" si="110"/>
        <v>1</v>
      </c>
      <c r="Q1794" s="87" t="b">
        <f>(Requirements!K1796="Normative")</f>
        <v>1</v>
      </c>
      <c r="R1794" s="87" t="b">
        <f>AND(Requirements!L1796&lt;&gt;"Non-testable",Requirements!L1796&lt;&gt;"Deleted",Requirements!L1796&lt;&gt;"")</f>
        <v>1</v>
      </c>
      <c r="S1794" s="87" t="b">
        <f>(VLOOKUP(Requirements!I1796,Scope[[Role]:[Description]],2,FALSE)="In")</f>
        <v>1</v>
      </c>
      <c r="T1794" s="87">
        <f t="shared" si="111"/>
        <v>1</v>
      </c>
    </row>
    <row r="1795" spans="1:60">
      <c r="A1795" s="84" t="str">
        <f>Requirements!A1797</f>
        <v>MS-SMB_R8586</v>
      </c>
      <c r="B1795" s="87">
        <v>1</v>
      </c>
      <c r="C1795" s="87"/>
      <c r="D1795" s="87"/>
      <c r="E1795" s="87"/>
      <c r="F1795" s="87"/>
      <c r="G1795" s="87"/>
      <c r="H1795" s="87"/>
      <c r="I1795" s="87"/>
      <c r="J1795" s="87"/>
      <c r="K1795" s="87"/>
      <c r="L1795" s="87"/>
      <c r="M1795" s="87"/>
      <c r="N1795" s="87">
        <f t="shared" si="108"/>
        <v>1</v>
      </c>
      <c r="O1795" s="60">
        <f t="shared" si="109"/>
        <v>1</v>
      </c>
      <c r="P1795" s="60" t="b">
        <f t="shared" si="110"/>
        <v>1</v>
      </c>
      <c r="Q1795" s="87" t="b">
        <f>(Requirements!K1797="Normative")</f>
        <v>1</v>
      </c>
      <c r="R1795" s="87" t="b">
        <f>AND(Requirements!L1797&lt;&gt;"Non-testable",Requirements!L1797&lt;&gt;"Deleted",Requirements!L1797&lt;&gt;"")</f>
        <v>1</v>
      </c>
      <c r="S1795" s="87" t="b">
        <f>(VLOOKUP(Requirements!I1797,Scope[[Role]:[Description]],2,FALSE)="In")</f>
        <v>1</v>
      </c>
      <c r="T1795" s="87">
        <f t="shared" si="111"/>
        <v>1</v>
      </c>
    </row>
    <row r="1796" spans="1:60">
      <c r="A1796" s="84" t="str">
        <f>Requirements!A1798</f>
        <v>MS-SMB_R8587</v>
      </c>
      <c r="B1796" s="87">
        <v>1</v>
      </c>
      <c r="C1796" s="87"/>
      <c r="D1796" s="87"/>
      <c r="E1796" s="87"/>
      <c r="F1796" s="87"/>
      <c r="G1796" s="87"/>
      <c r="H1796" s="87"/>
      <c r="I1796" s="87"/>
      <c r="J1796" s="87"/>
      <c r="K1796" s="87"/>
      <c r="L1796" s="87"/>
      <c r="M1796" s="87"/>
      <c r="N1796" s="87">
        <f t="shared" si="108"/>
        <v>1</v>
      </c>
      <c r="O1796" s="60">
        <f t="shared" si="109"/>
        <v>1</v>
      </c>
      <c r="P1796" s="60" t="b">
        <f t="shared" si="110"/>
        <v>1</v>
      </c>
      <c r="Q1796" s="87" t="b">
        <f>(Requirements!K1798="Normative")</f>
        <v>1</v>
      </c>
      <c r="R1796" s="87" t="b">
        <f>AND(Requirements!L1798&lt;&gt;"Non-testable",Requirements!L1798&lt;&gt;"Deleted",Requirements!L1798&lt;&gt;"")</f>
        <v>1</v>
      </c>
      <c r="S1796" s="87" t="b">
        <f>(VLOOKUP(Requirements!I1798,Scope[[Role]:[Description]],2,FALSE)="In")</f>
        <v>1</v>
      </c>
      <c r="T1796" s="87">
        <f t="shared" si="111"/>
        <v>1</v>
      </c>
    </row>
    <row r="1797" spans="1:60">
      <c r="A1797" s="84" t="str">
        <f>Requirements!A1799</f>
        <v>MS-SMB_R8588</v>
      </c>
      <c r="B1797" s="87">
        <v>1</v>
      </c>
      <c r="C1797" s="87"/>
      <c r="D1797" s="87"/>
      <c r="E1797" s="87"/>
      <c r="F1797" s="87"/>
      <c r="G1797" s="87"/>
      <c r="H1797" s="87"/>
      <c r="I1797" s="87"/>
      <c r="J1797" s="87"/>
      <c r="K1797" s="87"/>
      <c r="L1797" s="87"/>
      <c r="M1797" s="87"/>
      <c r="N1797" s="87">
        <f t="shared" si="108"/>
        <v>1</v>
      </c>
      <c r="O1797" s="60">
        <f t="shared" si="109"/>
        <v>1</v>
      </c>
      <c r="P1797" s="60" t="b">
        <f t="shared" si="110"/>
        <v>1</v>
      </c>
      <c r="Q1797" s="87" t="b">
        <f>(Requirements!K1799="Normative")</f>
        <v>1</v>
      </c>
      <c r="R1797" s="87" t="b">
        <f>AND(Requirements!L1799&lt;&gt;"Non-testable",Requirements!L1799&lt;&gt;"Deleted",Requirements!L1799&lt;&gt;"")</f>
        <v>1</v>
      </c>
      <c r="S1797" s="87" t="b">
        <f>(VLOOKUP(Requirements!I1799,Scope[[Role]:[Description]],2,FALSE)="In")</f>
        <v>1</v>
      </c>
      <c r="T1797" s="87">
        <f t="shared" si="111"/>
        <v>1</v>
      </c>
    </row>
    <row r="1798" spans="1:60">
      <c r="A1798" s="84" t="str">
        <f>Requirements!A1800</f>
        <v>MS-SMB_R8589</v>
      </c>
      <c r="B1798" s="87">
        <v>1</v>
      </c>
      <c r="C1798" s="87"/>
      <c r="D1798" s="87"/>
      <c r="E1798" s="87"/>
      <c r="F1798" s="87"/>
      <c r="G1798" s="87"/>
      <c r="H1798" s="87"/>
      <c r="I1798" s="87"/>
      <c r="J1798" s="87"/>
      <c r="K1798" s="87"/>
      <c r="L1798" s="87"/>
      <c r="M1798" s="87"/>
      <c r="N1798" s="87">
        <f t="shared" si="108"/>
        <v>1</v>
      </c>
      <c r="O1798" s="60">
        <f t="shared" si="109"/>
        <v>1</v>
      </c>
      <c r="P1798" s="60" t="b">
        <f t="shared" si="110"/>
        <v>1</v>
      </c>
      <c r="Q1798" s="87" t="b">
        <f>(Requirements!K1800="Normative")</f>
        <v>1</v>
      </c>
      <c r="R1798" s="87" t="b">
        <f>AND(Requirements!L1800&lt;&gt;"Non-testable",Requirements!L1800&lt;&gt;"Deleted",Requirements!L1800&lt;&gt;"")</f>
        <v>1</v>
      </c>
      <c r="S1798" s="87" t="b">
        <f>(VLOOKUP(Requirements!I1800,Scope[[Role]:[Description]],2,FALSE)="In")</f>
        <v>1</v>
      </c>
      <c r="T1798" s="87">
        <f t="shared" si="111"/>
        <v>1</v>
      </c>
    </row>
    <row r="1799" spans="1:60">
      <c r="A1799" s="84" t="str">
        <f>Requirements!A1801</f>
        <v>MS-SMB_R2555</v>
      </c>
      <c r="B1799" s="87">
        <v>1</v>
      </c>
      <c r="C1799" s="87"/>
      <c r="D1799" s="87"/>
      <c r="E1799" s="87"/>
      <c r="F1799" s="87"/>
      <c r="G1799" s="87"/>
      <c r="H1799" s="87"/>
      <c r="I1799" s="87"/>
      <c r="J1799" s="87"/>
      <c r="K1799" s="87"/>
      <c r="L1799" s="87"/>
      <c r="M1799" s="87"/>
      <c r="N1799" s="87">
        <f t="shared" si="108"/>
        <v>1</v>
      </c>
      <c r="O1799" s="60">
        <f t="shared" si="109"/>
        <v>1</v>
      </c>
      <c r="P1799" s="60" t="b">
        <f t="shared" si="110"/>
        <v>1</v>
      </c>
      <c r="Q1799" s="87" t="b">
        <f>(Requirements!K1801="Normative")</f>
        <v>1</v>
      </c>
      <c r="R1799" s="87" t="b">
        <f>AND(Requirements!L1801&lt;&gt;"Non-testable",Requirements!L1801&lt;&gt;"Deleted",Requirements!L1801&lt;&gt;"")</f>
        <v>1</v>
      </c>
      <c r="S1799" s="87" t="b">
        <f>(VLOOKUP(Requirements!I1801,Scope[[Role]:[Description]],2,FALSE)="In")</f>
        <v>1</v>
      </c>
      <c r="T1799" s="87">
        <f t="shared" si="111"/>
        <v>1</v>
      </c>
    </row>
    <row r="1800" spans="1:60">
      <c r="A1800" s="84" t="str">
        <f>Requirements!A1802</f>
        <v>MS-SMB_R8590</v>
      </c>
      <c r="B1800" s="87">
        <v>1</v>
      </c>
      <c r="C1800" s="87"/>
      <c r="D1800" s="87"/>
      <c r="E1800" s="87"/>
      <c r="F1800" s="87"/>
      <c r="G1800" s="87"/>
      <c r="H1800" s="87"/>
      <c r="I1800" s="87"/>
      <c r="J1800" s="87"/>
      <c r="K1800" s="87"/>
      <c r="L1800" s="87"/>
      <c r="M1800" s="87"/>
      <c r="N1800" s="87">
        <f t="shared" si="108"/>
        <v>1</v>
      </c>
      <c r="O1800" s="60">
        <f t="shared" si="109"/>
        <v>1</v>
      </c>
      <c r="P1800" s="60" t="b">
        <f t="shared" si="110"/>
        <v>1</v>
      </c>
      <c r="Q1800" s="87" t="b">
        <f>(Requirements!K1802="Normative")</f>
        <v>1</v>
      </c>
      <c r="R1800" s="87" t="b">
        <f>AND(Requirements!L1802&lt;&gt;"Non-testable",Requirements!L1802&lt;&gt;"Deleted",Requirements!L1802&lt;&gt;"")</f>
        <v>1</v>
      </c>
      <c r="S1800" s="87" t="b">
        <f>(VLOOKUP(Requirements!I1802,Scope[[Role]:[Description]],2,FALSE)="In")</f>
        <v>1</v>
      </c>
      <c r="T1800" s="87">
        <f t="shared" si="111"/>
        <v>1</v>
      </c>
    </row>
    <row r="1801" spans="1:60">
      <c r="A1801" s="44" t="str">
        <f>Requirements!A1803</f>
        <v>MS-SMB_R8591</v>
      </c>
      <c r="B1801" s="87"/>
      <c r="C1801" s="87"/>
      <c r="D1801" s="87"/>
      <c r="E1801" s="87"/>
      <c r="F1801" s="87"/>
      <c r="G1801" s="87"/>
      <c r="H1801" s="87"/>
      <c r="I1801" s="87"/>
      <c r="J1801" s="87"/>
      <c r="K1801" s="87"/>
      <c r="L1801" s="87"/>
      <c r="M1801" s="87"/>
      <c r="N1801" s="87">
        <f t="shared" si="108"/>
        <v>0</v>
      </c>
      <c r="O1801" s="87">
        <f t="shared" si="109"/>
        <v>0</v>
      </c>
      <c r="P1801" s="87" t="b">
        <f t="shared" si="110"/>
        <v>0</v>
      </c>
      <c r="Q1801" s="87" t="b">
        <f>(Requirements!K1803="Normative")</f>
        <v>1</v>
      </c>
      <c r="R1801" s="87" t="b">
        <f>AND(Requirements!L1803&lt;&gt;"Non-testable",Requirements!L1803&lt;&gt;"Deleted",Requirements!L1803&lt;&gt;"")</f>
        <v>0</v>
      </c>
      <c r="S1801" s="87" t="b">
        <f>(VLOOKUP(Requirements!I1803,Scope[[Role]:[Description]],2,FALSE)="In")</f>
        <v>1</v>
      </c>
      <c r="T1801" s="87">
        <f t="shared" si="111"/>
        <v>0</v>
      </c>
    </row>
    <row r="1802" spans="1:60">
      <c r="A1802" s="83" t="str">
        <f>Requirements!A1804</f>
        <v>MS-SMB_R8592</v>
      </c>
      <c r="B1802" s="46"/>
      <c r="C1802" s="46"/>
      <c r="D1802" s="46"/>
      <c r="E1802" s="46"/>
      <c r="F1802" s="46"/>
      <c r="G1802" s="46"/>
      <c r="H1802" s="46"/>
      <c r="I1802" s="46"/>
      <c r="J1802" s="46"/>
      <c r="K1802" s="46"/>
      <c r="L1802" s="46"/>
      <c r="M1802" s="46"/>
      <c r="N1802" s="46">
        <f t="shared" si="108"/>
        <v>0</v>
      </c>
      <c r="O1802" s="46">
        <f t="shared" si="109"/>
        <v>0</v>
      </c>
      <c r="P1802" s="46" t="b">
        <f t="shared" si="110"/>
        <v>0</v>
      </c>
      <c r="Q1802" s="46" t="b">
        <f>(Requirements!K1804="Normative")</f>
        <v>0</v>
      </c>
      <c r="R1802" s="46" t="b">
        <f>AND(Requirements!L1804&lt;&gt;"Non-testable",Requirements!L1804&lt;&gt;"Deleted",Requirements!L1804&lt;&gt;"")</f>
        <v>0</v>
      </c>
      <c r="S1802" s="46" t="b">
        <f>(VLOOKUP(Requirements!I1804,Scope[[Role]:[Description]],2,FALSE)="In")</f>
        <v>1</v>
      </c>
      <c r="T1802" s="46">
        <f t="shared" si="111"/>
        <v>0</v>
      </c>
      <c r="U1802" s="45"/>
      <c r="V1802" s="45"/>
      <c r="W1802" s="45"/>
      <c r="X1802" s="45"/>
      <c r="Y1802" s="45"/>
      <c r="Z1802" s="45"/>
      <c r="AA1802" s="45"/>
      <c r="AB1802" s="45"/>
      <c r="AC1802" s="45"/>
      <c r="AD1802" s="45"/>
      <c r="AE1802" s="45"/>
      <c r="AF1802" s="45"/>
      <c r="AG1802" s="45"/>
      <c r="AH1802" s="45"/>
      <c r="AI1802" s="45"/>
      <c r="AJ1802" s="45"/>
      <c r="AK1802" s="45"/>
      <c r="AL1802" s="45"/>
      <c r="AM1802" s="45"/>
      <c r="AN1802" s="45"/>
      <c r="AO1802" s="45"/>
      <c r="AP1802" s="45"/>
      <c r="AQ1802" s="45"/>
      <c r="AR1802" s="45"/>
      <c r="AS1802" s="45"/>
      <c r="AT1802" s="45"/>
      <c r="AU1802" s="45"/>
      <c r="AV1802" s="45"/>
      <c r="AW1802" s="45"/>
      <c r="AX1802" s="45"/>
      <c r="AY1802" s="45"/>
      <c r="AZ1802" s="45"/>
      <c r="BA1802" s="45"/>
      <c r="BB1802" s="45"/>
      <c r="BC1802" s="45"/>
      <c r="BD1802" s="45"/>
      <c r="BE1802" s="45"/>
      <c r="BF1802" s="45"/>
      <c r="BG1802" s="45"/>
      <c r="BH1802" s="45"/>
    </row>
    <row r="1803" spans="1:60">
      <c r="A1803" s="44" t="str">
        <f>Requirements!A1805</f>
        <v>MS-SMB_R8593</v>
      </c>
      <c r="B1803" s="87"/>
      <c r="C1803" s="87"/>
      <c r="D1803" s="87"/>
      <c r="E1803" s="87"/>
      <c r="F1803" s="87"/>
      <c r="G1803" s="87"/>
      <c r="H1803" s="87"/>
      <c r="I1803" s="87"/>
      <c r="J1803" s="87"/>
      <c r="K1803" s="87"/>
      <c r="L1803" s="87"/>
      <c r="M1803" s="87"/>
      <c r="N1803" s="87">
        <f t="shared" si="108"/>
        <v>0</v>
      </c>
      <c r="O1803" s="87">
        <f t="shared" si="109"/>
        <v>0</v>
      </c>
      <c r="P1803" s="87" t="b">
        <f t="shared" si="110"/>
        <v>0</v>
      </c>
      <c r="Q1803" s="87" t="b">
        <f>(Requirements!K1805="Normative")</f>
        <v>0</v>
      </c>
      <c r="R1803" s="87" t="b">
        <f>AND(Requirements!L1805&lt;&gt;"Non-testable",Requirements!L1805&lt;&gt;"Deleted",Requirements!L1805&lt;&gt;"")</f>
        <v>1</v>
      </c>
      <c r="S1803" s="87" t="b">
        <f>(VLOOKUP(Requirements!I1805,Scope[[Role]:[Description]],2,FALSE)="In")</f>
        <v>1</v>
      </c>
      <c r="T1803" s="87">
        <f t="shared" si="111"/>
        <v>0</v>
      </c>
    </row>
    <row r="1804" spans="1:60">
      <c r="A1804" s="84" t="str">
        <f>Requirements!A1806</f>
        <v>MS-SMB_R4748</v>
      </c>
      <c r="B1804" s="87">
        <v>1</v>
      </c>
      <c r="C1804" s="87"/>
      <c r="D1804" s="87"/>
      <c r="E1804" s="87"/>
      <c r="F1804" s="87"/>
      <c r="G1804" s="87"/>
      <c r="H1804" s="87"/>
      <c r="I1804" s="87"/>
      <c r="J1804" s="87"/>
      <c r="K1804" s="87"/>
      <c r="L1804" s="87"/>
      <c r="M1804" s="87"/>
      <c r="N1804" s="87">
        <f t="shared" si="108"/>
        <v>1</v>
      </c>
      <c r="O1804" s="60">
        <f t="shared" si="109"/>
        <v>1</v>
      </c>
      <c r="P1804" s="60" t="b">
        <f t="shared" si="110"/>
        <v>1</v>
      </c>
      <c r="Q1804" s="87" t="b">
        <f>(Requirements!K1806="Normative")</f>
        <v>1</v>
      </c>
      <c r="R1804" s="87" t="b">
        <f>AND(Requirements!L1806&lt;&gt;"Non-testable",Requirements!L1806&lt;&gt;"Deleted",Requirements!L1806&lt;&gt;"")</f>
        <v>1</v>
      </c>
      <c r="S1804" s="87" t="b">
        <f>(VLOOKUP(Requirements!I1806,Scope[[Role]:[Description]],2,FALSE)="In")</f>
        <v>1</v>
      </c>
      <c r="T1804" s="87">
        <f t="shared" si="111"/>
        <v>1</v>
      </c>
    </row>
    <row r="1805" spans="1:60">
      <c r="A1805" s="84" t="str">
        <f>Requirements!A1807</f>
        <v>MS-SMB_R4749</v>
      </c>
      <c r="B1805" s="87">
        <v>1</v>
      </c>
      <c r="C1805" s="87"/>
      <c r="D1805" s="87"/>
      <c r="E1805" s="87"/>
      <c r="F1805" s="87"/>
      <c r="G1805" s="87"/>
      <c r="H1805" s="87"/>
      <c r="I1805" s="87"/>
      <c r="J1805" s="87"/>
      <c r="K1805" s="87"/>
      <c r="L1805" s="87"/>
      <c r="M1805" s="87"/>
      <c r="N1805" s="87">
        <f t="shared" si="108"/>
        <v>1</v>
      </c>
      <c r="O1805" s="60">
        <f t="shared" si="109"/>
        <v>1</v>
      </c>
      <c r="P1805" s="60" t="b">
        <f t="shared" si="110"/>
        <v>1</v>
      </c>
      <c r="Q1805" s="87" t="b">
        <f>(Requirements!K1807="Normative")</f>
        <v>1</v>
      </c>
      <c r="R1805" s="87" t="b">
        <f>AND(Requirements!L1807&lt;&gt;"Non-testable",Requirements!L1807&lt;&gt;"Deleted",Requirements!L1807&lt;&gt;"")</f>
        <v>1</v>
      </c>
      <c r="S1805" s="87" t="b">
        <f>(VLOOKUP(Requirements!I1807,Scope[[Role]:[Description]],2,FALSE)="In")</f>
        <v>1</v>
      </c>
      <c r="T1805" s="87">
        <f t="shared" si="111"/>
        <v>1</v>
      </c>
    </row>
    <row r="1806" spans="1:60">
      <c r="A1806" s="84" t="str">
        <f>Requirements!A1808</f>
        <v>MS-SMB_R2372</v>
      </c>
      <c r="B1806" s="87">
        <v>1</v>
      </c>
      <c r="C1806" s="87"/>
      <c r="D1806" s="87"/>
      <c r="E1806" s="87"/>
      <c r="F1806" s="87"/>
      <c r="G1806" s="87"/>
      <c r="H1806" s="87"/>
      <c r="I1806" s="87"/>
      <c r="J1806" s="87"/>
      <c r="K1806" s="87"/>
      <c r="L1806" s="87"/>
      <c r="M1806" s="87"/>
      <c r="N1806" s="87">
        <f t="shared" si="108"/>
        <v>1</v>
      </c>
      <c r="O1806" s="60">
        <f t="shared" si="109"/>
        <v>1</v>
      </c>
      <c r="P1806" s="60" t="b">
        <f t="shared" si="110"/>
        <v>1</v>
      </c>
      <c r="Q1806" s="87" t="b">
        <f>(Requirements!K1808="Normative")</f>
        <v>1</v>
      </c>
      <c r="R1806" s="87" t="b">
        <f>AND(Requirements!L1808&lt;&gt;"Non-testable",Requirements!L1808&lt;&gt;"Deleted",Requirements!L1808&lt;&gt;"")</f>
        <v>1</v>
      </c>
      <c r="S1806" s="87" t="b">
        <f>(VLOOKUP(Requirements!I1808,Scope[[Role]:[Description]],2,FALSE)="In")</f>
        <v>1</v>
      </c>
      <c r="T1806" s="87">
        <f t="shared" si="111"/>
        <v>1</v>
      </c>
    </row>
    <row r="1807" spans="1:60">
      <c r="A1807" s="44" t="str">
        <f>Requirements!A1809</f>
        <v>MS-SMB_R30082</v>
      </c>
      <c r="B1807" s="87"/>
      <c r="C1807" s="87"/>
      <c r="D1807" s="87"/>
      <c r="E1807" s="87"/>
      <c r="F1807" s="87"/>
      <c r="G1807" s="87"/>
      <c r="H1807" s="87"/>
      <c r="I1807" s="87"/>
      <c r="J1807" s="87"/>
      <c r="K1807" s="87"/>
      <c r="L1807" s="87"/>
      <c r="M1807" s="87"/>
      <c r="N1807" s="87">
        <f t="shared" si="108"/>
        <v>0</v>
      </c>
      <c r="O1807" s="87">
        <f t="shared" si="109"/>
        <v>0</v>
      </c>
      <c r="P1807" s="87" t="b">
        <f t="shared" si="110"/>
        <v>0</v>
      </c>
      <c r="Q1807" s="87" t="b">
        <f>(Requirements!K1809="Normative")</f>
        <v>1</v>
      </c>
      <c r="R1807" s="87" t="b">
        <f>AND(Requirements!L1809&lt;&gt;"Non-testable",Requirements!L1809&lt;&gt;"Deleted",Requirements!L1809&lt;&gt;"")</f>
        <v>0</v>
      </c>
      <c r="S1807" s="87" t="b">
        <f>(VLOOKUP(Requirements!I1809,Scope[[Role]:[Description]],2,FALSE)="In")</f>
        <v>1</v>
      </c>
      <c r="T1807" s="87">
        <f t="shared" si="111"/>
        <v>0</v>
      </c>
    </row>
    <row r="1808" spans="1:60">
      <c r="A1808" s="44" t="str">
        <f>Requirements!A1810</f>
        <v>MS-SMB_R30083</v>
      </c>
      <c r="B1808" s="87"/>
      <c r="C1808" s="87"/>
      <c r="D1808" s="87"/>
      <c r="E1808" s="87"/>
      <c r="F1808" s="87"/>
      <c r="G1808" s="87"/>
      <c r="H1808" s="87"/>
      <c r="I1808" s="87"/>
      <c r="J1808" s="87"/>
      <c r="K1808" s="87"/>
      <c r="L1808" s="87"/>
      <c r="M1808" s="87"/>
      <c r="N1808" s="87">
        <f t="shared" si="108"/>
        <v>0</v>
      </c>
      <c r="O1808" s="87">
        <f t="shared" si="109"/>
        <v>0</v>
      </c>
      <c r="P1808" s="87" t="b">
        <f t="shared" si="110"/>
        <v>0</v>
      </c>
      <c r="Q1808" s="87" t="b">
        <f>(Requirements!K1810="Normative")</f>
        <v>1</v>
      </c>
      <c r="R1808" s="87" t="b">
        <f>AND(Requirements!L1810&lt;&gt;"Non-testable",Requirements!L1810&lt;&gt;"Deleted",Requirements!L1810&lt;&gt;"")</f>
        <v>0</v>
      </c>
      <c r="S1808" s="87" t="b">
        <f>(VLOOKUP(Requirements!I1810,Scope[[Role]:[Description]],2,FALSE)="In")</f>
        <v>1</v>
      </c>
      <c r="T1808" s="87">
        <f t="shared" si="111"/>
        <v>0</v>
      </c>
    </row>
    <row r="1809" spans="1:20">
      <c r="A1809" s="44" t="str">
        <f>Requirements!A1811</f>
        <v>MS-SMB_R30084</v>
      </c>
      <c r="B1809" s="87"/>
      <c r="C1809" s="87"/>
      <c r="D1809" s="87"/>
      <c r="E1809" s="87"/>
      <c r="F1809" s="87"/>
      <c r="G1809" s="87"/>
      <c r="H1809" s="87"/>
      <c r="I1809" s="87"/>
      <c r="J1809" s="87"/>
      <c r="K1809" s="87"/>
      <c r="L1809" s="87"/>
      <c r="M1809" s="87"/>
      <c r="N1809" s="87">
        <f t="shared" si="108"/>
        <v>0</v>
      </c>
      <c r="O1809" s="87">
        <f t="shared" si="109"/>
        <v>0</v>
      </c>
      <c r="P1809" s="87" t="b">
        <f t="shared" si="110"/>
        <v>0</v>
      </c>
      <c r="Q1809" s="87" t="b">
        <f>(Requirements!K1811="Normative")</f>
        <v>1</v>
      </c>
      <c r="R1809" s="87" t="b">
        <f>AND(Requirements!L1811&lt;&gt;"Non-testable",Requirements!L1811&lt;&gt;"Deleted",Requirements!L1811&lt;&gt;"")</f>
        <v>0</v>
      </c>
      <c r="S1809" s="87" t="b">
        <f>(VLOOKUP(Requirements!I1811,Scope[[Role]:[Description]],2,FALSE)="In")</f>
        <v>1</v>
      </c>
      <c r="T1809" s="87">
        <f t="shared" si="111"/>
        <v>0</v>
      </c>
    </row>
    <row r="1810" spans="1:20">
      <c r="A1810" s="44" t="str">
        <f>Requirements!A1812</f>
        <v>MS-SMB_R30085</v>
      </c>
      <c r="B1810" s="87"/>
      <c r="C1810" s="87"/>
      <c r="D1810" s="87"/>
      <c r="E1810" s="87"/>
      <c r="F1810" s="87"/>
      <c r="G1810" s="87"/>
      <c r="H1810" s="87"/>
      <c r="I1810" s="87"/>
      <c r="J1810" s="87"/>
      <c r="K1810" s="87"/>
      <c r="L1810" s="87"/>
      <c r="M1810" s="87"/>
      <c r="N1810" s="87">
        <f t="shared" si="108"/>
        <v>0</v>
      </c>
      <c r="O1810" s="87">
        <f t="shared" si="109"/>
        <v>0</v>
      </c>
      <c r="P1810" s="87" t="b">
        <f t="shared" si="110"/>
        <v>0</v>
      </c>
      <c r="Q1810" s="87" t="b">
        <f>(Requirements!K1812="Normative")</f>
        <v>1</v>
      </c>
      <c r="R1810" s="87" t="b">
        <f>AND(Requirements!L1812&lt;&gt;"Non-testable",Requirements!L1812&lt;&gt;"Deleted",Requirements!L1812&lt;&gt;"")</f>
        <v>0</v>
      </c>
      <c r="S1810" s="87" t="b">
        <f>(VLOOKUP(Requirements!I1812,Scope[[Role]:[Description]],2,FALSE)="In")</f>
        <v>1</v>
      </c>
      <c r="T1810" s="87">
        <f t="shared" si="111"/>
        <v>0</v>
      </c>
    </row>
    <row r="1811" spans="1:20">
      <c r="A1811" s="44" t="str">
        <f>Requirements!A1813</f>
        <v>MS-SMB_R30086</v>
      </c>
      <c r="B1811" s="87"/>
      <c r="C1811" s="87"/>
      <c r="D1811" s="87"/>
      <c r="E1811" s="87"/>
      <c r="F1811" s="87"/>
      <c r="G1811" s="87"/>
      <c r="H1811" s="87"/>
      <c r="I1811" s="87"/>
      <c r="J1811" s="87"/>
      <c r="K1811" s="87"/>
      <c r="L1811" s="87"/>
      <c r="M1811" s="87"/>
      <c r="N1811" s="87">
        <f t="shared" si="108"/>
        <v>0</v>
      </c>
      <c r="O1811" s="87">
        <f t="shared" si="109"/>
        <v>0</v>
      </c>
      <c r="P1811" s="87" t="b">
        <f t="shared" si="110"/>
        <v>0</v>
      </c>
      <c r="Q1811" s="87" t="b">
        <f>(Requirements!K1813="Normative")</f>
        <v>1</v>
      </c>
      <c r="R1811" s="87" t="b">
        <f>AND(Requirements!L1813&lt;&gt;"Non-testable",Requirements!L1813&lt;&gt;"Deleted",Requirements!L1813&lt;&gt;"")</f>
        <v>0</v>
      </c>
      <c r="S1811" s="87" t="b">
        <f>(VLOOKUP(Requirements!I1813,Scope[[Role]:[Description]],2,FALSE)="In")</f>
        <v>1</v>
      </c>
      <c r="T1811" s="87">
        <f t="shared" si="111"/>
        <v>0</v>
      </c>
    </row>
    <row r="1812" spans="1:20">
      <c r="A1812" s="44" t="str">
        <f>Requirements!A1814</f>
        <v>MS-SMB_R30087</v>
      </c>
      <c r="B1812" s="87"/>
      <c r="C1812" s="87"/>
      <c r="D1812" s="87"/>
      <c r="E1812" s="87"/>
      <c r="F1812" s="87"/>
      <c r="G1812" s="87"/>
      <c r="H1812" s="87"/>
      <c r="I1812" s="87"/>
      <c r="J1812" s="87"/>
      <c r="K1812" s="87"/>
      <c r="L1812" s="87"/>
      <c r="M1812" s="87"/>
      <c r="N1812" s="87">
        <f t="shared" ref="N1812:N1875" si="112">SUM(B1812:M1812)</f>
        <v>0</v>
      </c>
      <c r="O1812" s="87">
        <f t="shared" ref="O1812:O1875" si="113">IF(N1812=0,0,1)</f>
        <v>0</v>
      </c>
      <c r="P1812" s="87" t="b">
        <f t="shared" ref="P1812:P1875" si="114">AND(Q1812:S1812)</f>
        <v>0</v>
      </c>
      <c r="Q1812" s="87" t="b">
        <f>(Requirements!K1814="Normative")</f>
        <v>1</v>
      </c>
      <c r="R1812" s="87" t="b">
        <f>AND(Requirements!L1814&lt;&gt;"Non-testable",Requirements!L1814&lt;&gt;"Deleted",Requirements!L1814&lt;&gt;"")</f>
        <v>0</v>
      </c>
      <c r="S1812" s="87" t="b">
        <f>(VLOOKUP(Requirements!I1814,Scope[[Role]:[Description]],2,FALSE)="In")</f>
        <v>1</v>
      </c>
      <c r="T1812" s="87">
        <f t="shared" ref="T1812:T1875" si="115">IF(P1812,O1812, 0)</f>
        <v>0</v>
      </c>
    </row>
    <row r="1813" spans="1:20">
      <c r="A1813" s="44" t="str">
        <f>Requirements!A1815</f>
        <v>MS-SMB_R30088</v>
      </c>
      <c r="B1813" s="87"/>
      <c r="C1813" s="87"/>
      <c r="D1813" s="87"/>
      <c r="E1813" s="87"/>
      <c r="F1813" s="87"/>
      <c r="G1813" s="87"/>
      <c r="H1813" s="87"/>
      <c r="I1813" s="87"/>
      <c r="J1813" s="87"/>
      <c r="K1813" s="87"/>
      <c r="L1813" s="87"/>
      <c r="M1813" s="87"/>
      <c r="N1813" s="87">
        <f t="shared" si="112"/>
        <v>0</v>
      </c>
      <c r="O1813" s="87">
        <f t="shared" si="113"/>
        <v>0</v>
      </c>
      <c r="P1813" s="87" t="b">
        <f t="shared" si="114"/>
        <v>0</v>
      </c>
      <c r="Q1813" s="87" t="b">
        <f>(Requirements!K1815="Normative")</f>
        <v>0</v>
      </c>
      <c r="R1813" s="87" t="b">
        <f>AND(Requirements!L1815&lt;&gt;"Non-testable",Requirements!L1815&lt;&gt;"Deleted",Requirements!L1815&lt;&gt;"")</f>
        <v>1</v>
      </c>
      <c r="S1813" s="87" t="b">
        <f>(VLOOKUP(Requirements!I1815,Scope[[Role]:[Description]],2,FALSE)="In")</f>
        <v>1</v>
      </c>
      <c r="T1813" s="87">
        <f t="shared" si="115"/>
        <v>0</v>
      </c>
    </row>
    <row r="1814" spans="1:20">
      <c r="A1814" s="44" t="str">
        <f>Requirements!A1816</f>
        <v>MS-SMB_R30089</v>
      </c>
      <c r="B1814" s="87"/>
      <c r="C1814" s="87"/>
      <c r="D1814" s="87"/>
      <c r="E1814" s="87"/>
      <c r="F1814" s="87"/>
      <c r="G1814" s="87"/>
      <c r="H1814" s="87"/>
      <c r="I1814" s="87"/>
      <c r="J1814" s="87"/>
      <c r="K1814" s="87"/>
      <c r="L1814" s="87"/>
      <c r="M1814" s="87"/>
      <c r="N1814" s="87">
        <f t="shared" si="112"/>
        <v>0</v>
      </c>
      <c r="O1814" s="87">
        <f t="shared" si="113"/>
        <v>0</v>
      </c>
      <c r="P1814" s="87" t="b">
        <f t="shared" si="114"/>
        <v>0</v>
      </c>
      <c r="Q1814" s="87" t="b">
        <f>(Requirements!K1816="Normative")</f>
        <v>0</v>
      </c>
      <c r="R1814" s="87" t="b">
        <f>AND(Requirements!L1816&lt;&gt;"Non-testable",Requirements!L1816&lt;&gt;"Deleted",Requirements!L1816&lt;&gt;"")</f>
        <v>1</v>
      </c>
      <c r="S1814" s="87" t="b">
        <f>(VLOOKUP(Requirements!I1816,Scope[[Role]:[Description]],2,FALSE)="In")</f>
        <v>1</v>
      </c>
      <c r="T1814" s="87">
        <f t="shared" si="115"/>
        <v>0</v>
      </c>
    </row>
    <row r="1815" spans="1:20">
      <c r="A1815" s="84" t="str">
        <f>Requirements!A1817</f>
        <v>MS-SMB_R30090</v>
      </c>
      <c r="B1815" s="87">
        <v>1</v>
      </c>
      <c r="C1815" s="87"/>
      <c r="D1815" s="87"/>
      <c r="E1815" s="87"/>
      <c r="F1815" s="87"/>
      <c r="G1815" s="87"/>
      <c r="H1815" s="87"/>
      <c r="I1815" s="87"/>
      <c r="J1815" s="87"/>
      <c r="K1815" s="87"/>
      <c r="L1815" s="87"/>
      <c r="M1815" s="87"/>
      <c r="N1815" s="87">
        <f t="shared" si="112"/>
        <v>1</v>
      </c>
      <c r="O1815" s="60">
        <f t="shared" si="113"/>
        <v>1</v>
      </c>
      <c r="P1815" s="60" t="b">
        <f t="shared" si="114"/>
        <v>1</v>
      </c>
      <c r="Q1815" s="87" t="b">
        <f>(Requirements!K1817="Normative")</f>
        <v>1</v>
      </c>
      <c r="R1815" s="87" t="b">
        <f>AND(Requirements!L1817&lt;&gt;"Non-testable",Requirements!L1817&lt;&gt;"Deleted",Requirements!L1817&lt;&gt;"")</f>
        <v>1</v>
      </c>
      <c r="S1815" s="87" t="b">
        <f>(VLOOKUP(Requirements!I1817,Scope[[Role]:[Description]],2,FALSE)="In")</f>
        <v>1</v>
      </c>
      <c r="T1815" s="87">
        <f t="shared" si="115"/>
        <v>1</v>
      </c>
    </row>
    <row r="1816" spans="1:20">
      <c r="A1816" s="44" t="str">
        <f>Requirements!A1818</f>
        <v>MS-SMB_R30091</v>
      </c>
      <c r="B1816" s="87"/>
      <c r="C1816" s="87"/>
      <c r="D1816" s="87"/>
      <c r="E1816" s="87"/>
      <c r="F1816" s="87"/>
      <c r="G1816" s="87"/>
      <c r="H1816" s="87"/>
      <c r="I1816" s="87"/>
      <c r="J1816" s="87"/>
      <c r="K1816" s="87"/>
      <c r="L1816" s="87"/>
      <c r="M1816" s="87"/>
      <c r="N1816" s="87">
        <f t="shared" si="112"/>
        <v>0</v>
      </c>
      <c r="O1816" s="87">
        <f t="shared" si="113"/>
        <v>0</v>
      </c>
      <c r="P1816" s="87" t="b">
        <f t="shared" si="114"/>
        <v>0</v>
      </c>
      <c r="Q1816" s="87" t="b">
        <f>(Requirements!K1818="Normative")</f>
        <v>1</v>
      </c>
      <c r="R1816" s="87" t="b">
        <f>AND(Requirements!L1818&lt;&gt;"Non-testable",Requirements!L1818&lt;&gt;"Deleted",Requirements!L1818&lt;&gt;"")</f>
        <v>0</v>
      </c>
      <c r="S1816" s="87" t="b">
        <f>(VLOOKUP(Requirements!I1818,Scope[[Role]:[Description]],2,FALSE)="In")</f>
        <v>1</v>
      </c>
      <c r="T1816" s="87">
        <f t="shared" si="115"/>
        <v>0</v>
      </c>
    </row>
    <row r="1817" spans="1:20">
      <c r="A1817" s="44" t="str">
        <f>Requirements!A1819</f>
        <v>MS-SMB_R30092</v>
      </c>
      <c r="B1817" s="87"/>
      <c r="C1817" s="87"/>
      <c r="D1817" s="87"/>
      <c r="E1817" s="87"/>
      <c r="F1817" s="87"/>
      <c r="G1817" s="87"/>
      <c r="H1817" s="87"/>
      <c r="I1817" s="87"/>
      <c r="J1817" s="87"/>
      <c r="K1817" s="87"/>
      <c r="L1817" s="87"/>
      <c r="M1817" s="87"/>
      <c r="N1817" s="87">
        <f t="shared" si="112"/>
        <v>0</v>
      </c>
      <c r="O1817" s="87">
        <f t="shared" si="113"/>
        <v>0</v>
      </c>
      <c r="P1817" s="87" t="b">
        <f t="shared" si="114"/>
        <v>0</v>
      </c>
      <c r="Q1817" s="87" t="b">
        <f>(Requirements!K1819="Normative")</f>
        <v>1</v>
      </c>
      <c r="R1817" s="87" t="b">
        <f>AND(Requirements!L1819&lt;&gt;"Non-testable",Requirements!L1819&lt;&gt;"Deleted",Requirements!L1819&lt;&gt;"")</f>
        <v>0</v>
      </c>
      <c r="S1817" s="87" t="b">
        <f>(VLOOKUP(Requirements!I1819,Scope[[Role]:[Description]],2,FALSE)="In")</f>
        <v>1</v>
      </c>
      <c r="T1817" s="87">
        <f t="shared" si="115"/>
        <v>0</v>
      </c>
    </row>
    <row r="1818" spans="1:20">
      <c r="A1818" s="44" t="str">
        <f>Requirements!A1820</f>
        <v>MS-SMB_R30093</v>
      </c>
      <c r="B1818" s="87"/>
      <c r="C1818" s="87"/>
      <c r="D1818" s="87"/>
      <c r="E1818" s="87"/>
      <c r="F1818" s="87"/>
      <c r="G1818" s="87"/>
      <c r="H1818" s="87"/>
      <c r="I1818" s="87"/>
      <c r="J1818" s="87"/>
      <c r="K1818" s="87"/>
      <c r="L1818" s="87"/>
      <c r="M1818" s="87"/>
      <c r="N1818" s="87">
        <f t="shared" si="112"/>
        <v>0</v>
      </c>
      <c r="O1818" s="87">
        <f t="shared" si="113"/>
        <v>0</v>
      </c>
      <c r="P1818" s="87" t="b">
        <f t="shared" si="114"/>
        <v>0</v>
      </c>
      <c r="Q1818" s="87" t="b">
        <f>(Requirements!K1820="Normative")</f>
        <v>1</v>
      </c>
      <c r="R1818" s="87" t="b">
        <f>AND(Requirements!L1820&lt;&gt;"Non-testable",Requirements!L1820&lt;&gt;"Deleted",Requirements!L1820&lt;&gt;"")</f>
        <v>0</v>
      </c>
      <c r="S1818" s="87" t="b">
        <f>(VLOOKUP(Requirements!I1820,Scope[[Role]:[Description]],2,FALSE)="In")</f>
        <v>1</v>
      </c>
      <c r="T1818" s="87">
        <f t="shared" si="115"/>
        <v>0</v>
      </c>
    </row>
    <row r="1819" spans="1:20">
      <c r="A1819" s="44" t="str">
        <f>Requirements!A1821</f>
        <v>MS-SMB_R30094</v>
      </c>
      <c r="B1819" s="87"/>
      <c r="C1819" s="87"/>
      <c r="D1819" s="87"/>
      <c r="E1819" s="87"/>
      <c r="F1819" s="87"/>
      <c r="G1819" s="87"/>
      <c r="H1819" s="87"/>
      <c r="I1819" s="87"/>
      <c r="J1819" s="87"/>
      <c r="K1819" s="87"/>
      <c r="L1819" s="87"/>
      <c r="M1819" s="87"/>
      <c r="N1819" s="87">
        <f t="shared" si="112"/>
        <v>0</v>
      </c>
      <c r="O1819" s="87">
        <f t="shared" si="113"/>
        <v>0</v>
      </c>
      <c r="P1819" s="87" t="b">
        <f t="shared" si="114"/>
        <v>0</v>
      </c>
      <c r="Q1819" s="87" t="b">
        <f>(Requirements!K1821="Normative")</f>
        <v>1</v>
      </c>
      <c r="R1819" s="87" t="b">
        <f>AND(Requirements!L1821&lt;&gt;"Non-testable",Requirements!L1821&lt;&gt;"Deleted",Requirements!L1821&lt;&gt;"")</f>
        <v>0</v>
      </c>
      <c r="S1819" s="87" t="b">
        <f>(VLOOKUP(Requirements!I1821,Scope[[Role]:[Description]],2,FALSE)="In")</f>
        <v>1</v>
      </c>
      <c r="T1819" s="87">
        <f t="shared" si="115"/>
        <v>0</v>
      </c>
    </row>
    <row r="1820" spans="1:20">
      <c r="A1820" s="85" t="str">
        <f>Requirements!A1822</f>
        <v>MS-SMB_R30095</v>
      </c>
      <c r="B1820" s="87"/>
      <c r="C1820" s="87"/>
      <c r="D1820" s="87"/>
      <c r="E1820" s="87"/>
      <c r="F1820" s="87"/>
      <c r="G1820" s="87"/>
      <c r="H1820" s="87"/>
      <c r="I1820" s="87"/>
      <c r="J1820" s="87"/>
      <c r="K1820" s="87"/>
      <c r="L1820" s="87"/>
      <c r="M1820" s="87"/>
      <c r="N1820" s="87">
        <f t="shared" si="112"/>
        <v>0</v>
      </c>
      <c r="O1820" s="61">
        <f t="shared" si="113"/>
        <v>0</v>
      </c>
      <c r="P1820" s="61" t="b">
        <f t="shared" si="114"/>
        <v>1</v>
      </c>
      <c r="Q1820" s="87" t="b">
        <f>(Requirements!K1822="Normative")</f>
        <v>1</v>
      </c>
      <c r="R1820" s="87" t="b">
        <f>AND(Requirements!L1822&lt;&gt;"Non-testable",Requirements!L1822&lt;&gt;"Deleted",Requirements!L1822&lt;&gt;"")</f>
        <v>1</v>
      </c>
      <c r="S1820" s="87" t="b">
        <f>(VLOOKUP(Requirements!I1822,Scope[[Role]:[Description]],2,FALSE)="In")</f>
        <v>1</v>
      </c>
      <c r="T1820" s="87">
        <f t="shared" si="115"/>
        <v>0</v>
      </c>
    </row>
    <row r="1821" spans="1:20">
      <c r="A1821" s="85" t="str">
        <f>Requirements!A1823</f>
        <v>MS-SMB_R1030095</v>
      </c>
      <c r="B1821" s="87"/>
      <c r="C1821" s="87"/>
      <c r="D1821" s="87"/>
      <c r="E1821" s="87"/>
      <c r="F1821" s="87"/>
      <c r="G1821" s="87"/>
      <c r="H1821" s="87"/>
      <c r="I1821" s="87"/>
      <c r="J1821" s="87"/>
      <c r="K1821" s="87"/>
      <c r="L1821" s="87"/>
      <c r="M1821" s="87"/>
      <c r="N1821" s="87">
        <f t="shared" si="112"/>
        <v>0</v>
      </c>
      <c r="O1821" s="61">
        <f t="shared" si="113"/>
        <v>0</v>
      </c>
      <c r="P1821" s="61" t="b">
        <f t="shared" si="114"/>
        <v>1</v>
      </c>
      <c r="Q1821" s="87" t="b">
        <f>(Requirements!K1823="Normative")</f>
        <v>1</v>
      </c>
      <c r="R1821" s="87" t="b">
        <f>AND(Requirements!L1823&lt;&gt;"Non-testable",Requirements!L1823&lt;&gt;"Deleted",Requirements!L1823&lt;&gt;"")</f>
        <v>1</v>
      </c>
      <c r="S1821" s="87" t="b">
        <f>(VLOOKUP(Requirements!I1823,Scope[[Role]:[Description]],2,FALSE)="In")</f>
        <v>1</v>
      </c>
      <c r="T1821" s="87">
        <f t="shared" si="115"/>
        <v>0</v>
      </c>
    </row>
    <row r="1822" spans="1:20">
      <c r="A1822" s="85" t="str">
        <f>Requirements!A1824</f>
        <v>MS-SMB_R1130095</v>
      </c>
      <c r="B1822" s="87"/>
      <c r="C1822" s="87"/>
      <c r="D1822" s="87"/>
      <c r="E1822" s="87"/>
      <c r="F1822" s="87"/>
      <c r="G1822" s="87"/>
      <c r="H1822" s="87"/>
      <c r="I1822" s="87"/>
      <c r="J1822" s="87"/>
      <c r="K1822" s="87"/>
      <c r="L1822" s="87"/>
      <c r="M1822" s="87"/>
      <c r="N1822" s="87">
        <f t="shared" si="112"/>
        <v>0</v>
      </c>
      <c r="O1822" s="61">
        <f t="shared" si="113"/>
        <v>0</v>
      </c>
      <c r="P1822" s="61" t="b">
        <f t="shared" si="114"/>
        <v>1</v>
      </c>
      <c r="Q1822" s="87" t="b">
        <f>(Requirements!K1824="Normative")</f>
        <v>1</v>
      </c>
      <c r="R1822" s="87" t="b">
        <f>AND(Requirements!L1824&lt;&gt;"Non-testable",Requirements!L1824&lt;&gt;"Deleted",Requirements!L1824&lt;&gt;"")</f>
        <v>1</v>
      </c>
      <c r="S1822" s="87" t="b">
        <f>(VLOOKUP(Requirements!I1824,Scope[[Role]:[Description]],2,FALSE)="In")</f>
        <v>1</v>
      </c>
      <c r="T1822" s="87">
        <f t="shared" si="115"/>
        <v>0</v>
      </c>
    </row>
    <row r="1823" spans="1:20">
      <c r="A1823" s="44" t="str">
        <f>Requirements!A1825</f>
        <v>MS-SMB_R2388</v>
      </c>
      <c r="B1823" s="87"/>
      <c r="C1823" s="87"/>
      <c r="D1823" s="87"/>
      <c r="E1823" s="87"/>
      <c r="F1823" s="87"/>
      <c r="G1823" s="87"/>
      <c r="H1823" s="87"/>
      <c r="I1823" s="87"/>
      <c r="J1823" s="87"/>
      <c r="K1823" s="87"/>
      <c r="L1823" s="87"/>
      <c r="M1823" s="87"/>
      <c r="N1823" s="87">
        <f t="shared" si="112"/>
        <v>0</v>
      </c>
      <c r="O1823" s="87">
        <f t="shared" si="113"/>
        <v>0</v>
      </c>
      <c r="P1823" s="87" t="b">
        <f t="shared" si="114"/>
        <v>0</v>
      </c>
      <c r="Q1823" s="87" t="b">
        <f>(Requirements!K1825="Normative")</f>
        <v>1</v>
      </c>
      <c r="R1823" s="87" t="b">
        <f>AND(Requirements!L1825&lt;&gt;"Non-testable",Requirements!L1825&lt;&gt;"Deleted",Requirements!L1825&lt;&gt;"")</f>
        <v>0</v>
      </c>
      <c r="S1823" s="87" t="b">
        <f>(VLOOKUP(Requirements!I1825,Scope[[Role]:[Description]],2,FALSE)="In")</f>
        <v>1</v>
      </c>
      <c r="T1823" s="87">
        <f t="shared" si="115"/>
        <v>0</v>
      </c>
    </row>
    <row r="1824" spans="1:20">
      <c r="A1824" s="44" t="str">
        <f>Requirements!A1826</f>
        <v>MS-SMB_R30061</v>
      </c>
      <c r="B1824" s="87"/>
      <c r="C1824" s="87"/>
      <c r="D1824" s="87"/>
      <c r="E1824" s="87"/>
      <c r="F1824" s="87"/>
      <c r="G1824" s="87"/>
      <c r="H1824" s="87"/>
      <c r="I1824" s="87"/>
      <c r="J1824" s="87"/>
      <c r="K1824" s="87"/>
      <c r="L1824" s="87"/>
      <c r="M1824" s="87"/>
      <c r="N1824" s="87">
        <f t="shared" si="112"/>
        <v>0</v>
      </c>
      <c r="O1824" s="87">
        <f t="shared" si="113"/>
        <v>0</v>
      </c>
      <c r="P1824" s="87" t="b">
        <f t="shared" si="114"/>
        <v>0</v>
      </c>
      <c r="Q1824" s="87" t="b">
        <f>(Requirements!K1826="Normative")</f>
        <v>1</v>
      </c>
      <c r="R1824" s="87" t="b">
        <f>AND(Requirements!L1826&lt;&gt;"Non-testable",Requirements!L1826&lt;&gt;"Deleted",Requirements!L1826&lt;&gt;"")</f>
        <v>0</v>
      </c>
      <c r="S1824" s="87" t="b">
        <f>(VLOOKUP(Requirements!I1826,Scope[[Role]:[Description]],2,FALSE)="In")</f>
        <v>1</v>
      </c>
      <c r="T1824" s="87">
        <f t="shared" si="115"/>
        <v>0</v>
      </c>
    </row>
    <row r="1825" spans="1:20">
      <c r="A1825" s="44" t="str">
        <f>Requirements!A1827</f>
        <v>MS-SMB_R30062</v>
      </c>
      <c r="B1825" s="87"/>
      <c r="C1825" s="87"/>
      <c r="D1825" s="87"/>
      <c r="E1825" s="87"/>
      <c r="F1825" s="87"/>
      <c r="G1825" s="87"/>
      <c r="H1825" s="87"/>
      <c r="I1825" s="87"/>
      <c r="J1825" s="87"/>
      <c r="K1825" s="87"/>
      <c r="L1825" s="87"/>
      <c r="M1825" s="87"/>
      <c r="N1825" s="87">
        <f t="shared" si="112"/>
        <v>0</v>
      </c>
      <c r="O1825" s="87">
        <f t="shared" si="113"/>
        <v>0</v>
      </c>
      <c r="P1825" s="87" t="b">
        <f t="shared" si="114"/>
        <v>0</v>
      </c>
      <c r="Q1825" s="87" t="b">
        <f>(Requirements!K1827="Normative")</f>
        <v>1</v>
      </c>
      <c r="R1825" s="87" t="b">
        <f>AND(Requirements!L1827&lt;&gt;"Non-testable",Requirements!L1827&lt;&gt;"Deleted",Requirements!L1827&lt;&gt;"")</f>
        <v>0</v>
      </c>
      <c r="S1825" s="87" t="b">
        <f>(VLOOKUP(Requirements!I1827,Scope[[Role]:[Description]],2,FALSE)="In")</f>
        <v>1</v>
      </c>
      <c r="T1825" s="87">
        <f t="shared" si="115"/>
        <v>0</v>
      </c>
    </row>
    <row r="1826" spans="1:20">
      <c r="A1826" s="44" t="str">
        <f>Requirements!A1828</f>
        <v>MS-SMB_R4890</v>
      </c>
      <c r="B1826" s="87"/>
      <c r="C1826" s="87"/>
      <c r="D1826" s="87"/>
      <c r="E1826" s="87"/>
      <c r="F1826" s="87"/>
      <c r="G1826" s="87"/>
      <c r="H1826" s="87"/>
      <c r="I1826" s="87"/>
      <c r="J1826" s="87"/>
      <c r="K1826" s="87"/>
      <c r="L1826" s="87"/>
      <c r="M1826" s="87"/>
      <c r="N1826" s="87">
        <f t="shared" si="112"/>
        <v>0</v>
      </c>
      <c r="O1826" s="87">
        <f t="shared" si="113"/>
        <v>0</v>
      </c>
      <c r="P1826" s="87" t="b">
        <f t="shared" si="114"/>
        <v>0</v>
      </c>
      <c r="Q1826" s="87" t="b">
        <f>(Requirements!K1828="Normative")</f>
        <v>0</v>
      </c>
      <c r="R1826" s="87" t="b">
        <f>AND(Requirements!L1828&lt;&gt;"Non-testable",Requirements!L1828&lt;&gt;"Deleted",Requirements!L1828&lt;&gt;"")</f>
        <v>1</v>
      </c>
      <c r="S1826" s="87" t="b">
        <f>(VLOOKUP(Requirements!I1828,Scope[[Role]:[Description]],2,FALSE)="In")</f>
        <v>1</v>
      </c>
      <c r="T1826" s="87">
        <f t="shared" si="115"/>
        <v>0</v>
      </c>
    </row>
    <row r="1827" spans="1:20">
      <c r="A1827" s="44" t="str">
        <f>Requirements!A1829</f>
        <v>MS-SMB_R4891</v>
      </c>
      <c r="B1827" s="87"/>
      <c r="C1827" s="87"/>
      <c r="D1827" s="87"/>
      <c r="E1827" s="87"/>
      <c r="F1827" s="87"/>
      <c r="G1827" s="87"/>
      <c r="H1827" s="87"/>
      <c r="I1827" s="87"/>
      <c r="J1827" s="87"/>
      <c r="K1827" s="87"/>
      <c r="L1827" s="87"/>
      <c r="M1827" s="87"/>
      <c r="N1827" s="87">
        <f t="shared" si="112"/>
        <v>0</v>
      </c>
      <c r="O1827" s="87">
        <f t="shared" si="113"/>
        <v>0</v>
      </c>
      <c r="P1827" s="87" t="b">
        <f t="shared" si="114"/>
        <v>0</v>
      </c>
      <c r="Q1827" s="87" t="b">
        <f>(Requirements!K1829="Normative")</f>
        <v>0</v>
      </c>
      <c r="R1827" s="87" t="b">
        <f>AND(Requirements!L1829&lt;&gt;"Non-testable",Requirements!L1829&lt;&gt;"Deleted",Requirements!L1829&lt;&gt;"")</f>
        <v>1</v>
      </c>
      <c r="S1827" s="87" t="b">
        <f>(VLOOKUP(Requirements!I1829,Scope[[Role]:[Description]],2,FALSE)="In")</f>
        <v>1</v>
      </c>
      <c r="T1827" s="87">
        <f t="shared" si="115"/>
        <v>0</v>
      </c>
    </row>
    <row r="1828" spans="1:20">
      <c r="A1828" s="44" t="str">
        <f>Requirements!A1830</f>
        <v>MS-SMB_R30037</v>
      </c>
      <c r="B1828" s="87"/>
      <c r="C1828" s="87"/>
      <c r="D1828" s="87"/>
      <c r="E1828" s="87"/>
      <c r="F1828" s="87"/>
      <c r="G1828" s="87"/>
      <c r="H1828" s="87"/>
      <c r="I1828" s="87"/>
      <c r="J1828" s="87"/>
      <c r="K1828" s="87"/>
      <c r="L1828" s="87"/>
      <c r="M1828" s="87"/>
      <c r="N1828" s="87">
        <f t="shared" si="112"/>
        <v>0</v>
      </c>
      <c r="O1828" s="87">
        <f t="shared" si="113"/>
        <v>0</v>
      </c>
      <c r="P1828" s="87" t="b">
        <f t="shared" si="114"/>
        <v>0</v>
      </c>
      <c r="Q1828" s="87" t="b">
        <f>(Requirements!K1830="Normative")</f>
        <v>0</v>
      </c>
      <c r="R1828" s="87" t="b">
        <f>AND(Requirements!L1830&lt;&gt;"Non-testable",Requirements!L1830&lt;&gt;"Deleted",Requirements!L1830&lt;&gt;"")</f>
        <v>1</v>
      </c>
      <c r="S1828" s="87" t="b">
        <f>(VLOOKUP(Requirements!I1830,Scope[[Role]:[Description]],2,FALSE)="In")</f>
        <v>1</v>
      </c>
      <c r="T1828" s="87">
        <f t="shared" si="115"/>
        <v>0</v>
      </c>
    </row>
    <row r="1829" spans="1:20">
      <c r="A1829" s="84" t="str">
        <f>Requirements!A1831</f>
        <v>MS-SMB_R30038</v>
      </c>
      <c r="B1829" s="87">
        <v>1</v>
      </c>
      <c r="C1829" s="87"/>
      <c r="D1829" s="87"/>
      <c r="E1829" s="87"/>
      <c r="F1829" s="87"/>
      <c r="G1829" s="87"/>
      <c r="H1829" s="87"/>
      <c r="I1829" s="87"/>
      <c r="J1829" s="87"/>
      <c r="K1829" s="87"/>
      <c r="L1829" s="87"/>
      <c r="M1829" s="87"/>
      <c r="N1829" s="87">
        <f t="shared" si="112"/>
        <v>1</v>
      </c>
      <c r="O1829" s="60">
        <f t="shared" si="113"/>
        <v>1</v>
      </c>
      <c r="P1829" s="60" t="b">
        <f t="shared" si="114"/>
        <v>1</v>
      </c>
      <c r="Q1829" s="87" t="b">
        <f>(Requirements!K1831="Normative")</f>
        <v>1</v>
      </c>
      <c r="R1829" s="87" t="b">
        <f>AND(Requirements!L1831&lt;&gt;"Non-testable",Requirements!L1831&lt;&gt;"Deleted",Requirements!L1831&lt;&gt;"")</f>
        <v>1</v>
      </c>
      <c r="S1829" s="87" t="b">
        <f>(VLOOKUP(Requirements!I1831,Scope[[Role]:[Description]],2,FALSE)="In")</f>
        <v>1</v>
      </c>
      <c r="T1829" s="87">
        <f t="shared" si="115"/>
        <v>1</v>
      </c>
    </row>
    <row r="1830" spans="1:20">
      <c r="A1830" s="44" t="str">
        <f>Requirements!A1832</f>
        <v>MS-SMB_R4915</v>
      </c>
      <c r="B1830" s="87"/>
      <c r="C1830" s="87"/>
      <c r="D1830" s="87"/>
      <c r="E1830" s="87"/>
      <c r="F1830" s="87"/>
      <c r="G1830" s="87"/>
      <c r="H1830" s="87"/>
      <c r="I1830" s="87"/>
      <c r="J1830" s="87"/>
      <c r="K1830" s="87"/>
      <c r="L1830" s="87"/>
      <c r="M1830" s="87"/>
      <c r="N1830" s="87">
        <f t="shared" si="112"/>
        <v>0</v>
      </c>
      <c r="O1830" s="87">
        <f t="shared" si="113"/>
        <v>0</v>
      </c>
      <c r="P1830" s="87" t="b">
        <f t="shared" si="114"/>
        <v>0</v>
      </c>
      <c r="Q1830" s="87" t="b">
        <f>(Requirements!K1832="Normative")</f>
        <v>0</v>
      </c>
      <c r="R1830" s="87" t="b">
        <f>AND(Requirements!L1832&lt;&gt;"Non-testable",Requirements!L1832&lt;&gt;"Deleted",Requirements!L1832&lt;&gt;"")</f>
        <v>1</v>
      </c>
      <c r="S1830" s="87" t="b">
        <f>(VLOOKUP(Requirements!I1832,Scope[[Role]:[Description]],2,FALSE)="In")</f>
        <v>1</v>
      </c>
      <c r="T1830" s="87">
        <f t="shared" si="115"/>
        <v>0</v>
      </c>
    </row>
    <row r="1831" spans="1:20">
      <c r="A1831" s="44" t="str">
        <f>Requirements!A1833</f>
        <v>MS-SMB_R4917</v>
      </c>
      <c r="B1831" s="87"/>
      <c r="C1831" s="87"/>
      <c r="D1831" s="87"/>
      <c r="E1831" s="87"/>
      <c r="F1831" s="87"/>
      <c r="G1831" s="87"/>
      <c r="H1831" s="87"/>
      <c r="I1831" s="87"/>
      <c r="J1831" s="87"/>
      <c r="K1831" s="87"/>
      <c r="L1831" s="87"/>
      <c r="M1831" s="87"/>
      <c r="N1831" s="87">
        <f t="shared" si="112"/>
        <v>0</v>
      </c>
      <c r="O1831" s="87">
        <f t="shared" si="113"/>
        <v>0</v>
      </c>
      <c r="P1831" s="87" t="b">
        <f t="shared" si="114"/>
        <v>0</v>
      </c>
      <c r="Q1831" s="87" t="b">
        <f>(Requirements!K1833="Normative")</f>
        <v>0</v>
      </c>
      <c r="R1831" s="87" t="b">
        <f>AND(Requirements!L1833&lt;&gt;"Non-testable",Requirements!L1833&lt;&gt;"Deleted",Requirements!L1833&lt;&gt;"")</f>
        <v>1</v>
      </c>
      <c r="S1831" s="87" t="b">
        <f>(VLOOKUP(Requirements!I1833,Scope[[Role]:[Description]],2,FALSE)="In")</f>
        <v>1</v>
      </c>
      <c r="T1831" s="87">
        <f t="shared" si="115"/>
        <v>0</v>
      </c>
    </row>
    <row r="1832" spans="1:20">
      <c r="A1832" s="84" t="str">
        <f>Requirements!A1834</f>
        <v>MS-SMB_R30033</v>
      </c>
      <c r="B1832" s="87">
        <v>1</v>
      </c>
      <c r="C1832" s="87"/>
      <c r="D1832" s="87"/>
      <c r="E1832" s="87"/>
      <c r="F1832" s="87"/>
      <c r="G1832" s="87"/>
      <c r="H1832" s="87"/>
      <c r="I1832" s="87"/>
      <c r="J1832" s="87"/>
      <c r="K1832" s="87"/>
      <c r="L1832" s="87"/>
      <c r="M1832" s="87"/>
      <c r="N1832" s="87">
        <f t="shared" si="112"/>
        <v>1</v>
      </c>
      <c r="O1832" s="60">
        <f t="shared" si="113"/>
        <v>1</v>
      </c>
      <c r="P1832" s="60" t="b">
        <f t="shared" si="114"/>
        <v>1</v>
      </c>
      <c r="Q1832" s="87" t="b">
        <f>(Requirements!K1834="Normative")</f>
        <v>1</v>
      </c>
      <c r="R1832" s="87" t="b">
        <f>AND(Requirements!L1834&lt;&gt;"Non-testable",Requirements!L1834&lt;&gt;"Deleted",Requirements!L1834&lt;&gt;"")</f>
        <v>1</v>
      </c>
      <c r="S1832" s="87" t="b">
        <f>(VLOOKUP(Requirements!I1834,Scope[[Role]:[Description]],2,FALSE)="In")</f>
        <v>1</v>
      </c>
      <c r="T1832" s="87">
        <f t="shared" si="115"/>
        <v>1</v>
      </c>
    </row>
    <row r="1833" spans="1:20">
      <c r="A1833" s="84" t="str">
        <f>Requirements!A1835</f>
        <v>MS-SMB_R30034</v>
      </c>
      <c r="B1833" s="87">
        <v>1</v>
      </c>
      <c r="C1833" s="87"/>
      <c r="D1833" s="87"/>
      <c r="E1833" s="87"/>
      <c r="F1833" s="87"/>
      <c r="G1833" s="87"/>
      <c r="H1833" s="87"/>
      <c r="I1833" s="87"/>
      <c r="J1833" s="87"/>
      <c r="K1833" s="87"/>
      <c r="L1833" s="87"/>
      <c r="M1833" s="87"/>
      <c r="N1833" s="87">
        <f t="shared" si="112"/>
        <v>1</v>
      </c>
      <c r="O1833" s="60">
        <f t="shared" si="113"/>
        <v>1</v>
      </c>
      <c r="P1833" s="60" t="b">
        <f t="shared" si="114"/>
        <v>1</v>
      </c>
      <c r="Q1833" s="87" t="b">
        <f>(Requirements!K1835="Normative")</f>
        <v>1</v>
      </c>
      <c r="R1833" s="87" t="b">
        <f>AND(Requirements!L1835&lt;&gt;"Non-testable",Requirements!L1835&lt;&gt;"Deleted",Requirements!L1835&lt;&gt;"")</f>
        <v>1</v>
      </c>
      <c r="S1833" s="87" t="b">
        <f>(VLOOKUP(Requirements!I1835,Scope[[Role]:[Description]],2,FALSE)="In")</f>
        <v>1</v>
      </c>
      <c r="T1833" s="87">
        <f t="shared" si="115"/>
        <v>1</v>
      </c>
    </row>
    <row r="1834" spans="1:20">
      <c r="A1834" s="84" t="str">
        <f>Requirements!A1836</f>
        <v>MS-SMB_R30035</v>
      </c>
      <c r="B1834" s="87">
        <v>1</v>
      </c>
      <c r="C1834" s="87"/>
      <c r="D1834" s="87"/>
      <c r="E1834" s="87"/>
      <c r="F1834" s="87"/>
      <c r="G1834" s="87"/>
      <c r="H1834" s="87"/>
      <c r="I1834" s="87"/>
      <c r="J1834" s="87"/>
      <c r="K1834" s="87"/>
      <c r="L1834" s="87"/>
      <c r="M1834" s="87"/>
      <c r="N1834" s="87">
        <f t="shared" si="112"/>
        <v>1</v>
      </c>
      <c r="O1834" s="60">
        <f t="shared" si="113"/>
        <v>1</v>
      </c>
      <c r="P1834" s="60" t="b">
        <f t="shared" si="114"/>
        <v>1</v>
      </c>
      <c r="Q1834" s="87" t="b">
        <f>(Requirements!K1836="Normative")</f>
        <v>1</v>
      </c>
      <c r="R1834" s="87" t="b">
        <f>AND(Requirements!L1836&lt;&gt;"Non-testable",Requirements!L1836&lt;&gt;"Deleted",Requirements!L1836&lt;&gt;"")</f>
        <v>1</v>
      </c>
      <c r="S1834" s="87" t="b">
        <f>(VLOOKUP(Requirements!I1836,Scope[[Role]:[Description]],2,FALSE)="In")</f>
        <v>1</v>
      </c>
      <c r="T1834" s="87">
        <f t="shared" si="115"/>
        <v>1</v>
      </c>
    </row>
    <row r="1835" spans="1:20">
      <c r="A1835" s="84" t="str">
        <f>Requirements!A1837</f>
        <v>MS-SMB_R30036</v>
      </c>
      <c r="B1835" s="87">
        <v>1</v>
      </c>
      <c r="C1835" s="87"/>
      <c r="D1835" s="87"/>
      <c r="E1835" s="87"/>
      <c r="F1835" s="87"/>
      <c r="G1835" s="87"/>
      <c r="H1835" s="87"/>
      <c r="I1835" s="87"/>
      <c r="J1835" s="87"/>
      <c r="K1835" s="87"/>
      <c r="L1835" s="87"/>
      <c r="M1835" s="87"/>
      <c r="N1835" s="87">
        <f t="shared" si="112"/>
        <v>1</v>
      </c>
      <c r="O1835" s="60">
        <f t="shared" si="113"/>
        <v>1</v>
      </c>
      <c r="P1835" s="60" t="b">
        <f t="shared" si="114"/>
        <v>1</v>
      </c>
      <c r="Q1835" s="87" t="b">
        <f>(Requirements!K1837="Normative")</f>
        <v>1</v>
      </c>
      <c r="R1835" s="87" t="b">
        <f>AND(Requirements!L1837&lt;&gt;"Non-testable",Requirements!L1837&lt;&gt;"Deleted",Requirements!L1837&lt;&gt;"")</f>
        <v>1</v>
      </c>
      <c r="S1835" s="87" t="b">
        <f>(VLOOKUP(Requirements!I1837,Scope[[Role]:[Description]],2,FALSE)="In")</f>
        <v>1</v>
      </c>
      <c r="T1835" s="87">
        <f t="shared" si="115"/>
        <v>1</v>
      </c>
    </row>
    <row r="1836" spans="1:20">
      <c r="A1836" s="44" t="str">
        <f>Requirements!A1838</f>
        <v>MS-SMB_R4950</v>
      </c>
      <c r="B1836" s="87"/>
      <c r="C1836" s="87"/>
      <c r="D1836" s="87"/>
      <c r="E1836" s="87"/>
      <c r="F1836" s="87"/>
      <c r="G1836" s="87"/>
      <c r="H1836" s="87"/>
      <c r="I1836" s="87"/>
      <c r="J1836" s="87"/>
      <c r="K1836" s="87"/>
      <c r="L1836" s="87"/>
      <c r="M1836" s="87"/>
      <c r="N1836" s="87">
        <f t="shared" si="112"/>
        <v>0</v>
      </c>
      <c r="O1836" s="87">
        <f t="shared" si="113"/>
        <v>0</v>
      </c>
      <c r="P1836" s="87" t="b">
        <f t="shared" si="114"/>
        <v>0</v>
      </c>
      <c r="Q1836" s="87" t="b">
        <f>(Requirements!K1838="Normative")</f>
        <v>0</v>
      </c>
      <c r="R1836" s="87" t="b">
        <f>AND(Requirements!L1838&lt;&gt;"Non-testable",Requirements!L1838&lt;&gt;"Deleted",Requirements!L1838&lt;&gt;"")</f>
        <v>1</v>
      </c>
      <c r="S1836" s="87" t="b">
        <f>(VLOOKUP(Requirements!I1838,Scope[[Role]:[Description]],2,FALSE)="In")</f>
        <v>1</v>
      </c>
      <c r="T1836" s="87">
        <f t="shared" si="115"/>
        <v>0</v>
      </c>
    </row>
    <row r="1837" spans="1:20">
      <c r="A1837" s="44" t="str">
        <f>Requirements!A1839</f>
        <v>MS-SMB_R4951</v>
      </c>
      <c r="B1837" s="87"/>
      <c r="C1837" s="87"/>
      <c r="D1837" s="87"/>
      <c r="E1837" s="87"/>
      <c r="F1837" s="87"/>
      <c r="G1837" s="87"/>
      <c r="H1837" s="87"/>
      <c r="I1837" s="87"/>
      <c r="J1837" s="87"/>
      <c r="K1837" s="87"/>
      <c r="L1837" s="87"/>
      <c r="M1837" s="87"/>
      <c r="N1837" s="87">
        <f t="shared" si="112"/>
        <v>0</v>
      </c>
      <c r="O1837" s="87">
        <f t="shared" si="113"/>
        <v>0</v>
      </c>
      <c r="P1837" s="87" t="b">
        <f t="shared" si="114"/>
        <v>0</v>
      </c>
      <c r="Q1837" s="87" t="b">
        <f>(Requirements!K1839="Normative")</f>
        <v>0</v>
      </c>
      <c r="R1837" s="87" t="b">
        <f>AND(Requirements!L1839&lt;&gt;"Non-testable",Requirements!L1839&lt;&gt;"Deleted",Requirements!L1839&lt;&gt;"")</f>
        <v>1</v>
      </c>
      <c r="S1837" s="87" t="b">
        <f>(VLOOKUP(Requirements!I1839,Scope[[Role]:[Description]],2,FALSE)="In")</f>
        <v>1</v>
      </c>
      <c r="T1837" s="87">
        <f t="shared" si="115"/>
        <v>0</v>
      </c>
    </row>
    <row r="1838" spans="1:20">
      <c r="A1838" s="44" t="str">
        <f>Requirements!A1840</f>
        <v>MS-SMB_R30020</v>
      </c>
      <c r="B1838" s="87"/>
      <c r="C1838" s="87"/>
      <c r="D1838" s="87"/>
      <c r="E1838" s="87"/>
      <c r="F1838" s="87"/>
      <c r="G1838" s="87"/>
      <c r="H1838" s="87"/>
      <c r="I1838" s="87"/>
      <c r="J1838" s="87"/>
      <c r="K1838" s="87"/>
      <c r="L1838" s="87"/>
      <c r="M1838" s="87"/>
      <c r="N1838" s="87">
        <f t="shared" si="112"/>
        <v>0</v>
      </c>
      <c r="O1838" s="87">
        <f t="shared" si="113"/>
        <v>0</v>
      </c>
      <c r="P1838" s="87" t="b">
        <f t="shared" si="114"/>
        <v>0</v>
      </c>
      <c r="Q1838" s="87" t="b">
        <f>(Requirements!K1840="Normative")</f>
        <v>0</v>
      </c>
      <c r="R1838" s="87" t="b">
        <f>AND(Requirements!L1840&lt;&gt;"Non-testable",Requirements!L1840&lt;&gt;"Deleted",Requirements!L1840&lt;&gt;"")</f>
        <v>1</v>
      </c>
      <c r="S1838" s="87" t="b">
        <f>(VLOOKUP(Requirements!I1840,Scope[[Role]:[Description]],2,FALSE)="In")</f>
        <v>1</v>
      </c>
      <c r="T1838" s="87">
        <f t="shared" si="115"/>
        <v>0</v>
      </c>
    </row>
    <row r="1839" spans="1:20">
      <c r="A1839" s="44" t="str">
        <f>Requirements!A1841</f>
        <v>MS-SMB_R30021</v>
      </c>
      <c r="B1839" s="87"/>
      <c r="C1839" s="87"/>
      <c r="D1839" s="87"/>
      <c r="E1839" s="87"/>
      <c r="F1839" s="87"/>
      <c r="G1839" s="87"/>
      <c r="H1839" s="87"/>
      <c r="I1839" s="87"/>
      <c r="J1839" s="87"/>
      <c r="K1839" s="87"/>
      <c r="L1839" s="87"/>
      <c r="M1839" s="87"/>
      <c r="N1839" s="87">
        <f t="shared" si="112"/>
        <v>0</v>
      </c>
      <c r="O1839" s="87">
        <f t="shared" si="113"/>
        <v>0</v>
      </c>
      <c r="P1839" s="87" t="b">
        <f t="shared" si="114"/>
        <v>0</v>
      </c>
      <c r="Q1839" s="87" t="b">
        <f>(Requirements!K1841="Normative")</f>
        <v>0</v>
      </c>
      <c r="R1839" s="87" t="b">
        <f>AND(Requirements!L1841&lt;&gt;"Non-testable",Requirements!L1841&lt;&gt;"Deleted",Requirements!L1841&lt;&gt;"")</f>
        <v>1</v>
      </c>
      <c r="S1839" s="87" t="b">
        <f>(VLOOKUP(Requirements!I1841,Scope[[Role]:[Description]],2,FALSE)="In")</f>
        <v>1</v>
      </c>
      <c r="T1839" s="87">
        <f t="shared" si="115"/>
        <v>0</v>
      </c>
    </row>
    <row r="1840" spans="1:20">
      <c r="A1840" s="44" t="str">
        <f>Requirements!A1842</f>
        <v>MS-SMB_R5033</v>
      </c>
      <c r="B1840" s="87"/>
      <c r="C1840" s="87"/>
      <c r="D1840" s="87"/>
      <c r="E1840" s="87"/>
      <c r="F1840" s="87"/>
      <c r="G1840" s="87"/>
      <c r="H1840" s="87"/>
      <c r="I1840" s="87"/>
      <c r="J1840" s="87"/>
      <c r="K1840" s="87"/>
      <c r="L1840" s="87"/>
      <c r="M1840" s="87"/>
      <c r="N1840" s="87">
        <f t="shared" si="112"/>
        <v>0</v>
      </c>
      <c r="O1840" s="87">
        <f t="shared" si="113"/>
        <v>0</v>
      </c>
      <c r="P1840" s="87" t="b">
        <f t="shared" si="114"/>
        <v>0</v>
      </c>
      <c r="Q1840" s="87" t="b">
        <f>(Requirements!K1842="Normative")</f>
        <v>0</v>
      </c>
      <c r="R1840" s="87" t="b">
        <f>AND(Requirements!L1842&lt;&gt;"Non-testable",Requirements!L1842&lt;&gt;"Deleted",Requirements!L1842&lt;&gt;"")</f>
        <v>1</v>
      </c>
      <c r="S1840" s="87" t="b">
        <f>(VLOOKUP(Requirements!I1842,Scope[[Role]:[Description]],2,FALSE)="In")</f>
        <v>1</v>
      </c>
      <c r="T1840" s="87">
        <f t="shared" si="115"/>
        <v>0</v>
      </c>
    </row>
    <row r="1841" spans="1:20">
      <c r="A1841" s="44" t="str">
        <f>Requirements!A1843</f>
        <v>MS-SMB_R105033</v>
      </c>
      <c r="B1841" s="87"/>
      <c r="C1841" s="87"/>
      <c r="D1841" s="87"/>
      <c r="E1841" s="87"/>
      <c r="F1841" s="87"/>
      <c r="G1841" s="87"/>
      <c r="H1841" s="87"/>
      <c r="I1841" s="87"/>
      <c r="J1841" s="87"/>
      <c r="K1841" s="87"/>
      <c r="L1841" s="87"/>
      <c r="M1841" s="87"/>
      <c r="N1841" s="87">
        <f t="shared" si="112"/>
        <v>0</v>
      </c>
      <c r="O1841" s="87">
        <f t="shared" si="113"/>
        <v>0</v>
      </c>
      <c r="P1841" s="87" t="b">
        <f t="shared" si="114"/>
        <v>0</v>
      </c>
      <c r="Q1841" s="87" t="b">
        <f>(Requirements!K1843="Normative")</f>
        <v>0</v>
      </c>
      <c r="R1841" s="87" t="b">
        <f>AND(Requirements!L1843&lt;&gt;"Non-testable",Requirements!L1843&lt;&gt;"Deleted",Requirements!L1843&lt;&gt;"")</f>
        <v>1</v>
      </c>
      <c r="S1841" s="87" t="b">
        <f>(VLOOKUP(Requirements!I1843,Scope[[Role]:[Description]],2,FALSE)="In")</f>
        <v>1</v>
      </c>
      <c r="T1841" s="87">
        <f t="shared" si="115"/>
        <v>0</v>
      </c>
    </row>
    <row r="1842" spans="1:20">
      <c r="A1842" s="44" t="str">
        <f>Requirements!A1844</f>
        <v>MS-SMB_R205033</v>
      </c>
      <c r="B1842" s="87"/>
      <c r="C1842" s="87"/>
      <c r="D1842" s="87"/>
      <c r="E1842" s="87"/>
      <c r="F1842" s="87"/>
      <c r="G1842" s="87"/>
      <c r="H1842" s="87"/>
      <c r="I1842" s="87"/>
      <c r="J1842" s="87"/>
      <c r="K1842" s="87"/>
      <c r="L1842" s="87"/>
      <c r="M1842" s="87"/>
      <c r="N1842" s="87">
        <f t="shared" si="112"/>
        <v>0</v>
      </c>
      <c r="O1842" s="87">
        <f t="shared" si="113"/>
        <v>0</v>
      </c>
      <c r="P1842" s="87" t="b">
        <f t="shared" si="114"/>
        <v>0</v>
      </c>
      <c r="Q1842" s="87" t="b">
        <f>(Requirements!K1844="Normative")</f>
        <v>0</v>
      </c>
      <c r="R1842" s="87" t="b">
        <f>AND(Requirements!L1844&lt;&gt;"Non-testable",Requirements!L1844&lt;&gt;"Deleted",Requirements!L1844&lt;&gt;"")</f>
        <v>1</v>
      </c>
      <c r="S1842" s="87" t="b">
        <f>(VLOOKUP(Requirements!I1844,Scope[[Role]:[Description]],2,FALSE)="In")</f>
        <v>1</v>
      </c>
      <c r="T1842" s="87">
        <f t="shared" si="115"/>
        <v>0</v>
      </c>
    </row>
    <row r="1843" spans="1:20">
      <c r="A1843" s="44" t="str">
        <f>Requirements!A1845</f>
        <v>MS-SMB_R305033</v>
      </c>
      <c r="B1843" s="87"/>
      <c r="C1843" s="87"/>
      <c r="D1843" s="87"/>
      <c r="E1843" s="87"/>
      <c r="F1843" s="87"/>
      <c r="G1843" s="87"/>
      <c r="H1843" s="87"/>
      <c r="I1843" s="87"/>
      <c r="J1843" s="87"/>
      <c r="K1843" s="87"/>
      <c r="L1843" s="87"/>
      <c r="M1843" s="87"/>
      <c r="N1843" s="87">
        <f t="shared" si="112"/>
        <v>0</v>
      </c>
      <c r="O1843" s="87">
        <f t="shared" si="113"/>
        <v>0</v>
      </c>
      <c r="P1843" s="87" t="b">
        <f t="shared" si="114"/>
        <v>0</v>
      </c>
      <c r="Q1843" s="87" t="b">
        <f>(Requirements!K1845="Normative")</f>
        <v>0</v>
      </c>
      <c r="R1843" s="87" t="b">
        <f>AND(Requirements!L1845&lt;&gt;"Non-testable",Requirements!L1845&lt;&gt;"Deleted",Requirements!L1845&lt;&gt;"")</f>
        <v>1</v>
      </c>
      <c r="S1843" s="87" t="b">
        <f>(VLOOKUP(Requirements!I1845,Scope[[Role]:[Description]],2,FALSE)="In")</f>
        <v>1</v>
      </c>
      <c r="T1843" s="87">
        <f t="shared" si="115"/>
        <v>0</v>
      </c>
    </row>
    <row r="1844" spans="1:20">
      <c r="A1844" s="44" t="str">
        <f>Requirements!A1846</f>
        <v>MS-SMB_R405033</v>
      </c>
      <c r="B1844" s="87"/>
      <c r="C1844" s="87"/>
      <c r="D1844" s="87"/>
      <c r="E1844" s="87"/>
      <c r="F1844" s="87"/>
      <c r="G1844" s="87"/>
      <c r="H1844" s="87"/>
      <c r="I1844" s="87"/>
      <c r="J1844" s="87"/>
      <c r="K1844" s="87"/>
      <c r="L1844" s="87"/>
      <c r="M1844" s="87"/>
      <c r="N1844" s="87">
        <f t="shared" si="112"/>
        <v>0</v>
      </c>
      <c r="O1844" s="87">
        <f t="shared" si="113"/>
        <v>0</v>
      </c>
      <c r="P1844" s="87" t="b">
        <f t="shared" si="114"/>
        <v>0</v>
      </c>
      <c r="Q1844" s="87" t="b">
        <f>(Requirements!K1846="Normative")</f>
        <v>0</v>
      </c>
      <c r="R1844" s="87" t="b">
        <f>AND(Requirements!L1846&lt;&gt;"Non-testable",Requirements!L1846&lt;&gt;"Deleted",Requirements!L1846&lt;&gt;"")</f>
        <v>1</v>
      </c>
      <c r="S1844" s="87" t="b">
        <f>(VLOOKUP(Requirements!I1846,Scope[[Role]:[Description]],2,FALSE)="In")</f>
        <v>1</v>
      </c>
      <c r="T1844" s="87">
        <f t="shared" si="115"/>
        <v>0</v>
      </c>
    </row>
    <row r="1845" spans="1:20">
      <c r="A1845" s="44" t="str">
        <f>Requirements!A1847</f>
        <v>MS-SMB_R30010</v>
      </c>
      <c r="B1845" s="87"/>
      <c r="C1845" s="87"/>
      <c r="D1845" s="87"/>
      <c r="E1845" s="87"/>
      <c r="F1845" s="87"/>
      <c r="G1845" s="87"/>
      <c r="H1845" s="87"/>
      <c r="I1845" s="87"/>
      <c r="J1845" s="87"/>
      <c r="K1845" s="87"/>
      <c r="L1845" s="87"/>
      <c r="M1845" s="87"/>
      <c r="N1845" s="87">
        <f t="shared" si="112"/>
        <v>0</v>
      </c>
      <c r="O1845" s="87">
        <f t="shared" si="113"/>
        <v>0</v>
      </c>
      <c r="P1845" s="87" t="b">
        <f t="shared" si="114"/>
        <v>0</v>
      </c>
      <c r="Q1845" s="87" t="b">
        <f>(Requirements!K1847="Normative")</f>
        <v>1</v>
      </c>
      <c r="R1845" s="87" t="b">
        <f>AND(Requirements!L1847&lt;&gt;"Non-testable",Requirements!L1847&lt;&gt;"Deleted",Requirements!L1847&lt;&gt;"")</f>
        <v>0</v>
      </c>
      <c r="S1845" s="87" t="b">
        <f>(VLOOKUP(Requirements!I1847,Scope[[Role]:[Description]],2,FALSE)="In")</f>
        <v>1</v>
      </c>
      <c r="T1845" s="87">
        <f t="shared" si="115"/>
        <v>0</v>
      </c>
    </row>
    <row r="1846" spans="1:20">
      <c r="A1846" s="44" t="str">
        <f>Requirements!A1848</f>
        <v>MS-SMB_R30011</v>
      </c>
      <c r="B1846" s="87"/>
      <c r="C1846" s="87"/>
      <c r="D1846" s="87"/>
      <c r="E1846" s="87"/>
      <c r="F1846" s="87"/>
      <c r="G1846" s="87"/>
      <c r="H1846" s="87"/>
      <c r="I1846" s="87"/>
      <c r="J1846" s="87"/>
      <c r="K1846" s="87"/>
      <c r="L1846" s="87"/>
      <c r="M1846" s="87"/>
      <c r="N1846" s="87">
        <f t="shared" si="112"/>
        <v>0</v>
      </c>
      <c r="O1846" s="87">
        <f t="shared" si="113"/>
        <v>0</v>
      </c>
      <c r="P1846" s="87" t="b">
        <f t="shared" si="114"/>
        <v>0</v>
      </c>
      <c r="Q1846" s="87" t="b">
        <f>(Requirements!K1848="Normative")</f>
        <v>1</v>
      </c>
      <c r="R1846" s="87" t="b">
        <f>AND(Requirements!L1848&lt;&gt;"Non-testable",Requirements!L1848&lt;&gt;"Deleted",Requirements!L1848&lt;&gt;"")</f>
        <v>0</v>
      </c>
      <c r="S1846" s="87" t="b">
        <f>(VLOOKUP(Requirements!I1848,Scope[[Role]:[Description]],2,FALSE)="In")</f>
        <v>1</v>
      </c>
      <c r="T1846" s="87">
        <f t="shared" si="115"/>
        <v>0</v>
      </c>
    </row>
    <row r="1847" spans="1:20">
      <c r="A1847" s="44" t="str">
        <f>Requirements!A1849</f>
        <v>MS-SMB_R30012</v>
      </c>
      <c r="B1847" s="87"/>
      <c r="C1847" s="87"/>
      <c r="D1847" s="87"/>
      <c r="E1847" s="87"/>
      <c r="F1847" s="87"/>
      <c r="G1847" s="87"/>
      <c r="H1847" s="87"/>
      <c r="I1847" s="87"/>
      <c r="J1847" s="87"/>
      <c r="K1847" s="87"/>
      <c r="L1847" s="87"/>
      <c r="M1847" s="87"/>
      <c r="N1847" s="87">
        <f t="shared" si="112"/>
        <v>0</v>
      </c>
      <c r="O1847" s="87">
        <f t="shared" si="113"/>
        <v>0</v>
      </c>
      <c r="P1847" s="87" t="b">
        <f t="shared" si="114"/>
        <v>0</v>
      </c>
      <c r="Q1847" s="87" t="b">
        <f>(Requirements!K1849="Normative")</f>
        <v>1</v>
      </c>
      <c r="R1847" s="87" t="b">
        <f>AND(Requirements!L1849&lt;&gt;"Non-testable",Requirements!L1849&lt;&gt;"Deleted",Requirements!L1849&lt;&gt;"")</f>
        <v>0</v>
      </c>
      <c r="S1847" s="87" t="b">
        <f>(VLOOKUP(Requirements!I1849,Scope[[Role]:[Description]],2,FALSE)="In")</f>
        <v>1</v>
      </c>
      <c r="T1847" s="87">
        <f t="shared" si="115"/>
        <v>0</v>
      </c>
    </row>
    <row r="1848" spans="1:20">
      <c r="A1848" s="44" t="str">
        <f>Requirements!A1850</f>
        <v>MS-SMB_R30013</v>
      </c>
      <c r="B1848" s="87"/>
      <c r="C1848" s="87"/>
      <c r="D1848" s="87"/>
      <c r="E1848" s="87"/>
      <c r="F1848" s="87"/>
      <c r="G1848" s="87"/>
      <c r="H1848" s="87"/>
      <c r="I1848" s="87"/>
      <c r="J1848" s="87"/>
      <c r="K1848" s="87"/>
      <c r="L1848" s="87"/>
      <c r="M1848" s="87"/>
      <c r="N1848" s="87">
        <f t="shared" si="112"/>
        <v>0</v>
      </c>
      <c r="O1848" s="87">
        <f t="shared" si="113"/>
        <v>0</v>
      </c>
      <c r="P1848" s="87" t="b">
        <f t="shared" si="114"/>
        <v>0</v>
      </c>
      <c r="Q1848" s="87" t="b">
        <f>(Requirements!K1850="Normative")</f>
        <v>1</v>
      </c>
      <c r="R1848" s="87" t="b">
        <f>AND(Requirements!L1850&lt;&gt;"Non-testable",Requirements!L1850&lt;&gt;"Deleted",Requirements!L1850&lt;&gt;"")</f>
        <v>0</v>
      </c>
      <c r="S1848" s="87" t="b">
        <f>(VLOOKUP(Requirements!I1850,Scope[[Role]:[Description]],2,FALSE)="In")</f>
        <v>1</v>
      </c>
      <c r="T1848" s="87">
        <f t="shared" si="115"/>
        <v>0</v>
      </c>
    </row>
    <row r="1849" spans="1:20">
      <c r="A1849" s="44" t="str">
        <f>Requirements!A1851</f>
        <v>MS-SMB_R30014</v>
      </c>
      <c r="B1849" s="87"/>
      <c r="C1849" s="87"/>
      <c r="D1849" s="87"/>
      <c r="E1849" s="87"/>
      <c r="F1849" s="87"/>
      <c r="G1849" s="87"/>
      <c r="H1849" s="87"/>
      <c r="I1849" s="87"/>
      <c r="J1849" s="87"/>
      <c r="K1849" s="87"/>
      <c r="L1849" s="87"/>
      <c r="M1849" s="87"/>
      <c r="N1849" s="87">
        <f t="shared" si="112"/>
        <v>0</v>
      </c>
      <c r="O1849" s="87">
        <f t="shared" si="113"/>
        <v>0</v>
      </c>
      <c r="P1849" s="87" t="b">
        <f t="shared" si="114"/>
        <v>0</v>
      </c>
      <c r="Q1849" s="87" t="b">
        <f>(Requirements!K1851="Normative")</f>
        <v>1</v>
      </c>
      <c r="R1849" s="87" t="b">
        <f>AND(Requirements!L1851&lt;&gt;"Non-testable",Requirements!L1851&lt;&gt;"Deleted",Requirements!L1851&lt;&gt;"")</f>
        <v>0</v>
      </c>
      <c r="S1849" s="87" t="b">
        <f>(VLOOKUP(Requirements!I1851,Scope[[Role]:[Description]],2,FALSE)="In")</f>
        <v>1</v>
      </c>
      <c r="T1849" s="87">
        <f t="shared" si="115"/>
        <v>0</v>
      </c>
    </row>
    <row r="1850" spans="1:20">
      <c r="A1850" s="44" t="str">
        <f>Requirements!A1852</f>
        <v>MS-SMB_R30015</v>
      </c>
      <c r="B1850" s="87"/>
      <c r="C1850" s="87"/>
      <c r="D1850" s="87"/>
      <c r="E1850" s="87"/>
      <c r="F1850" s="87"/>
      <c r="G1850" s="87"/>
      <c r="H1850" s="87"/>
      <c r="I1850" s="87"/>
      <c r="J1850" s="87"/>
      <c r="K1850" s="87"/>
      <c r="L1850" s="87"/>
      <c r="M1850" s="87"/>
      <c r="N1850" s="87">
        <f t="shared" si="112"/>
        <v>0</v>
      </c>
      <c r="O1850" s="87">
        <f t="shared" si="113"/>
        <v>0</v>
      </c>
      <c r="P1850" s="87" t="b">
        <f t="shared" si="114"/>
        <v>0</v>
      </c>
      <c r="Q1850" s="87" t="b">
        <f>(Requirements!K1852="Normative")</f>
        <v>1</v>
      </c>
      <c r="R1850" s="87" t="b">
        <f>AND(Requirements!L1852&lt;&gt;"Non-testable",Requirements!L1852&lt;&gt;"Deleted",Requirements!L1852&lt;&gt;"")</f>
        <v>0</v>
      </c>
      <c r="S1850" s="87" t="b">
        <f>(VLOOKUP(Requirements!I1852,Scope[[Role]:[Description]],2,FALSE)="In")</f>
        <v>1</v>
      </c>
      <c r="T1850" s="87">
        <f t="shared" si="115"/>
        <v>0</v>
      </c>
    </row>
    <row r="1851" spans="1:20">
      <c r="A1851" s="84" t="str">
        <f>Requirements!A1853</f>
        <v>MS-SMB_R30016</v>
      </c>
      <c r="B1851" s="87">
        <v>1</v>
      </c>
      <c r="C1851" s="87"/>
      <c r="D1851" s="87"/>
      <c r="E1851" s="87"/>
      <c r="F1851" s="87"/>
      <c r="G1851" s="87"/>
      <c r="H1851" s="87"/>
      <c r="I1851" s="87"/>
      <c r="J1851" s="87"/>
      <c r="K1851" s="87"/>
      <c r="L1851" s="87"/>
      <c r="M1851" s="87"/>
      <c r="N1851" s="87">
        <f t="shared" si="112"/>
        <v>1</v>
      </c>
      <c r="O1851" s="60">
        <f t="shared" si="113"/>
        <v>1</v>
      </c>
      <c r="P1851" s="60" t="b">
        <f t="shared" si="114"/>
        <v>1</v>
      </c>
      <c r="Q1851" s="87" t="b">
        <f>(Requirements!K1853="Normative")</f>
        <v>1</v>
      </c>
      <c r="R1851" s="87" t="b">
        <f>AND(Requirements!L1853&lt;&gt;"Non-testable",Requirements!L1853&lt;&gt;"Deleted",Requirements!L1853&lt;&gt;"")</f>
        <v>1</v>
      </c>
      <c r="S1851" s="87" t="b">
        <f>(VLOOKUP(Requirements!I1853,Scope[[Role]:[Description]],2,FALSE)="In")</f>
        <v>1</v>
      </c>
      <c r="T1851" s="87">
        <f t="shared" si="115"/>
        <v>1</v>
      </c>
    </row>
    <row r="1852" spans="1:20">
      <c r="A1852" s="44" t="str">
        <f>Requirements!A1854</f>
        <v>MS-SMB_R30017</v>
      </c>
      <c r="B1852" s="87"/>
      <c r="C1852" s="87"/>
      <c r="D1852" s="87"/>
      <c r="E1852" s="87"/>
      <c r="F1852" s="87"/>
      <c r="G1852" s="87"/>
      <c r="H1852" s="87"/>
      <c r="I1852" s="87"/>
      <c r="J1852" s="87"/>
      <c r="K1852" s="87"/>
      <c r="L1852" s="87"/>
      <c r="M1852" s="87"/>
      <c r="N1852" s="87">
        <f t="shared" si="112"/>
        <v>0</v>
      </c>
      <c r="O1852" s="87">
        <f t="shared" si="113"/>
        <v>0</v>
      </c>
      <c r="P1852" s="87" t="b">
        <f t="shared" si="114"/>
        <v>0</v>
      </c>
      <c r="Q1852" s="87" t="b">
        <f>(Requirements!K1854="Normative")</f>
        <v>1</v>
      </c>
      <c r="R1852" s="87" t="b">
        <f>AND(Requirements!L1854&lt;&gt;"Non-testable",Requirements!L1854&lt;&gt;"Deleted",Requirements!L1854&lt;&gt;"")</f>
        <v>0</v>
      </c>
      <c r="S1852" s="87" t="b">
        <f>(VLOOKUP(Requirements!I1854,Scope[[Role]:[Description]],2,FALSE)="In")</f>
        <v>1</v>
      </c>
      <c r="T1852" s="87">
        <f t="shared" si="115"/>
        <v>0</v>
      </c>
    </row>
    <row r="1853" spans="1:20">
      <c r="A1853" s="44" t="str">
        <f>Requirements!A1855</f>
        <v>MS-SMB_R30018</v>
      </c>
      <c r="B1853" s="87"/>
      <c r="C1853" s="87"/>
      <c r="D1853" s="87"/>
      <c r="E1853" s="87"/>
      <c r="F1853" s="87"/>
      <c r="G1853" s="87"/>
      <c r="H1853" s="87"/>
      <c r="I1853" s="87"/>
      <c r="J1853" s="87"/>
      <c r="K1853" s="87"/>
      <c r="L1853" s="87"/>
      <c r="M1853" s="87"/>
      <c r="N1853" s="87">
        <f t="shared" si="112"/>
        <v>0</v>
      </c>
      <c r="O1853" s="87">
        <f t="shared" si="113"/>
        <v>0</v>
      </c>
      <c r="P1853" s="87" t="b">
        <f t="shared" si="114"/>
        <v>0</v>
      </c>
      <c r="Q1853" s="87" t="b">
        <f>(Requirements!K1855="Normative")</f>
        <v>1</v>
      </c>
      <c r="R1853" s="87" t="b">
        <f>AND(Requirements!L1855&lt;&gt;"Non-testable",Requirements!L1855&lt;&gt;"Deleted",Requirements!L1855&lt;&gt;"")</f>
        <v>0</v>
      </c>
      <c r="S1853" s="87" t="b">
        <f>(VLOOKUP(Requirements!I1855,Scope[[Role]:[Description]],2,FALSE)="In")</f>
        <v>1</v>
      </c>
      <c r="T1853" s="87">
        <f t="shared" si="115"/>
        <v>0</v>
      </c>
    </row>
    <row r="1854" spans="1:20">
      <c r="A1854" s="44" t="str">
        <f>Requirements!A1856</f>
        <v>MS-SMB_R2552</v>
      </c>
      <c r="B1854" s="87"/>
      <c r="C1854" s="87"/>
      <c r="D1854" s="87"/>
      <c r="E1854" s="87"/>
      <c r="F1854" s="87"/>
      <c r="G1854" s="87"/>
      <c r="H1854" s="87"/>
      <c r="I1854" s="87"/>
      <c r="J1854" s="87"/>
      <c r="K1854" s="87"/>
      <c r="L1854" s="87"/>
      <c r="M1854" s="87"/>
      <c r="N1854" s="87">
        <f t="shared" si="112"/>
        <v>0</v>
      </c>
      <c r="O1854" s="87">
        <f t="shared" si="113"/>
        <v>0</v>
      </c>
      <c r="P1854" s="87" t="b">
        <f t="shared" si="114"/>
        <v>0</v>
      </c>
      <c r="Q1854" s="87" t="b">
        <f>(Requirements!K1856="Normative")</f>
        <v>1</v>
      </c>
      <c r="R1854" s="87" t="b">
        <f>AND(Requirements!L1856&lt;&gt;"Non-testable",Requirements!L1856&lt;&gt;"Deleted",Requirements!L1856&lt;&gt;"")</f>
        <v>0</v>
      </c>
      <c r="S1854" s="87" t="b">
        <f>(VLOOKUP(Requirements!I1856,Scope[[Role]:[Description]],2,FALSE)="In")</f>
        <v>1</v>
      </c>
      <c r="T1854" s="87">
        <f t="shared" si="115"/>
        <v>0</v>
      </c>
    </row>
    <row r="1855" spans="1:20">
      <c r="A1855" s="44" t="str">
        <f>Requirements!A1857</f>
        <v>MS-SMB_R30000</v>
      </c>
      <c r="B1855" s="87"/>
      <c r="C1855" s="87"/>
      <c r="D1855" s="87"/>
      <c r="E1855" s="87"/>
      <c r="F1855" s="87"/>
      <c r="G1855" s="87"/>
      <c r="H1855" s="87"/>
      <c r="I1855" s="87"/>
      <c r="J1855" s="87"/>
      <c r="K1855" s="87"/>
      <c r="L1855" s="87"/>
      <c r="M1855" s="87"/>
      <c r="N1855" s="87">
        <f t="shared" si="112"/>
        <v>0</v>
      </c>
      <c r="O1855" s="87">
        <f t="shared" si="113"/>
        <v>0</v>
      </c>
      <c r="P1855" s="87" t="b">
        <f t="shared" si="114"/>
        <v>0</v>
      </c>
      <c r="Q1855" s="87" t="b">
        <f>(Requirements!K1857="Normative")</f>
        <v>1</v>
      </c>
      <c r="R1855" s="87" t="b">
        <f>AND(Requirements!L1857&lt;&gt;"Non-testable",Requirements!L1857&lt;&gt;"Deleted",Requirements!L1857&lt;&gt;"")</f>
        <v>0</v>
      </c>
      <c r="S1855" s="87" t="b">
        <f>(VLOOKUP(Requirements!I1857,Scope[[Role]:[Description]],2,FALSE)="In")</f>
        <v>1</v>
      </c>
      <c r="T1855" s="87">
        <f t="shared" si="115"/>
        <v>0</v>
      </c>
    </row>
    <row r="1856" spans="1:20">
      <c r="A1856" s="44" t="str">
        <f>Requirements!A1858</f>
        <v>MS-SMB_R30001</v>
      </c>
      <c r="B1856" s="87"/>
      <c r="C1856" s="87"/>
      <c r="D1856" s="87"/>
      <c r="E1856" s="87"/>
      <c r="F1856" s="87"/>
      <c r="G1856" s="87"/>
      <c r="H1856" s="87"/>
      <c r="I1856" s="87"/>
      <c r="J1856" s="87"/>
      <c r="K1856" s="87"/>
      <c r="L1856" s="87"/>
      <c r="M1856" s="87"/>
      <c r="N1856" s="87">
        <f t="shared" si="112"/>
        <v>0</v>
      </c>
      <c r="O1856" s="87">
        <f t="shared" si="113"/>
        <v>0</v>
      </c>
      <c r="P1856" s="87" t="b">
        <f t="shared" si="114"/>
        <v>0</v>
      </c>
      <c r="Q1856" s="87" t="b">
        <f>(Requirements!K1858="Normative")</f>
        <v>1</v>
      </c>
      <c r="R1856" s="87" t="b">
        <f>AND(Requirements!L1858&lt;&gt;"Non-testable",Requirements!L1858&lt;&gt;"Deleted",Requirements!L1858&lt;&gt;"")</f>
        <v>0</v>
      </c>
      <c r="S1856" s="87" t="b">
        <f>(VLOOKUP(Requirements!I1858,Scope[[Role]:[Description]],2,FALSE)="In")</f>
        <v>1</v>
      </c>
      <c r="T1856" s="87">
        <f t="shared" si="115"/>
        <v>0</v>
      </c>
    </row>
    <row r="1857" spans="1:20">
      <c r="A1857" s="44" t="str">
        <f>Requirements!A1859</f>
        <v>MS-SMB_R30002</v>
      </c>
      <c r="B1857" s="87"/>
      <c r="C1857" s="87"/>
      <c r="D1857" s="87"/>
      <c r="E1857" s="87"/>
      <c r="F1857" s="87"/>
      <c r="G1857" s="87"/>
      <c r="H1857" s="87"/>
      <c r="I1857" s="87"/>
      <c r="J1857" s="87"/>
      <c r="K1857" s="87"/>
      <c r="L1857" s="87"/>
      <c r="M1857" s="87"/>
      <c r="N1857" s="87">
        <f t="shared" si="112"/>
        <v>0</v>
      </c>
      <c r="O1857" s="87">
        <f t="shared" si="113"/>
        <v>0</v>
      </c>
      <c r="P1857" s="87" t="b">
        <f t="shared" si="114"/>
        <v>0</v>
      </c>
      <c r="Q1857" s="87" t="b">
        <f>(Requirements!K1859="Normative")</f>
        <v>1</v>
      </c>
      <c r="R1857" s="87" t="b">
        <f>AND(Requirements!L1859&lt;&gt;"Non-testable",Requirements!L1859&lt;&gt;"Deleted",Requirements!L1859&lt;&gt;"")</f>
        <v>0</v>
      </c>
      <c r="S1857" s="87" t="b">
        <f>(VLOOKUP(Requirements!I1859,Scope[[Role]:[Description]],2,FALSE)="In")</f>
        <v>1</v>
      </c>
      <c r="T1857" s="87">
        <f t="shared" si="115"/>
        <v>0</v>
      </c>
    </row>
    <row r="1858" spans="1:20">
      <c r="A1858" s="44" t="str">
        <f>Requirements!A1860</f>
        <v>MS-SMB_R30003</v>
      </c>
      <c r="B1858" s="87"/>
      <c r="C1858" s="87"/>
      <c r="D1858" s="87"/>
      <c r="E1858" s="87"/>
      <c r="F1858" s="87"/>
      <c r="G1858" s="87"/>
      <c r="H1858" s="87"/>
      <c r="I1858" s="87"/>
      <c r="J1858" s="87"/>
      <c r="K1858" s="87"/>
      <c r="L1858" s="87"/>
      <c r="M1858" s="87"/>
      <c r="N1858" s="87">
        <f t="shared" si="112"/>
        <v>0</v>
      </c>
      <c r="O1858" s="87">
        <f t="shared" si="113"/>
        <v>0</v>
      </c>
      <c r="P1858" s="87" t="b">
        <f t="shared" si="114"/>
        <v>0</v>
      </c>
      <c r="Q1858" s="87" t="b">
        <f>(Requirements!K1860="Normative")</f>
        <v>1</v>
      </c>
      <c r="R1858" s="87" t="b">
        <f>AND(Requirements!L1860&lt;&gt;"Non-testable",Requirements!L1860&lt;&gt;"Deleted",Requirements!L1860&lt;&gt;"")</f>
        <v>0</v>
      </c>
      <c r="S1858" s="87" t="b">
        <f>(VLOOKUP(Requirements!I1860,Scope[[Role]:[Description]],2,FALSE)="In")</f>
        <v>1</v>
      </c>
      <c r="T1858" s="87">
        <f t="shared" si="115"/>
        <v>0</v>
      </c>
    </row>
    <row r="1859" spans="1:20">
      <c r="A1859" s="44" t="str">
        <f>Requirements!A1861</f>
        <v>MS-SMB_R30004</v>
      </c>
      <c r="B1859" s="87"/>
      <c r="C1859" s="87"/>
      <c r="D1859" s="87"/>
      <c r="E1859" s="87"/>
      <c r="F1859" s="87"/>
      <c r="G1859" s="87"/>
      <c r="H1859" s="87"/>
      <c r="I1859" s="87"/>
      <c r="J1859" s="87"/>
      <c r="K1859" s="87"/>
      <c r="L1859" s="87"/>
      <c r="M1859" s="87"/>
      <c r="N1859" s="87">
        <f t="shared" si="112"/>
        <v>0</v>
      </c>
      <c r="O1859" s="87">
        <f t="shared" si="113"/>
        <v>0</v>
      </c>
      <c r="P1859" s="87" t="b">
        <f t="shared" si="114"/>
        <v>0</v>
      </c>
      <c r="Q1859" s="87" t="b">
        <f>(Requirements!K1861="Normative")</f>
        <v>1</v>
      </c>
      <c r="R1859" s="87" t="b">
        <f>AND(Requirements!L1861&lt;&gt;"Non-testable",Requirements!L1861&lt;&gt;"Deleted",Requirements!L1861&lt;&gt;"")</f>
        <v>0</v>
      </c>
      <c r="S1859" s="87" t="b">
        <f>(VLOOKUP(Requirements!I1861,Scope[[Role]:[Description]],2,FALSE)="In")</f>
        <v>1</v>
      </c>
      <c r="T1859" s="87">
        <f t="shared" si="115"/>
        <v>0</v>
      </c>
    </row>
    <row r="1860" spans="1:20">
      <c r="A1860" s="44" t="str">
        <f>Requirements!A1862</f>
        <v>MS-SMB_R30005</v>
      </c>
      <c r="B1860" s="87"/>
      <c r="C1860" s="87"/>
      <c r="D1860" s="87"/>
      <c r="E1860" s="87"/>
      <c r="F1860" s="87"/>
      <c r="G1860" s="87"/>
      <c r="H1860" s="87"/>
      <c r="I1860" s="87"/>
      <c r="J1860" s="87"/>
      <c r="K1860" s="87"/>
      <c r="L1860" s="87"/>
      <c r="M1860" s="87"/>
      <c r="N1860" s="87">
        <f t="shared" si="112"/>
        <v>0</v>
      </c>
      <c r="O1860" s="87">
        <f t="shared" si="113"/>
        <v>0</v>
      </c>
      <c r="P1860" s="87" t="b">
        <f t="shared" si="114"/>
        <v>0</v>
      </c>
      <c r="Q1860" s="87" t="b">
        <f>(Requirements!K1862="Normative")</f>
        <v>1</v>
      </c>
      <c r="R1860" s="87" t="b">
        <f>AND(Requirements!L1862&lt;&gt;"Non-testable",Requirements!L1862&lt;&gt;"Deleted",Requirements!L1862&lt;&gt;"")</f>
        <v>0</v>
      </c>
      <c r="S1860" s="87" t="b">
        <f>(VLOOKUP(Requirements!I1862,Scope[[Role]:[Description]],2,FALSE)="In")</f>
        <v>1</v>
      </c>
      <c r="T1860" s="87">
        <f t="shared" si="115"/>
        <v>0</v>
      </c>
    </row>
    <row r="1861" spans="1:20">
      <c r="A1861" s="84" t="str">
        <f>Requirements!A1863</f>
        <v>MS-SMB_R30006</v>
      </c>
      <c r="B1861" s="87">
        <v>1</v>
      </c>
      <c r="C1861" s="87"/>
      <c r="D1861" s="87"/>
      <c r="E1861" s="87"/>
      <c r="F1861" s="87"/>
      <c r="G1861" s="87"/>
      <c r="H1861" s="87"/>
      <c r="I1861" s="87"/>
      <c r="J1861" s="87"/>
      <c r="K1861" s="87"/>
      <c r="L1861" s="87"/>
      <c r="M1861" s="87"/>
      <c r="N1861" s="87">
        <f t="shared" si="112"/>
        <v>1</v>
      </c>
      <c r="O1861" s="60">
        <f t="shared" si="113"/>
        <v>1</v>
      </c>
      <c r="P1861" s="60" t="b">
        <f t="shared" si="114"/>
        <v>1</v>
      </c>
      <c r="Q1861" s="87" t="b">
        <f>(Requirements!K1863="Normative")</f>
        <v>1</v>
      </c>
      <c r="R1861" s="87" t="b">
        <f>AND(Requirements!L1863&lt;&gt;"Non-testable",Requirements!L1863&lt;&gt;"Deleted",Requirements!L1863&lt;&gt;"")</f>
        <v>1</v>
      </c>
      <c r="S1861" s="87" t="b">
        <f>(VLOOKUP(Requirements!I1863,Scope[[Role]:[Description]],2,FALSE)="In")</f>
        <v>1</v>
      </c>
      <c r="T1861" s="87">
        <f t="shared" si="115"/>
        <v>1</v>
      </c>
    </row>
    <row r="1862" spans="1:20">
      <c r="A1862" s="44" t="str">
        <f>Requirements!A1864</f>
        <v>MS-SMB_R30007</v>
      </c>
      <c r="B1862" s="87"/>
      <c r="C1862" s="87"/>
      <c r="D1862" s="87"/>
      <c r="E1862" s="87"/>
      <c r="F1862" s="87"/>
      <c r="G1862" s="87"/>
      <c r="H1862" s="87"/>
      <c r="I1862" s="87"/>
      <c r="J1862" s="87"/>
      <c r="K1862" s="87"/>
      <c r="L1862" s="87"/>
      <c r="M1862" s="87"/>
      <c r="N1862" s="87">
        <f t="shared" si="112"/>
        <v>0</v>
      </c>
      <c r="O1862" s="87">
        <f t="shared" si="113"/>
        <v>0</v>
      </c>
      <c r="P1862" s="87" t="b">
        <f t="shared" si="114"/>
        <v>0</v>
      </c>
      <c r="Q1862" s="87" t="b">
        <f>(Requirements!K1864="Normative")</f>
        <v>1</v>
      </c>
      <c r="R1862" s="87" t="b">
        <f>AND(Requirements!L1864&lt;&gt;"Non-testable",Requirements!L1864&lt;&gt;"Deleted",Requirements!L1864&lt;&gt;"")</f>
        <v>0</v>
      </c>
      <c r="S1862" s="87" t="b">
        <f>(VLOOKUP(Requirements!I1864,Scope[[Role]:[Description]],2,FALSE)="In")</f>
        <v>1</v>
      </c>
      <c r="T1862" s="87">
        <f t="shared" si="115"/>
        <v>0</v>
      </c>
    </row>
    <row r="1863" spans="1:20">
      <c r="A1863" s="44" t="str">
        <f>Requirements!A1865</f>
        <v>MS-SMB_R30008</v>
      </c>
      <c r="B1863" s="87"/>
      <c r="C1863" s="87"/>
      <c r="D1863" s="87"/>
      <c r="E1863" s="87"/>
      <c r="F1863" s="87"/>
      <c r="G1863" s="87"/>
      <c r="H1863" s="87"/>
      <c r="I1863" s="87"/>
      <c r="J1863" s="87"/>
      <c r="K1863" s="87"/>
      <c r="L1863" s="87"/>
      <c r="M1863" s="87"/>
      <c r="N1863" s="87">
        <f t="shared" si="112"/>
        <v>0</v>
      </c>
      <c r="O1863" s="87">
        <f t="shared" si="113"/>
        <v>0</v>
      </c>
      <c r="P1863" s="87" t="b">
        <f t="shared" si="114"/>
        <v>0</v>
      </c>
      <c r="Q1863" s="87" t="b">
        <f>(Requirements!K1865="Normative")</f>
        <v>1</v>
      </c>
      <c r="R1863" s="87" t="b">
        <f>AND(Requirements!L1865&lt;&gt;"Non-testable",Requirements!L1865&lt;&gt;"Deleted",Requirements!L1865&lt;&gt;"")</f>
        <v>0</v>
      </c>
      <c r="S1863" s="87" t="b">
        <f>(VLOOKUP(Requirements!I1865,Scope[[Role]:[Description]],2,FALSE)="In")</f>
        <v>1</v>
      </c>
      <c r="T1863" s="87">
        <f t="shared" si="115"/>
        <v>0</v>
      </c>
    </row>
    <row r="1864" spans="1:20">
      <c r="A1864" s="84" t="str">
        <f>Requirements!A1866</f>
        <v>MS-SMB_R5035</v>
      </c>
      <c r="B1864" s="87">
        <v>1</v>
      </c>
      <c r="C1864" s="87"/>
      <c r="D1864" s="87"/>
      <c r="E1864" s="87"/>
      <c r="F1864" s="87"/>
      <c r="G1864" s="87"/>
      <c r="H1864" s="87"/>
      <c r="I1864" s="87"/>
      <c r="J1864" s="87"/>
      <c r="K1864" s="87"/>
      <c r="L1864" s="87"/>
      <c r="M1864" s="87"/>
      <c r="N1864" s="87">
        <f t="shared" si="112"/>
        <v>1</v>
      </c>
      <c r="O1864" s="60">
        <f t="shared" si="113"/>
        <v>1</v>
      </c>
      <c r="P1864" s="60" t="b">
        <f t="shared" si="114"/>
        <v>1</v>
      </c>
      <c r="Q1864" s="87" t="b">
        <f>(Requirements!K1866="Normative")</f>
        <v>1</v>
      </c>
      <c r="R1864" s="87" t="b">
        <f>AND(Requirements!L1866&lt;&gt;"Non-testable",Requirements!L1866&lt;&gt;"Deleted",Requirements!L1866&lt;&gt;"")</f>
        <v>1</v>
      </c>
      <c r="S1864" s="87" t="b">
        <f>(VLOOKUP(Requirements!I1866,Scope[[Role]:[Description]],2,FALSE)="In")</f>
        <v>1</v>
      </c>
      <c r="T1864" s="87">
        <f t="shared" si="115"/>
        <v>1</v>
      </c>
    </row>
    <row r="1865" spans="1:20">
      <c r="A1865" s="84" t="str">
        <f>Requirements!A1867</f>
        <v>MS-FSCC_R976</v>
      </c>
      <c r="B1865" s="87"/>
      <c r="C1865" s="87"/>
      <c r="D1865" s="87"/>
      <c r="E1865" s="87"/>
      <c r="F1865" s="87"/>
      <c r="G1865" s="87"/>
      <c r="H1865" s="87"/>
      <c r="I1865" s="87"/>
      <c r="J1865" s="87"/>
      <c r="K1865" s="87"/>
      <c r="L1865" s="87"/>
      <c r="M1865" s="87">
        <v>1</v>
      </c>
      <c r="N1865" s="87">
        <f t="shared" si="112"/>
        <v>1</v>
      </c>
      <c r="O1865" s="60">
        <f t="shared" si="113"/>
        <v>1</v>
      </c>
      <c r="P1865" s="60" t="b">
        <f t="shared" si="114"/>
        <v>1</v>
      </c>
      <c r="Q1865" s="87" t="b">
        <f>(Requirements!K1867="Normative")</f>
        <v>1</v>
      </c>
      <c r="R1865" s="87" t="b">
        <f>AND(Requirements!L1867&lt;&gt;"Non-testable",Requirements!L1867&lt;&gt;"Deleted",Requirements!L1867&lt;&gt;"")</f>
        <v>1</v>
      </c>
      <c r="S1865" s="87" t="b">
        <f>(VLOOKUP(Requirements!I1867,Scope[[Role]:[Description]],2,FALSE)="In")</f>
        <v>1</v>
      </c>
      <c r="T1865" s="87">
        <f t="shared" si="115"/>
        <v>1</v>
      </c>
    </row>
    <row r="1866" spans="1:20">
      <c r="A1866" s="84" t="str">
        <f>Requirements!A1868</f>
        <v>MS-FSCC_R989</v>
      </c>
      <c r="B1866" s="87"/>
      <c r="C1866" s="87"/>
      <c r="D1866" s="87"/>
      <c r="E1866" s="87"/>
      <c r="F1866" s="87"/>
      <c r="G1866" s="87"/>
      <c r="H1866" s="87"/>
      <c r="I1866" s="87"/>
      <c r="J1866" s="87"/>
      <c r="K1866" s="87"/>
      <c r="L1866" s="87"/>
      <c r="M1866" s="87">
        <v>1</v>
      </c>
      <c r="N1866" s="87">
        <f t="shared" si="112"/>
        <v>1</v>
      </c>
      <c r="O1866" s="60">
        <f t="shared" si="113"/>
        <v>1</v>
      </c>
      <c r="P1866" s="60" t="b">
        <f t="shared" si="114"/>
        <v>1</v>
      </c>
      <c r="Q1866" s="87" t="b">
        <f>(Requirements!K1868="Normative")</f>
        <v>1</v>
      </c>
      <c r="R1866" s="87" t="b">
        <f>AND(Requirements!L1868&lt;&gt;"Non-testable",Requirements!L1868&lt;&gt;"Deleted",Requirements!L1868&lt;&gt;"")</f>
        <v>1</v>
      </c>
      <c r="S1866" s="87" t="b">
        <f>(VLOOKUP(Requirements!I1868,Scope[[Role]:[Description]],2,FALSE)="In")</f>
        <v>1</v>
      </c>
      <c r="T1866" s="87">
        <f t="shared" si="115"/>
        <v>1</v>
      </c>
    </row>
    <row r="1867" spans="1:20">
      <c r="A1867" s="84" t="str">
        <f>Requirements!A1869</f>
        <v>MS-FSCC_R991</v>
      </c>
      <c r="B1867" s="87"/>
      <c r="C1867" s="87"/>
      <c r="D1867" s="87"/>
      <c r="E1867" s="87"/>
      <c r="F1867" s="87"/>
      <c r="G1867" s="87"/>
      <c r="H1867" s="87"/>
      <c r="I1867" s="87"/>
      <c r="J1867" s="87"/>
      <c r="K1867" s="87"/>
      <c r="L1867" s="87"/>
      <c r="M1867" s="87">
        <v>1</v>
      </c>
      <c r="N1867" s="87">
        <f t="shared" si="112"/>
        <v>1</v>
      </c>
      <c r="O1867" s="60">
        <f t="shared" si="113"/>
        <v>1</v>
      </c>
      <c r="P1867" s="60" t="b">
        <f t="shared" si="114"/>
        <v>1</v>
      </c>
      <c r="Q1867" s="87" t="b">
        <f>(Requirements!K1869="Normative")</f>
        <v>1</v>
      </c>
      <c r="R1867" s="87" t="b">
        <f>AND(Requirements!L1869&lt;&gt;"Non-testable",Requirements!L1869&lt;&gt;"Deleted",Requirements!L1869&lt;&gt;"")</f>
        <v>1</v>
      </c>
      <c r="S1867" s="87" t="b">
        <f>(VLOOKUP(Requirements!I1869,Scope[[Role]:[Description]],2,FALSE)="In")</f>
        <v>1</v>
      </c>
      <c r="T1867" s="87">
        <f t="shared" si="115"/>
        <v>1</v>
      </c>
    </row>
    <row r="1868" spans="1:20">
      <c r="A1868" s="84" t="str">
        <f>Requirements!A1870</f>
        <v>MS-FSCC_R1008</v>
      </c>
      <c r="B1868" s="87"/>
      <c r="C1868" s="87"/>
      <c r="D1868" s="87"/>
      <c r="E1868" s="87"/>
      <c r="F1868" s="87"/>
      <c r="G1868" s="87"/>
      <c r="H1868" s="87"/>
      <c r="I1868" s="87"/>
      <c r="J1868" s="87"/>
      <c r="K1868" s="87"/>
      <c r="L1868" s="87"/>
      <c r="M1868" s="87">
        <v>1</v>
      </c>
      <c r="N1868" s="87">
        <f t="shared" si="112"/>
        <v>1</v>
      </c>
      <c r="O1868" s="60">
        <f t="shared" si="113"/>
        <v>1</v>
      </c>
      <c r="P1868" s="60" t="b">
        <f t="shared" si="114"/>
        <v>1</v>
      </c>
      <c r="Q1868" s="87" t="b">
        <f>(Requirements!K1870="Normative")</f>
        <v>1</v>
      </c>
      <c r="R1868" s="87" t="b">
        <f>AND(Requirements!L1870&lt;&gt;"Non-testable",Requirements!L1870&lt;&gt;"Deleted",Requirements!L1870&lt;&gt;"")</f>
        <v>1</v>
      </c>
      <c r="S1868" s="87" t="b">
        <f>(VLOOKUP(Requirements!I1870,Scope[[Role]:[Description]],2,FALSE)="In")</f>
        <v>1</v>
      </c>
      <c r="T1868" s="87">
        <f t="shared" si="115"/>
        <v>1</v>
      </c>
    </row>
    <row r="1869" spans="1:20">
      <c r="A1869" s="84" t="str">
        <f>Requirements!A1871</f>
        <v>MS-SMB_R10080</v>
      </c>
      <c r="B1869" s="87"/>
      <c r="C1869" s="87"/>
      <c r="D1869" s="87"/>
      <c r="E1869" s="87"/>
      <c r="F1869" s="87"/>
      <c r="G1869" s="87"/>
      <c r="H1869" s="87"/>
      <c r="I1869" s="87"/>
      <c r="J1869" s="87"/>
      <c r="K1869" s="87"/>
      <c r="L1869" s="87"/>
      <c r="M1869" s="87">
        <v>1</v>
      </c>
      <c r="N1869" s="87">
        <f t="shared" si="112"/>
        <v>1</v>
      </c>
      <c r="O1869" s="60">
        <f t="shared" si="113"/>
        <v>1</v>
      </c>
      <c r="P1869" s="60" t="b">
        <f t="shared" si="114"/>
        <v>1</v>
      </c>
      <c r="Q1869" s="87" t="b">
        <f>(Requirements!K1871="Normative")</f>
        <v>1</v>
      </c>
      <c r="R1869" s="87" t="b">
        <f>AND(Requirements!L1871&lt;&gt;"Non-testable",Requirements!L1871&lt;&gt;"Deleted",Requirements!L1871&lt;&gt;"")</f>
        <v>1</v>
      </c>
      <c r="S1869" s="87" t="b">
        <f>(VLOOKUP(Requirements!I1871,Scope[[Role]:[Description]],2,FALSE)="In")</f>
        <v>1</v>
      </c>
      <c r="T1869" s="87">
        <f t="shared" si="115"/>
        <v>1</v>
      </c>
    </row>
    <row r="1870" spans="1:20">
      <c r="A1870" s="84" t="str">
        <f>Requirements!A1872</f>
        <v>MS-FSCC_R1016</v>
      </c>
      <c r="B1870" s="87"/>
      <c r="C1870" s="87"/>
      <c r="D1870" s="87"/>
      <c r="E1870" s="87"/>
      <c r="F1870" s="87"/>
      <c r="G1870" s="87"/>
      <c r="H1870" s="87"/>
      <c r="I1870" s="87"/>
      <c r="J1870" s="87"/>
      <c r="K1870" s="87"/>
      <c r="L1870" s="87"/>
      <c r="M1870" s="87">
        <v>1</v>
      </c>
      <c r="N1870" s="87">
        <f t="shared" si="112"/>
        <v>1</v>
      </c>
      <c r="O1870" s="60">
        <f t="shared" si="113"/>
        <v>1</v>
      </c>
      <c r="P1870" s="60" t="b">
        <f t="shared" si="114"/>
        <v>1</v>
      </c>
      <c r="Q1870" s="87" t="b">
        <f>(Requirements!K1872="Normative")</f>
        <v>1</v>
      </c>
      <c r="R1870" s="87" t="b">
        <f>AND(Requirements!L1872&lt;&gt;"Non-testable",Requirements!L1872&lt;&gt;"Deleted",Requirements!L1872&lt;&gt;"")</f>
        <v>1</v>
      </c>
      <c r="S1870" s="87" t="b">
        <f>(VLOOKUP(Requirements!I1872,Scope[[Role]:[Description]],2,FALSE)="In")</f>
        <v>1</v>
      </c>
      <c r="T1870" s="87">
        <f t="shared" si="115"/>
        <v>1</v>
      </c>
    </row>
    <row r="1871" spans="1:20">
      <c r="A1871" s="84" t="str">
        <f>Requirements!A1873</f>
        <v>MS-FSCC_R1018</v>
      </c>
      <c r="B1871" s="87"/>
      <c r="C1871" s="87"/>
      <c r="D1871" s="87"/>
      <c r="E1871" s="87"/>
      <c r="F1871" s="87"/>
      <c r="G1871" s="87"/>
      <c r="H1871" s="87"/>
      <c r="I1871" s="87"/>
      <c r="J1871" s="87"/>
      <c r="K1871" s="87"/>
      <c r="L1871" s="87"/>
      <c r="M1871" s="87">
        <v>1</v>
      </c>
      <c r="N1871" s="87">
        <f t="shared" si="112"/>
        <v>1</v>
      </c>
      <c r="O1871" s="60">
        <f t="shared" si="113"/>
        <v>1</v>
      </c>
      <c r="P1871" s="60" t="b">
        <f t="shared" si="114"/>
        <v>1</v>
      </c>
      <c r="Q1871" s="87" t="b">
        <f>(Requirements!K1873="Normative")</f>
        <v>1</v>
      </c>
      <c r="R1871" s="87" t="b">
        <f>AND(Requirements!L1873&lt;&gt;"Non-testable",Requirements!L1873&lt;&gt;"Deleted",Requirements!L1873&lt;&gt;"")</f>
        <v>1</v>
      </c>
      <c r="S1871" s="87" t="b">
        <f>(VLOOKUP(Requirements!I1873,Scope[[Role]:[Description]],2,FALSE)="In")</f>
        <v>1</v>
      </c>
      <c r="T1871" s="87">
        <f t="shared" si="115"/>
        <v>1</v>
      </c>
    </row>
    <row r="1872" spans="1:20">
      <c r="A1872" s="84" t="str">
        <f>Requirements!A1874</f>
        <v>MS-FSCC_R1024</v>
      </c>
      <c r="B1872" s="87"/>
      <c r="C1872" s="87"/>
      <c r="D1872" s="87"/>
      <c r="E1872" s="87"/>
      <c r="F1872" s="87"/>
      <c r="G1872" s="87"/>
      <c r="H1872" s="87"/>
      <c r="I1872" s="87"/>
      <c r="J1872" s="87"/>
      <c r="K1872" s="87"/>
      <c r="L1872" s="87"/>
      <c r="M1872" s="87">
        <v>1</v>
      </c>
      <c r="N1872" s="87">
        <f t="shared" si="112"/>
        <v>1</v>
      </c>
      <c r="O1872" s="60">
        <f t="shared" si="113"/>
        <v>1</v>
      </c>
      <c r="P1872" s="60" t="b">
        <f t="shared" si="114"/>
        <v>1</v>
      </c>
      <c r="Q1872" s="87" t="b">
        <f>(Requirements!K1874="Normative")</f>
        <v>1</v>
      </c>
      <c r="R1872" s="87" t="b">
        <f>AND(Requirements!L1874&lt;&gt;"Non-testable",Requirements!L1874&lt;&gt;"Deleted",Requirements!L1874&lt;&gt;"")</f>
        <v>1</v>
      </c>
      <c r="S1872" s="87" t="b">
        <f>(VLOOKUP(Requirements!I1874,Scope[[Role]:[Description]],2,FALSE)="In")</f>
        <v>1</v>
      </c>
      <c r="T1872" s="87">
        <f t="shared" si="115"/>
        <v>1</v>
      </c>
    </row>
    <row r="1873" spans="1:20">
      <c r="A1873" s="84" t="str">
        <f>Requirements!A1875</f>
        <v>MS-FSCC_R1026</v>
      </c>
      <c r="B1873" s="87"/>
      <c r="C1873" s="87"/>
      <c r="D1873" s="87"/>
      <c r="E1873" s="87"/>
      <c r="F1873" s="87"/>
      <c r="G1873" s="87"/>
      <c r="H1873" s="87"/>
      <c r="I1873" s="87"/>
      <c r="J1873" s="87"/>
      <c r="K1873" s="87"/>
      <c r="L1873" s="87"/>
      <c r="M1873" s="87">
        <v>1</v>
      </c>
      <c r="N1873" s="87">
        <f t="shared" si="112"/>
        <v>1</v>
      </c>
      <c r="O1873" s="60">
        <f t="shared" si="113"/>
        <v>1</v>
      </c>
      <c r="P1873" s="60" t="b">
        <f t="shared" si="114"/>
        <v>1</v>
      </c>
      <c r="Q1873" s="87" t="b">
        <f>(Requirements!K1875="Normative")</f>
        <v>1</v>
      </c>
      <c r="R1873" s="87" t="b">
        <f>AND(Requirements!L1875&lt;&gt;"Non-testable",Requirements!L1875&lt;&gt;"Deleted",Requirements!L1875&lt;&gt;"")</f>
        <v>1</v>
      </c>
      <c r="S1873" s="87" t="b">
        <f>(VLOOKUP(Requirements!I1875,Scope[[Role]:[Description]],2,FALSE)="In")</f>
        <v>1</v>
      </c>
      <c r="T1873" s="87">
        <f t="shared" si="115"/>
        <v>1</v>
      </c>
    </row>
    <row r="1874" spans="1:20">
      <c r="A1874" s="84" t="str">
        <f>Requirements!A1876</f>
        <v>MS-FSCC_R1029</v>
      </c>
      <c r="B1874" s="87"/>
      <c r="C1874" s="87"/>
      <c r="D1874" s="87"/>
      <c r="E1874" s="87"/>
      <c r="F1874" s="87"/>
      <c r="G1874" s="87"/>
      <c r="H1874" s="87"/>
      <c r="I1874" s="87"/>
      <c r="J1874" s="87"/>
      <c r="K1874" s="87"/>
      <c r="L1874" s="87"/>
      <c r="M1874" s="87">
        <v>1</v>
      </c>
      <c r="N1874" s="87">
        <f t="shared" si="112"/>
        <v>1</v>
      </c>
      <c r="O1874" s="60">
        <f t="shared" si="113"/>
        <v>1</v>
      </c>
      <c r="P1874" s="60" t="b">
        <f t="shared" si="114"/>
        <v>1</v>
      </c>
      <c r="Q1874" s="87" t="b">
        <f>(Requirements!K1876="Normative")</f>
        <v>1</v>
      </c>
      <c r="R1874" s="87" t="b">
        <f>AND(Requirements!L1876&lt;&gt;"Non-testable",Requirements!L1876&lt;&gt;"Deleted",Requirements!L1876&lt;&gt;"")</f>
        <v>1</v>
      </c>
      <c r="S1874" s="87" t="b">
        <f>(VLOOKUP(Requirements!I1876,Scope[[Role]:[Description]],2,FALSE)="In")</f>
        <v>1</v>
      </c>
      <c r="T1874" s="87">
        <f t="shared" si="115"/>
        <v>1</v>
      </c>
    </row>
    <row r="1875" spans="1:20">
      <c r="A1875" s="84" t="str">
        <f>Requirements!A1877</f>
        <v>MS-FSCC_R1031</v>
      </c>
      <c r="B1875" s="87"/>
      <c r="C1875" s="87"/>
      <c r="D1875" s="87"/>
      <c r="E1875" s="87"/>
      <c r="F1875" s="87"/>
      <c r="G1875" s="87"/>
      <c r="H1875" s="87"/>
      <c r="I1875" s="87"/>
      <c r="J1875" s="87"/>
      <c r="K1875" s="87"/>
      <c r="L1875" s="87"/>
      <c r="M1875" s="87">
        <v>1</v>
      </c>
      <c r="N1875" s="87">
        <f t="shared" si="112"/>
        <v>1</v>
      </c>
      <c r="O1875" s="60">
        <f t="shared" si="113"/>
        <v>1</v>
      </c>
      <c r="P1875" s="60" t="b">
        <f t="shared" si="114"/>
        <v>1</v>
      </c>
      <c r="Q1875" s="87" t="b">
        <f>(Requirements!K1877="Normative")</f>
        <v>1</v>
      </c>
      <c r="R1875" s="87" t="b">
        <f>AND(Requirements!L1877&lt;&gt;"Non-testable",Requirements!L1877&lt;&gt;"Deleted",Requirements!L1877&lt;&gt;"")</f>
        <v>1</v>
      </c>
      <c r="S1875" s="87" t="b">
        <f>(VLOOKUP(Requirements!I1877,Scope[[Role]:[Description]],2,FALSE)="In")</f>
        <v>1</v>
      </c>
      <c r="T1875" s="87">
        <f t="shared" si="115"/>
        <v>1</v>
      </c>
    </row>
    <row r="1876" spans="1:20">
      <c r="A1876" s="84" t="str">
        <f>Requirements!A1878</f>
        <v>MS-FSCC_R1034</v>
      </c>
      <c r="B1876" s="87"/>
      <c r="C1876" s="87"/>
      <c r="D1876" s="87"/>
      <c r="E1876" s="87"/>
      <c r="F1876" s="87"/>
      <c r="G1876" s="87"/>
      <c r="H1876" s="87"/>
      <c r="I1876" s="87"/>
      <c r="J1876" s="87"/>
      <c r="K1876" s="87"/>
      <c r="L1876" s="87"/>
      <c r="M1876" s="87">
        <v>1</v>
      </c>
      <c r="N1876" s="87">
        <f t="shared" ref="N1876:N1939" si="116">SUM(B1876:M1876)</f>
        <v>1</v>
      </c>
      <c r="O1876" s="60">
        <f t="shared" ref="O1876:O1939" si="117">IF(N1876=0,0,1)</f>
        <v>1</v>
      </c>
      <c r="P1876" s="60" t="b">
        <f t="shared" ref="P1876:P1939" si="118">AND(Q1876:S1876)</f>
        <v>1</v>
      </c>
      <c r="Q1876" s="87" t="b">
        <f>(Requirements!K1878="Normative")</f>
        <v>1</v>
      </c>
      <c r="R1876" s="87" t="b">
        <f>AND(Requirements!L1878&lt;&gt;"Non-testable",Requirements!L1878&lt;&gt;"Deleted",Requirements!L1878&lt;&gt;"")</f>
        <v>1</v>
      </c>
      <c r="S1876" s="87" t="b">
        <f>(VLOOKUP(Requirements!I1878,Scope[[Role]:[Description]],2,FALSE)="In")</f>
        <v>1</v>
      </c>
      <c r="T1876" s="87">
        <f t="shared" ref="T1876:T1939" si="119">IF(P1876,O1876, 0)</f>
        <v>1</v>
      </c>
    </row>
    <row r="1877" spans="1:20">
      <c r="A1877" s="84" t="str">
        <f>Requirements!A1879</f>
        <v>MS-FSCC_R1036</v>
      </c>
      <c r="B1877" s="87"/>
      <c r="C1877" s="87"/>
      <c r="D1877" s="87"/>
      <c r="E1877" s="87"/>
      <c r="F1877" s="87"/>
      <c r="G1877" s="87"/>
      <c r="H1877" s="87"/>
      <c r="I1877" s="87"/>
      <c r="J1877" s="87"/>
      <c r="K1877" s="87"/>
      <c r="L1877" s="87"/>
      <c r="M1877" s="87">
        <v>1</v>
      </c>
      <c r="N1877" s="87">
        <f t="shared" si="116"/>
        <v>1</v>
      </c>
      <c r="O1877" s="60">
        <f t="shared" si="117"/>
        <v>1</v>
      </c>
      <c r="P1877" s="60" t="b">
        <f t="shared" si="118"/>
        <v>1</v>
      </c>
      <c r="Q1877" s="87" t="b">
        <f>(Requirements!K1879="Normative")</f>
        <v>1</v>
      </c>
      <c r="R1877" s="87" t="b">
        <f>AND(Requirements!L1879&lt;&gt;"Non-testable",Requirements!L1879&lt;&gt;"Deleted",Requirements!L1879&lt;&gt;"")</f>
        <v>1</v>
      </c>
      <c r="S1877" s="87" t="b">
        <f>(VLOOKUP(Requirements!I1879,Scope[[Role]:[Description]],2,FALSE)="In")</f>
        <v>1</v>
      </c>
      <c r="T1877" s="87">
        <f t="shared" si="119"/>
        <v>1</v>
      </c>
    </row>
    <row r="1878" spans="1:20">
      <c r="A1878" s="84" t="str">
        <f>Requirements!A1880</f>
        <v>MS-FSCC_R1039</v>
      </c>
      <c r="B1878" s="87"/>
      <c r="C1878" s="87"/>
      <c r="D1878" s="87"/>
      <c r="E1878" s="87"/>
      <c r="F1878" s="87"/>
      <c r="G1878" s="87"/>
      <c r="H1878" s="87"/>
      <c r="I1878" s="87"/>
      <c r="J1878" s="87"/>
      <c r="K1878" s="87"/>
      <c r="L1878" s="87"/>
      <c r="M1878" s="87">
        <v>1</v>
      </c>
      <c r="N1878" s="87">
        <f t="shared" si="116"/>
        <v>1</v>
      </c>
      <c r="O1878" s="60">
        <f t="shared" si="117"/>
        <v>1</v>
      </c>
      <c r="P1878" s="60" t="b">
        <f t="shared" si="118"/>
        <v>1</v>
      </c>
      <c r="Q1878" s="87" t="b">
        <f>(Requirements!K1880="Normative")</f>
        <v>1</v>
      </c>
      <c r="R1878" s="87" t="b">
        <f>AND(Requirements!L1880&lt;&gt;"Non-testable",Requirements!L1880&lt;&gt;"Deleted",Requirements!L1880&lt;&gt;"")</f>
        <v>1</v>
      </c>
      <c r="S1878" s="87" t="b">
        <f>(VLOOKUP(Requirements!I1880,Scope[[Role]:[Description]],2,FALSE)="In")</f>
        <v>1</v>
      </c>
      <c r="T1878" s="87">
        <f t="shared" si="119"/>
        <v>1</v>
      </c>
    </row>
    <row r="1879" spans="1:20">
      <c r="A1879" s="84" t="str">
        <f>Requirements!A1881</f>
        <v>MS-FSCC_R1041</v>
      </c>
      <c r="B1879" s="87"/>
      <c r="C1879" s="87"/>
      <c r="D1879" s="87"/>
      <c r="E1879" s="87"/>
      <c r="F1879" s="87"/>
      <c r="G1879" s="87"/>
      <c r="H1879" s="87"/>
      <c r="I1879" s="87"/>
      <c r="J1879" s="87"/>
      <c r="K1879" s="87"/>
      <c r="L1879" s="87"/>
      <c r="M1879" s="87">
        <v>1</v>
      </c>
      <c r="N1879" s="87">
        <f t="shared" si="116"/>
        <v>1</v>
      </c>
      <c r="O1879" s="60">
        <f t="shared" si="117"/>
        <v>1</v>
      </c>
      <c r="P1879" s="60" t="b">
        <f t="shared" si="118"/>
        <v>1</v>
      </c>
      <c r="Q1879" s="87" t="b">
        <f>(Requirements!K1881="Normative")</f>
        <v>1</v>
      </c>
      <c r="R1879" s="87" t="b">
        <f>AND(Requirements!L1881&lt;&gt;"Non-testable",Requirements!L1881&lt;&gt;"Deleted",Requirements!L1881&lt;&gt;"")</f>
        <v>1</v>
      </c>
      <c r="S1879" s="87" t="b">
        <f>(VLOOKUP(Requirements!I1881,Scope[[Role]:[Description]],2,FALSE)="In")</f>
        <v>1</v>
      </c>
      <c r="T1879" s="87">
        <f t="shared" si="119"/>
        <v>1</v>
      </c>
    </row>
    <row r="1880" spans="1:20">
      <c r="A1880" s="84" t="str">
        <f>Requirements!A1882</f>
        <v>MS-FSCC_R1044</v>
      </c>
      <c r="B1880" s="87"/>
      <c r="C1880" s="87"/>
      <c r="D1880" s="87"/>
      <c r="E1880" s="87"/>
      <c r="F1880" s="87"/>
      <c r="G1880" s="87"/>
      <c r="H1880" s="87"/>
      <c r="I1880" s="87"/>
      <c r="J1880" s="87"/>
      <c r="K1880" s="87"/>
      <c r="L1880" s="87"/>
      <c r="M1880" s="87">
        <v>1</v>
      </c>
      <c r="N1880" s="87">
        <f t="shared" si="116"/>
        <v>1</v>
      </c>
      <c r="O1880" s="60">
        <f t="shared" si="117"/>
        <v>1</v>
      </c>
      <c r="P1880" s="60" t="b">
        <f t="shared" si="118"/>
        <v>1</v>
      </c>
      <c r="Q1880" s="87" t="b">
        <f>(Requirements!K1882="Normative")</f>
        <v>1</v>
      </c>
      <c r="R1880" s="87" t="b">
        <f>AND(Requirements!L1882&lt;&gt;"Non-testable",Requirements!L1882&lt;&gt;"Deleted",Requirements!L1882&lt;&gt;"")</f>
        <v>1</v>
      </c>
      <c r="S1880" s="87" t="b">
        <f>(VLOOKUP(Requirements!I1882,Scope[[Role]:[Description]],2,FALSE)="In")</f>
        <v>1</v>
      </c>
      <c r="T1880" s="87">
        <f t="shared" si="119"/>
        <v>1</v>
      </c>
    </row>
    <row r="1881" spans="1:20">
      <c r="A1881" s="84" t="str">
        <f>Requirements!A1883</f>
        <v>MS-FSCC_R1045</v>
      </c>
      <c r="B1881" s="87"/>
      <c r="C1881" s="87"/>
      <c r="D1881" s="87"/>
      <c r="E1881" s="87"/>
      <c r="F1881" s="87"/>
      <c r="G1881" s="87"/>
      <c r="H1881" s="87"/>
      <c r="I1881" s="87"/>
      <c r="J1881" s="87"/>
      <c r="K1881" s="87"/>
      <c r="L1881" s="87"/>
      <c r="M1881" s="87">
        <v>1</v>
      </c>
      <c r="N1881" s="87">
        <f t="shared" si="116"/>
        <v>1</v>
      </c>
      <c r="O1881" s="60">
        <f t="shared" si="117"/>
        <v>1</v>
      </c>
      <c r="P1881" s="60" t="b">
        <f t="shared" si="118"/>
        <v>1</v>
      </c>
      <c r="Q1881" s="87" t="b">
        <f>(Requirements!K1883="Normative")</f>
        <v>1</v>
      </c>
      <c r="R1881" s="87" t="b">
        <f>AND(Requirements!L1883&lt;&gt;"Non-testable",Requirements!L1883&lt;&gt;"Deleted",Requirements!L1883&lt;&gt;"")</f>
        <v>1</v>
      </c>
      <c r="S1881" s="87" t="b">
        <f>(VLOOKUP(Requirements!I1883,Scope[[Role]:[Description]],2,FALSE)="In")</f>
        <v>1</v>
      </c>
      <c r="T1881" s="87">
        <f t="shared" si="119"/>
        <v>1</v>
      </c>
    </row>
    <row r="1882" spans="1:20">
      <c r="A1882" s="84" t="str">
        <f>Requirements!A1884</f>
        <v>MS-FSCC_R1047</v>
      </c>
      <c r="B1882" s="87"/>
      <c r="C1882" s="87"/>
      <c r="D1882" s="87"/>
      <c r="E1882" s="87"/>
      <c r="F1882" s="87"/>
      <c r="G1882" s="87"/>
      <c r="H1882" s="87"/>
      <c r="I1882" s="87"/>
      <c r="J1882" s="87"/>
      <c r="K1882" s="87"/>
      <c r="L1882" s="87"/>
      <c r="M1882" s="87">
        <v>1</v>
      </c>
      <c r="N1882" s="87">
        <f t="shared" si="116"/>
        <v>1</v>
      </c>
      <c r="O1882" s="60">
        <f t="shared" si="117"/>
        <v>1</v>
      </c>
      <c r="P1882" s="60" t="b">
        <f t="shared" si="118"/>
        <v>1</v>
      </c>
      <c r="Q1882" s="87" t="b">
        <f>(Requirements!K1884="Normative")</f>
        <v>1</v>
      </c>
      <c r="R1882" s="87" t="b">
        <f>AND(Requirements!L1884&lt;&gt;"Non-testable",Requirements!L1884&lt;&gt;"Deleted",Requirements!L1884&lt;&gt;"")</f>
        <v>1</v>
      </c>
      <c r="S1882" s="87" t="b">
        <f>(VLOOKUP(Requirements!I1884,Scope[[Role]:[Description]],2,FALSE)="In")</f>
        <v>1</v>
      </c>
      <c r="T1882" s="87">
        <f t="shared" si="119"/>
        <v>1</v>
      </c>
    </row>
    <row r="1883" spans="1:20">
      <c r="A1883" s="84" t="str">
        <f>Requirements!A1885</f>
        <v>MS-FSCC_R1094</v>
      </c>
      <c r="B1883" s="87"/>
      <c r="C1883" s="87"/>
      <c r="D1883" s="87"/>
      <c r="E1883" s="87"/>
      <c r="F1883" s="87"/>
      <c r="G1883" s="87"/>
      <c r="H1883" s="87"/>
      <c r="I1883" s="87"/>
      <c r="J1883" s="87"/>
      <c r="K1883" s="87"/>
      <c r="L1883" s="87"/>
      <c r="M1883" s="87">
        <v>1</v>
      </c>
      <c r="N1883" s="87">
        <f t="shared" si="116"/>
        <v>1</v>
      </c>
      <c r="O1883" s="60">
        <f t="shared" si="117"/>
        <v>1</v>
      </c>
      <c r="P1883" s="60" t="b">
        <f t="shared" si="118"/>
        <v>1</v>
      </c>
      <c r="Q1883" s="87" t="b">
        <f>(Requirements!K1885="Normative")</f>
        <v>1</v>
      </c>
      <c r="R1883" s="87" t="b">
        <f>AND(Requirements!L1885&lt;&gt;"Non-testable",Requirements!L1885&lt;&gt;"Deleted",Requirements!L1885&lt;&gt;"")</f>
        <v>1</v>
      </c>
      <c r="S1883" s="87" t="b">
        <f>(VLOOKUP(Requirements!I1885,Scope[[Role]:[Description]],2,FALSE)="In")</f>
        <v>1</v>
      </c>
      <c r="T1883" s="87">
        <f t="shared" si="119"/>
        <v>1</v>
      </c>
    </row>
    <row r="1884" spans="1:20">
      <c r="A1884" s="84" t="str">
        <f>Requirements!A1886</f>
        <v>MS-FSCC_R1095</v>
      </c>
      <c r="B1884" s="87"/>
      <c r="C1884" s="87"/>
      <c r="D1884" s="87"/>
      <c r="E1884" s="87"/>
      <c r="F1884" s="87"/>
      <c r="G1884" s="87"/>
      <c r="H1884" s="87"/>
      <c r="I1884" s="87"/>
      <c r="J1884" s="87"/>
      <c r="K1884" s="87"/>
      <c r="L1884" s="87"/>
      <c r="M1884" s="87">
        <v>1</v>
      </c>
      <c r="N1884" s="87">
        <f t="shared" si="116"/>
        <v>1</v>
      </c>
      <c r="O1884" s="60">
        <f t="shared" si="117"/>
        <v>1</v>
      </c>
      <c r="P1884" s="60" t="b">
        <f t="shared" si="118"/>
        <v>1</v>
      </c>
      <c r="Q1884" s="87" t="b">
        <f>(Requirements!K1886="Normative")</f>
        <v>1</v>
      </c>
      <c r="R1884" s="87" t="b">
        <f>AND(Requirements!L1886&lt;&gt;"Non-testable",Requirements!L1886&lt;&gt;"Deleted",Requirements!L1886&lt;&gt;"")</f>
        <v>1</v>
      </c>
      <c r="S1884" s="87" t="b">
        <f>(VLOOKUP(Requirements!I1886,Scope[[Role]:[Description]],2,FALSE)="In")</f>
        <v>1</v>
      </c>
      <c r="T1884" s="87">
        <f t="shared" si="119"/>
        <v>1</v>
      </c>
    </row>
    <row r="1885" spans="1:20">
      <c r="A1885" s="84" t="str">
        <f>Requirements!A1887</f>
        <v>MS-FSCC_R1096</v>
      </c>
      <c r="B1885" s="87"/>
      <c r="C1885" s="87"/>
      <c r="D1885" s="87"/>
      <c r="E1885" s="87"/>
      <c r="F1885" s="87"/>
      <c r="G1885" s="87"/>
      <c r="H1885" s="87"/>
      <c r="I1885" s="87"/>
      <c r="J1885" s="87"/>
      <c r="K1885" s="87"/>
      <c r="L1885" s="87"/>
      <c r="M1885" s="87">
        <v>1</v>
      </c>
      <c r="N1885" s="87">
        <f t="shared" si="116"/>
        <v>1</v>
      </c>
      <c r="O1885" s="60">
        <f t="shared" si="117"/>
        <v>1</v>
      </c>
      <c r="P1885" s="60" t="b">
        <f t="shared" si="118"/>
        <v>1</v>
      </c>
      <c r="Q1885" s="87" t="b">
        <f>(Requirements!K1887="Normative")</f>
        <v>1</v>
      </c>
      <c r="R1885" s="87" t="b">
        <f>AND(Requirements!L1887&lt;&gt;"Non-testable",Requirements!L1887&lt;&gt;"Deleted",Requirements!L1887&lt;&gt;"")</f>
        <v>1</v>
      </c>
      <c r="S1885" s="87" t="b">
        <f>(VLOOKUP(Requirements!I1887,Scope[[Role]:[Description]],2,FALSE)="In")</f>
        <v>1</v>
      </c>
      <c r="T1885" s="87">
        <f t="shared" si="119"/>
        <v>1</v>
      </c>
    </row>
    <row r="1886" spans="1:20">
      <c r="A1886" s="84" t="str">
        <f>Requirements!A1888</f>
        <v>MS-FSCC_R1103</v>
      </c>
      <c r="B1886" s="87"/>
      <c r="C1886" s="87"/>
      <c r="D1886" s="87"/>
      <c r="E1886" s="87"/>
      <c r="F1886" s="87"/>
      <c r="G1886" s="87"/>
      <c r="H1886" s="87"/>
      <c r="I1886" s="87"/>
      <c r="J1886" s="87"/>
      <c r="K1886" s="87"/>
      <c r="L1886" s="87"/>
      <c r="M1886" s="87">
        <v>1</v>
      </c>
      <c r="N1886" s="87">
        <f t="shared" si="116"/>
        <v>1</v>
      </c>
      <c r="O1886" s="60">
        <f t="shared" si="117"/>
        <v>1</v>
      </c>
      <c r="P1886" s="60" t="b">
        <f t="shared" si="118"/>
        <v>1</v>
      </c>
      <c r="Q1886" s="87" t="b">
        <f>(Requirements!K1888="Normative")</f>
        <v>1</v>
      </c>
      <c r="R1886" s="87" t="b">
        <f>AND(Requirements!L1888&lt;&gt;"Non-testable",Requirements!L1888&lt;&gt;"Deleted",Requirements!L1888&lt;&gt;"")</f>
        <v>1</v>
      </c>
      <c r="S1886" s="87" t="b">
        <f>(VLOOKUP(Requirements!I1888,Scope[[Role]:[Description]],2,FALSE)="In")</f>
        <v>1</v>
      </c>
      <c r="T1886" s="87">
        <f t="shared" si="119"/>
        <v>1</v>
      </c>
    </row>
    <row r="1887" spans="1:20">
      <c r="A1887" s="84" t="str">
        <f>Requirements!A1889</f>
        <v>MS-FSCC_R1106</v>
      </c>
      <c r="B1887" s="87"/>
      <c r="C1887" s="87"/>
      <c r="D1887" s="87"/>
      <c r="E1887" s="87"/>
      <c r="F1887" s="87"/>
      <c r="G1887" s="87"/>
      <c r="H1887" s="87"/>
      <c r="I1887" s="87"/>
      <c r="J1887" s="87"/>
      <c r="K1887" s="87"/>
      <c r="L1887" s="87"/>
      <c r="M1887" s="87">
        <v>1</v>
      </c>
      <c r="N1887" s="87">
        <f t="shared" si="116"/>
        <v>1</v>
      </c>
      <c r="O1887" s="60">
        <f t="shared" si="117"/>
        <v>1</v>
      </c>
      <c r="P1887" s="60" t="b">
        <f t="shared" si="118"/>
        <v>1</v>
      </c>
      <c r="Q1887" s="87" t="b">
        <f>(Requirements!K1889="Normative")</f>
        <v>1</v>
      </c>
      <c r="R1887" s="87" t="b">
        <f>AND(Requirements!L1889&lt;&gt;"Non-testable",Requirements!L1889&lt;&gt;"Deleted",Requirements!L1889&lt;&gt;"")</f>
        <v>1</v>
      </c>
      <c r="S1887" s="87" t="b">
        <f>(VLOOKUP(Requirements!I1889,Scope[[Role]:[Description]],2,FALSE)="In")</f>
        <v>1</v>
      </c>
      <c r="T1887" s="87">
        <f t="shared" si="119"/>
        <v>1</v>
      </c>
    </row>
    <row r="1888" spans="1:20">
      <c r="A1888" s="84" t="str">
        <f>Requirements!A1890</f>
        <v>MS-FSCC_R1109</v>
      </c>
      <c r="B1888" s="87"/>
      <c r="C1888" s="87"/>
      <c r="D1888" s="87"/>
      <c r="E1888" s="87"/>
      <c r="F1888" s="87"/>
      <c r="G1888" s="87"/>
      <c r="H1888" s="87"/>
      <c r="I1888" s="87"/>
      <c r="J1888" s="87"/>
      <c r="K1888" s="87"/>
      <c r="L1888" s="87"/>
      <c r="M1888" s="87">
        <v>1</v>
      </c>
      <c r="N1888" s="87">
        <f t="shared" si="116"/>
        <v>1</v>
      </c>
      <c r="O1888" s="60">
        <f t="shared" si="117"/>
        <v>1</v>
      </c>
      <c r="P1888" s="60" t="b">
        <f t="shared" si="118"/>
        <v>1</v>
      </c>
      <c r="Q1888" s="87" t="b">
        <f>(Requirements!K1890="Normative")</f>
        <v>1</v>
      </c>
      <c r="R1888" s="87" t="b">
        <f>AND(Requirements!L1890&lt;&gt;"Non-testable",Requirements!L1890&lt;&gt;"Deleted",Requirements!L1890&lt;&gt;"")</f>
        <v>1</v>
      </c>
      <c r="S1888" s="87" t="b">
        <f>(VLOOKUP(Requirements!I1890,Scope[[Role]:[Description]],2,FALSE)="In")</f>
        <v>1</v>
      </c>
      <c r="T1888" s="87">
        <f t="shared" si="119"/>
        <v>1</v>
      </c>
    </row>
    <row r="1889" spans="1:20">
      <c r="A1889" s="84" t="str">
        <f>Requirements!A1891</f>
        <v>MS-FSCC_R1114</v>
      </c>
      <c r="B1889" s="87"/>
      <c r="C1889" s="87"/>
      <c r="D1889" s="87"/>
      <c r="E1889" s="87"/>
      <c r="F1889" s="87"/>
      <c r="G1889" s="87"/>
      <c r="H1889" s="87"/>
      <c r="I1889" s="87"/>
      <c r="J1889" s="87"/>
      <c r="K1889" s="87"/>
      <c r="L1889" s="87"/>
      <c r="M1889" s="87">
        <v>1</v>
      </c>
      <c r="N1889" s="87">
        <f t="shared" si="116"/>
        <v>1</v>
      </c>
      <c r="O1889" s="60">
        <f t="shared" si="117"/>
        <v>1</v>
      </c>
      <c r="P1889" s="60" t="b">
        <f t="shared" si="118"/>
        <v>1</v>
      </c>
      <c r="Q1889" s="87" t="b">
        <f>(Requirements!K1891="Normative")</f>
        <v>1</v>
      </c>
      <c r="R1889" s="87" t="b">
        <f>AND(Requirements!L1891&lt;&gt;"Non-testable",Requirements!L1891&lt;&gt;"Deleted",Requirements!L1891&lt;&gt;"")</f>
        <v>1</v>
      </c>
      <c r="S1889" s="87" t="b">
        <f>(VLOOKUP(Requirements!I1891,Scope[[Role]:[Description]],2,FALSE)="In")</f>
        <v>1</v>
      </c>
      <c r="T1889" s="87">
        <f t="shared" si="119"/>
        <v>1</v>
      </c>
    </row>
    <row r="1890" spans="1:20">
      <c r="A1890" s="84" t="str">
        <f>Requirements!A1892</f>
        <v>MS-FSCC_R1157</v>
      </c>
      <c r="B1890" s="87"/>
      <c r="C1890" s="87"/>
      <c r="D1890" s="87"/>
      <c r="E1890" s="87"/>
      <c r="F1890" s="87"/>
      <c r="G1890" s="87"/>
      <c r="H1890" s="87"/>
      <c r="I1890" s="87"/>
      <c r="J1890" s="87"/>
      <c r="K1890" s="87"/>
      <c r="L1890" s="87"/>
      <c r="M1890" s="87">
        <v>1</v>
      </c>
      <c r="N1890" s="87">
        <f t="shared" si="116"/>
        <v>1</v>
      </c>
      <c r="O1890" s="60">
        <f t="shared" si="117"/>
        <v>1</v>
      </c>
      <c r="P1890" s="60" t="b">
        <f t="shared" si="118"/>
        <v>1</v>
      </c>
      <c r="Q1890" s="87" t="b">
        <f>(Requirements!K1892="Normative")</f>
        <v>1</v>
      </c>
      <c r="R1890" s="87" t="b">
        <f>AND(Requirements!L1892&lt;&gt;"Non-testable",Requirements!L1892&lt;&gt;"Deleted",Requirements!L1892&lt;&gt;"")</f>
        <v>1</v>
      </c>
      <c r="S1890" s="87" t="b">
        <f>(VLOOKUP(Requirements!I1892,Scope[[Role]:[Description]],2,FALSE)="In")</f>
        <v>1</v>
      </c>
      <c r="T1890" s="87">
        <f t="shared" si="119"/>
        <v>1</v>
      </c>
    </row>
    <row r="1891" spans="1:20">
      <c r="A1891" s="84" t="str">
        <f>Requirements!A1893</f>
        <v>MS-FSCC_R1362</v>
      </c>
      <c r="B1891" s="87"/>
      <c r="C1891" s="87"/>
      <c r="D1891" s="87"/>
      <c r="E1891" s="87"/>
      <c r="F1891" s="87"/>
      <c r="G1891" s="87"/>
      <c r="H1891" s="87"/>
      <c r="I1891" s="87"/>
      <c r="J1891" s="87"/>
      <c r="K1891" s="87"/>
      <c r="L1891" s="87"/>
      <c r="M1891" s="87">
        <v>1</v>
      </c>
      <c r="N1891" s="87">
        <f t="shared" si="116"/>
        <v>1</v>
      </c>
      <c r="O1891" s="60">
        <f t="shared" si="117"/>
        <v>1</v>
      </c>
      <c r="P1891" s="60" t="b">
        <f t="shared" si="118"/>
        <v>1</v>
      </c>
      <c r="Q1891" s="87" t="b">
        <f>(Requirements!K1893="Normative")</f>
        <v>1</v>
      </c>
      <c r="R1891" s="87" t="b">
        <f>AND(Requirements!L1893&lt;&gt;"Non-testable",Requirements!L1893&lt;&gt;"Deleted",Requirements!L1893&lt;&gt;"")</f>
        <v>1</v>
      </c>
      <c r="S1891" s="87" t="b">
        <f>(VLOOKUP(Requirements!I1893,Scope[[Role]:[Description]],2,FALSE)="In")</f>
        <v>1</v>
      </c>
      <c r="T1891" s="87">
        <f t="shared" si="119"/>
        <v>1</v>
      </c>
    </row>
    <row r="1892" spans="1:20">
      <c r="A1892" s="84" t="str">
        <f>Requirements!A1894</f>
        <v>MS-FSCC_R1363</v>
      </c>
      <c r="B1892" s="87"/>
      <c r="C1892" s="87"/>
      <c r="D1892" s="87"/>
      <c r="E1892" s="87"/>
      <c r="F1892" s="87"/>
      <c r="G1892" s="87"/>
      <c r="H1892" s="87"/>
      <c r="I1892" s="87"/>
      <c r="J1892" s="87"/>
      <c r="K1892" s="87"/>
      <c r="L1892" s="87"/>
      <c r="M1892" s="87">
        <v>1</v>
      </c>
      <c r="N1892" s="87">
        <f t="shared" si="116"/>
        <v>1</v>
      </c>
      <c r="O1892" s="60">
        <f t="shared" si="117"/>
        <v>1</v>
      </c>
      <c r="P1892" s="60" t="b">
        <f t="shared" si="118"/>
        <v>1</v>
      </c>
      <c r="Q1892" s="87" t="b">
        <f>(Requirements!K1894="Normative")</f>
        <v>1</v>
      </c>
      <c r="R1892" s="87" t="b">
        <f>AND(Requirements!L1894&lt;&gt;"Non-testable",Requirements!L1894&lt;&gt;"Deleted",Requirements!L1894&lt;&gt;"")</f>
        <v>1</v>
      </c>
      <c r="S1892" s="87" t="b">
        <f>(VLOOKUP(Requirements!I1894,Scope[[Role]:[Description]],2,FALSE)="In")</f>
        <v>1</v>
      </c>
      <c r="T1892" s="87">
        <f t="shared" si="119"/>
        <v>1</v>
      </c>
    </row>
    <row r="1893" spans="1:20">
      <c r="A1893" s="84" t="str">
        <f>Requirements!A1895</f>
        <v>MS-FSCC_R1365</v>
      </c>
      <c r="B1893" s="87"/>
      <c r="C1893" s="87"/>
      <c r="D1893" s="87"/>
      <c r="E1893" s="87"/>
      <c r="F1893" s="87"/>
      <c r="G1893" s="87"/>
      <c r="H1893" s="87"/>
      <c r="I1893" s="87"/>
      <c r="J1893" s="87"/>
      <c r="K1893" s="87"/>
      <c r="L1893" s="87"/>
      <c r="M1893" s="87">
        <v>1</v>
      </c>
      <c r="N1893" s="87">
        <f t="shared" si="116"/>
        <v>1</v>
      </c>
      <c r="O1893" s="60">
        <f t="shared" si="117"/>
        <v>1</v>
      </c>
      <c r="P1893" s="60" t="b">
        <f t="shared" si="118"/>
        <v>1</v>
      </c>
      <c r="Q1893" s="87" t="b">
        <f>(Requirements!K1895="Normative")</f>
        <v>1</v>
      </c>
      <c r="R1893" s="87" t="b">
        <f>AND(Requirements!L1895&lt;&gt;"Non-testable",Requirements!L1895&lt;&gt;"Deleted",Requirements!L1895&lt;&gt;"")</f>
        <v>1</v>
      </c>
      <c r="S1893" s="87" t="b">
        <f>(VLOOKUP(Requirements!I1895,Scope[[Role]:[Description]],2,FALSE)="In")</f>
        <v>1</v>
      </c>
      <c r="T1893" s="87">
        <f t="shared" si="119"/>
        <v>1</v>
      </c>
    </row>
    <row r="1894" spans="1:20">
      <c r="A1894" s="84" t="str">
        <f>Requirements!A1896</f>
        <v>MS-FSCC_R1402</v>
      </c>
      <c r="B1894" s="87"/>
      <c r="C1894" s="87"/>
      <c r="D1894" s="87"/>
      <c r="E1894" s="87"/>
      <c r="F1894" s="87"/>
      <c r="G1894" s="87"/>
      <c r="H1894" s="87"/>
      <c r="I1894" s="87"/>
      <c r="J1894" s="87"/>
      <c r="K1894" s="87"/>
      <c r="L1894" s="87"/>
      <c r="M1894" s="87">
        <v>1</v>
      </c>
      <c r="N1894" s="87">
        <f t="shared" si="116"/>
        <v>1</v>
      </c>
      <c r="O1894" s="60">
        <f t="shared" si="117"/>
        <v>1</v>
      </c>
      <c r="P1894" s="60" t="b">
        <f t="shared" si="118"/>
        <v>1</v>
      </c>
      <c r="Q1894" s="87" t="b">
        <f>(Requirements!K1896="Normative")</f>
        <v>1</v>
      </c>
      <c r="R1894" s="87" t="b">
        <f>AND(Requirements!L1896&lt;&gt;"Non-testable",Requirements!L1896&lt;&gt;"Deleted",Requirements!L1896&lt;&gt;"")</f>
        <v>1</v>
      </c>
      <c r="S1894" s="87" t="b">
        <f>(VLOOKUP(Requirements!I1896,Scope[[Role]:[Description]],2,FALSE)="In")</f>
        <v>1</v>
      </c>
      <c r="T1894" s="87">
        <f t="shared" si="119"/>
        <v>1</v>
      </c>
    </row>
    <row r="1895" spans="1:20">
      <c r="A1895" s="84" t="str">
        <f>Requirements!A1897</f>
        <v>MS-FSCC_R1412</v>
      </c>
      <c r="B1895" s="87"/>
      <c r="C1895" s="87"/>
      <c r="D1895" s="87"/>
      <c r="E1895" s="87"/>
      <c r="F1895" s="87"/>
      <c r="G1895" s="87"/>
      <c r="H1895" s="87"/>
      <c r="I1895" s="87"/>
      <c r="J1895" s="87"/>
      <c r="K1895" s="87"/>
      <c r="L1895" s="87"/>
      <c r="M1895" s="87">
        <v>1</v>
      </c>
      <c r="N1895" s="87">
        <f t="shared" si="116"/>
        <v>1</v>
      </c>
      <c r="O1895" s="60">
        <f t="shared" si="117"/>
        <v>1</v>
      </c>
      <c r="P1895" s="60" t="b">
        <f t="shared" si="118"/>
        <v>1</v>
      </c>
      <c r="Q1895" s="87" t="b">
        <f>(Requirements!K1897="Normative")</f>
        <v>1</v>
      </c>
      <c r="R1895" s="87" t="b">
        <f>AND(Requirements!L1897&lt;&gt;"Non-testable",Requirements!L1897&lt;&gt;"Deleted",Requirements!L1897&lt;&gt;"")</f>
        <v>1</v>
      </c>
      <c r="S1895" s="87" t="b">
        <f>(VLOOKUP(Requirements!I1897,Scope[[Role]:[Description]],2,FALSE)="In")</f>
        <v>1</v>
      </c>
      <c r="T1895" s="87">
        <f t="shared" si="119"/>
        <v>1</v>
      </c>
    </row>
    <row r="1896" spans="1:20">
      <c r="A1896" s="84" t="str">
        <f>Requirements!A1898</f>
        <v>MS-FSCC_R1413</v>
      </c>
      <c r="B1896" s="87"/>
      <c r="C1896" s="87"/>
      <c r="D1896" s="87"/>
      <c r="E1896" s="87"/>
      <c r="F1896" s="87"/>
      <c r="G1896" s="87"/>
      <c r="H1896" s="87"/>
      <c r="I1896" s="87"/>
      <c r="J1896" s="87"/>
      <c r="K1896" s="87"/>
      <c r="L1896" s="87"/>
      <c r="M1896" s="87">
        <v>1</v>
      </c>
      <c r="N1896" s="87">
        <f t="shared" si="116"/>
        <v>1</v>
      </c>
      <c r="O1896" s="60">
        <f t="shared" si="117"/>
        <v>1</v>
      </c>
      <c r="P1896" s="60" t="b">
        <f t="shared" si="118"/>
        <v>1</v>
      </c>
      <c r="Q1896" s="87" t="b">
        <f>(Requirements!K1898="Normative")</f>
        <v>1</v>
      </c>
      <c r="R1896" s="87" t="b">
        <f>AND(Requirements!L1898&lt;&gt;"Non-testable",Requirements!L1898&lt;&gt;"Deleted",Requirements!L1898&lt;&gt;"")</f>
        <v>1</v>
      </c>
      <c r="S1896" s="87" t="b">
        <f>(VLOOKUP(Requirements!I1898,Scope[[Role]:[Description]],2,FALSE)="In")</f>
        <v>1</v>
      </c>
      <c r="T1896" s="87">
        <f t="shared" si="119"/>
        <v>1</v>
      </c>
    </row>
    <row r="1897" spans="1:20">
      <c r="A1897" s="84" t="str">
        <f>Requirements!A1899</f>
        <v>MS-FSCC_R1434</v>
      </c>
      <c r="B1897" s="87"/>
      <c r="C1897" s="87"/>
      <c r="D1897" s="87"/>
      <c r="E1897" s="87"/>
      <c r="F1897" s="87"/>
      <c r="G1897" s="87"/>
      <c r="H1897" s="87"/>
      <c r="I1897" s="87"/>
      <c r="J1897" s="87"/>
      <c r="K1897" s="87"/>
      <c r="L1897" s="87"/>
      <c r="M1897" s="87">
        <v>1</v>
      </c>
      <c r="N1897" s="87">
        <f t="shared" si="116"/>
        <v>1</v>
      </c>
      <c r="O1897" s="60">
        <f t="shared" si="117"/>
        <v>1</v>
      </c>
      <c r="P1897" s="60" t="b">
        <f t="shared" si="118"/>
        <v>1</v>
      </c>
      <c r="Q1897" s="87" t="b">
        <f>(Requirements!K1899="Normative")</f>
        <v>1</v>
      </c>
      <c r="R1897" s="87" t="b">
        <f>AND(Requirements!L1899&lt;&gt;"Non-testable",Requirements!L1899&lt;&gt;"Deleted",Requirements!L1899&lt;&gt;"")</f>
        <v>1</v>
      </c>
      <c r="S1897" s="87" t="b">
        <f>(VLOOKUP(Requirements!I1899,Scope[[Role]:[Description]],2,FALSE)="In")</f>
        <v>1</v>
      </c>
      <c r="T1897" s="87">
        <f t="shared" si="119"/>
        <v>1</v>
      </c>
    </row>
    <row r="1898" spans="1:20">
      <c r="A1898" s="84" t="str">
        <f>Requirements!A1900</f>
        <v>MS-FSCC_R1435</v>
      </c>
      <c r="B1898" s="87"/>
      <c r="C1898" s="87"/>
      <c r="D1898" s="87"/>
      <c r="E1898" s="87"/>
      <c r="F1898" s="87"/>
      <c r="G1898" s="87"/>
      <c r="H1898" s="87"/>
      <c r="I1898" s="87"/>
      <c r="J1898" s="87"/>
      <c r="K1898" s="87"/>
      <c r="L1898" s="87"/>
      <c r="M1898" s="87">
        <v>1</v>
      </c>
      <c r="N1898" s="87">
        <f t="shared" si="116"/>
        <v>1</v>
      </c>
      <c r="O1898" s="60">
        <f t="shared" si="117"/>
        <v>1</v>
      </c>
      <c r="P1898" s="60" t="b">
        <f t="shared" si="118"/>
        <v>1</v>
      </c>
      <c r="Q1898" s="87" t="b">
        <f>(Requirements!K1900="Normative")</f>
        <v>1</v>
      </c>
      <c r="R1898" s="87" t="b">
        <f>AND(Requirements!L1900&lt;&gt;"Non-testable",Requirements!L1900&lt;&gt;"Deleted",Requirements!L1900&lt;&gt;"")</f>
        <v>1</v>
      </c>
      <c r="S1898" s="87" t="b">
        <f>(VLOOKUP(Requirements!I1900,Scope[[Role]:[Description]],2,FALSE)="In")</f>
        <v>1</v>
      </c>
      <c r="T1898" s="87">
        <f t="shared" si="119"/>
        <v>1</v>
      </c>
    </row>
    <row r="1899" spans="1:20">
      <c r="A1899" s="84" t="str">
        <f>Requirements!A1901</f>
        <v>MS-FSCC_R1437</v>
      </c>
      <c r="B1899" s="87"/>
      <c r="C1899" s="87"/>
      <c r="D1899" s="87"/>
      <c r="E1899" s="87"/>
      <c r="F1899" s="87"/>
      <c r="G1899" s="87"/>
      <c r="H1899" s="87"/>
      <c r="I1899" s="87"/>
      <c r="J1899" s="87"/>
      <c r="K1899" s="87"/>
      <c r="L1899" s="87"/>
      <c r="M1899" s="87">
        <v>1</v>
      </c>
      <c r="N1899" s="87">
        <f t="shared" si="116"/>
        <v>1</v>
      </c>
      <c r="O1899" s="60">
        <f t="shared" si="117"/>
        <v>1</v>
      </c>
      <c r="P1899" s="60" t="b">
        <f t="shared" si="118"/>
        <v>1</v>
      </c>
      <c r="Q1899" s="87" t="b">
        <f>(Requirements!K1901="Normative")</f>
        <v>1</v>
      </c>
      <c r="R1899" s="87" t="b">
        <f>AND(Requirements!L1901&lt;&gt;"Non-testable",Requirements!L1901&lt;&gt;"Deleted",Requirements!L1901&lt;&gt;"")</f>
        <v>1</v>
      </c>
      <c r="S1899" s="87" t="b">
        <f>(VLOOKUP(Requirements!I1901,Scope[[Role]:[Description]],2,FALSE)="In")</f>
        <v>1</v>
      </c>
      <c r="T1899" s="87">
        <f t="shared" si="119"/>
        <v>1</v>
      </c>
    </row>
    <row r="1900" spans="1:20">
      <c r="A1900" s="84" t="str">
        <f>Requirements!A1902</f>
        <v>MS-FSCC_R1439</v>
      </c>
      <c r="B1900" s="87"/>
      <c r="C1900" s="87"/>
      <c r="D1900" s="87"/>
      <c r="E1900" s="87"/>
      <c r="F1900" s="87"/>
      <c r="G1900" s="87"/>
      <c r="H1900" s="87"/>
      <c r="I1900" s="87"/>
      <c r="J1900" s="87"/>
      <c r="K1900" s="87"/>
      <c r="L1900" s="87"/>
      <c r="M1900" s="87">
        <v>1</v>
      </c>
      <c r="N1900" s="87">
        <f t="shared" si="116"/>
        <v>1</v>
      </c>
      <c r="O1900" s="60">
        <f t="shared" si="117"/>
        <v>1</v>
      </c>
      <c r="P1900" s="60" t="b">
        <f t="shared" si="118"/>
        <v>1</v>
      </c>
      <c r="Q1900" s="87" t="b">
        <f>(Requirements!K1902="Normative")</f>
        <v>1</v>
      </c>
      <c r="R1900" s="87" t="b">
        <f>AND(Requirements!L1902&lt;&gt;"Non-testable",Requirements!L1902&lt;&gt;"Deleted",Requirements!L1902&lt;&gt;"")</f>
        <v>1</v>
      </c>
      <c r="S1900" s="87" t="b">
        <f>(VLOOKUP(Requirements!I1902,Scope[[Role]:[Description]],2,FALSE)="In")</f>
        <v>1</v>
      </c>
      <c r="T1900" s="87">
        <f t="shared" si="119"/>
        <v>1</v>
      </c>
    </row>
    <row r="1901" spans="1:20">
      <c r="A1901" s="84" t="str">
        <f>Requirements!A1903</f>
        <v>MS-FSCC_R1441</v>
      </c>
      <c r="B1901" s="87"/>
      <c r="C1901" s="87"/>
      <c r="D1901" s="87"/>
      <c r="E1901" s="87"/>
      <c r="F1901" s="87"/>
      <c r="G1901" s="87"/>
      <c r="H1901" s="87"/>
      <c r="I1901" s="87"/>
      <c r="J1901" s="87"/>
      <c r="K1901" s="87"/>
      <c r="L1901" s="87"/>
      <c r="M1901" s="87">
        <v>1</v>
      </c>
      <c r="N1901" s="87">
        <f t="shared" si="116"/>
        <v>1</v>
      </c>
      <c r="O1901" s="60">
        <f t="shared" si="117"/>
        <v>1</v>
      </c>
      <c r="P1901" s="60" t="b">
        <f t="shared" si="118"/>
        <v>1</v>
      </c>
      <c r="Q1901" s="87" t="b">
        <f>(Requirements!K1903="Normative")</f>
        <v>1</v>
      </c>
      <c r="R1901" s="87" t="b">
        <f>AND(Requirements!L1903&lt;&gt;"Non-testable",Requirements!L1903&lt;&gt;"Deleted",Requirements!L1903&lt;&gt;"")</f>
        <v>1</v>
      </c>
      <c r="S1901" s="87" t="b">
        <f>(VLOOKUP(Requirements!I1903,Scope[[Role]:[Description]],2,FALSE)="In")</f>
        <v>1</v>
      </c>
      <c r="T1901" s="87">
        <f t="shared" si="119"/>
        <v>1</v>
      </c>
    </row>
    <row r="1902" spans="1:20">
      <c r="A1902" s="84" t="str">
        <f>Requirements!A1904</f>
        <v>MS-FSCC_R1442</v>
      </c>
      <c r="B1902" s="87"/>
      <c r="C1902" s="87"/>
      <c r="D1902" s="87"/>
      <c r="E1902" s="87"/>
      <c r="F1902" s="87"/>
      <c r="G1902" s="87"/>
      <c r="H1902" s="87"/>
      <c r="I1902" s="87"/>
      <c r="J1902" s="87"/>
      <c r="K1902" s="87"/>
      <c r="L1902" s="87"/>
      <c r="M1902" s="87">
        <v>1</v>
      </c>
      <c r="N1902" s="87">
        <f t="shared" si="116"/>
        <v>1</v>
      </c>
      <c r="O1902" s="60">
        <f t="shared" si="117"/>
        <v>1</v>
      </c>
      <c r="P1902" s="60" t="b">
        <f t="shared" si="118"/>
        <v>1</v>
      </c>
      <c r="Q1902" s="87" t="b">
        <f>(Requirements!K1904="Normative")</f>
        <v>1</v>
      </c>
      <c r="R1902" s="87" t="b">
        <f>AND(Requirements!L1904&lt;&gt;"Non-testable",Requirements!L1904&lt;&gt;"Deleted",Requirements!L1904&lt;&gt;"")</f>
        <v>1</v>
      </c>
      <c r="S1902" s="87" t="b">
        <f>(VLOOKUP(Requirements!I1904,Scope[[Role]:[Description]],2,FALSE)="In")</f>
        <v>1</v>
      </c>
      <c r="T1902" s="87">
        <f t="shared" si="119"/>
        <v>1</v>
      </c>
    </row>
    <row r="1903" spans="1:20">
      <c r="A1903" s="84" t="str">
        <f>Requirements!A1905</f>
        <v>MS-FSCC_R1444</v>
      </c>
      <c r="B1903" s="87"/>
      <c r="C1903" s="87"/>
      <c r="D1903" s="87"/>
      <c r="E1903" s="87"/>
      <c r="F1903" s="87"/>
      <c r="G1903" s="87"/>
      <c r="H1903" s="87"/>
      <c r="I1903" s="87"/>
      <c r="J1903" s="87"/>
      <c r="K1903" s="87"/>
      <c r="L1903" s="87"/>
      <c r="M1903" s="87">
        <v>1</v>
      </c>
      <c r="N1903" s="87">
        <f t="shared" si="116"/>
        <v>1</v>
      </c>
      <c r="O1903" s="60">
        <f t="shared" si="117"/>
        <v>1</v>
      </c>
      <c r="P1903" s="60" t="b">
        <f t="shared" si="118"/>
        <v>1</v>
      </c>
      <c r="Q1903" s="87" t="b">
        <f>(Requirements!K1905="Normative")</f>
        <v>1</v>
      </c>
      <c r="R1903" s="87" t="b">
        <f>AND(Requirements!L1905&lt;&gt;"Non-testable",Requirements!L1905&lt;&gt;"Deleted",Requirements!L1905&lt;&gt;"")</f>
        <v>1</v>
      </c>
      <c r="S1903" s="87" t="b">
        <f>(VLOOKUP(Requirements!I1905,Scope[[Role]:[Description]],2,FALSE)="In")</f>
        <v>1</v>
      </c>
      <c r="T1903" s="87">
        <f t="shared" si="119"/>
        <v>1</v>
      </c>
    </row>
    <row r="1904" spans="1:20">
      <c r="A1904" s="84" t="str">
        <f>Requirements!A1906</f>
        <v>MS-FSCC_R1445</v>
      </c>
      <c r="B1904" s="87"/>
      <c r="C1904" s="87"/>
      <c r="D1904" s="87"/>
      <c r="E1904" s="87"/>
      <c r="F1904" s="87"/>
      <c r="G1904" s="87"/>
      <c r="H1904" s="87"/>
      <c r="I1904" s="87"/>
      <c r="J1904" s="87"/>
      <c r="K1904" s="87"/>
      <c r="L1904" s="87"/>
      <c r="M1904" s="87">
        <v>1</v>
      </c>
      <c r="N1904" s="87">
        <f t="shared" si="116"/>
        <v>1</v>
      </c>
      <c r="O1904" s="60">
        <f t="shared" si="117"/>
        <v>1</v>
      </c>
      <c r="P1904" s="60" t="b">
        <f t="shared" si="118"/>
        <v>1</v>
      </c>
      <c r="Q1904" s="87" t="b">
        <f>(Requirements!K1906="Normative")</f>
        <v>1</v>
      </c>
      <c r="R1904" s="87" t="b">
        <f>AND(Requirements!L1906&lt;&gt;"Non-testable",Requirements!L1906&lt;&gt;"Deleted",Requirements!L1906&lt;&gt;"")</f>
        <v>1</v>
      </c>
      <c r="S1904" s="87" t="b">
        <f>(VLOOKUP(Requirements!I1906,Scope[[Role]:[Description]],2,FALSE)="In")</f>
        <v>1</v>
      </c>
      <c r="T1904" s="87">
        <f t="shared" si="119"/>
        <v>1</v>
      </c>
    </row>
    <row r="1905" spans="1:20">
      <c r="A1905" s="84" t="str">
        <f>Requirements!A1907</f>
        <v>MS-FSCC_R1447</v>
      </c>
      <c r="B1905" s="87"/>
      <c r="C1905" s="87"/>
      <c r="D1905" s="87"/>
      <c r="E1905" s="87"/>
      <c r="F1905" s="87"/>
      <c r="G1905" s="87"/>
      <c r="H1905" s="87"/>
      <c r="I1905" s="87"/>
      <c r="J1905" s="87"/>
      <c r="K1905" s="87"/>
      <c r="L1905" s="87"/>
      <c r="M1905" s="87">
        <v>1</v>
      </c>
      <c r="N1905" s="87">
        <f t="shared" si="116"/>
        <v>1</v>
      </c>
      <c r="O1905" s="60">
        <f t="shared" si="117"/>
        <v>1</v>
      </c>
      <c r="P1905" s="60" t="b">
        <f t="shared" si="118"/>
        <v>1</v>
      </c>
      <c r="Q1905" s="87" t="b">
        <f>(Requirements!K1907="Normative")</f>
        <v>1</v>
      </c>
      <c r="R1905" s="87" t="b">
        <f>AND(Requirements!L1907&lt;&gt;"Non-testable",Requirements!L1907&lt;&gt;"Deleted",Requirements!L1907&lt;&gt;"")</f>
        <v>1</v>
      </c>
      <c r="S1905" s="87" t="b">
        <f>(VLOOKUP(Requirements!I1907,Scope[[Role]:[Description]],2,FALSE)="In")</f>
        <v>1</v>
      </c>
      <c r="T1905" s="87">
        <f t="shared" si="119"/>
        <v>1</v>
      </c>
    </row>
    <row r="1906" spans="1:20">
      <c r="A1906" s="84" t="str">
        <f>Requirements!A1908</f>
        <v>MS-FSCC_R1448</v>
      </c>
      <c r="B1906" s="87"/>
      <c r="C1906" s="87"/>
      <c r="D1906" s="87"/>
      <c r="E1906" s="87"/>
      <c r="F1906" s="87"/>
      <c r="G1906" s="87"/>
      <c r="H1906" s="87"/>
      <c r="I1906" s="87"/>
      <c r="J1906" s="87"/>
      <c r="K1906" s="87"/>
      <c r="L1906" s="87"/>
      <c r="M1906" s="87">
        <v>1</v>
      </c>
      <c r="N1906" s="87">
        <f t="shared" si="116"/>
        <v>1</v>
      </c>
      <c r="O1906" s="60">
        <f t="shared" si="117"/>
        <v>1</v>
      </c>
      <c r="P1906" s="60" t="b">
        <f t="shared" si="118"/>
        <v>1</v>
      </c>
      <c r="Q1906" s="87" t="b">
        <f>(Requirements!K1908="Normative")</f>
        <v>1</v>
      </c>
      <c r="R1906" s="87" t="b">
        <f>AND(Requirements!L1908&lt;&gt;"Non-testable",Requirements!L1908&lt;&gt;"Deleted",Requirements!L1908&lt;&gt;"")</f>
        <v>1</v>
      </c>
      <c r="S1906" s="87" t="b">
        <f>(VLOOKUP(Requirements!I1908,Scope[[Role]:[Description]],2,FALSE)="In")</f>
        <v>1</v>
      </c>
      <c r="T1906" s="87">
        <f t="shared" si="119"/>
        <v>1</v>
      </c>
    </row>
    <row r="1907" spans="1:20">
      <c r="A1907" s="84" t="str">
        <f>Requirements!A1909</f>
        <v>MS-FSCC_R1449</v>
      </c>
      <c r="B1907" s="87"/>
      <c r="C1907" s="87"/>
      <c r="D1907" s="87"/>
      <c r="E1907" s="87"/>
      <c r="F1907" s="87"/>
      <c r="G1907" s="87"/>
      <c r="H1907" s="87"/>
      <c r="I1907" s="87"/>
      <c r="J1907" s="87"/>
      <c r="K1907" s="87"/>
      <c r="L1907" s="87"/>
      <c r="M1907" s="87">
        <v>1</v>
      </c>
      <c r="N1907" s="87">
        <f t="shared" si="116"/>
        <v>1</v>
      </c>
      <c r="O1907" s="60">
        <f t="shared" si="117"/>
        <v>1</v>
      </c>
      <c r="P1907" s="60" t="b">
        <f t="shared" si="118"/>
        <v>1</v>
      </c>
      <c r="Q1907" s="87" t="b">
        <f>(Requirements!K1909="Normative")</f>
        <v>1</v>
      </c>
      <c r="R1907" s="87" t="b">
        <f>AND(Requirements!L1909&lt;&gt;"Non-testable",Requirements!L1909&lt;&gt;"Deleted",Requirements!L1909&lt;&gt;"")</f>
        <v>1</v>
      </c>
      <c r="S1907" s="87" t="b">
        <f>(VLOOKUP(Requirements!I1909,Scope[[Role]:[Description]],2,FALSE)="In")</f>
        <v>1</v>
      </c>
      <c r="T1907" s="87">
        <f t="shared" si="119"/>
        <v>1</v>
      </c>
    </row>
    <row r="1908" spans="1:20">
      <c r="A1908" s="84" t="str">
        <f>Requirements!A1910</f>
        <v>MS-FSCC_R1451</v>
      </c>
      <c r="B1908" s="87"/>
      <c r="C1908" s="87"/>
      <c r="D1908" s="87"/>
      <c r="E1908" s="87"/>
      <c r="F1908" s="87"/>
      <c r="G1908" s="87"/>
      <c r="H1908" s="87"/>
      <c r="I1908" s="87"/>
      <c r="J1908" s="87"/>
      <c r="K1908" s="87"/>
      <c r="L1908" s="87"/>
      <c r="M1908" s="87">
        <v>1</v>
      </c>
      <c r="N1908" s="87">
        <f t="shared" si="116"/>
        <v>1</v>
      </c>
      <c r="O1908" s="60">
        <f t="shared" si="117"/>
        <v>1</v>
      </c>
      <c r="P1908" s="60" t="b">
        <f t="shared" si="118"/>
        <v>1</v>
      </c>
      <c r="Q1908" s="87" t="b">
        <f>(Requirements!K1910="Normative")</f>
        <v>1</v>
      </c>
      <c r="R1908" s="87" t="b">
        <f>AND(Requirements!L1910&lt;&gt;"Non-testable",Requirements!L1910&lt;&gt;"Deleted",Requirements!L1910&lt;&gt;"")</f>
        <v>1</v>
      </c>
      <c r="S1908" s="87" t="b">
        <f>(VLOOKUP(Requirements!I1910,Scope[[Role]:[Description]],2,FALSE)="In")</f>
        <v>1</v>
      </c>
      <c r="T1908" s="87">
        <f t="shared" si="119"/>
        <v>1</v>
      </c>
    </row>
    <row r="1909" spans="1:20">
      <c r="A1909" s="84" t="str">
        <f>Requirements!A1911</f>
        <v>MS-FSCC_R1531</v>
      </c>
      <c r="B1909" s="87"/>
      <c r="C1909" s="87"/>
      <c r="D1909" s="87"/>
      <c r="E1909" s="87"/>
      <c r="F1909" s="87"/>
      <c r="G1909" s="87"/>
      <c r="H1909" s="87"/>
      <c r="I1909" s="87"/>
      <c r="J1909" s="87"/>
      <c r="K1909" s="87"/>
      <c r="L1909" s="87"/>
      <c r="M1909" s="87">
        <v>1</v>
      </c>
      <c r="N1909" s="87">
        <f t="shared" si="116"/>
        <v>1</v>
      </c>
      <c r="O1909" s="60">
        <f t="shared" si="117"/>
        <v>1</v>
      </c>
      <c r="P1909" s="60" t="b">
        <f t="shared" si="118"/>
        <v>1</v>
      </c>
      <c r="Q1909" s="87" t="b">
        <f>(Requirements!K1911="Normative")</f>
        <v>1</v>
      </c>
      <c r="R1909" s="87" t="b">
        <f>AND(Requirements!L1911&lt;&gt;"Non-testable",Requirements!L1911&lt;&gt;"Deleted",Requirements!L1911&lt;&gt;"")</f>
        <v>1</v>
      </c>
      <c r="S1909" s="87" t="b">
        <f>(VLOOKUP(Requirements!I1911,Scope[[Role]:[Description]],2,FALSE)="In")</f>
        <v>1</v>
      </c>
      <c r="T1909" s="87">
        <f t="shared" si="119"/>
        <v>1</v>
      </c>
    </row>
    <row r="1910" spans="1:20">
      <c r="A1910" s="84" t="str">
        <f>Requirements!A1912</f>
        <v>MS-FSCC_R1624</v>
      </c>
      <c r="B1910" s="87"/>
      <c r="C1910" s="87"/>
      <c r="D1910" s="87"/>
      <c r="E1910" s="87"/>
      <c r="F1910" s="87"/>
      <c r="G1910" s="87"/>
      <c r="H1910" s="87"/>
      <c r="I1910" s="87"/>
      <c r="J1910" s="87"/>
      <c r="K1910" s="87"/>
      <c r="L1910" s="87"/>
      <c r="M1910" s="87">
        <v>1</v>
      </c>
      <c r="N1910" s="87">
        <f t="shared" si="116"/>
        <v>1</v>
      </c>
      <c r="O1910" s="60">
        <f t="shared" si="117"/>
        <v>1</v>
      </c>
      <c r="P1910" s="60" t="b">
        <f t="shared" si="118"/>
        <v>1</v>
      </c>
      <c r="Q1910" s="87" t="b">
        <f>(Requirements!K1912="Normative")</f>
        <v>1</v>
      </c>
      <c r="R1910" s="87" t="b">
        <f>AND(Requirements!L1912&lt;&gt;"Non-testable",Requirements!L1912&lt;&gt;"Deleted",Requirements!L1912&lt;&gt;"")</f>
        <v>1</v>
      </c>
      <c r="S1910" s="87" t="b">
        <f>(VLOOKUP(Requirements!I1912,Scope[[Role]:[Description]],2,FALSE)="In")</f>
        <v>1</v>
      </c>
      <c r="T1910" s="87">
        <f t="shared" si="119"/>
        <v>1</v>
      </c>
    </row>
    <row r="1911" spans="1:20">
      <c r="A1911" s="84" t="str">
        <f>Requirements!A1913</f>
        <v>MS-FSCC_R1626</v>
      </c>
      <c r="B1911" s="87"/>
      <c r="C1911" s="87"/>
      <c r="D1911" s="87"/>
      <c r="E1911" s="87"/>
      <c r="F1911" s="87"/>
      <c r="G1911" s="87"/>
      <c r="H1911" s="87"/>
      <c r="I1911" s="87"/>
      <c r="J1911" s="87"/>
      <c r="K1911" s="87"/>
      <c r="L1911" s="87"/>
      <c r="M1911" s="87">
        <v>1</v>
      </c>
      <c r="N1911" s="87">
        <f t="shared" si="116"/>
        <v>1</v>
      </c>
      <c r="O1911" s="60">
        <f t="shared" si="117"/>
        <v>1</v>
      </c>
      <c r="P1911" s="60" t="b">
        <f t="shared" si="118"/>
        <v>1</v>
      </c>
      <c r="Q1911" s="87" t="b">
        <f>(Requirements!K1913="Normative")</f>
        <v>1</v>
      </c>
      <c r="R1911" s="87" t="b">
        <f>AND(Requirements!L1913&lt;&gt;"Non-testable",Requirements!L1913&lt;&gt;"Deleted",Requirements!L1913&lt;&gt;"")</f>
        <v>1</v>
      </c>
      <c r="S1911" s="87" t="b">
        <f>(VLOOKUP(Requirements!I1913,Scope[[Role]:[Description]],2,FALSE)="In")</f>
        <v>1</v>
      </c>
      <c r="T1911" s="87">
        <f t="shared" si="119"/>
        <v>1</v>
      </c>
    </row>
    <row r="1912" spans="1:20">
      <c r="A1912" s="84" t="str">
        <f>Requirements!A1914</f>
        <v>MS-FSCC_R1627</v>
      </c>
      <c r="B1912" s="87"/>
      <c r="C1912" s="87"/>
      <c r="D1912" s="87"/>
      <c r="E1912" s="87"/>
      <c r="F1912" s="87"/>
      <c r="G1912" s="87"/>
      <c r="H1912" s="87"/>
      <c r="I1912" s="87"/>
      <c r="J1912" s="87"/>
      <c r="K1912" s="87"/>
      <c r="L1912" s="87"/>
      <c r="M1912" s="87">
        <v>1</v>
      </c>
      <c r="N1912" s="87">
        <f t="shared" si="116"/>
        <v>1</v>
      </c>
      <c r="O1912" s="60">
        <f t="shared" si="117"/>
        <v>1</v>
      </c>
      <c r="P1912" s="60" t="b">
        <f t="shared" si="118"/>
        <v>1</v>
      </c>
      <c r="Q1912" s="87" t="b">
        <f>(Requirements!K1914="Normative")</f>
        <v>1</v>
      </c>
      <c r="R1912" s="87" t="b">
        <f>AND(Requirements!L1914&lt;&gt;"Non-testable",Requirements!L1914&lt;&gt;"Deleted",Requirements!L1914&lt;&gt;"")</f>
        <v>1</v>
      </c>
      <c r="S1912" s="87" t="b">
        <f>(VLOOKUP(Requirements!I1914,Scope[[Role]:[Description]],2,FALSE)="In")</f>
        <v>1</v>
      </c>
      <c r="T1912" s="87">
        <f t="shared" si="119"/>
        <v>1</v>
      </c>
    </row>
    <row r="1913" spans="1:20">
      <c r="A1913" s="84" t="str">
        <f>Requirements!A1915</f>
        <v>MS-FSCC_R1629</v>
      </c>
      <c r="B1913" s="87"/>
      <c r="C1913" s="87"/>
      <c r="D1913" s="87"/>
      <c r="E1913" s="87"/>
      <c r="F1913" s="87"/>
      <c r="G1913" s="87"/>
      <c r="H1913" s="87"/>
      <c r="I1913" s="87"/>
      <c r="J1913" s="87"/>
      <c r="K1913" s="87"/>
      <c r="L1913" s="87"/>
      <c r="M1913" s="87">
        <v>1</v>
      </c>
      <c r="N1913" s="87">
        <f t="shared" si="116"/>
        <v>1</v>
      </c>
      <c r="O1913" s="60">
        <f t="shared" si="117"/>
        <v>1</v>
      </c>
      <c r="P1913" s="60" t="b">
        <f t="shared" si="118"/>
        <v>1</v>
      </c>
      <c r="Q1913" s="87" t="b">
        <f>(Requirements!K1915="Normative")</f>
        <v>1</v>
      </c>
      <c r="R1913" s="87" t="b">
        <f>AND(Requirements!L1915&lt;&gt;"Non-testable",Requirements!L1915&lt;&gt;"Deleted",Requirements!L1915&lt;&gt;"")</f>
        <v>1</v>
      </c>
      <c r="S1913" s="87" t="b">
        <f>(VLOOKUP(Requirements!I1915,Scope[[Role]:[Description]],2,FALSE)="In")</f>
        <v>1</v>
      </c>
      <c r="T1913" s="87">
        <f t="shared" si="119"/>
        <v>1</v>
      </c>
    </row>
    <row r="1914" spans="1:20">
      <c r="A1914" s="84" t="str">
        <f>Requirements!A1916</f>
        <v>MS-FSCC_R1630</v>
      </c>
      <c r="B1914" s="87"/>
      <c r="C1914" s="87"/>
      <c r="D1914" s="87"/>
      <c r="E1914" s="87"/>
      <c r="F1914" s="87"/>
      <c r="G1914" s="87"/>
      <c r="H1914" s="87"/>
      <c r="I1914" s="87"/>
      <c r="J1914" s="87"/>
      <c r="K1914" s="87"/>
      <c r="L1914" s="87"/>
      <c r="M1914" s="87">
        <v>1</v>
      </c>
      <c r="N1914" s="87">
        <f t="shared" si="116"/>
        <v>1</v>
      </c>
      <c r="O1914" s="60">
        <f t="shared" si="117"/>
        <v>1</v>
      </c>
      <c r="P1914" s="60" t="b">
        <f t="shared" si="118"/>
        <v>1</v>
      </c>
      <c r="Q1914" s="87" t="b">
        <f>(Requirements!K1916="Normative")</f>
        <v>1</v>
      </c>
      <c r="R1914" s="87" t="b">
        <f>AND(Requirements!L1916&lt;&gt;"Non-testable",Requirements!L1916&lt;&gt;"Deleted",Requirements!L1916&lt;&gt;"")</f>
        <v>1</v>
      </c>
      <c r="S1914" s="87" t="b">
        <f>(VLOOKUP(Requirements!I1916,Scope[[Role]:[Description]],2,FALSE)="In")</f>
        <v>1</v>
      </c>
      <c r="T1914" s="87">
        <f t="shared" si="119"/>
        <v>1</v>
      </c>
    </row>
    <row r="1915" spans="1:20">
      <c r="A1915" s="84" t="str">
        <f>Requirements!A1917</f>
        <v>MS-FSCC_R1631</v>
      </c>
      <c r="B1915" s="87"/>
      <c r="C1915" s="87"/>
      <c r="D1915" s="87"/>
      <c r="E1915" s="87"/>
      <c r="F1915" s="87"/>
      <c r="G1915" s="87"/>
      <c r="H1915" s="87"/>
      <c r="I1915" s="87"/>
      <c r="J1915" s="87"/>
      <c r="K1915" s="87"/>
      <c r="L1915" s="87"/>
      <c r="M1915" s="87">
        <v>1</v>
      </c>
      <c r="N1915" s="87">
        <f t="shared" si="116"/>
        <v>1</v>
      </c>
      <c r="O1915" s="60">
        <f t="shared" si="117"/>
        <v>1</v>
      </c>
      <c r="P1915" s="60" t="b">
        <f t="shared" si="118"/>
        <v>1</v>
      </c>
      <c r="Q1915" s="87" t="b">
        <f>(Requirements!K1917="Normative")</f>
        <v>1</v>
      </c>
      <c r="R1915" s="87" t="b">
        <f>AND(Requirements!L1917&lt;&gt;"Non-testable",Requirements!L1917&lt;&gt;"Deleted",Requirements!L1917&lt;&gt;"")</f>
        <v>1</v>
      </c>
      <c r="S1915" s="87" t="b">
        <f>(VLOOKUP(Requirements!I1917,Scope[[Role]:[Description]],2,FALSE)="In")</f>
        <v>1</v>
      </c>
      <c r="T1915" s="87">
        <f t="shared" si="119"/>
        <v>1</v>
      </c>
    </row>
    <row r="1916" spans="1:20">
      <c r="A1916" s="84" t="str">
        <f>Requirements!A1918</f>
        <v>MS-FSCC_R1633</v>
      </c>
      <c r="B1916" s="87"/>
      <c r="C1916" s="87"/>
      <c r="D1916" s="87"/>
      <c r="E1916" s="87"/>
      <c r="F1916" s="87"/>
      <c r="G1916" s="87"/>
      <c r="H1916" s="87"/>
      <c r="I1916" s="87"/>
      <c r="J1916" s="87"/>
      <c r="K1916" s="87"/>
      <c r="L1916" s="87"/>
      <c r="M1916" s="87">
        <v>1</v>
      </c>
      <c r="N1916" s="87">
        <f t="shared" si="116"/>
        <v>1</v>
      </c>
      <c r="O1916" s="60">
        <f t="shared" si="117"/>
        <v>1</v>
      </c>
      <c r="P1916" s="60" t="b">
        <f t="shared" si="118"/>
        <v>1</v>
      </c>
      <c r="Q1916" s="87" t="b">
        <f>(Requirements!K1918="Normative")</f>
        <v>1</v>
      </c>
      <c r="R1916" s="87" t="b">
        <f>AND(Requirements!L1918&lt;&gt;"Non-testable",Requirements!L1918&lt;&gt;"Deleted",Requirements!L1918&lt;&gt;"")</f>
        <v>1</v>
      </c>
      <c r="S1916" s="87" t="b">
        <f>(VLOOKUP(Requirements!I1918,Scope[[Role]:[Description]],2,FALSE)="In")</f>
        <v>1</v>
      </c>
      <c r="T1916" s="87">
        <f t="shared" si="119"/>
        <v>1</v>
      </c>
    </row>
    <row r="1917" spans="1:20">
      <c r="A1917" s="84" t="str">
        <f>Requirements!A1919</f>
        <v>MS-FSCC_R1635</v>
      </c>
      <c r="B1917" s="87"/>
      <c r="C1917" s="87"/>
      <c r="D1917" s="87"/>
      <c r="E1917" s="87"/>
      <c r="F1917" s="87"/>
      <c r="G1917" s="87"/>
      <c r="H1917" s="87"/>
      <c r="I1917" s="87"/>
      <c r="J1917" s="87"/>
      <c r="K1917" s="87"/>
      <c r="L1917" s="87"/>
      <c r="M1917" s="87">
        <v>1</v>
      </c>
      <c r="N1917" s="87">
        <f t="shared" si="116"/>
        <v>1</v>
      </c>
      <c r="O1917" s="60">
        <f t="shared" si="117"/>
        <v>1</v>
      </c>
      <c r="P1917" s="60" t="b">
        <f t="shared" si="118"/>
        <v>1</v>
      </c>
      <c r="Q1917" s="87" t="b">
        <f>(Requirements!K1919="Normative")</f>
        <v>1</v>
      </c>
      <c r="R1917" s="87" t="b">
        <f>AND(Requirements!L1919&lt;&gt;"Non-testable",Requirements!L1919&lt;&gt;"Deleted",Requirements!L1919&lt;&gt;"")</f>
        <v>1</v>
      </c>
      <c r="S1917" s="87" t="b">
        <f>(VLOOKUP(Requirements!I1919,Scope[[Role]:[Description]],2,FALSE)="In")</f>
        <v>1</v>
      </c>
      <c r="T1917" s="87">
        <f t="shared" si="119"/>
        <v>1</v>
      </c>
    </row>
    <row r="1918" spans="1:20">
      <c r="A1918" s="84" t="str">
        <f>Requirements!A1920</f>
        <v>MS-FSCC_R1636</v>
      </c>
      <c r="B1918" s="87"/>
      <c r="C1918" s="87"/>
      <c r="D1918" s="87"/>
      <c r="E1918" s="87"/>
      <c r="F1918" s="87"/>
      <c r="G1918" s="87"/>
      <c r="H1918" s="87"/>
      <c r="I1918" s="87"/>
      <c r="J1918" s="87"/>
      <c r="K1918" s="87"/>
      <c r="L1918" s="87"/>
      <c r="M1918" s="87">
        <v>1</v>
      </c>
      <c r="N1918" s="87">
        <f t="shared" si="116"/>
        <v>1</v>
      </c>
      <c r="O1918" s="60">
        <f t="shared" si="117"/>
        <v>1</v>
      </c>
      <c r="P1918" s="60" t="b">
        <f t="shared" si="118"/>
        <v>1</v>
      </c>
      <c r="Q1918" s="87" t="b">
        <f>(Requirements!K1920="Normative")</f>
        <v>1</v>
      </c>
      <c r="R1918" s="87" t="b">
        <f>AND(Requirements!L1920&lt;&gt;"Non-testable",Requirements!L1920&lt;&gt;"Deleted",Requirements!L1920&lt;&gt;"")</f>
        <v>1</v>
      </c>
      <c r="S1918" s="87" t="b">
        <f>(VLOOKUP(Requirements!I1920,Scope[[Role]:[Description]],2,FALSE)="In")</f>
        <v>1</v>
      </c>
      <c r="T1918" s="87">
        <f t="shared" si="119"/>
        <v>1</v>
      </c>
    </row>
    <row r="1919" spans="1:20">
      <c r="A1919" s="84" t="str">
        <f>Requirements!A1921</f>
        <v>MS-FSCC_R1659</v>
      </c>
      <c r="B1919" s="87"/>
      <c r="C1919" s="87"/>
      <c r="D1919" s="87"/>
      <c r="E1919" s="87"/>
      <c r="F1919" s="87"/>
      <c r="G1919" s="87"/>
      <c r="H1919" s="87"/>
      <c r="I1919" s="87"/>
      <c r="J1919" s="87"/>
      <c r="K1919" s="87"/>
      <c r="L1919" s="87"/>
      <c r="M1919" s="87">
        <v>1</v>
      </c>
      <c r="N1919" s="87">
        <f t="shared" si="116"/>
        <v>1</v>
      </c>
      <c r="O1919" s="60">
        <f t="shared" si="117"/>
        <v>1</v>
      </c>
      <c r="P1919" s="60" t="b">
        <f t="shared" si="118"/>
        <v>1</v>
      </c>
      <c r="Q1919" s="87" t="b">
        <f>(Requirements!K1921="Normative")</f>
        <v>1</v>
      </c>
      <c r="R1919" s="87" t="b">
        <f>AND(Requirements!L1921&lt;&gt;"Non-testable",Requirements!L1921&lt;&gt;"Deleted",Requirements!L1921&lt;&gt;"")</f>
        <v>1</v>
      </c>
      <c r="S1919" s="87" t="b">
        <f>(VLOOKUP(Requirements!I1921,Scope[[Role]:[Description]],2,FALSE)="In")</f>
        <v>1</v>
      </c>
      <c r="T1919" s="87">
        <f t="shared" si="119"/>
        <v>1</v>
      </c>
    </row>
    <row r="1920" spans="1:20">
      <c r="A1920" s="84" t="str">
        <f>Requirements!A1922</f>
        <v>MS-FSCC_R1660</v>
      </c>
      <c r="B1920" s="87"/>
      <c r="C1920" s="87"/>
      <c r="D1920" s="87"/>
      <c r="E1920" s="87"/>
      <c r="F1920" s="87"/>
      <c r="G1920" s="87"/>
      <c r="H1920" s="87"/>
      <c r="I1920" s="87"/>
      <c r="J1920" s="87"/>
      <c r="K1920" s="87"/>
      <c r="L1920" s="87"/>
      <c r="M1920" s="87">
        <v>1</v>
      </c>
      <c r="N1920" s="87">
        <f t="shared" si="116"/>
        <v>1</v>
      </c>
      <c r="O1920" s="60">
        <f t="shared" si="117"/>
        <v>1</v>
      </c>
      <c r="P1920" s="60" t="b">
        <f t="shared" si="118"/>
        <v>1</v>
      </c>
      <c r="Q1920" s="87" t="b">
        <f>(Requirements!K1922="Normative")</f>
        <v>1</v>
      </c>
      <c r="R1920" s="87" t="b">
        <f>AND(Requirements!L1922&lt;&gt;"Non-testable",Requirements!L1922&lt;&gt;"Deleted",Requirements!L1922&lt;&gt;"")</f>
        <v>1</v>
      </c>
      <c r="S1920" s="87" t="b">
        <f>(VLOOKUP(Requirements!I1922,Scope[[Role]:[Description]],2,FALSE)="In")</f>
        <v>1</v>
      </c>
      <c r="T1920" s="87">
        <f t="shared" si="119"/>
        <v>1</v>
      </c>
    </row>
    <row r="1921" spans="1:20">
      <c r="A1921" s="84" t="str">
        <f>Requirements!A1923</f>
        <v>MS-FSCC_R1663</v>
      </c>
      <c r="B1921" s="87"/>
      <c r="C1921" s="87"/>
      <c r="D1921" s="87"/>
      <c r="E1921" s="87"/>
      <c r="F1921" s="87"/>
      <c r="G1921" s="87"/>
      <c r="H1921" s="87"/>
      <c r="I1921" s="87"/>
      <c r="J1921" s="87"/>
      <c r="K1921" s="87"/>
      <c r="L1921" s="87"/>
      <c r="M1921" s="87">
        <v>1</v>
      </c>
      <c r="N1921" s="87">
        <f t="shared" si="116"/>
        <v>1</v>
      </c>
      <c r="O1921" s="60">
        <f t="shared" si="117"/>
        <v>1</v>
      </c>
      <c r="P1921" s="60" t="b">
        <f t="shared" si="118"/>
        <v>1</v>
      </c>
      <c r="Q1921" s="87" t="b">
        <f>(Requirements!K1923="Normative")</f>
        <v>1</v>
      </c>
      <c r="R1921" s="87" t="b">
        <f>AND(Requirements!L1923&lt;&gt;"Non-testable",Requirements!L1923&lt;&gt;"Deleted",Requirements!L1923&lt;&gt;"")</f>
        <v>1</v>
      </c>
      <c r="S1921" s="87" t="b">
        <f>(VLOOKUP(Requirements!I1923,Scope[[Role]:[Description]],2,FALSE)="In")</f>
        <v>1</v>
      </c>
      <c r="T1921" s="87">
        <f t="shared" si="119"/>
        <v>1</v>
      </c>
    </row>
    <row r="1922" spans="1:20">
      <c r="A1922" s="84" t="str">
        <f>Requirements!A1924</f>
        <v>MS-FSCC_R1664</v>
      </c>
      <c r="B1922" s="87"/>
      <c r="C1922" s="87"/>
      <c r="D1922" s="87"/>
      <c r="E1922" s="87"/>
      <c r="F1922" s="87"/>
      <c r="G1922" s="87"/>
      <c r="H1922" s="87"/>
      <c r="I1922" s="87"/>
      <c r="J1922" s="87"/>
      <c r="K1922" s="87"/>
      <c r="L1922" s="87"/>
      <c r="M1922" s="87">
        <v>1</v>
      </c>
      <c r="N1922" s="87">
        <f t="shared" si="116"/>
        <v>1</v>
      </c>
      <c r="O1922" s="60">
        <f t="shared" si="117"/>
        <v>1</v>
      </c>
      <c r="P1922" s="60" t="b">
        <f t="shared" si="118"/>
        <v>1</v>
      </c>
      <c r="Q1922" s="87" t="b">
        <f>(Requirements!K1924="Normative")</f>
        <v>1</v>
      </c>
      <c r="R1922" s="87" t="b">
        <f>AND(Requirements!L1924&lt;&gt;"Non-testable",Requirements!L1924&lt;&gt;"Deleted",Requirements!L1924&lt;&gt;"")</f>
        <v>1</v>
      </c>
      <c r="S1922" s="87" t="b">
        <f>(VLOOKUP(Requirements!I1924,Scope[[Role]:[Description]],2,FALSE)="In")</f>
        <v>1</v>
      </c>
      <c r="T1922" s="87">
        <f t="shared" si="119"/>
        <v>1</v>
      </c>
    </row>
    <row r="1923" spans="1:20">
      <c r="A1923" s="84" t="str">
        <f>Requirements!A1925</f>
        <v>MS-FSCC_R1665</v>
      </c>
      <c r="B1923" s="87"/>
      <c r="C1923" s="87"/>
      <c r="D1923" s="87"/>
      <c r="E1923" s="87"/>
      <c r="F1923" s="87"/>
      <c r="G1923" s="87"/>
      <c r="H1923" s="87"/>
      <c r="I1923" s="87"/>
      <c r="J1923" s="87"/>
      <c r="K1923" s="87"/>
      <c r="L1923" s="87"/>
      <c r="M1923" s="87">
        <v>1</v>
      </c>
      <c r="N1923" s="87">
        <f t="shared" si="116"/>
        <v>1</v>
      </c>
      <c r="O1923" s="60">
        <f t="shared" si="117"/>
        <v>1</v>
      </c>
      <c r="P1923" s="60" t="b">
        <f t="shared" si="118"/>
        <v>1</v>
      </c>
      <c r="Q1923" s="87" t="b">
        <f>(Requirements!K1925="Normative")</f>
        <v>1</v>
      </c>
      <c r="R1923" s="87" t="b">
        <f>AND(Requirements!L1925&lt;&gt;"Non-testable",Requirements!L1925&lt;&gt;"Deleted",Requirements!L1925&lt;&gt;"")</f>
        <v>1</v>
      </c>
      <c r="S1923" s="87" t="b">
        <f>(VLOOKUP(Requirements!I1925,Scope[[Role]:[Description]],2,FALSE)="In")</f>
        <v>1</v>
      </c>
      <c r="T1923" s="87">
        <f t="shared" si="119"/>
        <v>1</v>
      </c>
    </row>
    <row r="1924" spans="1:20">
      <c r="A1924" s="84" t="str">
        <f>Requirements!A1926</f>
        <v>MS-FSCC_R1666</v>
      </c>
      <c r="B1924" s="87"/>
      <c r="C1924" s="87"/>
      <c r="D1924" s="87"/>
      <c r="E1924" s="87"/>
      <c r="F1924" s="87"/>
      <c r="G1924" s="87"/>
      <c r="H1924" s="87"/>
      <c r="I1924" s="87"/>
      <c r="J1924" s="87"/>
      <c r="K1924" s="87"/>
      <c r="L1924" s="87"/>
      <c r="M1924" s="87">
        <v>1</v>
      </c>
      <c r="N1924" s="87">
        <f t="shared" si="116"/>
        <v>1</v>
      </c>
      <c r="O1924" s="60">
        <f t="shared" si="117"/>
        <v>1</v>
      </c>
      <c r="P1924" s="60" t="b">
        <f t="shared" si="118"/>
        <v>1</v>
      </c>
      <c r="Q1924" s="87" t="b">
        <f>(Requirements!K1926="Normative")</f>
        <v>1</v>
      </c>
      <c r="R1924" s="87" t="b">
        <f>AND(Requirements!L1926&lt;&gt;"Non-testable",Requirements!L1926&lt;&gt;"Deleted",Requirements!L1926&lt;&gt;"")</f>
        <v>1</v>
      </c>
      <c r="S1924" s="87" t="b">
        <f>(VLOOKUP(Requirements!I1926,Scope[[Role]:[Description]],2,FALSE)="In")</f>
        <v>1</v>
      </c>
      <c r="T1924" s="87">
        <f t="shared" si="119"/>
        <v>1</v>
      </c>
    </row>
    <row r="1925" spans="1:20">
      <c r="A1925" s="84" t="str">
        <f>Requirements!A1927</f>
        <v>MS-FSCC_R1668</v>
      </c>
      <c r="B1925" s="87"/>
      <c r="C1925" s="87"/>
      <c r="D1925" s="87"/>
      <c r="E1925" s="87"/>
      <c r="F1925" s="87"/>
      <c r="G1925" s="87"/>
      <c r="H1925" s="87"/>
      <c r="I1925" s="87"/>
      <c r="J1925" s="87"/>
      <c r="K1925" s="87"/>
      <c r="L1925" s="87"/>
      <c r="M1925" s="87">
        <v>1</v>
      </c>
      <c r="N1925" s="87">
        <f t="shared" si="116"/>
        <v>1</v>
      </c>
      <c r="O1925" s="60">
        <f t="shared" si="117"/>
        <v>1</v>
      </c>
      <c r="P1925" s="60" t="b">
        <f t="shared" si="118"/>
        <v>1</v>
      </c>
      <c r="Q1925" s="87" t="b">
        <f>(Requirements!K1927="Normative")</f>
        <v>1</v>
      </c>
      <c r="R1925" s="87" t="b">
        <f>AND(Requirements!L1927&lt;&gt;"Non-testable",Requirements!L1927&lt;&gt;"Deleted",Requirements!L1927&lt;&gt;"")</f>
        <v>1</v>
      </c>
      <c r="S1925" s="87" t="b">
        <f>(VLOOKUP(Requirements!I1927,Scope[[Role]:[Description]],2,FALSE)="In")</f>
        <v>1</v>
      </c>
      <c r="T1925" s="87">
        <f t="shared" si="119"/>
        <v>1</v>
      </c>
    </row>
    <row r="1926" spans="1:20">
      <c r="A1926" s="84" t="str">
        <f>Requirements!A1928</f>
        <v>MS-FSCC_R1672</v>
      </c>
      <c r="B1926" s="87"/>
      <c r="C1926" s="87"/>
      <c r="D1926" s="87"/>
      <c r="E1926" s="87"/>
      <c r="F1926" s="87"/>
      <c r="G1926" s="87"/>
      <c r="H1926" s="87"/>
      <c r="I1926" s="87"/>
      <c r="J1926" s="87"/>
      <c r="K1926" s="87"/>
      <c r="L1926" s="87"/>
      <c r="M1926" s="87">
        <v>1</v>
      </c>
      <c r="N1926" s="87">
        <f t="shared" si="116"/>
        <v>1</v>
      </c>
      <c r="O1926" s="60">
        <f t="shared" si="117"/>
        <v>1</v>
      </c>
      <c r="P1926" s="60" t="b">
        <f t="shared" si="118"/>
        <v>1</v>
      </c>
      <c r="Q1926" s="87" t="b">
        <f>(Requirements!K1928="Normative")</f>
        <v>1</v>
      </c>
      <c r="R1926" s="87" t="b">
        <f>AND(Requirements!L1928&lt;&gt;"Non-testable",Requirements!L1928&lt;&gt;"Deleted",Requirements!L1928&lt;&gt;"")</f>
        <v>1</v>
      </c>
      <c r="S1926" s="87" t="b">
        <f>(VLOOKUP(Requirements!I1928,Scope[[Role]:[Description]],2,FALSE)="In")</f>
        <v>1</v>
      </c>
      <c r="T1926" s="87">
        <f t="shared" si="119"/>
        <v>1</v>
      </c>
    </row>
    <row r="1927" spans="1:20">
      <c r="A1927" s="84" t="str">
        <f>Requirements!A1929</f>
        <v>MS-FSCC_R1674</v>
      </c>
      <c r="B1927" s="87"/>
      <c r="C1927" s="87"/>
      <c r="D1927" s="87"/>
      <c r="E1927" s="87"/>
      <c r="F1927" s="87"/>
      <c r="G1927" s="87"/>
      <c r="H1927" s="87"/>
      <c r="I1927" s="87"/>
      <c r="J1927" s="87"/>
      <c r="K1927" s="87"/>
      <c r="L1927" s="87"/>
      <c r="M1927" s="87">
        <v>1</v>
      </c>
      <c r="N1927" s="87">
        <f t="shared" si="116"/>
        <v>1</v>
      </c>
      <c r="O1927" s="60">
        <f t="shared" si="117"/>
        <v>1</v>
      </c>
      <c r="P1927" s="60" t="b">
        <f t="shared" si="118"/>
        <v>1</v>
      </c>
      <c r="Q1927" s="87" t="b">
        <f>(Requirements!K1929="Normative")</f>
        <v>1</v>
      </c>
      <c r="R1927" s="87" t="b">
        <f>AND(Requirements!L1929&lt;&gt;"Non-testable",Requirements!L1929&lt;&gt;"Deleted",Requirements!L1929&lt;&gt;"")</f>
        <v>1</v>
      </c>
      <c r="S1927" s="87" t="b">
        <f>(VLOOKUP(Requirements!I1929,Scope[[Role]:[Description]],2,FALSE)="In")</f>
        <v>1</v>
      </c>
      <c r="T1927" s="87">
        <f t="shared" si="119"/>
        <v>1</v>
      </c>
    </row>
    <row r="1928" spans="1:20">
      <c r="A1928" s="84" t="str">
        <f>Requirements!A1930</f>
        <v>MS-FSCC_R1684</v>
      </c>
      <c r="B1928" s="87"/>
      <c r="C1928" s="87"/>
      <c r="D1928" s="87"/>
      <c r="E1928" s="87"/>
      <c r="F1928" s="87"/>
      <c r="G1928" s="87"/>
      <c r="H1928" s="87"/>
      <c r="I1928" s="87"/>
      <c r="J1928" s="87"/>
      <c r="K1928" s="87"/>
      <c r="L1928" s="87"/>
      <c r="M1928" s="87">
        <v>1</v>
      </c>
      <c r="N1928" s="87">
        <f t="shared" si="116"/>
        <v>1</v>
      </c>
      <c r="O1928" s="60">
        <f t="shared" si="117"/>
        <v>1</v>
      </c>
      <c r="P1928" s="60" t="b">
        <f t="shared" si="118"/>
        <v>1</v>
      </c>
      <c r="Q1928" s="87" t="b">
        <f>(Requirements!K1930="Normative")</f>
        <v>1</v>
      </c>
      <c r="R1928" s="87" t="b">
        <f>AND(Requirements!L1930&lt;&gt;"Non-testable",Requirements!L1930&lt;&gt;"Deleted",Requirements!L1930&lt;&gt;"")</f>
        <v>1</v>
      </c>
      <c r="S1928" s="87" t="b">
        <f>(VLOOKUP(Requirements!I1930,Scope[[Role]:[Description]],2,FALSE)="In")</f>
        <v>1</v>
      </c>
      <c r="T1928" s="87">
        <f t="shared" si="119"/>
        <v>1</v>
      </c>
    </row>
    <row r="1929" spans="1:20">
      <c r="A1929" s="84" t="str">
        <f>Requirements!A1931</f>
        <v>MS-FSCC_R1697</v>
      </c>
      <c r="B1929" s="87"/>
      <c r="C1929" s="87"/>
      <c r="D1929" s="87"/>
      <c r="E1929" s="87"/>
      <c r="F1929" s="87"/>
      <c r="G1929" s="87"/>
      <c r="H1929" s="87"/>
      <c r="I1929" s="87"/>
      <c r="J1929" s="87"/>
      <c r="K1929" s="87"/>
      <c r="L1929" s="87"/>
      <c r="M1929" s="87">
        <v>1</v>
      </c>
      <c r="N1929" s="87">
        <f t="shared" si="116"/>
        <v>1</v>
      </c>
      <c r="O1929" s="60">
        <f t="shared" si="117"/>
        <v>1</v>
      </c>
      <c r="P1929" s="60" t="b">
        <f t="shared" si="118"/>
        <v>1</v>
      </c>
      <c r="Q1929" s="87" t="b">
        <f>(Requirements!K1931="Normative")</f>
        <v>1</v>
      </c>
      <c r="R1929" s="87" t="b">
        <f>AND(Requirements!L1931&lt;&gt;"Non-testable",Requirements!L1931&lt;&gt;"Deleted",Requirements!L1931&lt;&gt;"")</f>
        <v>1</v>
      </c>
      <c r="S1929" s="87" t="b">
        <f>(VLOOKUP(Requirements!I1931,Scope[[Role]:[Description]],2,FALSE)="In")</f>
        <v>1</v>
      </c>
      <c r="T1929" s="87">
        <f t="shared" si="119"/>
        <v>1</v>
      </c>
    </row>
    <row r="1930" spans="1:20">
      <c r="A1930" s="84" t="str">
        <f>Requirements!A1932</f>
        <v>MS-FSCC_R1703</v>
      </c>
      <c r="B1930" s="87"/>
      <c r="C1930" s="87"/>
      <c r="D1930" s="87"/>
      <c r="E1930" s="87"/>
      <c r="F1930" s="87"/>
      <c r="G1930" s="87"/>
      <c r="H1930" s="87"/>
      <c r="I1930" s="87"/>
      <c r="J1930" s="87"/>
      <c r="K1930" s="87"/>
      <c r="L1930" s="87"/>
      <c r="M1930" s="87">
        <v>1</v>
      </c>
      <c r="N1930" s="87">
        <f t="shared" si="116"/>
        <v>1</v>
      </c>
      <c r="O1930" s="60">
        <f t="shared" si="117"/>
        <v>1</v>
      </c>
      <c r="P1930" s="60" t="b">
        <f t="shared" si="118"/>
        <v>1</v>
      </c>
      <c r="Q1930" s="87" t="b">
        <f>(Requirements!K1932="Normative")</f>
        <v>1</v>
      </c>
      <c r="R1930" s="87" t="b">
        <f>AND(Requirements!L1932&lt;&gt;"Non-testable",Requirements!L1932&lt;&gt;"Deleted",Requirements!L1932&lt;&gt;"")</f>
        <v>1</v>
      </c>
      <c r="S1930" s="87" t="b">
        <f>(VLOOKUP(Requirements!I1932,Scope[[Role]:[Description]],2,FALSE)="In")</f>
        <v>1</v>
      </c>
      <c r="T1930" s="87">
        <f t="shared" si="119"/>
        <v>1</v>
      </c>
    </row>
    <row r="1931" spans="1:20">
      <c r="A1931" s="84" t="str">
        <f>Requirements!A1933</f>
        <v>MS-FSCC_R1709</v>
      </c>
      <c r="B1931" s="87"/>
      <c r="C1931" s="87"/>
      <c r="D1931" s="87"/>
      <c r="E1931" s="87"/>
      <c r="F1931" s="87"/>
      <c r="G1931" s="87"/>
      <c r="H1931" s="87"/>
      <c r="I1931" s="87"/>
      <c r="J1931" s="87"/>
      <c r="K1931" s="87"/>
      <c r="L1931" s="87"/>
      <c r="M1931" s="87">
        <v>1</v>
      </c>
      <c r="N1931" s="87">
        <f t="shared" si="116"/>
        <v>1</v>
      </c>
      <c r="O1931" s="60">
        <f t="shared" si="117"/>
        <v>1</v>
      </c>
      <c r="P1931" s="60" t="b">
        <f t="shared" si="118"/>
        <v>1</v>
      </c>
      <c r="Q1931" s="87" t="b">
        <f>(Requirements!K1933="Normative")</f>
        <v>1</v>
      </c>
      <c r="R1931" s="87" t="b">
        <f>AND(Requirements!L1933&lt;&gt;"Non-testable",Requirements!L1933&lt;&gt;"Deleted",Requirements!L1933&lt;&gt;"")</f>
        <v>1</v>
      </c>
      <c r="S1931" s="87" t="b">
        <f>(VLOOKUP(Requirements!I1933,Scope[[Role]:[Description]],2,FALSE)="In")</f>
        <v>1</v>
      </c>
      <c r="T1931" s="87">
        <f t="shared" si="119"/>
        <v>1</v>
      </c>
    </row>
    <row r="1932" spans="1:20">
      <c r="A1932" s="84" t="str">
        <f>Requirements!A1934</f>
        <v>MS-FSCC_R1710</v>
      </c>
      <c r="B1932" s="87"/>
      <c r="C1932" s="87"/>
      <c r="D1932" s="87"/>
      <c r="E1932" s="87"/>
      <c r="F1932" s="87"/>
      <c r="G1932" s="87"/>
      <c r="H1932" s="87"/>
      <c r="I1932" s="87"/>
      <c r="J1932" s="87"/>
      <c r="K1932" s="87"/>
      <c r="L1932" s="87"/>
      <c r="M1932" s="87">
        <v>1</v>
      </c>
      <c r="N1932" s="87">
        <f t="shared" si="116"/>
        <v>1</v>
      </c>
      <c r="O1932" s="60">
        <f t="shared" si="117"/>
        <v>1</v>
      </c>
      <c r="P1932" s="60" t="b">
        <f t="shared" si="118"/>
        <v>1</v>
      </c>
      <c r="Q1932" s="87" t="b">
        <f>(Requirements!K1934="Normative")</f>
        <v>1</v>
      </c>
      <c r="R1932" s="87" t="b">
        <f>AND(Requirements!L1934&lt;&gt;"Non-testable",Requirements!L1934&lt;&gt;"Deleted",Requirements!L1934&lt;&gt;"")</f>
        <v>1</v>
      </c>
      <c r="S1932" s="87" t="b">
        <f>(VLOOKUP(Requirements!I1934,Scope[[Role]:[Description]],2,FALSE)="In")</f>
        <v>1</v>
      </c>
      <c r="T1932" s="87">
        <f t="shared" si="119"/>
        <v>1</v>
      </c>
    </row>
    <row r="1933" spans="1:20">
      <c r="A1933" s="84" t="str">
        <f>Requirements!A1935</f>
        <v>MS-FSCC_R1711</v>
      </c>
      <c r="B1933" s="87"/>
      <c r="C1933" s="87"/>
      <c r="D1933" s="87"/>
      <c r="E1933" s="87"/>
      <c r="F1933" s="87"/>
      <c r="G1933" s="87"/>
      <c r="H1933" s="87"/>
      <c r="I1933" s="87"/>
      <c r="J1933" s="87"/>
      <c r="K1933" s="87"/>
      <c r="L1933" s="87"/>
      <c r="M1933" s="87">
        <v>1</v>
      </c>
      <c r="N1933" s="87">
        <f t="shared" si="116"/>
        <v>1</v>
      </c>
      <c r="O1933" s="60">
        <f t="shared" si="117"/>
        <v>1</v>
      </c>
      <c r="P1933" s="60" t="b">
        <f t="shared" si="118"/>
        <v>1</v>
      </c>
      <c r="Q1933" s="87" t="b">
        <f>(Requirements!K1935="Normative")</f>
        <v>1</v>
      </c>
      <c r="R1933" s="87" t="b">
        <f>AND(Requirements!L1935&lt;&gt;"Non-testable",Requirements!L1935&lt;&gt;"Deleted",Requirements!L1935&lt;&gt;"")</f>
        <v>1</v>
      </c>
      <c r="S1933" s="87" t="b">
        <f>(VLOOKUP(Requirements!I1935,Scope[[Role]:[Description]],2,FALSE)="In")</f>
        <v>1</v>
      </c>
      <c r="T1933" s="87">
        <f t="shared" si="119"/>
        <v>1</v>
      </c>
    </row>
    <row r="1934" spans="1:20">
      <c r="A1934" s="84" t="str">
        <f>Requirements!A1936</f>
        <v>MS-FSCC_R1712</v>
      </c>
      <c r="B1934" s="87"/>
      <c r="C1934" s="87"/>
      <c r="D1934" s="87"/>
      <c r="E1934" s="87"/>
      <c r="F1934" s="87"/>
      <c r="G1934" s="87"/>
      <c r="H1934" s="87"/>
      <c r="I1934" s="87"/>
      <c r="J1934" s="87"/>
      <c r="K1934" s="87"/>
      <c r="L1934" s="87"/>
      <c r="M1934" s="87">
        <v>1</v>
      </c>
      <c r="N1934" s="87">
        <f t="shared" si="116"/>
        <v>1</v>
      </c>
      <c r="O1934" s="60">
        <f t="shared" si="117"/>
        <v>1</v>
      </c>
      <c r="P1934" s="60" t="b">
        <f t="shared" si="118"/>
        <v>1</v>
      </c>
      <c r="Q1934" s="87" t="b">
        <f>(Requirements!K1936="Normative")</f>
        <v>1</v>
      </c>
      <c r="R1934" s="87" t="b">
        <f>AND(Requirements!L1936&lt;&gt;"Non-testable",Requirements!L1936&lt;&gt;"Deleted",Requirements!L1936&lt;&gt;"")</f>
        <v>1</v>
      </c>
      <c r="S1934" s="87" t="b">
        <f>(VLOOKUP(Requirements!I1936,Scope[[Role]:[Description]],2,FALSE)="In")</f>
        <v>1</v>
      </c>
      <c r="T1934" s="87">
        <f t="shared" si="119"/>
        <v>1</v>
      </c>
    </row>
    <row r="1935" spans="1:20">
      <c r="A1935" s="84" t="str">
        <f>Requirements!A1937</f>
        <v>MS-FSCC_R1714</v>
      </c>
      <c r="B1935" s="87"/>
      <c r="C1935" s="87"/>
      <c r="D1935" s="87"/>
      <c r="E1935" s="87"/>
      <c r="F1935" s="87"/>
      <c r="G1935" s="87"/>
      <c r="H1935" s="87"/>
      <c r="I1935" s="87"/>
      <c r="J1935" s="87"/>
      <c r="K1935" s="87"/>
      <c r="L1935" s="87"/>
      <c r="M1935" s="87">
        <v>1</v>
      </c>
      <c r="N1935" s="87">
        <f t="shared" si="116"/>
        <v>1</v>
      </c>
      <c r="O1935" s="60">
        <f t="shared" si="117"/>
        <v>1</v>
      </c>
      <c r="P1935" s="60" t="b">
        <f t="shared" si="118"/>
        <v>1</v>
      </c>
      <c r="Q1935" s="87" t="b">
        <f>(Requirements!K1937="Normative")</f>
        <v>1</v>
      </c>
      <c r="R1935" s="87" t="b">
        <f>AND(Requirements!L1937&lt;&gt;"Non-testable",Requirements!L1937&lt;&gt;"Deleted",Requirements!L1937&lt;&gt;"")</f>
        <v>1</v>
      </c>
      <c r="S1935" s="87" t="b">
        <f>(VLOOKUP(Requirements!I1937,Scope[[Role]:[Description]],2,FALSE)="In")</f>
        <v>1</v>
      </c>
      <c r="T1935" s="87">
        <f t="shared" si="119"/>
        <v>1</v>
      </c>
    </row>
    <row r="1936" spans="1:20">
      <c r="A1936" s="84" t="str">
        <f>Requirements!A1938</f>
        <v>MS-FSCC_R1716</v>
      </c>
      <c r="B1936" s="87"/>
      <c r="C1936" s="87"/>
      <c r="D1936" s="87"/>
      <c r="E1936" s="87"/>
      <c r="F1936" s="87"/>
      <c r="G1936" s="87"/>
      <c r="H1936" s="87"/>
      <c r="I1936" s="87"/>
      <c r="J1936" s="87"/>
      <c r="K1936" s="87"/>
      <c r="L1936" s="87"/>
      <c r="M1936" s="87">
        <v>1</v>
      </c>
      <c r="N1936" s="87">
        <f t="shared" si="116"/>
        <v>1</v>
      </c>
      <c r="O1936" s="60">
        <f t="shared" si="117"/>
        <v>1</v>
      </c>
      <c r="P1936" s="60" t="b">
        <f t="shared" si="118"/>
        <v>1</v>
      </c>
      <c r="Q1936" s="87" t="b">
        <f>(Requirements!K1938="Normative")</f>
        <v>1</v>
      </c>
      <c r="R1936" s="87" t="b">
        <f>AND(Requirements!L1938&lt;&gt;"Non-testable",Requirements!L1938&lt;&gt;"Deleted",Requirements!L1938&lt;&gt;"")</f>
        <v>1</v>
      </c>
      <c r="S1936" s="87" t="b">
        <f>(VLOOKUP(Requirements!I1938,Scope[[Role]:[Description]],2,FALSE)="In")</f>
        <v>1</v>
      </c>
      <c r="T1936" s="87">
        <f t="shared" si="119"/>
        <v>1</v>
      </c>
    </row>
    <row r="1937" spans="1:20">
      <c r="A1937" s="84" t="str">
        <f>Requirements!A1939</f>
        <v>MS-FSCC_R1762</v>
      </c>
      <c r="B1937" s="87"/>
      <c r="C1937" s="87"/>
      <c r="D1937" s="87"/>
      <c r="E1937" s="87"/>
      <c r="F1937" s="87"/>
      <c r="G1937" s="87"/>
      <c r="H1937" s="87"/>
      <c r="I1937" s="87"/>
      <c r="J1937" s="87"/>
      <c r="K1937" s="87"/>
      <c r="L1937" s="87"/>
      <c r="M1937" s="87">
        <v>1</v>
      </c>
      <c r="N1937" s="87">
        <f t="shared" si="116"/>
        <v>1</v>
      </c>
      <c r="O1937" s="60">
        <f t="shared" si="117"/>
        <v>1</v>
      </c>
      <c r="P1937" s="60" t="b">
        <f t="shared" si="118"/>
        <v>1</v>
      </c>
      <c r="Q1937" s="87" t="b">
        <f>(Requirements!K1939="Normative")</f>
        <v>1</v>
      </c>
      <c r="R1937" s="87" t="b">
        <f>AND(Requirements!L1939&lt;&gt;"Non-testable",Requirements!L1939&lt;&gt;"Deleted",Requirements!L1939&lt;&gt;"")</f>
        <v>1</v>
      </c>
      <c r="S1937" s="87" t="b">
        <f>(VLOOKUP(Requirements!I1939,Scope[[Role]:[Description]],2,FALSE)="In")</f>
        <v>1</v>
      </c>
      <c r="T1937" s="87">
        <f t="shared" si="119"/>
        <v>1</v>
      </c>
    </row>
    <row r="1938" spans="1:20">
      <c r="A1938" s="84" t="str">
        <f>Requirements!A1940</f>
        <v>MS-FSCC_R1764</v>
      </c>
      <c r="B1938" s="87"/>
      <c r="C1938" s="87"/>
      <c r="D1938" s="87"/>
      <c r="E1938" s="87"/>
      <c r="F1938" s="87"/>
      <c r="G1938" s="87"/>
      <c r="H1938" s="87"/>
      <c r="I1938" s="87"/>
      <c r="J1938" s="87"/>
      <c r="K1938" s="87"/>
      <c r="L1938" s="87"/>
      <c r="M1938" s="87">
        <v>1</v>
      </c>
      <c r="N1938" s="87">
        <f t="shared" si="116"/>
        <v>1</v>
      </c>
      <c r="O1938" s="60">
        <f t="shared" si="117"/>
        <v>1</v>
      </c>
      <c r="P1938" s="60" t="b">
        <f t="shared" si="118"/>
        <v>1</v>
      </c>
      <c r="Q1938" s="87" t="b">
        <f>(Requirements!K1940="Normative")</f>
        <v>1</v>
      </c>
      <c r="R1938" s="87" t="b">
        <f>AND(Requirements!L1940&lt;&gt;"Non-testable",Requirements!L1940&lt;&gt;"Deleted",Requirements!L1940&lt;&gt;"")</f>
        <v>1</v>
      </c>
      <c r="S1938" s="87" t="b">
        <f>(VLOOKUP(Requirements!I1940,Scope[[Role]:[Description]],2,FALSE)="In")</f>
        <v>1</v>
      </c>
      <c r="T1938" s="87">
        <f t="shared" si="119"/>
        <v>1</v>
      </c>
    </row>
    <row r="1939" spans="1:20">
      <c r="A1939" s="84" t="str">
        <f>Requirements!A1941</f>
        <v>MS-FSCC_R1765</v>
      </c>
      <c r="B1939" s="87"/>
      <c r="C1939" s="87"/>
      <c r="D1939" s="87"/>
      <c r="E1939" s="87"/>
      <c r="F1939" s="87"/>
      <c r="G1939" s="87"/>
      <c r="H1939" s="87"/>
      <c r="I1939" s="87"/>
      <c r="J1939" s="87"/>
      <c r="K1939" s="87"/>
      <c r="L1939" s="87"/>
      <c r="M1939" s="87">
        <v>1</v>
      </c>
      <c r="N1939" s="87">
        <f t="shared" si="116"/>
        <v>1</v>
      </c>
      <c r="O1939" s="60">
        <f t="shared" si="117"/>
        <v>1</v>
      </c>
      <c r="P1939" s="60" t="b">
        <f t="shared" si="118"/>
        <v>1</v>
      </c>
      <c r="Q1939" s="87" t="b">
        <f>(Requirements!K1941="Normative")</f>
        <v>1</v>
      </c>
      <c r="R1939" s="87" t="b">
        <f>AND(Requirements!L1941&lt;&gt;"Non-testable",Requirements!L1941&lt;&gt;"Deleted",Requirements!L1941&lt;&gt;"")</f>
        <v>1</v>
      </c>
      <c r="S1939" s="87" t="b">
        <f>(VLOOKUP(Requirements!I1941,Scope[[Role]:[Description]],2,FALSE)="In")</f>
        <v>1</v>
      </c>
      <c r="T1939" s="87">
        <f t="shared" si="119"/>
        <v>1</v>
      </c>
    </row>
    <row r="1940" spans="1:20">
      <c r="A1940" s="84" t="str">
        <f>Requirements!A1942</f>
        <v>MS-FSCC_R1766</v>
      </c>
      <c r="B1940" s="87"/>
      <c r="C1940" s="87"/>
      <c r="D1940" s="87"/>
      <c r="E1940" s="87"/>
      <c r="F1940" s="87"/>
      <c r="G1940" s="87"/>
      <c r="H1940" s="87"/>
      <c r="I1940" s="87"/>
      <c r="J1940" s="87"/>
      <c r="K1940" s="87"/>
      <c r="L1940" s="87"/>
      <c r="M1940" s="87">
        <v>1</v>
      </c>
      <c r="N1940" s="87">
        <f t="shared" ref="N1940:N2003" si="120">SUM(B1940:M1940)</f>
        <v>1</v>
      </c>
      <c r="O1940" s="60">
        <f t="shared" ref="O1940:O2003" si="121">IF(N1940=0,0,1)</f>
        <v>1</v>
      </c>
      <c r="P1940" s="60" t="b">
        <f t="shared" ref="P1940:P2003" si="122">AND(Q1940:S1940)</f>
        <v>1</v>
      </c>
      <c r="Q1940" s="87" t="b">
        <f>(Requirements!K1942="Normative")</f>
        <v>1</v>
      </c>
      <c r="R1940" s="87" t="b">
        <f>AND(Requirements!L1942&lt;&gt;"Non-testable",Requirements!L1942&lt;&gt;"Deleted",Requirements!L1942&lt;&gt;"")</f>
        <v>1</v>
      </c>
      <c r="S1940" s="87" t="b">
        <f>(VLOOKUP(Requirements!I1942,Scope[[Role]:[Description]],2,FALSE)="In")</f>
        <v>1</v>
      </c>
      <c r="T1940" s="87">
        <f t="shared" ref="T1940:T2003" si="123">IF(P1940,O1940, 0)</f>
        <v>1</v>
      </c>
    </row>
    <row r="1941" spans="1:20">
      <c r="A1941" s="84" t="str">
        <f>Requirements!A1943</f>
        <v>MS-FSCC_R1767</v>
      </c>
      <c r="B1941" s="87"/>
      <c r="C1941" s="87"/>
      <c r="D1941" s="87"/>
      <c r="E1941" s="87"/>
      <c r="F1941" s="87"/>
      <c r="G1941" s="87"/>
      <c r="H1941" s="87"/>
      <c r="I1941" s="87"/>
      <c r="J1941" s="87"/>
      <c r="K1941" s="87"/>
      <c r="L1941" s="87"/>
      <c r="M1941" s="87">
        <v>1</v>
      </c>
      <c r="N1941" s="87">
        <f t="shared" si="120"/>
        <v>1</v>
      </c>
      <c r="O1941" s="60">
        <f t="shared" si="121"/>
        <v>1</v>
      </c>
      <c r="P1941" s="60" t="b">
        <f t="shared" si="122"/>
        <v>1</v>
      </c>
      <c r="Q1941" s="87" t="b">
        <f>(Requirements!K1943="Normative")</f>
        <v>1</v>
      </c>
      <c r="R1941" s="87" t="b">
        <f>AND(Requirements!L1943&lt;&gt;"Non-testable",Requirements!L1943&lt;&gt;"Deleted",Requirements!L1943&lt;&gt;"")</f>
        <v>1</v>
      </c>
      <c r="S1941" s="87" t="b">
        <f>(VLOOKUP(Requirements!I1943,Scope[[Role]:[Description]],2,FALSE)="In")</f>
        <v>1</v>
      </c>
      <c r="T1941" s="87">
        <f t="shared" si="123"/>
        <v>1</v>
      </c>
    </row>
    <row r="1942" spans="1:20">
      <c r="A1942" s="84" t="str">
        <f>Requirements!A1944</f>
        <v>MS-FSCC_R1768</v>
      </c>
      <c r="B1942" s="87"/>
      <c r="C1942" s="87"/>
      <c r="D1942" s="87"/>
      <c r="E1942" s="87"/>
      <c r="F1942" s="87"/>
      <c r="G1942" s="87"/>
      <c r="H1942" s="87"/>
      <c r="I1942" s="87"/>
      <c r="J1942" s="87"/>
      <c r="K1942" s="87"/>
      <c r="L1942" s="87"/>
      <c r="M1942" s="87">
        <v>1</v>
      </c>
      <c r="N1942" s="87">
        <f t="shared" si="120"/>
        <v>1</v>
      </c>
      <c r="O1942" s="60">
        <f t="shared" si="121"/>
        <v>1</v>
      </c>
      <c r="P1942" s="60" t="b">
        <f t="shared" si="122"/>
        <v>1</v>
      </c>
      <c r="Q1942" s="87" t="b">
        <f>(Requirements!K1944="Normative")</f>
        <v>1</v>
      </c>
      <c r="R1942" s="87" t="b">
        <f>AND(Requirements!L1944&lt;&gt;"Non-testable",Requirements!L1944&lt;&gt;"Deleted",Requirements!L1944&lt;&gt;"")</f>
        <v>1</v>
      </c>
      <c r="S1942" s="87" t="b">
        <f>(VLOOKUP(Requirements!I1944,Scope[[Role]:[Description]],2,FALSE)="In")</f>
        <v>1</v>
      </c>
      <c r="T1942" s="87">
        <f t="shared" si="123"/>
        <v>1</v>
      </c>
    </row>
    <row r="1943" spans="1:20">
      <c r="A1943" s="84" t="str">
        <f>Requirements!A1945</f>
        <v>MS-FSCC_R1769</v>
      </c>
      <c r="B1943" s="87"/>
      <c r="C1943" s="87"/>
      <c r="D1943" s="87"/>
      <c r="E1943" s="87"/>
      <c r="F1943" s="87"/>
      <c r="G1943" s="87"/>
      <c r="H1943" s="87"/>
      <c r="I1943" s="87"/>
      <c r="J1943" s="87"/>
      <c r="K1943" s="87"/>
      <c r="L1943" s="87"/>
      <c r="M1943" s="87">
        <v>1</v>
      </c>
      <c r="N1943" s="87">
        <f t="shared" si="120"/>
        <v>1</v>
      </c>
      <c r="O1943" s="60">
        <f t="shared" si="121"/>
        <v>1</v>
      </c>
      <c r="P1943" s="60" t="b">
        <f t="shared" si="122"/>
        <v>1</v>
      </c>
      <c r="Q1943" s="87" t="b">
        <f>(Requirements!K1945="Normative")</f>
        <v>1</v>
      </c>
      <c r="R1943" s="87" t="b">
        <f>AND(Requirements!L1945&lt;&gt;"Non-testable",Requirements!L1945&lt;&gt;"Deleted",Requirements!L1945&lt;&gt;"")</f>
        <v>1</v>
      </c>
      <c r="S1943" s="87" t="b">
        <f>(VLOOKUP(Requirements!I1945,Scope[[Role]:[Description]],2,FALSE)="In")</f>
        <v>1</v>
      </c>
      <c r="T1943" s="87">
        <f t="shared" si="123"/>
        <v>1</v>
      </c>
    </row>
    <row r="1944" spans="1:20">
      <c r="A1944" s="84" t="str">
        <f>Requirements!A1946</f>
        <v>MS-FSCC_R1770</v>
      </c>
      <c r="B1944" s="87"/>
      <c r="C1944" s="87"/>
      <c r="D1944" s="87"/>
      <c r="E1944" s="87"/>
      <c r="F1944" s="87"/>
      <c r="G1944" s="87"/>
      <c r="H1944" s="87"/>
      <c r="I1944" s="87"/>
      <c r="J1944" s="87"/>
      <c r="K1944" s="87"/>
      <c r="L1944" s="87"/>
      <c r="M1944" s="87">
        <v>1</v>
      </c>
      <c r="N1944" s="87">
        <f t="shared" si="120"/>
        <v>1</v>
      </c>
      <c r="O1944" s="60">
        <f t="shared" si="121"/>
        <v>1</v>
      </c>
      <c r="P1944" s="60" t="b">
        <f t="shared" si="122"/>
        <v>1</v>
      </c>
      <c r="Q1944" s="87" t="b">
        <f>(Requirements!K1946="Normative")</f>
        <v>1</v>
      </c>
      <c r="R1944" s="87" t="b">
        <f>AND(Requirements!L1946&lt;&gt;"Non-testable",Requirements!L1946&lt;&gt;"Deleted",Requirements!L1946&lt;&gt;"")</f>
        <v>1</v>
      </c>
      <c r="S1944" s="87" t="b">
        <f>(VLOOKUP(Requirements!I1946,Scope[[Role]:[Description]],2,FALSE)="In")</f>
        <v>1</v>
      </c>
      <c r="T1944" s="87">
        <f t="shared" si="123"/>
        <v>1</v>
      </c>
    </row>
    <row r="1945" spans="1:20">
      <c r="A1945" s="84" t="str">
        <f>Requirements!A1947</f>
        <v>MS-FSCC_R1771</v>
      </c>
      <c r="B1945" s="87"/>
      <c r="C1945" s="87"/>
      <c r="D1945" s="87"/>
      <c r="E1945" s="87"/>
      <c r="F1945" s="87"/>
      <c r="G1945" s="87"/>
      <c r="H1945" s="87"/>
      <c r="I1945" s="87"/>
      <c r="J1945" s="87"/>
      <c r="K1945" s="87"/>
      <c r="L1945" s="87"/>
      <c r="M1945" s="87">
        <v>1</v>
      </c>
      <c r="N1945" s="87">
        <f t="shared" si="120"/>
        <v>1</v>
      </c>
      <c r="O1945" s="60">
        <f t="shared" si="121"/>
        <v>1</v>
      </c>
      <c r="P1945" s="60" t="b">
        <f t="shared" si="122"/>
        <v>1</v>
      </c>
      <c r="Q1945" s="87" t="b">
        <f>(Requirements!K1947="Normative")</f>
        <v>1</v>
      </c>
      <c r="R1945" s="87" t="b">
        <f>AND(Requirements!L1947&lt;&gt;"Non-testable",Requirements!L1947&lt;&gt;"Deleted",Requirements!L1947&lt;&gt;"")</f>
        <v>1</v>
      </c>
      <c r="S1945" s="87" t="b">
        <f>(VLOOKUP(Requirements!I1947,Scope[[Role]:[Description]],2,FALSE)="In")</f>
        <v>1</v>
      </c>
      <c r="T1945" s="87">
        <f t="shared" si="123"/>
        <v>1</v>
      </c>
    </row>
    <row r="1946" spans="1:20">
      <c r="A1946" s="84" t="str">
        <f>Requirements!A1948</f>
        <v>MS-FSCC_R1780</v>
      </c>
      <c r="B1946" s="87"/>
      <c r="C1946" s="87"/>
      <c r="D1946" s="87"/>
      <c r="E1946" s="87"/>
      <c r="F1946" s="87"/>
      <c r="G1946" s="87"/>
      <c r="H1946" s="87"/>
      <c r="I1946" s="87"/>
      <c r="J1946" s="87"/>
      <c r="K1946" s="87"/>
      <c r="L1946" s="87"/>
      <c r="M1946" s="87">
        <v>1</v>
      </c>
      <c r="N1946" s="87">
        <f t="shared" si="120"/>
        <v>1</v>
      </c>
      <c r="O1946" s="60">
        <f t="shared" si="121"/>
        <v>1</v>
      </c>
      <c r="P1946" s="60" t="b">
        <f t="shared" si="122"/>
        <v>1</v>
      </c>
      <c r="Q1946" s="87" t="b">
        <f>(Requirements!K1948="Normative")</f>
        <v>1</v>
      </c>
      <c r="R1946" s="87" t="b">
        <f>AND(Requirements!L1948&lt;&gt;"Non-testable",Requirements!L1948&lt;&gt;"Deleted",Requirements!L1948&lt;&gt;"")</f>
        <v>1</v>
      </c>
      <c r="S1946" s="87" t="b">
        <f>(VLOOKUP(Requirements!I1948,Scope[[Role]:[Description]],2,FALSE)="In")</f>
        <v>1</v>
      </c>
      <c r="T1946" s="87">
        <f t="shared" si="123"/>
        <v>1</v>
      </c>
    </row>
    <row r="1947" spans="1:20">
      <c r="A1947" s="84" t="str">
        <f>Requirements!A1949</f>
        <v>MS-FSCC_R1782</v>
      </c>
      <c r="B1947" s="87"/>
      <c r="C1947" s="87"/>
      <c r="D1947" s="87"/>
      <c r="E1947" s="87"/>
      <c r="F1947" s="87"/>
      <c r="G1947" s="87"/>
      <c r="H1947" s="87"/>
      <c r="I1947" s="87"/>
      <c r="J1947" s="87"/>
      <c r="K1947" s="87"/>
      <c r="L1947" s="87"/>
      <c r="M1947" s="87">
        <v>1</v>
      </c>
      <c r="N1947" s="87">
        <f t="shared" si="120"/>
        <v>1</v>
      </c>
      <c r="O1947" s="60">
        <f t="shared" si="121"/>
        <v>1</v>
      </c>
      <c r="P1947" s="60" t="b">
        <f t="shared" si="122"/>
        <v>1</v>
      </c>
      <c r="Q1947" s="87" t="b">
        <f>(Requirements!K1949="Normative")</f>
        <v>1</v>
      </c>
      <c r="R1947" s="87" t="b">
        <f>AND(Requirements!L1949&lt;&gt;"Non-testable",Requirements!L1949&lt;&gt;"Deleted",Requirements!L1949&lt;&gt;"")</f>
        <v>1</v>
      </c>
      <c r="S1947" s="87" t="b">
        <f>(VLOOKUP(Requirements!I1949,Scope[[Role]:[Description]],2,FALSE)="In")</f>
        <v>1</v>
      </c>
      <c r="T1947" s="87">
        <f t="shared" si="123"/>
        <v>1</v>
      </c>
    </row>
    <row r="1948" spans="1:20">
      <c r="A1948" s="84" t="str">
        <f>Requirements!A1950</f>
        <v>MS-FSCC_R1784</v>
      </c>
      <c r="B1948" s="87"/>
      <c r="C1948" s="87"/>
      <c r="D1948" s="87"/>
      <c r="E1948" s="87"/>
      <c r="F1948" s="87"/>
      <c r="G1948" s="87"/>
      <c r="H1948" s="87"/>
      <c r="I1948" s="87"/>
      <c r="J1948" s="87"/>
      <c r="K1948" s="87"/>
      <c r="L1948" s="87"/>
      <c r="M1948" s="87">
        <v>1</v>
      </c>
      <c r="N1948" s="87">
        <f t="shared" si="120"/>
        <v>1</v>
      </c>
      <c r="O1948" s="60">
        <f t="shared" si="121"/>
        <v>1</v>
      </c>
      <c r="P1948" s="60" t="b">
        <f t="shared" si="122"/>
        <v>1</v>
      </c>
      <c r="Q1948" s="87" t="b">
        <f>(Requirements!K1950="Normative")</f>
        <v>1</v>
      </c>
      <c r="R1948" s="87" t="b">
        <f>AND(Requirements!L1950&lt;&gt;"Non-testable",Requirements!L1950&lt;&gt;"Deleted",Requirements!L1950&lt;&gt;"")</f>
        <v>1</v>
      </c>
      <c r="S1948" s="87" t="b">
        <f>(VLOOKUP(Requirements!I1950,Scope[[Role]:[Description]],2,FALSE)="In")</f>
        <v>1</v>
      </c>
      <c r="T1948" s="87">
        <f t="shared" si="123"/>
        <v>1</v>
      </c>
    </row>
    <row r="1949" spans="1:20">
      <c r="A1949" s="84" t="str">
        <f>Requirements!A1951</f>
        <v>MS-FSCC_R1785</v>
      </c>
      <c r="B1949" s="87"/>
      <c r="C1949" s="87"/>
      <c r="D1949" s="87"/>
      <c r="E1949" s="87"/>
      <c r="F1949" s="87"/>
      <c r="G1949" s="87"/>
      <c r="H1949" s="87"/>
      <c r="I1949" s="87"/>
      <c r="J1949" s="87"/>
      <c r="K1949" s="87"/>
      <c r="L1949" s="87"/>
      <c r="M1949" s="87">
        <v>1</v>
      </c>
      <c r="N1949" s="87">
        <f t="shared" si="120"/>
        <v>1</v>
      </c>
      <c r="O1949" s="60">
        <f t="shared" si="121"/>
        <v>1</v>
      </c>
      <c r="P1949" s="60" t="b">
        <f t="shared" si="122"/>
        <v>1</v>
      </c>
      <c r="Q1949" s="87" t="b">
        <f>(Requirements!K1951="Normative")</f>
        <v>1</v>
      </c>
      <c r="R1949" s="87" t="b">
        <f>AND(Requirements!L1951&lt;&gt;"Non-testable",Requirements!L1951&lt;&gt;"Deleted",Requirements!L1951&lt;&gt;"")</f>
        <v>1</v>
      </c>
      <c r="S1949" s="87" t="b">
        <f>(VLOOKUP(Requirements!I1951,Scope[[Role]:[Description]],2,FALSE)="In")</f>
        <v>1</v>
      </c>
      <c r="T1949" s="87">
        <f t="shared" si="123"/>
        <v>1</v>
      </c>
    </row>
    <row r="1950" spans="1:20">
      <c r="A1950" s="84" t="str">
        <f>Requirements!A1952</f>
        <v>MS-FSCC_R1787</v>
      </c>
      <c r="B1950" s="87"/>
      <c r="C1950" s="87"/>
      <c r="D1950" s="87"/>
      <c r="E1950" s="87"/>
      <c r="F1950" s="87"/>
      <c r="G1950" s="87"/>
      <c r="H1950" s="87"/>
      <c r="I1950" s="87"/>
      <c r="J1950" s="87"/>
      <c r="K1950" s="87"/>
      <c r="L1950" s="87"/>
      <c r="M1950" s="87">
        <v>1</v>
      </c>
      <c r="N1950" s="87">
        <f t="shared" si="120"/>
        <v>1</v>
      </c>
      <c r="O1950" s="60">
        <f t="shared" si="121"/>
        <v>1</v>
      </c>
      <c r="P1950" s="60" t="b">
        <f t="shared" si="122"/>
        <v>1</v>
      </c>
      <c r="Q1950" s="87" t="b">
        <f>(Requirements!K1952="Normative")</f>
        <v>1</v>
      </c>
      <c r="R1950" s="87" t="b">
        <f>AND(Requirements!L1952&lt;&gt;"Non-testable",Requirements!L1952&lt;&gt;"Deleted",Requirements!L1952&lt;&gt;"")</f>
        <v>1</v>
      </c>
      <c r="S1950" s="87" t="b">
        <f>(VLOOKUP(Requirements!I1952,Scope[[Role]:[Description]],2,FALSE)="In")</f>
        <v>1</v>
      </c>
      <c r="T1950" s="87">
        <f t="shared" si="123"/>
        <v>1</v>
      </c>
    </row>
    <row r="1951" spans="1:20">
      <c r="A1951" s="84" t="str">
        <f>Requirements!A1953</f>
        <v>MS-FSCC_R1789</v>
      </c>
      <c r="B1951" s="87"/>
      <c r="C1951" s="87"/>
      <c r="D1951" s="87"/>
      <c r="E1951" s="87"/>
      <c r="F1951" s="87"/>
      <c r="G1951" s="87"/>
      <c r="H1951" s="87"/>
      <c r="I1951" s="87"/>
      <c r="J1951" s="87"/>
      <c r="K1951" s="87"/>
      <c r="L1951" s="87"/>
      <c r="M1951" s="87">
        <v>1</v>
      </c>
      <c r="N1951" s="87">
        <f t="shared" si="120"/>
        <v>1</v>
      </c>
      <c r="O1951" s="60">
        <f t="shared" si="121"/>
        <v>1</v>
      </c>
      <c r="P1951" s="60" t="b">
        <f t="shared" si="122"/>
        <v>1</v>
      </c>
      <c r="Q1951" s="87" t="b">
        <f>(Requirements!K1953="Normative")</f>
        <v>1</v>
      </c>
      <c r="R1951" s="87" t="b">
        <f>AND(Requirements!L1953&lt;&gt;"Non-testable",Requirements!L1953&lt;&gt;"Deleted",Requirements!L1953&lt;&gt;"")</f>
        <v>1</v>
      </c>
      <c r="S1951" s="87" t="b">
        <f>(VLOOKUP(Requirements!I1953,Scope[[Role]:[Description]],2,FALSE)="In")</f>
        <v>1</v>
      </c>
      <c r="T1951" s="87">
        <f t="shared" si="123"/>
        <v>1</v>
      </c>
    </row>
    <row r="1952" spans="1:20">
      <c r="A1952" s="84" t="str">
        <f>Requirements!A1954</f>
        <v>MS-FSCC_R1790</v>
      </c>
      <c r="B1952" s="87"/>
      <c r="C1952" s="87"/>
      <c r="D1952" s="87"/>
      <c r="E1952" s="87"/>
      <c r="F1952" s="87"/>
      <c r="G1952" s="87"/>
      <c r="H1952" s="87"/>
      <c r="I1952" s="87"/>
      <c r="J1952" s="87"/>
      <c r="K1952" s="87"/>
      <c r="L1952" s="87"/>
      <c r="M1952" s="87">
        <v>1</v>
      </c>
      <c r="N1952" s="87">
        <f t="shared" si="120"/>
        <v>1</v>
      </c>
      <c r="O1952" s="60">
        <f t="shared" si="121"/>
        <v>1</v>
      </c>
      <c r="P1952" s="60" t="b">
        <f t="shared" si="122"/>
        <v>1</v>
      </c>
      <c r="Q1952" s="87" t="b">
        <f>(Requirements!K1954="Normative")</f>
        <v>1</v>
      </c>
      <c r="R1952" s="87" t="b">
        <f>AND(Requirements!L1954&lt;&gt;"Non-testable",Requirements!L1954&lt;&gt;"Deleted",Requirements!L1954&lt;&gt;"")</f>
        <v>1</v>
      </c>
      <c r="S1952" s="87" t="b">
        <f>(VLOOKUP(Requirements!I1954,Scope[[Role]:[Description]],2,FALSE)="In")</f>
        <v>1</v>
      </c>
      <c r="T1952" s="87">
        <f t="shared" si="123"/>
        <v>1</v>
      </c>
    </row>
    <row r="1953" spans="1:20">
      <c r="A1953" s="84" t="str">
        <f>Requirements!A1955</f>
        <v>MS-FSCC_R1791</v>
      </c>
      <c r="B1953" s="87"/>
      <c r="C1953" s="87"/>
      <c r="D1953" s="87"/>
      <c r="E1953" s="87"/>
      <c r="F1953" s="87"/>
      <c r="G1953" s="87"/>
      <c r="H1953" s="87"/>
      <c r="I1953" s="87"/>
      <c r="J1953" s="87"/>
      <c r="K1953" s="87"/>
      <c r="L1953" s="87"/>
      <c r="M1953" s="87">
        <v>1</v>
      </c>
      <c r="N1953" s="87">
        <f t="shared" si="120"/>
        <v>1</v>
      </c>
      <c r="O1953" s="60">
        <f t="shared" si="121"/>
        <v>1</v>
      </c>
      <c r="P1953" s="60" t="b">
        <f t="shared" si="122"/>
        <v>1</v>
      </c>
      <c r="Q1953" s="87" t="b">
        <f>(Requirements!K1955="Normative")</f>
        <v>1</v>
      </c>
      <c r="R1953" s="87" t="b">
        <f>AND(Requirements!L1955&lt;&gt;"Non-testable",Requirements!L1955&lt;&gt;"Deleted",Requirements!L1955&lt;&gt;"")</f>
        <v>1</v>
      </c>
      <c r="S1953" s="87" t="b">
        <f>(VLOOKUP(Requirements!I1955,Scope[[Role]:[Description]],2,FALSE)="In")</f>
        <v>1</v>
      </c>
      <c r="T1953" s="87">
        <f t="shared" si="123"/>
        <v>1</v>
      </c>
    </row>
    <row r="1954" spans="1:20">
      <c r="A1954" s="84" t="str">
        <f>Requirements!A1956</f>
        <v>MS-FSCC_R1792</v>
      </c>
      <c r="B1954" s="87"/>
      <c r="C1954" s="87"/>
      <c r="D1954" s="87"/>
      <c r="E1954" s="87"/>
      <c r="F1954" s="87"/>
      <c r="G1954" s="87"/>
      <c r="H1954" s="87"/>
      <c r="I1954" s="87"/>
      <c r="J1954" s="87"/>
      <c r="K1954" s="87"/>
      <c r="L1954" s="87"/>
      <c r="M1954" s="87">
        <v>1</v>
      </c>
      <c r="N1954" s="87">
        <f t="shared" si="120"/>
        <v>1</v>
      </c>
      <c r="O1954" s="60">
        <f t="shared" si="121"/>
        <v>1</v>
      </c>
      <c r="P1954" s="60" t="b">
        <f t="shared" si="122"/>
        <v>1</v>
      </c>
      <c r="Q1954" s="87" t="b">
        <f>(Requirements!K1956="Normative")</f>
        <v>1</v>
      </c>
      <c r="R1954" s="87" t="b">
        <f>AND(Requirements!L1956&lt;&gt;"Non-testable",Requirements!L1956&lt;&gt;"Deleted",Requirements!L1956&lt;&gt;"")</f>
        <v>1</v>
      </c>
      <c r="S1954" s="87" t="b">
        <f>(VLOOKUP(Requirements!I1956,Scope[[Role]:[Description]],2,FALSE)="In")</f>
        <v>1</v>
      </c>
      <c r="T1954" s="87">
        <f t="shared" si="123"/>
        <v>1</v>
      </c>
    </row>
    <row r="1955" spans="1:20">
      <c r="A1955" s="84" t="str">
        <f>Requirements!A1957</f>
        <v>MS-FSCC_R1793</v>
      </c>
      <c r="B1955" s="87"/>
      <c r="C1955" s="87"/>
      <c r="D1955" s="87"/>
      <c r="E1955" s="87"/>
      <c r="F1955" s="87"/>
      <c r="G1955" s="87"/>
      <c r="H1955" s="87"/>
      <c r="I1955" s="87"/>
      <c r="J1955" s="87"/>
      <c r="K1955" s="87"/>
      <c r="L1955" s="87"/>
      <c r="M1955" s="87">
        <v>1</v>
      </c>
      <c r="N1955" s="87">
        <f t="shared" si="120"/>
        <v>1</v>
      </c>
      <c r="O1955" s="60">
        <f t="shared" si="121"/>
        <v>1</v>
      </c>
      <c r="P1955" s="60" t="b">
        <f t="shared" si="122"/>
        <v>1</v>
      </c>
      <c r="Q1955" s="87" t="b">
        <f>(Requirements!K1957="Normative")</f>
        <v>1</v>
      </c>
      <c r="R1955" s="87" t="b">
        <f>AND(Requirements!L1957&lt;&gt;"Non-testable",Requirements!L1957&lt;&gt;"Deleted",Requirements!L1957&lt;&gt;"")</f>
        <v>1</v>
      </c>
      <c r="S1955" s="87" t="b">
        <f>(VLOOKUP(Requirements!I1957,Scope[[Role]:[Description]],2,FALSE)="In")</f>
        <v>1</v>
      </c>
      <c r="T1955" s="87">
        <f t="shared" si="123"/>
        <v>1</v>
      </c>
    </row>
    <row r="1956" spans="1:20">
      <c r="A1956" s="84" t="str">
        <f>Requirements!A1958</f>
        <v>MS-FSCC_R1794</v>
      </c>
      <c r="B1956" s="87"/>
      <c r="C1956" s="87"/>
      <c r="D1956" s="87"/>
      <c r="E1956" s="87"/>
      <c r="F1956" s="87"/>
      <c r="G1956" s="87"/>
      <c r="H1956" s="87"/>
      <c r="I1956" s="87"/>
      <c r="J1956" s="87"/>
      <c r="K1956" s="87"/>
      <c r="L1956" s="87"/>
      <c r="M1956" s="87">
        <v>1</v>
      </c>
      <c r="N1956" s="87">
        <f t="shared" si="120"/>
        <v>1</v>
      </c>
      <c r="O1956" s="60">
        <f t="shared" si="121"/>
        <v>1</v>
      </c>
      <c r="P1956" s="60" t="b">
        <f t="shared" si="122"/>
        <v>1</v>
      </c>
      <c r="Q1956" s="87" t="b">
        <f>(Requirements!K1958="Normative")</f>
        <v>1</v>
      </c>
      <c r="R1956" s="87" t="b">
        <f>AND(Requirements!L1958&lt;&gt;"Non-testable",Requirements!L1958&lt;&gt;"Deleted",Requirements!L1958&lt;&gt;"")</f>
        <v>1</v>
      </c>
      <c r="S1956" s="87" t="b">
        <f>(VLOOKUP(Requirements!I1958,Scope[[Role]:[Description]],2,FALSE)="In")</f>
        <v>1</v>
      </c>
      <c r="T1956" s="87">
        <f t="shared" si="123"/>
        <v>1</v>
      </c>
    </row>
    <row r="1957" spans="1:20">
      <c r="A1957" s="84" t="str">
        <f>Requirements!A1959</f>
        <v>MS-FSCC_R1796</v>
      </c>
      <c r="B1957" s="87"/>
      <c r="C1957" s="87"/>
      <c r="D1957" s="87"/>
      <c r="E1957" s="87"/>
      <c r="F1957" s="87"/>
      <c r="G1957" s="87"/>
      <c r="H1957" s="87"/>
      <c r="I1957" s="87"/>
      <c r="J1957" s="87"/>
      <c r="K1957" s="87"/>
      <c r="L1957" s="87"/>
      <c r="M1957" s="87">
        <v>1</v>
      </c>
      <c r="N1957" s="87">
        <f t="shared" si="120"/>
        <v>1</v>
      </c>
      <c r="O1957" s="60">
        <f t="shared" si="121"/>
        <v>1</v>
      </c>
      <c r="P1957" s="60" t="b">
        <f t="shared" si="122"/>
        <v>1</v>
      </c>
      <c r="Q1957" s="87" t="b">
        <f>(Requirements!K1959="Normative")</f>
        <v>1</v>
      </c>
      <c r="R1957" s="87" t="b">
        <f>AND(Requirements!L1959&lt;&gt;"Non-testable",Requirements!L1959&lt;&gt;"Deleted",Requirements!L1959&lt;&gt;"")</f>
        <v>1</v>
      </c>
      <c r="S1957" s="87" t="b">
        <f>(VLOOKUP(Requirements!I1959,Scope[[Role]:[Description]],2,FALSE)="In")</f>
        <v>1</v>
      </c>
      <c r="T1957" s="87">
        <f t="shared" si="123"/>
        <v>1</v>
      </c>
    </row>
    <row r="1958" spans="1:20">
      <c r="A1958" s="84" t="str">
        <f>Requirements!A1960</f>
        <v>MS-FSCC_R1798</v>
      </c>
      <c r="B1958" s="87"/>
      <c r="C1958" s="87"/>
      <c r="D1958" s="87"/>
      <c r="E1958" s="87"/>
      <c r="F1958" s="87"/>
      <c r="G1958" s="87"/>
      <c r="H1958" s="87"/>
      <c r="I1958" s="87"/>
      <c r="J1958" s="87"/>
      <c r="K1958" s="87"/>
      <c r="L1958" s="87"/>
      <c r="M1958" s="87">
        <v>1</v>
      </c>
      <c r="N1958" s="87">
        <f t="shared" si="120"/>
        <v>1</v>
      </c>
      <c r="O1958" s="60">
        <f t="shared" si="121"/>
        <v>1</v>
      </c>
      <c r="P1958" s="60" t="b">
        <f t="shared" si="122"/>
        <v>1</v>
      </c>
      <c r="Q1958" s="87" t="b">
        <f>(Requirements!K1960="Normative")</f>
        <v>1</v>
      </c>
      <c r="R1958" s="87" t="b">
        <f>AND(Requirements!L1960&lt;&gt;"Non-testable",Requirements!L1960&lt;&gt;"Deleted",Requirements!L1960&lt;&gt;"")</f>
        <v>1</v>
      </c>
      <c r="S1958" s="87" t="b">
        <f>(VLOOKUP(Requirements!I1960,Scope[[Role]:[Description]],2,FALSE)="In")</f>
        <v>1</v>
      </c>
      <c r="T1958" s="87">
        <f t="shared" si="123"/>
        <v>1</v>
      </c>
    </row>
    <row r="1959" spans="1:20">
      <c r="A1959" s="84" t="str">
        <f>Requirements!A1961</f>
        <v>MS-FSCC_R1799</v>
      </c>
      <c r="B1959" s="87"/>
      <c r="C1959" s="87"/>
      <c r="D1959" s="87"/>
      <c r="E1959" s="87"/>
      <c r="F1959" s="87"/>
      <c r="G1959" s="87"/>
      <c r="H1959" s="87"/>
      <c r="I1959" s="87"/>
      <c r="J1959" s="87"/>
      <c r="K1959" s="87"/>
      <c r="L1959" s="87"/>
      <c r="M1959" s="87">
        <v>1</v>
      </c>
      <c r="N1959" s="87">
        <f t="shared" si="120"/>
        <v>1</v>
      </c>
      <c r="O1959" s="60">
        <f t="shared" si="121"/>
        <v>1</v>
      </c>
      <c r="P1959" s="60" t="b">
        <f t="shared" si="122"/>
        <v>1</v>
      </c>
      <c r="Q1959" s="87" t="b">
        <f>(Requirements!K1961="Normative")</f>
        <v>1</v>
      </c>
      <c r="R1959" s="87" t="b">
        <f>AND(Requirements!L1961&lt;&gt;"Non-testable",Requirements!L1961&lt;&gt;"Deleted",Requirements!L1961&lt;&gt;"")</f>
        <v>1</v>
      </c>
      <c r="S1959" s="87" t="b">
        <f>(VLOOKUP(Requirements!I1961,Scope[[Role]:[Description]],2,FALSE)="In")</f>
        <v>1</v>
      </c>
      <c r="T1959" s="87">
        <f t="shared" si="123"/>
        <v>1</v>
      </c>
    </row>
    <row r="1960" spans="1:20">
      <c r="A1960" s="84" t="str">
        <f>Requirements!A1962</f>
        <v>MS-FSCC_R1800</v>
      </c>
      <c r="B1960" s="87"/>
      <c r="C1960" s="87"/>
      <c r="D1960" s="87"/>
      <c r="E1960" s="87"/>
      <c r="F1960" s="87"/>
      <c r="G1960" s="87"/>
      <c r="H1960" s="87"/>
      <c r="I1960" s="87"/>
      <c r="J1960" s="87"/>
      <c r="K1960" s="87"/>
      <c r="L1960" s="87"/>
      <c r="M1960" s="87">
        <v>1</v>
      </c>
      <c r="N1960" s="87">
        <f t="shared" si="120"/>
        <v>1</v>
      </c>
      <c r="O1960" s="60">
        <f t="shared" si="121"/>
        <v>1</v>
      </c>
      <c r="P1960" s="60" t="b">
        <f t="shared" si="122"/>
        <v>1</v>
      </c>
      <c r="Q1960" s="87" t="b">
        <f>(Requirements!K1962="Normative")</f>
        <v>1</v>
      </c>
      <c r="R1960" s="87" t="b">
        <f>AND(Requirements!L1962&lt;&gt;"Non-testable",Requirements!L1962&lt;&gt;"Deleted",Requirements!L1962&lt;&gt;"")</f>
        <v>1</v>
      </c>
      <c r="S1960" s="87" t="b">
        <f>(VLOOKUP(Requirements!I1962,Scope[[Role]:[Description]],2,FALSE)="In")</f>
        <v>1</v>
      </c>
      <c r="T1960" s="87">
        <f t="shared" si="123"/>
        <v>1</v>
      </c>
    </row>
    <row r="1961" spans="1:20">
      <c r="A1961" s="84" t="str">
        <f>Requirements!A1963</f>
        <v>MS-FSCC_R1804</v>
      </c>
      <c r="B1961" s="87"/>
      <c r="C1961" s="87"/>
      <c r="D1961" s="87"/>
      <c r="E1961" s="87"/>
      <c r="F1961" s="87"/>
      <c r="G1961" s="87"/>
      <c r="H1961" s="87"/>
      <c r="I1961" s="87"/>
      <c r="J1961" s="87"/>
      <c r="K1961" s="87"/>
      <c r="L1961" s="87"/>
      <c r="M1961" s="87">
        <v>1</v>
      </c>
      <c r="N1961" s="87">
        <f t="shared" si="120"/>
        <v>1</v>
      </c>
      <c r="O1961" s="60">
        <f t="shared" si="121"/>
        <v>1</v>
      </c>
      <c r="P1961" s="60" t="b">
        <f t="shared" si="122"/>
        <v>1</v>
      </c>
      <c r="Q1961" s="87" t="b">
        <f>(Requirements!K1963="Normative")</f>
        <v>1</v>
      </c>
      <c r="R1961" s="87" t="b">
        <f>AND(Requirements!L1963&lt;&gt;"Non-testable",Requirements!L1963&lt;&gt;"Deleted",Requirements!L1963&lt;&gt;"")</f>
        <v>1</v>
      </c>
      <c r="S1961" s="87" t="b">
        <f>(VLOOKUP(Requirements!I1963,Scope[[Role]:[Description]],2,FALSE)="In")</f>
        <v>1</v>
      </c>
      <c r="T1961" s="87">
        <f t="shared" si="123"/>
        <v>1</v>
      </c>
    </row>
    <row r="1962" spans="1:20">
      <c r="A1962" s="84" t="str">
        <f>Requirements!A1964</f>
        <v>MS-FSCC_R1805</v>
      </c>
      <c r="B1962" s="87"/>
      <c r="C1962" s="87"/>
      <c r="D1962" s="87"/>
      <c r="E1962" s="87"/>
      <c r="F1962" s="87"/>
      <c r="G1962" s="87"/>
      <c r="H1962" s="87"/>
      <c r="I1962" s="87"/>
      <c r="J1962" s="87"/>
      <c r="K1962" s="87"/>
      <c r="L1962" s="87"/>
      <c r="M1962" s="87">
        <v>1</v>
      </c>
      <c r="N1962" s="87">
        <f t="shared" si="120"/>
        <v>1</v>
      </c>
      <c r="O1962" s="60">
        <f t="shared" si="121"/>
        <v>1</v>
      </c>
      <c r="P1962" s="60" t="b">
        <f t="shared" si="122"/>
        <v>1</v>
      </c>
      <c r="Q1962" s="87" t="b">
        <f>(Requirements!K1964="Normative")</f>
        <v>1</v>
      </c>
      <c r="R1962" s="87" t="b">
        <f>AND(Requirements!L1964&lt;&gt;"Non-testable",Requirements!L1964&lt;&gt;"Deleted",Requirements!L1964&lt;&gt;"")</f>
        <v>1</v>
      </c>
      <c r="S1962" s="87" t="b">
        <f>(VLOOKUP(Requirements!I1964,Scope[[Role]:[Description]],2,FALSE)="In")</f>
        <v>1</v>
      </c>
      <c r="T1962" s="87">
        <f t="shared" si="123"/>
        <v>1</v>
      </c>
    </row>
    <row r="1963" spans="1:20">
      <c r="A1963" s="84" t="str">
        <f>Requirements!A1965</f>
        <v>MS-FSCC_R1809</v>
      </c>
      <c r="B1963" s="87"/>
      <c r="C1963" s="87"/>
      <c r="D1963" s="87"/>
      <c r="E1963" s="87"/>
      <c r="F1963" s="87"/>
      <c r="G1963" s="87"/>
      <c r="H1963" s="87"/>
      <c r="I1963" s="87"/>
      <c r="J1963" s="87"/>
      <c r="K1963" s="87"/>
      <c r="L1963" s="87"/>
      <c r="M1963" s="87">
        <v>1</v>
      </c>
      <c r="N1963" s="87">
        <f t="shared" si="120"/>
        <v>1</v>
      </c>
      <c r="O1963" s="60">
        <f t="shared" si="121"/>
        <v>1</v>
      </c>
      <c r="P1963" s="60" t="b">
        <f t="shared" si="122"/>
        <v>1</v>
      </c>
      <c r="Q1963" s="87" t="b">
        <f>(Requirements!K1965="Normative")</f>
        <v>1</v>
      </c>
      <c r="R1963" s="87" t="b">
        <f>AND(Requirements!L1965&lt;&gt;"Non-testable",Requirements!L1965&lt;&gt;"Deleted",Requirements!L1965&lt;&gt;"")</f>
        <v>1</v>
      </c>
      <c r="S1963" s="87" t="b">
        <f>(VLOOKUP(Requirements!I1965,Scope[[Role]:[Description]],2,FALSE)="In")</f>
        <v>1</v>
      </c>
      <c r="T1963" s="87">
        <f t="shared" si="123"/>
        <v>1</v>
      </c>
    </row>
    <row r="1964" spans="1:20">
      <c r="A1964" s="84" t="str">
        <f>Requirements!A1966</f>
        <v>MS-FSCC_R1811</v>
      </c>
      <c r="B1964" s="87"/>
      <c r="C1964" s="87"/>
      <c r="D1964" s="87"/>
      <c r="E1964" s="87"/>
      <c r="F1964" s="87"/>
      <c r="G1964" s="87"/>
      <c r="H1964" s="87"/>
      <c r="I1964" s="87"/>
      <c r="J1964" s="87"/>
      <c r="K1964" s="87"/>
      <c r="L1964" s="87"/>
      <c r="M1964" s="87">
        <v>1</v>
      </c>
      <c r="N1964" s="87">
        <f t="shared" si="120"/>
        <v>1</v>
      </c>
      <c r="O1964" s="60">
        <f t="shared" si="121"/>
        <v>1</v>
      </c>
      <c r="P1964" s="60" t="b">
        <f t="shared" si="122"/>
        <v>1</v>
      </c>
      <c r="Q1964" s="87" t="b">
        <f>(Requirements!K1966="Normative")</f>
        <v>1</v>
      </c>
      <c r="R1964" s="87" t="b">
        <f>AND(Requirements!L1966&lt;&gt;"Non-testable",Requirements!L1966&lt;&gt;"Deleted",Requirements!L1966&lt;&gt;"")</f>
        <v>1</v>
      </c>
      <c r="S1964" s="87" t="b">
        <f>(VLOOKUP(Requirements!I1966,Scope[[Role]:[Description]],2,FALSE)="In")</f>
        <v>1</v>
      </c>
      <c r="T1964" s="87">
        <f t="shared" si="123"/>
        <v>1</v>
      </c>
    </row>
    <row r="1965" spans="1:20">
      <c r="A1965" s="84" t="str">
        <f>Requirements!A1967</f>
        <v>MS-FSCC_R1814</v>
      </c>
      <c r="B1965" s="87"/>
      <c r="C1965" s="87"/>
      <c r="D1965" s="87"/>
      <c r="E1965" s="87"/>
      <c r="F1965" s="87"/>
      <c r="G1965" s="87"/>
      <c r="H1965" s="87"/>
      <c r="I1965" s="87"/>
      <c r="J1965" s="87"/>
      <c r="K1965" s="87"/>
      <c r="L1965" s="87"/>
      <c r="M1965" s="87">
        <v>1</v>
      </c>
      <c r="N1965" s="87">
        <f t="shared" si="120"/>
        <v>1</v>
      </c>
      <c r="O1965" s="60">
        <f t="shared" si="121"/>
        <v>1</v>
      </c>
      <c r="P1965" s="60" t="b">
        <f t="shared" si="122"/>
        <v>1</v>
      </c>
      <c r="Q1965" s="87" t="b">
        <f>(Requirements!K1967="Normative")</f>
        <v>1</v>
      </c>
      <c r="R1965" s="87" t="b">
        <f>AND(Requirements!L1967&lt;&gt;"Non-testable",Requirements!L1967&lt;&gt;"Deleted",Requirements!L1967&lt;&gt;"")</f>
        <v>1</v>
      </c>
      <c r="S1965" s="87" t="b">
        <f>(VLOOKUP(Requirements!I1967,Scope[[Role]:[Description]],2,FALSE)="In")</f>
        <v>1</v>
      </c>
      <c r="T1965" s="87">
        <f t="shared" si="123"/>
        <v>1</v>
      </c>
    </row>
    <row r="1966" spans="1:20">
      <c r="A1966" s="84" t="str">
        <f>Requirements!A1968</f>
        <v>MS-FSCC_R1818</v>
      </c>
      <c r="B1966" s="87"/>
      <c r="C1966" s="87"/>
      <c r="D1966" s="87"/>
      <c r="E1966" s="87"/>
      <c r="F1966" s="87"/>
      <c r="G1966" s="87"/>
      <c r="H1966" s="87"/>
      <c r="I1966" s="87"/>
      <c r="J1966" s="87"/>
      <c r="K1966" s="87"/>
      <c r="L1966" s="87"/>
      <c r="M1966" s="87">
        <v>1</v>
      </c>
      <c r="N1966" s="87">
        <f t="shared" si="120"/>
        <v>1</v>
      </c>
      <c r="O1966" s="60">
        <f t="shared" si="121"/>
        <v>1</v>
      </c>
      <c r="P1966" s="60" t="b">
        <f t="shared" si="122"/>
        <v>1</v>
      </c>
      <c r="Q1966" s="87" t="b">
        <f>(Requirements!K1968="Normative")</f>
        <v>1</v>
      </c>
      <c r="R1966" s="87" t="b">
        <f>AND(Requirements!L1968&lt;&gt;"Non-testable",Requirements!L1968&lt;&gt;"Deleted",Requirements!L1968&lt;&gt;"")</f>
        <v>1</v>
      </c>
      <c r="S1966" s="87" t="b">
        <f>(VLOOKUP(Requirements!I1968,Scope[[Role]:[Description]],2,FALSE)="In")</f>
        <v>1</v>
      </c>
      <c r="T1966" s="87">
        <f t="shared" si="123"/>
        <v>1</v>
      </c>
    </row>
    <row r="1967" spans="1:20">
      <c r="A1967" s="84" t="str">
        <f>Requirements!A1969</f>
        <v>MS-FSCC_R1940</v>
      </c>
      <c r="B1967" s="87"/>
      <c r="C1967" s="87"/>
      <c r="D1967" s="87"/>
      <c r="E1967" s="87"/>
      <c r="F1967" s="87"/>
      <c r="G1967" s="87"/>
      <c r="H1967" s="87"/>
      <c r="I1967" s="87"/>
      <c r="J1967" s="87"/>
      <c r="K1967" s="87"/>
      <c r="L1967" s="87"/>
      <c r="M1967" s="87">
        <v>1</v>
      </c>
      <c r="N1967" s="87">
        <f t="shared" si="120"/>
        <v>1</v>
      </c>
      <c r="O1967" s="60">
        <f t="shared" si="121"/>
        <v>1</v>
      </c>
      <c r="P1967" s="60" t="b">
        <f t="shared" si="122"/>
        <v>1</v>
      </c>
      <c r="Q1967" s="87" t="b">
        <f>(Requirements!K1969="Normative")</f>
        <v>1</v>
      </c>
      <c r="R1967" s="87" t="b">
        <f>AND(Requirements!L1969&lt;&gt;"Non-testable",Requirements!L1969&lt;&gt;"Deleted",Requirements!L1969&lt;&gt;"")</f>
        <v>1</v>
      </c>
      <c r="S1967" s="87" t="b">
        <f>(VLOOKUP(Requirements!I1969,Scope[[Role]:[Description]],2,FALSE)="In")</f>
        <v>1</v>
      </c>
      <c r="T1967" s="87">
        <f t="shared" si="123"/>
        <v>1</v>
      </c>
    </row>
    <row r="1968" spans="1:20">
      <c r="A1968" s="84" t="str">
        <f>Requirements!A1970</f>
        <v>MS-FSCC_R1943</v>
      </c>
      <c r="B1968" s="87"/>
      <c r="C1968" s="87"/>
      <c r="D1968" s="87"/>
      <c r="E1968" s="87"/>
      <c r="F1968" s="87"/>
      <c r="G1968" s="87"/>
      <c r="H1968" s="87"/>
      <c r="I1968" s="87"/>
      <c r="J1968" s="87"/>
      <c r="K1968" s="87"/>
      <c r="L1968" s="87"/>
      <c r="M1968" s="87">
        <v>1</v>
      </c>
      <c r="N1968" s="87">
        <f t="shared" si="120"/>
        <v>1</v>
      </c>
      <c r="O1968" s="60">
        <f t="shared" si="121"/>
        <v>1</v>
      </c>
      <c r="P1968" s="60" t="b">
        <f t="shared" si="122"/>
        <v>1</v>
      </c>
      <c r="Q1968" s="87" t="b">
        <f>(Requirements!K1970="Normative")</f>
        <v>1</v>
      </c>
      <c r="R1968" s="87" t="b">
        <f>AND(Requirements!L1970&lt;&gt;"Non-testable",Requirements!L1970&lt;&gt;"Deleted",Requirements!L1970&lt;&gt;"")</f>
        <v>1</v>
      </c>
      <c r="S1968" s="87" t="b">
        <f>(VLOOKUP(Requirements!I1970,Scope[[Role]:[Description]],2,FALSE)="In")</f>
        <v>1</v>
      </c>
      <c r="T1968" s="87">
        <f t="shared" si="123"/>
        <v>1</v>
      </c>
    </row>
    <row r="1969" spans="1:20">
      <c r="A1969" s="84" t="str">
        <f>Requirements!A1971</f>
        <v>MS-FSCC_R1945</v>
      </c>
      <c r="B1969" s="87"/>
      <c r="C1969" s="87"/>
      <c r="D1969" s="87"/>
      <c r="E1969" s="87"/>
      <c r="F1969" s="87"/>
      <c r="G1969" s="87"/>
      <c r="H1969" s="87"/>
      <c r="I1969" s="87"/>
      <c r="J1969" s="87"/>
      <c r="K1969" s="87"/>
      <c r="L1969" s="87"/>
      <c r="M1969" s="87">
        <v>1</v>
      </c>
      <c r="N1969" s="87">
        <f t="shared" si="120"/>
        <v>1</v>
      </c>
      <c r="O1969" s="60">
        <f t="shared" si="121"/>
        <v>1</v>
      </c>
      <c r="P1969" s="60" t="b">
        <f t="shared" si="122"/>
        <v>1</v>
      </c>
      <c r="Q1969" s="87" t="b">
        <f>(Requirements!K1971="Normative")</f>
        <v>1</v>
      </c>
      <c r="R1969" s="87" t="b">
        <f>AND(Requirements!L1971&lt;&gt;"Non-testable",Requirements!L1971&lt;&gt;"Deleted",Requirements!L1971&lt;&gt;"")</f>
        <v>1</v>
      </c>
      <c r="S1969" s="87" t="b">
        <f>(VLOOKUP(Requirements!I1971,Scope[[Role]:[Description]],2,FALSE)="In")</f>
        <v>1</v>
      </c>
      <c r="T1969" s="87">
        <f t="shared" si="123"/>
        <v>1</v>
      </c>
    </row>
    <row r="1970" spans="1:20">
      <c r="A1970" s="84" t="str">
        <f>Requirements!A1972</f>
        <v>MS-FSCC_R1986</v>
      </c>
      <c r="B1970" s="87"/>
      <c r="C1970" s="87"/>
      <c r="D1970" s="87"/>
      <c r="E1970" s="87"/>
      <c r="F1970" s="87"/>
      <c r="G1970" s="87"/>
      <c r="H1970" s="87"/>
      <c r="I1970" s="87"/>
      <c r="J1970" s="87"/>
      <c r="K1970" s="87"/>
      <c r="L1970" s="87"/>
      <c r="M1970" s="87">
        <v>1</v>
      </c>
      <c r="N1970" s="87">
        <f t="shared" si="120"/>
        <v>1</v>
      </c>
      <c r="O1970" s="60">
        <f t="shared" si="121"/>
        <v>1</v>
      </c>
      <c r="P1970" s="60" t="b">
        <f t="shared" si="122"/>
        <v>1</v>
      </c>
      <c r="Q1970" s="87" t="b">
        <f>(Requirements!K1972="Normative")</f>
        <v>1</v>
      </c>
      <c r="R1970" s="87" t="b">
        <f>AND(Requirements!L1972&lt;&gt;"Non-testable",Requirements!L1972&lt;&gt;"Deleted",Requirements!L1972&lt;&gt;"")</f>
        <v>1</v>
      </c>
      <c r="S1970" s="87" t="b">
        <f>(VLOOKUP(Requirements!I1972,Scope[[Role]:[Description]],2,FALSE)="In")</f>
        <v>1</v>
      </c>
      <c r="T1970" s="87">
        <f t="shared" si="123"/>
        <v>1</v>
      </c>
    </row>
    <row r="1971" spans="1:20">
      <c r="A1971" s="84" t="str">
        <f>Requirements!A1973</f>
        <v>MS-FSCC_R403</v>
      </c>
      <c r="B1971" s="87"/>
      <c r="C1971" s="87"/>
      <c r="D1971" s="87"/>
      <c r="E1971" s="87"/>
      <c r="F1971" s="87"/>
      <c r="G1971" s="87"/>
      <c r="H1971" s="87"/>
      <c r="I1971" s="87"/>
      <c r="J1971" s="87"/>
      <c r="K1971" s="87"/>
      <c r="L1971" s="87"/>
      <c r="M1971" s="87">
        <v>1</v>
      </c>
      <c r="N1971" s="87">
        <f t="shared" si="120"/>
        <v>1</v>
      </c>
      <c r="O1971" s="60">
        <f t="shared" si="121"/>
        <v>1</v>
      </c>
      <c r="P1971" s="60" t="b">
        <f t="shared" si="122"/>
        <v>1</v>
      </c>
      <c r="Q1971" s="87" t="b">
        <f>(Requirements!K1973="Normative")</f>
        <v>1</v>
      </c>
      <c r="R1971" s="87" t="b">
        <f>AND(Requirements!L1973&lt;&gt;"Non-testable",Requirements!L1973&lt;&gt;"Deleted",Requirements!L1973&lt;&gt;"")</f>
        <v>1</v>
      </c>
      <c r="S1971" s="87" t="b">
        <f>(VLOOKUP(Requirements!I1973,Scope[[Role]:[Description]],2,FALSE)="In")</f>
        <v>1</v>
      </c>
      <c r="T1971" s="87">
        <f t="shared" si="123"/>
        <v>1</v>
      </c>
    </row>
    <row r="1972" spans="1:20">
      <c r="A1972" s="84" t="str">
        <f>Requirements!A1974</f>
        <v>MS-FSCC_R405</v>
      </c>
      <c r="B1972" s="87"/>
      <c r="C1972" s="87"/>
      <c r="D1972" s="87"/>
      <c r="E1972" s="87"/>
      <c r="F1972" s="87"/>
      <c r="G1972" s="87"/>
      <c r="H1972" s="87"/>
      <c r="I1972" s="87"/>
      <c r="J1972" s="87"/>
      <c r="K1972" s="87"/>
      <c r="L1972" s="87"/>
      <c r="M1972" s="87">
        <v>1</v>
      </c>
      <c r="N1972" s="87">
        <f t="shared" si="120"/>
        <v>1</v>
      </c>
      <c r="O1972" s="60">
        <f t="shared" si="121"/>
        <v>1</v>
      </c>
      <c r="P1972" s="60" t="b">
        <f t="shared" si="122"/>
        <v>1</v>
      </c>
      <c r="Q1972" s="87" t="b">
        <f>(Requirements!K1974="Normative")</f>
        <v>1</v>
      </c>
      <c r="R1972" s="87" t="b">
        <f>AND(Requirements!L1974&lt;&gt;"Non-testable",Requirements!L1974&lt;&gt;"Deleted",Requirements!L1974&lt;&gt;"")</f>
        <v>1</v>
      </c>
      <c r="S1972" s="87" t="b">
        <f>(VLOOKUP(Requirements!I1974,Scope[[Role]:[Description]],2,FALSE)="In")</f>
        <v>1</v>
      </c>
      <c r="T1972" s="87">
        <f t="shared" si="123"/>
        <v>1</v>
      </c>
    </row>
    <row r="1973" spans="1:20">
      <c r="A1973" s="84" t="str">
        <f>Requirements!A1975</f>
        <v>MS-FSCC_R414</v>
      </c>
      <c r="B1973" s="87"/>
      <c r="C1973" s="87"/>
      <c r="D1973" s="87"/>
      <c r="E1973" s="87"/>
      <c r="F1973" s="87"/>
      <c r="G1973" s="87"/>
      <c r="H1973" s="87"/>
      <c r="I1973" s="87"/>
      <c r="J1973" s="87"/>
      <c r="K1973" s="87"/>
      <c r="L1973" s="87"/>
      <c r="M1973" s="87">
        <v>1</v>
      </c>
      <c r="N1973" s="87">
        <f t="shared" si="120"/>
        <v>1</v>
      </c>
      <c r="O1973" s="60">
        <f t="shared" si="121"/>
        <v>1</v>
      </c>
      <c r="P1973" s="60" t="b">
        <f t="shared" si="122"/>
        <v>1</v>
      </c>
      <c r="Q1973" s="87" t="b">
        <f>(Requirements!K1975="Normative")</f>
        <v>1</v>
      </c>
      <c r="R1973" s="87" t="b">
        <f>AND(Requirements!L1975&lt;&gt;"Non-testable",Requirements!L1975&lt;&gt;"Deleted",Requirements!L1975&lt;&gt;"")</f>
        <v>1</v>
      </c>
      <c r="S1973" s="87" t="b">
        <f>(VLOOKUP(Requirements!I1975,Scope[[Role]:[Description]],2,FALSE)="In")</f>
        <v>1</v>
      </c>
      <c r="T1973" s="87">
        <f t="shared" si="123"/>
        <v>1</v>
      </c>
    </row>
    <row r="1974" spans="1:20">
      <c r="A1974" s="84" t="str">
        <f>Requirements!A1976</f>
        <v>MS-FSCC_R415</v>
      </c>
      <c r="B1974" s="87"/>
      <c r="C1974" s="87"/>
      <c r="D1974" s="87"/>
      <c r="E1974" s="87"/>
      <c r="F1974" s="87"/>
      <c r="G1974" s="87"/>
      <c r="H1974" s="87"/>
      <c r="I1974" s="87"/>
      <c r="J1974" s="87"/>
      <c r="K1974" s="87"/>
      <c r="L1974" s="87"/>
      <c r="M1974" s="87">
        <v>1</v>
      </c>
      <c r="N1974" s="87">
        <f t="shared" si="120"/>
        <v>1</v>
      </c>
      <c r="O1974" s="60">
        <f t="shared" si="121"/>
        <v>1</v>
      </c>
      <c r="P1974" s="60" t="b">
        <f t="shared" si="122"/>
        <v>1</v>
      </c>
      <c r="Q1974" s="87" t="b">
        <f>(Requirements!K1976="Normative")</f>
        <v>1</v>
      </c>
      <c r="R1974" s="87" t="b">
        <f>AND(Requirements!L1976&lt;&gt;"Non-testable",Requirements!L1976&lt;&gt;"Deleted",Requirements!L1976&lt;&gt;"")</f>
        <v>1</v>
      </c>
      <c r="S1974" s="87" t="b">
        <f>(VLOOKUP(Requirements!I1976,Scope[[Role]:[Description]],2,FALSE)="In")</f>
        <v>1</v>
      </c>
      <c r="T1974" s="87">
        <f t="shared" si="123"/>
        <v>1</v>
      </c>
    </row>
    <row r="1975" spans="1:20">
      <c r="A1975" s="84" t="str">
        <f>Requirements!A1977</f>
        <v>MS-FSCC_R1054</v>
      </c>
      <c r="B1975" s="87"/>
      <c r="C1975" s="87"/>
      <c r="D1975" s="87"/>
      <c r="E1975" s="87"/>
      <c r="F1975" s="87"/>
      <c r="G1975" s="87"/>
      <c r="H1975" s="87"/>
      <c r="I1975" s="87"/>
      <c r="J1975" s="87"/>
      <c r="K1975" s="87"/>
      <c r="L1975" s="87"/>
      <c r="M1975" s="87">
        <v>1</v>
      </c>
      <c r="N1975" s="87">
        <f t="shared" si="120"/>
        <v>1</v>
      </c>
      <c r="O1975" s="60">
        <f t="shared" si="121"/>
        <v>1</v>
      </c>
      <c r="P1975" s="60" t="b">
        <f t="shared" si="122"/>
        <v>1</v>
      </c>
      <c r="Q1975" s="87" t="b">
        <f>(Requirements!K1977="Normative")</f>
        <v>1</v>
      </c>
      <c r="R1975" s="87" t="b">
        <f>AND(Requirements!L1977&lt;&gt;"Non-testable",Requirements!L1977&lt;&gt;"Deleted",Requirements!L1977&lt;&gt;"")</f>
        <v>1</v>
      </c>
      <c r="S1975" s="87" t="b">
        <f>(VLOOKUP(Requirements!I1977,Scope[[Role]:[Description]],2,FALSE)="In")</f>
        <v>1</v>
      </c>
      <c r="T1975" s="87">
        <f t="shared" si="123"/>
        <v>1</v>
      </c>
    </row>
    <row r="1976" spans="1:20">
      <c r="A1976" s="84" t="str">
        <f>Requirements!A1978</f>
        <v>MS-FSCC_R1055</v>
      </c>
      <c r="B1976" s="87"/>
      <c r="C1976" s="87"/>
      <c r="D1976" s="87"/>
      <c r="E1976" s="87"/>
      <c r="F1976" s="87"/>
      <c r="G1976" s="87"/>
      <c r="H1976" s="87"/>
      <c r="I1976" s="87"/>
      <c r="J1976" s="87"/>
      <c r="K1976" s="87"/>
      <c r="L1976" s="87"/>
      <c r="M1976" s="87">
        <v>1</v>
      </c>
      <c r="N1976" s="87">
        <f t="shared" si="120"/>
        <v>1</v>
      </c>
      <c r="O1976" s="60">
        <f t="shared" si="121"/>
        <v>1</v>
      </c>
      <c r="P1976" s="60" t="b">
        <f t="shared" si="122"/>
        <v>1</v>
      </c>
      <c r="Q1976" s="87" t="b">
        <f>(Requirements!K1978="Normative")</f>
        <v>1</v>
      </c>
      <c r="R1976" s="87" t="b">
        <f>AND(Requirements!L1978&lt;&gt;"Non-testable",Requirements!L1978&lt;&gt;"Deleted",Requirements!L1978&lt;&gt;"")</f>
        <v>1</v>
      </c>
      <c r="S1976" s="87" t="b">
        <f>(VLOOKUP(Requirements!I1978,Scope[[Role]:[Description]],2,FALSE)="In")</f>
        <v>1</v>
      </c>
      <c r="T1976" s="87">
        <f t="shared" si="123"/>
        <v>1</v>
      </c>
    </row>
    <row r="1977" spans="1:20">
      <c r="A1977" s="84" t="str">
        <f>Requirements!A1979</f>
        <v>MS-FSCC_R191</v>
      </c>
      <c r="B1977" s="87"/>
      <c r="C1977" s="87"/>
      <c r="D1977" s="87"/>
      <c r="E1977" s="87"/>
      <c r="F1977" s="87"/>
      <c r="G1977" s="87"/>
      <c r="H1977" s="87"/>
      <c r="I1977" s="87"/>
      <c r="J1977" s="87"/>
      <c r="K1977" s="87"/>
      <c r="L1977" s="87"/>
      <c r="M1977" s="87">
        <v>1</v>
      </c>
      <c r="N1977" s="87">
        <f t="shared" si="120"/>
        <v>1</v>
      </c>
      <c r="O1977" s="60">
        <f t="shared" si="121"/>
        <v>1</v>
      </c>
      <c r="P1977" s="60" t="b">
        <f t="shared" si="122"/>
        <v>1</v>
      </c>
      <c r="Q1977" s="87" t="b">
        <f>(Requirements!K1979="Normative")</f>
        <v>1</v>
      </c>
      <c r="R1977" s="87" t="b">
        <f>AND(Requirements!L1979&lt;&gt;"Non-testable",Requirements!L1979&lt;&gt;"Deleted",Requirements!L1979&lt;&gt;"")</f>
        <v>1</v>
      </c>
      <c r="S1977" s="87" t="b">
        <f>(VLOOKUP(Requirements!I1979,Scope[[Role]:[Description]],2,FALSE)="In")</f>
        <v>1</v>
      </c>
      <c r="T1977" s="87">
        <f t="shared" si="123"/>
        <v>1</v>
      </c>
    </row>
    <row r="1978" spans="1:20">
      <c r="A1978" s="84" t="str">
        <f>Requirements!A1980</f>
        <v>MS-FSCC_R200</v>
      </c>
      <c r="B1978" s="87"/>
      <c r="C1978" s="87"/>
      <c r="D1978" s="87"/>
      <c r="E1978" s="87"/>
      <c r="F1978" s="87"/>
      <c r="G1978" s="87"/>
      <c r="H1978" s="87"/>
      <c r="I1978" s="87"/>
      <c r="J1978" s="87"/>
      <c r="K1978" s="87"/>
      <c r="L1978" s="87"/>
      <c r="M1978" s="87">
        <v>1</v>
      </c>
      <c r="N1978" s="87">
        <f t="shared" si="120"/>
        <v>1</v>
      </c>
      <c r="O1978" s="60">
        <f t="shared" si="121"/>
        <v>1</v>
      </c>
      <c r="P1978" s="60" t="b">
        <f t="shared" si="122"/>
        <v>1</v>
      </c>
      <c r="Q1978" s="87" t="b">
        <f>(Requirements!K1980="Normative")</f>
        <v>1</v>
      </c>
      <c r="R1978" s="87" t="b">
        <f>AND(Requirements!L1980&lt;&gt;"Non-testable",Requirements!L1980&lt;&gt;"Deleted",Requirements!L1980&lt;&gt;"")</f>
        <v>1</v>
      </c>
      <c r="S1978" s="87" t="b">
        <f>(VLOOKUP(Requirements!I1980,Scope[[Role]:[Description]],2,FALSE)="In")</f>
        <v>1</v>
      </c>
      <c r="T1978" s="87">
        <f t="shared" si="123"/>
        <v>1</v>
      </c>
    </row>
    <row r="1979" spans="1:20">
      <c r="A1979" s="84" t="str">
        <f>Requirements!A1981</f>
        <v>MS-FSCC_R233</v>
      </c>
      <c r="B1979" s="87"/>
      <c r="C1979" s="87"/>
      <c r="D1979" s="87"/>
      <c r="E1979" s="87"/>
      <c r="F1979" s="87"/>
      <c r="G1979" s="87"/>
      <c r="H1979" s="87"/>
      <c r="I1979" s="87"/>
      <c r="J1979" s="87"/>
      <c r="K1979" s="87"/>
      <c r="L1979" s="87"/>
      <c r="M1979" s="87">
        <v>1</v>
      </c>
      <c r="N1979" s="87">
        <f t="shared" si="120"/>
        <v>1</v>
      </c>
      <c r="O1979" s="60">
        <f t="shared" si="121"/>
        <v>1</v>
      </c>
      <c r="P1979" s="60" t="b">
        <f t="shared" si="122"/>
        <v>1</v>
      </c>
      <c r="Q1979" s="87" t="b">
        <f>(Requirements!K1981="Normative")</f>
        <v>1</v>
      </c>
      <c r="R1979" s="87" t="b">
        <f>AND(Requirements!L1981&lt;&gt;"Non-testable",Requirements!L1981&lt;&gt;"Deleted",Requirements!L1981&lt;&gt;"")</f>
        <v>1</v>
      </c>
      <c r="S1979" s="87" t="b">
        <f>(VLOOKUP(Requirements!I1981,Scope[[Role]:[Description]],2,FALSE)="In")</f>
        <v>1</v>
      </c>
      <c r="T1979" s="87">
        <f t="shared" si="123"/>
        <v>1</v>
      </c>
    </row>
    <row r="1980" spans="1:20">
      <c r="A1980" s="84" t="str">
        <f>Requirements!A1982</f>
        <v>MS-FSCC_R235</v>
      </c>
      <c r="B1980" s="87"/>
      <c r="C1980" s="87"/>
      <c r="D1980" s="87"/>
      <c r="E1980" s="87"/>
      <c r="F1980" s="87"/>
      <c r="G1980" s="87"/>
      <c r="H1980" s="87"/>
      <c r="I1980" s="87"/>
      <c r="J1980" s="87"/>
      <c r="K1980" s="87"/>
      <c r="L1980" s="87"/>
      <c r="M1980" s="87">
        <v>1</v>
      </c>
      <c r="N1980" s="87">
        <f t="shared" si="120"/>
        <v>1</v>
      </c>
      <c r="O1980" s="60">
        <f t="shared" si="121"/>
        <v>1</v>
      </c>
      <c r="P1980" s="60" t="b">
        <f t="shared" si="122"/>
        <v>1</v>
      </c>
      <c r="Q1980" s="87" t="b">
        <f>(Requirements!K1982="Normative")</f>
        <v>1</v>
      </c>
      <c r="R1980" s="87" t="b">
        <f>AND(Requirements!L1982&lt;&gt;"Non-testable",Requirements!L1982&lt;&gt;"Deleted",Requirements!L1982&lt;&gt;"")</f>
        <v>1</v>
      </c>
      <c r="S1980" s="87" t="b">
        <f>(VLOOKUP(Requirements!I1982,Scope[[Role]:[Description]],2,FALSE)="In")</f>
        <v>1</v>
      </c>
      <c r="T1980" s="87">
        <f t="shared" si="123"/>
        <v>1</v>
      </c>
    </row>
    <row r="1981" spans="1:20">
      <c r="A1981" s="84" t="str">
        <f>Requirements!A1983</f>
        <v>MS-FSCC_R240</v>
      </c>
      <c r="B1981" s="87"/>
      <c r="C1981" s="87"/>
      <c r="D1981" s="87"/>
      <c r="E1981" s="87"/>
      <c r="F1981" s="87"/>
      <c r="G1981" s="87"/>
      <c r="H1981" s="87"/>
      <c r="I1981" s="87"/>
      <c r="J1981" s="87"/>
      <c r="K1981" s="87"/>
      <c r="L1981" s="87"/>
      <c r="M1981" s="87">
        <v>1</v>
      </c>
      <c r="N1981" s="87">
        <f t="shared" si="120"/>
        <v>1</v>
      </c>
      <c r="O1981" s="60">
        <f t="shared" si="121"/>
        <v>1</v>
      </c>
      <c r="P1981" s="60" t="b">
        <f t="shared" si="122"/>
        <v>1</v>
      </c>
      <c r="Q1981" s="87" t="b">
        <f>(Requirements!K1983="Normative")</f>
        <v>1</v>
      </c>
      <c r="R1981" s="87" t="b">
        <f>AND(Requirements!L1983&lt;&gt;"Non-testable",Requirements!L1983&lt;&gt;"Deleted",Requirements!L1983&lt;&gt;"")</f>
        <v>1</v>
      </c>
      <c r="S1981" s="87" t="b">
        <f>(VLOOKUP(Requirements!I1983,Scope[[Role]:[Description]],2,FALSE)="In")</f>
        <v>1</v>
      </c>
      <c r="T1981" s="87">
        <f t="shared" si="123"/>
        <v>1</v>
      </c>
    </row>
    <row r="1982" spans="1:20">
      <c r="A1982" s="84" t="str">
        <f>Requirements!A1984</f>
        <v>MS-FSCC_R242</v>
      </c>
      <c r="B1982" s="87"/>
      <c r="C1982" s="87"/>
      <c r="D1982" s="87"/>
      <c r="E1982" s="87"/>
      <c r="F1982" s="87"/>
      <c r="G1982" s="87"/>
      <c r="H1982" s="87"/>
      <c r="I1982" s="87"/>
      <c r="J1982" s="87"/>
      <c r="K1982" s="87"/>
      <c r="L1982" s="87"/>
      <c r="M1982" s="87">
        <v>1</v>
      </c>
      <c r="N1982" s="87">
        <f t="shared" si="120"/>
        <v>1</v>
      </c>
      <c r="O1982" s="60">
        <f t="shared" si="121"/>
        <v>1</v>
      </c>
      <c r="P1982" s="60" t="b">
        <f t="shared" si="122"/>
        <v>1</v>
      </c>
      <c r="Q1982" s="87" t="b">
        <f>(Requirements!K1984="Normative")</f>
        <v>1</v>
      </c>
      <c r="R1982" s="87" t="b">
        <f>AND(Requirements!L1984&lt;&gt;"Non-testable",Requirements!L1984&lt;&gt;"Deleted",Requirements!L1984&lt;&gt;"")</f>
        <v>1</v>
      </c>
      <c r="S1982" s="87" t="b">
        <f>(VLOOKUP(Requirements!I1984,Scope[[Role]:[Description]],2,FALSE)="In")</f>
        <v>1</v>
      </c>
      <c r="T1982" s="87">
        <f t="shared" si="123"/>
        <v>1</v>
      </c>
    </row>
    <row r="1983" spans="1:20">
      <c r="A1983" s="84" t="str">
        <f>Requirements!A1985</f>
        <v>MS-FSCC_R244</v>
      </c>
      <c r="B1983" s="87"/>
      <c r="C1983" s="87"/>
      <c r="D1983" s="87"/>
      <c r="E1983" s="87"/>
      <c r="F1983" s="87"/>
      <c r="G1983" s="87"/>
      <c r="H1983" s="87"/>
      <c r="I1983" s="87"/>
      <c r="J1983" s="87"/>
      <c r="K1983" s="87"/>
      <c r="L1983" s="87"/>
      <c r="M1983" s="87">
        <v>1</v>
      </c>
      <c r="N1983" s="87">
        <f t="shared" si="120"/>
        <v>1</v>
      </c>
      <c r="O1983" s="60">
        <f t="shared" si="121"/>
        <v>1</v>
      </c>
      <c r="P1983" s="60" t="b">
        <f t="shared" si="122"/>
        <v>1</v>
      </c>
      <c r="Q1983" s="87" t="b">
        <f>(Requirements!K1985="Normative")</f>
        <v>1</v>
      </c>
      <c r="R1983" s="87" t="b">
        <f>AND(Requirements!L1985&lt;&gt;"Non-testable",Requirements!L1985&lt;&gt;"Deleted",Requirements!L1985&lt;&gt;"")</f>
        <v>1</v>
      </c>
      <c r="S1983" s="87" t="b">
        <f>(VLOOKUP(Requirements!I1985,Scope[[Role]:[Description]],2,FALSE)="In")</f>
        <v>1</v>
      </c>
      <c r="T1983" s="87">
        <f t="shared" si="123"/>
        <v>1</v>
      </c>
    </row>
    <row r="1984" spans="1:20">
      <c r="A1984" s="84" t="str">
        <f>Requirements!A1986</f>
        <v>MS-FSCC_R245</v>
      </c>
      <c r="B1984" s="87"/>
      <c r="C1984" s="87"/>
      <c r="D1984" s="87"/>
      <c r="E1984" s="87"/>
      <c r="F1984" s="87"/>
      <c r="G1984" s="87"/>
      <c r="H1984" s="87"/>
      <c r="I1984" s="87"/>
      <c r="J1984" s="87"/>
      <c r="K1984" s="87"/>
      <c r="L1984" s="87"/>
      <c r="M1984" s="87">
        <v>1</v>
      </c>
      <c r="N1984" s="87">
        <f t="shared" si="120"/>
        <v>1</v>
      </c>
      <c r="O1984" s="60">
        <f t="shared" si="121"/>
        <v>1</v>
      </c>
      <c r="P1984" s="60" t="b">
        <f t="shared" si="122"/>
        <v>1</v>
      </c>
      <c r="Q1984" s="87" t="b">
        <f>(Requirements!K1986="Normative")</f>
        <v>1</v>
      </c>
      <c r="R1984" s="87" t="b">
        <f>AND(Requirements!L1986&lt;&gt;"Non-testable",Requirements!L1986&lt;&gt;"Deleted",Requirements!L1986&lt;&gt;"")</f>
        <v>1</v>
      </c>
      <c r="S1984" s="87" t="b">
        <f>(VLOOKUP(Requirements!I1986,Scope[[Role]:[Description]],2,FALSE)="In")</f>
        <v>1</v>
      </c>
      <c r="T1984" s="87">
        <f t="shared" si="123"/>
        <v>1</v>
      </c>
    </row>
    <row r="1985" spans="1:20">
      <c r="A1985" s="84" t="str">
        <f>Requirements!A1987</f>
        <v>MS-FSCC_R246</v>
      </c>
      <c r="B1985" s="87"/>
      <c r="C1985" s="87"/>
      <c r="D1985" s="87"/>
      <c r="E1985" s="87"/>
      <c r="F1985" s="87"/>
      <c r="G1985" s="87"/>
      <c r="H1985" s="87"/>
      <c r="I1985" s="87"/>
      <c r="J1985" s="87"/>
      <c r="K1985" s="87"/>
      <c r="L1985" s="87"/>
      <c r="M1985" s="87">
        <v>1</v>
      </c>
      <c r="N1985" s="87">
        <f t="shared" si="120"/>
        <v>1</v>
      </c>
      <c r="O1985" s="60">
        <f t="shared" si="121"/>
        <v>1</v>
      </c>
      <c r="P1985" s="60" t="b">
        <f t="shared" si="122"/>
        <v>1</v>
      </c>
      <c r="Q1985" s="87" t="b">
        <f>(Requirements!K1987="Normative")</f>
        <v>1</v>
      </c>
      <c r="R1985" s="87" t="b">
        <f>AND(Requirements!L1987&lt;&gt;"Non-testable",Requirements!L1987&lt;&gt;"Deleted",Requirements!L1987&lt;&gt;"")</f>
        <v>1</v>
      </c>
      <c r="S1985" s="87" t="b">
        <f>(VLOOKUP(Requirements!I1987,Scope[[Role]:[Description]],2,FALSE)="In")</f>
        <v>1</v>
      </c>
      <c r="T1985" s="87">
        <f t="shared" si="123"/>
        <v>1</v>
      </c>
    </row>
    <row r="1986" spans="1:20">
      <c r="A1986" s="84" t="str">
        <f>Requirements!A1988</f>
        <v>MS-FSCC_R248</v>
      </c>
      <c r="B1986" s="87"/>
      <c r="C1986" s="87"/>
      <c r="D1986" s="87"/>
      <c r="E1986" s="87"/>
      <c r="F1986" s="87"/>
      <c r="G1986" s="87"/>
      <c r="H1986" s="87"/>
      <c r="I1986" s="87"/>
      <c r="J1986" s="87"/>
      <c r="K1986" s="87"/>
      <c r="L1986" s="87"/>
      <c r="M1986" s="87">
        <v>1</v>
      </c>
      <c r="N1986" s="87">
        <f t="shared" si="120"/>
        <v>1</v>
      </c>
      <c r="O1986" s="60">
        <f t="shared" si="121"/>
        <v>1</v>
      </c>
      <c r="P1986" s="60" t="b">
        <f t="shared" si="122"/>
        <v>1</v>
      </c>
      <c r="Q1986" s="87" t="b">
        <f>(Requirements!K1988="Normative")</f>
        <v>1</v>
      </c>
      <c r="R1986" s="87" t="b">
        <f>AND(Requirements!L1988&lt;&gt;"Non-testable",Requirements!L1988&lt;&gt;"Deleted",Requirements!L1988&lt;&gt;"")</f>
        <v>1</v>
      </c>
      <c r="S1986" s="87" t="b">
        <f>(VLOOKUP(Requirements!I1988,Scope[[Role]:[Description]],2,FALSE)="In")</f>
        <v>1</v>
      </c>
      <c r="T1986" s="87">
        <f t="shared" si="123"/>
        <v>1</v>
      </c>
    </row>
    <row r="1987" spans="1:20">
      <c r="A1987" s="84" t="str">
        <f>Requirements!A1989</f>
        <v>MS-FSCC_R250</v>
      </c>
      <c r="B1987" s="87"/>
      <c r="C1987" s="87"/>
      <c r="D1987" s="87"/>
      <c r="E1987" s="87"/>
      <c r="F1987" s="87"/>
      <c r="G1987" s="87"/>
      <c r="H1987" s="87"/>
      <c r="I1987" s="87"/>
      <c r="J1987" s="87"/>
      <c r="K1987" s="87"/>
      <c r="L1987" s="87"/>
      <c r="M1987" s="87">
        <v>1</v>
      </c>
      <c r="N1987" s="87">
        <f t="shared" si="120"/>
        <v>1</v>
      </c>
      <c r="O1987" s="60">
        <f t="shared" si="121"/>
        <v>1</v>
      </c>
      <c r="P1987" s="60" t="b">
        <f t="shared" si="122"/>
        <v>1</v>
      </c>
      <c r="Q1987" s="87" t="b">
        <f>(Requirements!K1989="Normative")</f>
        <v>1</v>
      </c>
      <c r="R1987" s="87" t="b">
        <f>AND(Requirements!L1989&lt;&gt;"Non-testable",Requirements!L1989&lt;&gt;"Deleted",Requirements!L1989&lt;&gt;"")</f>
        <v>1</v>
      </c>
      <c r="S1987" s="87" t="b">
        <f>(VLOOKUP(Requirements!I1989,Scope[[Role]:[Description]],2,FALSE)="In")</f>
        <v>1</v>
      </c>
      <c r="T1987" s="87">
        <f t="shared" si="123"/>
        <v>1</v>
      </c>
    </row>
    <row r="1988" spans="1:20">
      <c r="A1988" s="84" t="str">
        <f>Requirements!A1990</f>
        <v>MS-FSCC_R252</v>
      </c>
      <c r="B1988" s="87"/>
      <c r="C1988" s="87"/>
      <c r="D1988" s="87"/>
      <c r="E1988" s="87"/>
      <c r="F1988" s="87"/>
      <c r="G1988" s="87"/>
      <c r="H1988" s="87"/>
      <c r="I1988" s="87"/>
      <c r="J1988" s="87"/>
      <c r="K1988" s="87"/>
      <c r="L1988" s="87"/>
      <c r="M1988" s="87">
        <v>1</v>
      </c>
      <c r="N1988" s="87">
        <f t="shared" si="120"/>
        <v>1</v>
      </c>
      <c r="O1988" s="60">
        <f t="shared" si="121"/>
        <v>1</v>
      </c>
      <c r="P1988" s="60" t="b">
        <f t="shared" si="122"/>
        <v>1</v>
      </c>
      <c r="Q1988" s="87" t="b">
        <f>(Requirements!K1990="Normative")</f>
        <v>1</v>
      </c>
      <c r="R1988" s="87" t="b">
        <f>AND(Requirements!L1990&lt;&gt;"Non-testable",Requirements!L1990&lt;&gt;"Deleted",Requirements!L1990&lt;&gt;"")</f>
        <v>1</v>
      </c>
      <c r="S1988" s="87" t="b">
        <f>(VLOOKUP(Requirements!I1990,Scope[[Role]:[Description]],2,FALSE)="In")</f>
        <v>1</v>
      </c>
      <c r="T1988" s="87">
        <f t="shared" si="123"/>
        <v>1</v>
      </c>
    </row>
    <row r="1989" spans="1:20">
      <c r="A1989" s="84" t="str">
        <f>Requirements!A1991</f>
        <v>MS-FSCC_R253</v>
      </c>
      <c r="B1989" s="87"/>
      <c r="C1989" s="87"/>
      <c r="D1989" s="87"/>
      <c r="E1989" s="87"/>
      <c r="F1989" s="87"/>
      <c r="G1989" s="87"/>
      <c r="H1989" s="87"/>
      <c r="I1989" s="87"/>
      <c r="J1989" s="87"/>
      <c r="K1989" s="87"/>
      <c r="L1989" s="87"/>
      <c r="M1989" s="87">
        <v>1</v>
      </c>
      <c r="N1989" s="87">
        <f t="shared" si="120"/>
        <v>1</v>
      </c>
      <c r="O1989" s="60">
        <f t="shared" si="121"/>
        <v>1</v>
      </c>
      <c r="P1989" s="60" t="b">
        <f t="shared" si="122"/>
        <v>1</v>
      </c>
      <c r="Q1989" s="87" t="b">
        <f>(Requirements!K1991="Normative")</f>
        <v>1</v>
      </c>
      <c r="R1989" s="87" t="b">
        <f>AND(Requirements!L1991&lt;&gt;"Non-testable",Requirements!L1991&lt;&gt;"Deleted",Requirements!L1991&lt;&gt;"")</f>
        <v>1</v>
      </c>
      <c r="S1989" s="87" t="b">
        <f>(VLOOKUP(Requirements!I1991,Scope[[Role]:[Description]],2,FALSE)="In")</f>
        <v>1</v>
      </c>
      <c r="T1989" s="87">
        <f t="shared" si="123"/>
        <v>1</v>
      </c>
    </row>
    <row r="1990" spans="1:20">
      <c r="A1990" s="84" t="str">
        <f>Requirements!A1992</f>
        <v>MS-FSCC_R257</v>
      </c>
      <c r="B1990" s="87"/>
      <c r="C1990" s="87"/>
      <c r="D1990" s="87"/>
      <c r="E1990" s="87"/>
      <c r="F1990" s="87"/>
      <c r="G1990" s="87"/>
      <c r="H1990" s="87"/>
      <c r="I1990" s="87"/>
      <c r="J1990" s="87"/>
      <c r="K1990" s="87"/>
      <c r="L1990" s="87"/>
      <c r="M1990" s="87">
        <v>1</v>
      </c>
      <c r="N1990" s="87">
        <f t="shared" si="120"/>
        <v>1</v>
      </c>
      <c r="O1990" s="60">
        <f t="shared" si="121"/>
        <v>1</v>
      </c>
      <c r="P1990" s="60" t="b">
        <f t="shared" si="122"/>
        <v>1</v>
      </c>
      <c r="Q1990" s="87" t="b">
        <f>(Requirements!K1992="Normative")</f>
        <v>1</v>
      </c>
      <c r="R1990" s="87" t="b">
        <f>AND(Requirements!L1992&lt;&gt;"Non-testable",Requirements!L1992&lt;&gt;"Deleted",Requirements!L1992&lt;&gt;"")</f>
        <v>1</v>
      </c>
      <c r="S1990" s="87" t="b">
        <f>(VLOOKUP(Requirements!I1992,Scope[[Role]:[Description]],2,FALSE)="In")</f>
        <v>1</v>
      </c>
      <c r="T1990" s="87">
        <f t="shared" si="123"/>
        <v>1</v>
      </c>
    </row>
    <row r="1991" spans="1:20">
      <c r="A1991" s="84" t="str">
        <f>Requirements!A1993</f>
        <v>MS-FSCC_R258</v>
      </c>
      <c r="B1991" s="87"/>
      <c r="C1991" s="87"/>
      <c r="D1991" s="87"/>
      <c r="E1991" s="87"/>
      <c r="F1991" s="87"/>
      <c r="G1991" s="87"/>
      <c r="H1991" s="87"/>
      <c r="I1991" s="87"/>
      <c r="J1991" s="87"/>
      <c r="K1991" s="87"/>
      <c r="L1991" s="87"/>
      <c r="M1991" s="87">
        <v>1</v>
      </c>
      <c r="N1991" s="87">
        <f t="shared" si="120"/>
        <v>1</v>
      </c>
      <c r="O1991" s="60">
        <f t="shared" si="121"/>
        <v>1</v>
      </c>
      <c r="P1991" s="60" t="b">
        <f t="shared" si="122"/>
        <v>1</v>
      </c>
      <c r="Q1991" s="87" t="b">
        <f>(Requirements!K1993="Normative")</f>
        <v>1</v>
      </c>
      <c r="R1991" s="87" t="b">
        <f>AND(Requirements!L1993&lt;&gt;"Non-testable",Requirements!L1993&lt;&gt;"Deleted",Requirements!L1993&lt;&gt;"")</f>
        <v>1</v>
      </c>
      <c r="S1991" s="87" t="b">
        <f>(VLOOKUP(Requirements!I1993,Scope[[Role]:[Description]],2,FALSE)="In")</f>
        <v>1</v>
      </c>
      <c r="T1991" s="87">
        <f t="shared" si="123"/>
        <v>1</v>
      </c>
    </row>
    <row r="1992" spans="1:20">
      <c r="A1992" s="84" t="str">
        <f>Requirements!A1994</f>
        <v>MS-FSCC_R420</v>
      </c>
      <c r="B1992" s="87"/>
      <c r="C1992" s="87"/>
      <c r="D1992" s="87"/>
      <c r="E1992" s="87"/>
      <c r="F1992" s="87"/>
      <c r="G1992" s="87"/>
      <c r="H1992" s="87"/>
      <c r="I1992" s="87"/>
      <c r="J1992" s="87"/>
      <c r="K1992" s="87"/>
      <c r="L1992" s="87"/>
      <c r="M1992" s="87">
        <v>1</v>
      </c>
      <c r="N1992" s="87">
        <f t="shared" si="120"/>
        <v>1</v>
      </c>
      <c r="O1992" s="60">
        <f t="shared" si="121"/>
        <v>1</v>
      </c>
      <c r="P1992" s="60" t="b">
        <f t="shared" si="122"/>
        <v>1</v>
      </c>
      <c r="Q1992" s="87" t="b">
        <f>(Requirements!K1994="Normative")</f>
        <v>1</v>
      </c>
      <c r="R1992" s="87" t="b">
        <f>AND(Requirements!L1994&lt;&gt;"Non-testable",Requirements!L1994&lt;&gt;"Deleted",Requirements!L1994&lt;&gt;"")</f>
        <v>1</v>
      </c>
      <c r="S1992" s="87" t="b">
        <f>(VLOOKUP(Requirements!I1994,Scope[[Role]:[Description]],2,FALSE)="In")</f>
        <v>1</v>
      </c>
      <c r="T1992" s="87">
        <f t="shared" si="123"/>
        <v>1</v>
      </c>
    </row>
    <row r="1993" spans="1:20">
      <c r="A1993" s="84" t="str">
        <f>Requirements!A1995</f>
        <v>MS-FSCC_R422</v>
      </c>
      <c r="B1993" s="87"/>
      <c r="C1993" s="87"/>
      <c r="D1993" s="87"/>
      <c r="E1993" s="87"/>
      <c r="F1993" s="87"/>
      <c r="G1993" s="87"/>
      <c r="H1993" s="87"/>
      <c r="I1993" s="87"/>
      <c r="J1993" s="87"/>
      <c r="K1993" s="87"/>
      <c r="L1993" s="87"/>
      <c r="M1993" s="87">
        <v>1</v>
      </c>
      <c r="N1993" s="87">
        <f t="shared" si="120"/>
        <v>1</v>
      </c>
      <c r="O1993" s="60">
        <f t="shared" si="121"/>
        <v>1</v>
      </c>
      <c r="P1993" s="60" t="b">
        <f t="shared" si="122"/>
        <v>1</v>
      </c>
      <c r="Q1993" s="87" t="b">
        <f>(Requirements!K1995="Normative")</f>
        <v>1</v>
      </c>
      <c r="R1993" s="87" t="b">
        <f>AND(Requirements!L1995&lt;&gt;"Non-testable",Requirements!L1995&lt;&gt;"Deleted",Requirements!L1995&lt;&gt;"")</f>
        <v>1</v>
      </c>
      <c r="S1993" s="87" t="b">
        <f>(VLOOKUP(Requirements!I1995,Scope[[Role]:[Description]],2,FALSE)="In")</f>
        <v>1</v>
      </c>
      <c r="T1993" s="87">
        <f t="shared" si="123"/>
        <v>1</v>
      </c>
    </row>
    <row r="1994" spans="1:20">
      <c r="A1994" s="84" t="str">
        <f>Requirements!A1996</f>
        <v>MS-FSCC_R424</v>
      </c>
      <c r="B1994" s="87"/>
      <c r="C1994" s="87"/>
      <c r="D1994" s="87"/>
      <c r="E1994" s="87"/>
      <c r="F1994" s="87"/>
      <c r="G1994" s="87"/>
      <c r="H1994" s="87"/>
      <c r="I1994" s="87"/>
      <c r="J1994" s="87"/>
      <c r="K1994" s="87"/>
      <c r="L1994" s="87"/>
      <c r="M1994" s="87">
        <v>1</v>
      </c>
      <c r="N1994" s="87">
        <f t="shared" si="120"/>
        <v>1</v>
      </c>
      <c r="O1994" s="60">
        <f t="shared" si="121"/>
        <v>1</v>
      </c>
      <c r="P1994" s="60" t="b">
        <f t="shared" si="122"/>
        <v>1</v>
      </c>
      <c r="Q1994" s="87" t="b">
        <f>(Requirements!K1996="Normative")</f>
        <v>1</v>
      </c>
      <c r="R1994" s="87" t="b">
        <f>AND(Requirements!L1996&lt;&gt;"Non-testable",Requirements!L1996&lt;&gt;"Deleted",Requirements!L1996&lt;&gt;"")</f>
        <v>1</v>
      </c>
      <c r="S1994" s="87" t="b">
        <f>(VLOOKUP(Requirements!I1996,Scope[[Role]:[Description]],2,FALSE)="In")</f>
        <v>1</v>
      </c>
      <c r="T1994" s="87">
        <f t="shared" si="123"/>
        <v>1</v>
      </c>
    </row>
    <row r="1995" spans="1:20">
      <c r="A1995" s="84" t="str">
        <f>Requirements!A1997</f>
        <v>MS-FSCC_R425</v>
      </c>
      <c r="B1995" s="87"/>
      <c r="C1995" s="87"/>
      <c r="D1995" s="87"/>
      <c r="E1995" s="87"/>
      <c r="F1995" s="87"/>
      <c r="G1995" s="87"/>
      <c r="H1995" s="87"/>
      <c r="I1995" s="87"/>
      <c r="J1995" s="87"/>
      <c r="K1995" s="87"/>
      <c r="L1995" s="87"/>
      <c r="M1995" s="87">
        <v>1</v>
      </c>
      <c r="N1995" s="87">
        <f t="shared" si="120"/>
        <v>1</v>
      </c>
      <c r="O1995" s="60">
        <f t="shared" si="121"/>
        <v>1</v>
      </c>
      <c r="P1995" s="60" t="b">
        <f t="shared" si="122"/>
        <v>1</v>
      </c>
      <c r="Q1995" s="87" t="b">
        <f>(Requirements!K1997="Normative")</f>
        <v>1</v>
      </c>
      <c r="R1995" s="87" t="b">
        <f>AND(Requirements!L1997&lt;&gt;"Non-testable",Requirements!L1997&lt;&gt;"Deleted",Requirements!L1997&lt;&gt;"")</f>
        <v>1</v>
      </c>
      <c r="S1995" s="87" t="b">
        <f>(VLOOKUP(Requirements!I1997,Scope[[Role]:[Description]],2,FALSE)="In")</f>
        <v>1</v>
      </c>
      <c r="T1995" s="87">
        <f t="shared" si="123"/>
        <v>1</v>
      </c>
    </row>
    <row r="1996" spans="1:20">
      <c r="A1996" s="84" t="str">
        <f>Requirements!A1998</f>
        <v>MS-FSCC_R426</v>
      </c>
      <c r="B1996" s="87"/>
      <c r="C1996" s="87"/>
      <c r="D1996" s="87"/>
      <c r="E1996" s="87"/>
      <c r="F1996" s="87"/>
      <c r="G1996" s="87"/>
      <c r="H1996" s="87"/>
      <c r="I1996" s="87"/>
      <c r="J1996" s="87"/>
      <c r="K1996" s="87"/>
      <c r="L1996" s="87"/>
      <c r="M1996" s="87">
        <v>1</v>
      </c>
      <c r="N1996" s="87">
        <f t="shared" si="120"/>
        <v>1</v>
      </c>
      <c r="O1996" s="60">
        <f t="shared" si="121"/>
        <v>1</v>
      </c>
      <c r="P1996" s="60" t="b">
        <f t="shared" si="122"/>
        <v>1</v>
      </c>
      <c r="Q1996" s="87" t="b">
        <f>(Requirements!K1998="Normative")</f>
        <v>1</v>
      </c>
      <c r="R1996" s="87" t="b">
        <f>AND(Requirements!L1998&lt;&gt;"Non-testable",Requirements!L1998&lt;&gt;"Deleted",Requirements!L1998&lt;&gt;"")</f>
        <v>1</v>
      </c>
      <c r="S1996" s="87" t="b">
        <f>(VLOOKUP(Requirements!I1998,Scope[[Role]:[Description]],2,FALSE)="In")</f>
        <v>1</v>
      </c>
      <c r="T1996" s="87">
        <f t="shared" si="123"/>
        <v>1</v>
      </c>
    </row>
    <row r="1997" spans="1:20">
      <c r="A1997" s="84" t="str">
        <f>Requirements!A1999</f>
        <v>MS-FSCC_R427</v>
      </c>
      <c r="B1997" s="87"/>
      <c r="C1997" s="87"/>
      <c r="D1997" s="87"/>
      <c r="E1997" s="87"/>
      <c r="F1997" s="87"/>
      <c r="G1997" s="87"/>
      <c r="H1997" s="87"/>
      <c r="I1997" s="87"/>
      <c r="J1997" s="87"/>
      <c r="K1997" s="87"/>
      <c r="L1997" s="87"/>
      <c r="M1997" s="87">
        <v>1</v>
      </c>
      <c r="N1997" s="87">
        <f t="shared" si="120"/>
        <v>1</v>
      </c>
      <c r="O1997" s="60">
        <f t="shared" si="121"/>
        <v>1</v>
      </c>
      <c r="P1997" s="60" t="b">
        <f t="shared" si="122"/>
        <v>1</v>
      </c>
      <c r="Q1997" s="87" t="b">
        <f>(Requirements!K1999="Normative")</f>
        <v>1</v>
      </c>
      <c r="R1997" s="87" t="b">
        <f>AND(Requirements!L1999&lt;&gt;"Non-testable",Requirements!L1999&lt;&gt;"Deleted",Requirements!L1999&lt;&gt;"")</f>
        <v>1</v>
      </c>
      <c r="S1997" s="87" t="b">
        <f>(VLOOKUP(Requirements!I1999,Scope[[Role]:[Description]],2,FALSE)="In")</f>
        <v>1</v>
      </c>
      <c r="T1997" s="87">
        <f t="shared" si="123"/>
        <v>1</v>
      </c>
    </row>
    <row r="1998" spans="1:20">
      <c r="A1998" s="84" t="str">
        <f>Requirements!A2000</f>
        <v>MS-FSCC_R430</v>
      </c>
      <c r="B1998" s="87"/>
      <c r="C1998" s="87"/>
      <c r="D1998" s="87"/>
      <c r="E1998" s="87"/>
      <c r="F1998" s="87"/>
      <c r="G1998" s="87"/>
      <c r="H1998" s="87"/>
      <c r="I1998" s="87"/>
      <c r="J1998" s="87"/>
      <c r="K1998" s="87"/>
      <c r="L1998" s="87"/>
      <c r="M1998" s="87">
        <v>1</v>
      </c>
      <c r="N1998" s="87">
        <f t="shared" si="120"/>
        <v>1</v>
      </c>
      <c r="O1998" s="60">
        <f t="shared" si="121"/>
        <v>1</v>
      </c>
      <c r="P1998" s="60" t="b">
        <f t="shared" si="122"/>
        <v>1</v>
      </c>
      <c r="Q1998" s="87" t="b">
        <f>(Requirements!K2000="Normative")</f>
        <v>1</v>
      </c>
      <c r="R1998" s="87" t="b">
        <f>AND(Requirements!L2000&lt;&gt;"Non-testable",Requirements!L2000&lt;&gt;"Deleted",Requirements!L2000&lt;&gt;"")</f>
        <v>1</v>
      </c>
      <c r="S1998" s="87" t="b">
        <f>(VLOOKUP(Requirements!I2000,Scope[[Role]:[Description]],2,FALSE)="In")</f>
        <v>1</v>
      </c>
      <c r="T1998" s="87">
        <f t="shared" si="123"/>
        <v>1</v>
      </c>
    </row>
    <row r="1999" spans="1:20">
      <c r="A1999" s="84" t="str">
        <f>Requirements!A2001</f>
        <v>MS-FSCC_R431</v>
      </c>
      <c r="B1999" s="87"/>
      <c r="C1999" s="87"/>
      <c r="D1999" s="87"/>
      <c r="E1999" s="87"/>
      <c r="F1999" s="87"/>
      <c r="G1999" s="87"/>
      <c r="H1999" s="87"/>
      <c r="I1999" s="87"/>
      <c r="J1999" s="87"/>
      <c r="K1999" s="87"/>
      <c r="L1999" s="87"/>
      <c r="M1999" s="87">
        <v>1</v>
      </c>
      <c r="N1999" s="87">
        <f t="shared" si="120"/>
        <v>1</v>
      </c>
      <c r="O1999" s="60">
        <f t="shared" si="121"/>
        <v>1</v>
      </c>
      <c r="P1999" s="60" t="b">
        <f t="shared" si="122"/>
        <v>1</v>
      </c>
      <c r="Q1999" s="87" t="b">
        <f>(Requirements!K2001="Normative")</f>
        <v>1</v>
      </c>
      <c r="R1999" s="87" t="b">
        <f>AND(Requirements!L2001&lt;&gt;"Non-testable",Requirements!L2001&lt;&gt;"Deleted",Requirements!L2001&lt;&gt;"")</f>
        <v>1</v>
      </c>
      <c r="S1999" s="87" t="b">
        <f>(VLOOKUP(Requirements!I2001,Scope[[Role]:[Description]],2,FALSE)="In")</f>
        <v>1</v>
      </c>
      <c r="T1999" s="87">
        <f t="shared" si="123"/>
        <v>1</v>
      </c>
    </row>
    <row r="2000" spans="1:20">
      <c r="A2000" s="84" t="str">
        <f>Requirements!A2002</f>
        <v>MS-FSCC_R433</v>
      </c>
      <c r="B2000" s="87"/>
      <c r="C2000" s="87"/>
      <c r="D2000" s="87"/>
      <c r="E2000" s="87"/>
      <c r="F2000" s="87"/>
      <c r="G2000" s="87"/>
      <c r="H2000" s="87"/>
      <c r="I2000" s="87"/>
      <c r="J2000" s="87"/>
      <c r="K2000" s="87"/>
      <c r="L2000" s="87"/>
      <c r="M2000" s="87">
        <v>1</v>
      </c>
      <c r="N2000" s="87">
        <f t="shared" si="120"/>
        <v>1</v>
      </c>
      <c r="O2000" s="60">
        <f t="shared" si="121"/>
        <v>1</v>
      </c>
      <c r="P2000" s="60" t="b">
        <f t="shared" si="122"/>
        <v>1</v>
      </c>
      <c r="Q2000" s="87" t="b">
        <f>(Requirements!K2002="Normative")</f>
        <v>1</v>
      </c>
      <c r="R2000" s="87" t="b">
        <f>AND(Requirements!L2002&lt;&gt;"Non-testable",Requirements!L2002&lt;&gt;"Deleted",Requirements!L2002&lt;&gt;"")</f>
        <v>1</v>
      </c>
      <c r="S2000" s="87" t="b">
        <f>(VLOOKUP(Requirements!I2002,Scope[[Role]:[Description]],2,FALSE)="In")</f>
        <v>1</v>
      </c>
      <c r="T2000" s="87">
        <f t="shared" si="123"/>
        <v>1</v>
      </c>
    </row>
    <row r="2001" spans="1:20">
      <c r="A2001" s="84" t="str">
        <f>Requirements!A2003</f>
        <v>MS-FSCC_R434</v>
      </c>
      <c r="B2001" s="87"/>
      <c r="C2001" s="87"/>
      <c r="D2001" s="87"/>
      <c r="E2001" s="87"/>
      <c r="F2001" s="87"/>
      <c r="G2001" s="87"/>
      <c r="H2001" s="87"/>
      <c r="I2001" s="87"/>
      <c r="J2001" s="87"/>
      <c r="K2001" s="87"/>
      <c r="L2001" s="87"/>
      <c r="M2001" s="87">
        <v>1</v>
      </c>
      <c r="N2001" s="87">
        <f t="shared" si="120"/>
        <v>1</v>
      </c>
      <c r="O2001" s="60">
        <f t="shared" si="121"/>
        <v>1</v>
      </c>
      <c r="P2001" s="60" t="b">
        <f t="shared" si="122"/>
        <v>1</v>
      </c>
      <c r="Q2001" s="87" t="b">
        <f>(Requirements!K2003="Normative")</f>
        <v>1</v>
      </c>
      <c r="R2001" s="87" t="b">
        <f>AND(Requirements!L2003&lt;&gt;"Non-testable",Requirements!L2003&lt;&gt;"Deleted",Requirements!L2003&lt;&gt;"")</f>
        <v>1</v>
      </c>
      <c r="S2001" s="87" t="b">
        <f>(VLOOKUP(Requirements!I2003,Scope[[Role]:[Description]],2,FALSE)="In")</f>
        <v>1</v>
      </c>
      <c r="T2001" s="87">
        <f t="shared" si="123"/>
        <v>1</v>
      </c>
    </row>
    <row r="2002" spans="1:20">
      <c r="A2002" s="84" t="str">
        <f>Requirements!A2004</f>
        <v>MS-FSCC_R435</v>
      </c>
      <c r="B2002" s="87"/>
      <c r="C2002" s="87"/>
      <c r="D2002" s="87"/>
      <c r="E2002" s="87"/>
      <c r="F2002" s="87"/>
      <c r="G2002" s="87"/>
      <c r="H2002" s="87"/>
      <c r="I2002" s="87"/>
      <c r="J2002" s="87"/>
      <c r="K2002" s="87"/>
      <c r="L2002" s="87"/>
      <c r="M2002" s="87">
        <v>1</v>
      </c>
      <c r="N2002" s="87">
        <f t="shared" si="120"/>
        <v>1</v>
      </c>
      <c r="O2002" s="60">
        <f t="shared" si="121"/>
        <v>1</v>
      </c>
      <c r="P2002" s="60" t="b">
        <f t="shared" si="122"/>
        <v>1</v>
      </c>
      <c r="Q2002" s="87" t="b">
        <f>(Requirements!K2004="Normative")</f>
        <v>1</v>
      </c>
      <c r="R2002" s="87" t="b">
        <f>AND(Requirements!L2004&lt;&gt;"Non-testable",Requirements!L2004&lt;&gt;"Deleted",Requirements!L2004&lt;&gt;"")</f>
        <v>1</v>
      </c>
      <c r="S2002" s="87" t="b">
        <f>(VLOOKUP(Requirements!I2004,Scope[[Role]:[Description]],2,FALSE)="In")</f>
        <v>1</v>
      </c>
      <c r="T2002" s="87">
        <f t="shared" si="123"/>
        <v>1</v>
      </c>
    </row>
    <row r="2003" spans="1:20">
      <c r="A2003" s="84" t="str">
        <f>Requirements!A2005</f>
        <v>MS-FSCC_R436</v>
      </c>
      <c r="B2003" s="87"/>
      <c r="C2003" s="87"/>
      <c r="D2003" s="87"/>
      <c r="E2003" s="87"/>
      <c r="F2003" s="87"/>
      <c r="G2003" s="87"/>
      <c r="H2003" s="87"/>
      <c r="I2003" s="87"/>
      <c r="J2003" s="87"/>
      <c r="K2003" s="87"/>
      <c r="L2003" s="87"/>
      <c r="M2003" s="87">
        <v>1</v>
      </c>
      <c r="N2003" s="87">
        <f t="shared" si="120"/>
        <v>1</v>
      </c>
      <c r="O2003" s="60">
        <f t="shared" si="121"/>
        <v>1</v>
      </c>
      <c r="P2003" s="60" t="b">
        <f t="shared" si="122"/>
        <v>1</v>
      </c>
      <c r="Q2003" s="87" t="b">
        <f>(Requirements!K2005="Normative")</f>
        <v>1</v>
      </c>
      <c r="R2003" s="87" t="b">
        <f>AND(Requirements!L2005&lt;&gt;"Non-testable",Requirements!L2005&lt;&gt;"Deleted",Requirements!L2005&lt;&gt;"")</f>
        <v>1</v>
      </c>
      <c r="S2003" s="87" t="b">
        <f>(VLOOKUP(Requirements!I2005,Scope[[Role]:[Description]],2,FALSE)="In")</f>
        <v>1</v>
      </c>
      <c r="T2003" s="87">
        <f t="shared" si="123"/>
        <v>1</v>
      </c>
    </row>
    <row r="2004" spans="1:20">
      <c r="A2004" s="84" t="str">
        <f>Requirements!A2006</f>
        <v>MS-FSCC_R437</v>
      </c>
      <c r="B2004" s="87"/>
      <c r="C2004" s="87"/>
      <c r="D2004" s="87"/>
      <c r="E2004" s="87"/>
      <c r="F2004" s="87"/>
      <c r="G2004" s="87"/>
      <c r="H2004" s="87"/>
      <c r="I2004" s="87"/>
      <c r="J2004" s="87"/>
      <c r="K2004" s="87"/>
      <c r="L2004" s="87"/>
      <c r="M2004" s="87">
        <v>1</v>
      </c>
      <c r="N2004" s="87">
        <f t="shared" ref="N2004:N2067" si="124">SUM(B2004:M2004)</f>
        <v>1</v>
      </c>
      <c r="O2004" s="60">
        <f t="shared" ref="O2004:O2067" si="125">IF(N2004=0,0,1)</f>
        <v>1</v>
      </c>
      <c r="P2004" s="60" t="b">
        <f t="shared" ref="P2004:P2067" si="126">AND(Q2004:S2004)</f>
        <v>1</v>
      </c>
      <c r="Q2004" s="87" t="b">
        <f>(Requirements!K2006="Normative")</f>
        <v>1</v>
      </c>
      <c r="R2004" s="87" t="b">
        <f>AND(Requirements!L2006&lt;&gt;"Non-testable",Requirements!L2006&lt;&gt;"Deleted",Requirements!L2006&lt;&gt;"")</f>
        <v>1</v>
      </c>
      <c r="S2004" s="87" t="b">
        <f>(VLOOKUP(Requirements!I2006,Scope[[Role]:[Description]],2,FALSE)="In")</f>
        <v>1</v>
      </c>
      <c r="T2004" s="87">
        <f t="shared" ref="T2004:T2067" si="127">IF(P2004,O2004, 0)</f>
        <v>1</v>
      </c>
    </row>
    <row r="2005" spans="1:20">
      <c r="A2005" s="84" t="str">
        <f>Requirements!A2007</f>
        <v>MS-FSCC_R438</v>
      </c>
      <c r="B2005" s="87"/>
      <c r="C2005" s="87"/>
      <c r="D2005" s="87"/>
      <c r="E2005" s="87"/>
      <c r="F2005" s="87"/>
      <c r="G2005" s="87"/>
      <c r="H2005" s="87"/>
      <c r="I2005" s="87"/>
      <c r="J2005" s="87"/>
      <c r="K2005" s="87"/>
      <c r="L2005" s="87"/>
      <c r="M2005" s="87">
        <v>1</v>
      </c>
      <c r="N2005" s="87">
        <f t="shared" si="124"/>
        <v>1</v>
      </c>
      <c r="O2005" s="60">
        <f t="shared" si="125"/>
        <v>1</v>
      </c>
      <c r="P2005" s="60" t="b">
        <f t="shared" si="126"/>
        <v>1</v>
      </c>
      <c r="Q2005" s="87" t="b">
        <f>(Requirements!K2007="Normative")</f>
        <v>1</v>
      </c>
      <c r="R2005" s="87" t="b">
        <f>AND(Requirements!L2007&lt;&gt;"Non-testable",Requirements!L2007&lt;&gt;"Deleted",Requirements!L2007&lt;&gt;"")</f>
        <v>1</v>
      </c>
      <c r="S2005" s="87" t="b">
        <f>(VLOOKUP(Requirements!I2007,Scope[[Role]:[Description]],2,FALSE)="In")</f>
        <v>1</v>
      </c>
      <c r="T2005" s="87">
        <f t="shared" si="127"/>
        <v>1</v>
      </c>
    </row>
    <row r="2006" spans="1:20">
      <c r="A2006" s="84" t="str">
        <f>Requirements!A2008</f>
        <v>MS-FSCC_R439</v>
      </c>
      <c r="B2006" s="87"/>
      <c r="C2006" s="87"/>
      <c r="D2006" s="87"/>
      <c r="E2006" s="87"/>
      <c r="F2006" s="87"/>
      <c r="G2006" s="87"/>
      <c r="H2006" s="87"/>
      <c r="I2006" s="87"/>
      <c r="J2006" s="87"/>
      <c r="K2006" s="87"/>
      <c r="L2006" s="87"/>
      <c r="M2006" s="87">
        <v>1</v>
      </c>
      <c r="N2006" s="87">
        <f t="shared" si="124"/>
        <v>1</v>
      </c>
      <c r="O2006" s="60">
        <f t="shared" si="125"/>
        <v>1</v>
      </c>
      <c r="P2006" s="60" t="b">
        <f t="shared" si="126"/>
        <v>1</v>
      </c>
      <c r="Q2006" s="87" t="b">
        <f>(Requirements!K2008="Normative")</f>
        <v>1</v>
      </c>
      <c r="R2006" s="87" t="b">
        <f>AND(Requirements!L2008&lt;&gt;"Non-testable",Requirements!L2008&lt;&gt;"Deleted",Requirements!L2008&lt;&gt;"")</f>
        <v>1</v>
      </c>
      <c r="S2006" s="87" t="b">
        <f>(VLOOKUP(Requirements!I2008,Scope[[Role]:[Description]],2,FALSE)="In")</f>
        <v>1</v>
      </c>
      <c r="T2006" s="87">
        <f t="shared" si="127"/>
        <v>1</v>
      </c>
    </row>
    <row r="2007" spans="1:20">
      <c r="A2007" s="84" t="str">
        <f>Requirements!A2009</f>
        <v>MS-FSCC_R440</v>
      </c>
      <c r="B2007" s="87"/>
      <c r="C2007" s="87"/>
      <c r="D2007" s="87"/>
      <c r="E2007" s="87"/>
      <c r="F2007" s="87"/>
      <c r="G2007" s="87"/>
      <c r="H2007" s="87"/>
      <c r="I2007" s="87"/>
      <c r="J2007" s="87"/>
      <c r="K2007" s="87"/>
      <c r="L2007" s="87"/>
      <c r="M2007" s="87">
        <v>1</v>
      </c>
      <c r="N2007" s="87">
        <f t="shared" si="124"/>
        <v>1</v>
      </c>
      <c r="O2007" s="60">
        <f t="shared" si="125"/>
        <v>1</v>
      </c>
      <c r="P2007" s="60" t="b">
        <f t="shared" si="126"/>
        <v>1</v>
      </c>
      <c r="Q2007" s="87" t="b">
        <f>(Requirements!K2009="Normative")</f>
        <v>1</v>
      </c>
      <c r="R2007" s="87" t="b">
        <f>AND(Requirements!L2009&lt;&gt;"Non-testable",Requirements!L2009&lt;&gt;"Deleted",Requirements!L2009&lt;&gt;"")</f>
        <v>1</v>
      </c>
      <c r="S2007" s="87" t="b">
        <f>(VLOOKUP(Requirements!I2009,Scope[[Role]:[Description]],2,FALSE)="In")</f>
        <v>1</v>
      </c>
      <c r="T2007" s="87">
        <f t="shared" si="127"/>
        <v>1</v>
      </c>
    </row>
    <row r="2008" spans="1:20">
      <c r="A2008" s="84" t="str">
        <f>Requirements!A2010</f>
        <v>MS-FSCC_R441</v>
      </c>
      <c r="B2008" s="87"/>
      <c r="C2008" s="87"/>
      <c r="D2008" s="87"/>
      <c r="E2008" s="87"/>
      <c r="F2008" s="87"/>
      <c r="G2008" s="87"/>
      <c r="H2008" s="87"/>
      <c r="I2008" s="87"/>
      <c r="J2008" s="87"/>
      <c r="K2008" s="87"/>
      <c r="L2008" s="87"/>
      <c r="M2008" s="87">
        <v>1</v>
      </c>
      <c r="N2008" s="87">
        <f t="shared" si="124"/>
        <v>1</v>
      </c>
      <c r="O2008" s="60">
        <f t="shared" si="125"/>
        <v>1</v>
      </c>
      <c r="P2008" s="60" t="b">
        <f t="shared" si="126"/>
        <v>1</v>
      </c>
      <c r="Q2008" s="87" t="b">
        <f>(Requirements!K2010="Normative")</f>
        <v>1</v>
      </c>
      <c r="R2008" s="87" t="b">
        <f>AND(Requirements!L2010&lt;&gt;"Non-testable",Requirements!L2010&lt;&gt;"Deleted",Requirements!L2010&lt;&gt;"")</f>
        <v>1</v>
      </c>
      <c r="S2008" s="87" t="b">
        <f>(VLOOKUP(Requirements!I2010,Scope[[Role]:[Description]],2,FALSE)="In")</f>
        <v>1</v>
      </c>
      <c r="T2008" s="87">
        <f t="shared" si="127"/>
        <v>1</v>
      </c>
    </row>
    <row r="2009" spans="1:20">
      <c r="A2009" s="84" t="str">
        <f>Requirements!A2011</f>
        <v>MS-FSCC_R453</v>
      </c>
      <c r="B2009" s="87"/>
      <c r="C2009" s="87"/>
      <c r="D2009" s="87"/>
      <c r="E2009" s="87"/>
      <c r="F2009" s="87"/>
      <c r="G2009" s="87"/>
      <c r="H2009" s="87"/>
      <c r="I2009" s="87"/>
      <c r="J2009" s="87"/>
      <c r="K2009" s="87"/>
      <c r="L2009" s="87"/>
      <c r="M2009" s="87">
        <v>1</v>
      </c>
      <c r="N2009" s="87">
        <f t="shared" si="124"/>
        <v>1</v>
      </c>
      <c r="O2009" s="60">
        <f t="shared" si="125"/>
        <v>1</v>
      </c>
      <c r="P2009" s="60" t="b">
        <f t="shared" si="126"/>
        <v>1</v>
      </c>
      <c r="Q2009" s="87" t="b">
        <f>(Requirements!K2011="Normative")</f>
        <v>1</v>
      </c>
      <c r="R2009" s="87" t="b">
        <f>AND(Requirements!L2011&lt;&gt;"Non-testable",Requirements!L2011&lt;&gt;"Deleted",Requirements!L2011&lt;&gt;"")</f>
        <v>1</v>
      </c>
      <c r="S2009" s="87" t="b">
        <f>(VLOOKUP(Requirements!I2011,Scope[[Role]:[Description]],2,FALSE)="In")</f>
        <v>1</v>
      </c>
      <c r="T2009" s="87">
        <f t="shared" si="127"/>
        <v>1</v>
      </c>
    </row>
    <row r="2010" spans="1:20">
      <c r="A2010" s="84" t="str">
        <f>Requirements!A2012</f>
        <v>MS-FSCC_R454</v>
      </c>
      <c r="B2010" s="87"/>
      <c r="C2010" s="87"/>
      <c r="D2010" s="87"/>
      <c r="E2010" s="87"/>
      <c r="F2010" s="87"/>
      <c r="G2010" s="87"/>
      <c r="H2010" s="87"/>
      <c r="I2010" s="87"/>
      <c r="J2010" s="87"/>
      <c r="K2010" s="87"/>
      <c r="L2010" s="87"/>
      <c r="M2010" s="87">
        <v>1</v>
      </c>
      <c r="N2010" s="87">
        <f t="shared" si="124"/>
        <v>1</v>
      </c>
      <c r="O2010" s="60">
        <f t="shared" si="125"/>
        <v>1</v>
      </c>
      <c r="P2010" s="60" t="b">
        <f t="shared" si="126"/>
        <v>1</v>
      </c>
      <c r="Q2010" s="87" t="b">
        <f>(Requirements!K2012="Normative")</f>
        <v>1</v>
      </c>
      <c r="R2010" s="87" t="b">
        <f>AND(Requirements!L2012&lt;&gt;"Non-testable",Requirements!L2012&lt;&gt;"Deleted",Requirements!L2012&lt;&gt;"")</f>
        <v>1</v>
      </c>
      <c r="S2010" s="87" t="b">
        <f>(VLOOKUP(Requirements!I2012,Scope[[Role]:[Description]],2,FALSE)="In")</f>
        <v>1</v>
      </c>
      <c r="T2010" s="87">
        <f t="shared" si="127"/>
        <v>1</v>
      </c>
    </row>
    <row r="2011" spans="1:20">
      <c r="A2011" s="84" t="str">
        <f>Requirements!A2013</f>
        <v>MS-FSCC_R633</v>
      </c>
      <c r="B2011" s="87"/>
      <c r="C2011" s="87"/>
      <c r="D2011" s="87"/>
      <c r="E2011" s="87"/>
      <c r="F2011" s="87"/>
      <c r="G2011" s="87"/>
      <c r="H2011" s="87"/>
      <c r="I2011" s="87"/>
      <c r="J2011" s="87"/>
      <c r="K2011" s="87"/>
      <c r="L2011" s="87"/>
      <c r="M2011" s="87">
        <v>1</v>
      </c>
      <c r="N2011" s="87">
        <f t="shared" si="124"/>
        <v>1</v>
      </c>
      <c r="O2011" s="60">
        <f t="shared" si="125"/>
        <v>1</v>
      </c>
      <c r="P2011" s="60" t="b">
        <f t="shared" si="126"/>
        <v>1</v>
      </c>
      <c r="Q2011" s="87" t="b">
        <f>(Requirements!K2013="Normative")</f>
        <v>1</v>
      </c>
      <c r="R2011" s="87" t="b">
        <f>AND(Requirements!L2013&lt;&gt;"Non-testable",Requirements!L2013&lt;&gt;"Deleted",Requirements!L2013&lt;&gt;"")</f>
        <v>1</v>
      </c>
      <c r="S2011" s="87" t="b">
        <f>(VLOOKUP(Requirements!I2013,Scope[[Role]:[Description]],2,FALSE)="In")</f>
        <v>1</v>
      </c>
      <c r="T2011" s="87">
        <f t="shared" si="127"/>
        <v>1</v>
      </c>
    </row>
    <row r="2012" spans="1:20">
      <c r="A2012" s="84" t="str">
        <f>Requirements!A2014</f>
        <v>MS-FSCC_R634</v>
      </c>
      <c r="B2012" s="87"/>
      <c r="C2012" s="87"/>
      <c r="D2012" s="87"/>
      <c r="E2012" s="87"/>
      <c r="F2012" s="87"/>
      <c r="G2012" s="87"/>
      <c r="H2012" s="87"/>
      <c r="I2012" s="87"/>
      <c r="J2012" s="87"/>
      <c r="K2012" s="87"/>
      <c r="L2012" s="87"/>
      <c r="M2012" s="87">
        <v>1</v>
      </c>
      <c r="N2012" s="87">
        <f t="shared" si="124"/>
        <v>1</v>
      </c>
      <c r="O2012" s="60">
        <f t="shared" si="125"/>
        <v>1</v>
      </c>
      <c r="P2012" s="60" t="b">
        <f t="shared" si="126"/>
        <v>1</v>
      </c>
      <c r="Q2012" s="87" t="b">
        <f>(Requirements!K2014="Normative")</f>
        <v>1</v>
      </c>
      <c r="R2012" s="87" t="b">
        <f>AND(Requirements!L2014&lt;&gt;"Non-testable",Requirements!L2014&lt;&gt;"Deleted",Requirements!L2014&lt;&gt;"")</f>
        <v>1</v>
      </c>
      <c r="S2012" s="87" t="b">
        <f>(VLOOKUP(Requirements!I2014,Scope[[Role]:[Description]],2,FALSE)="In")</f>
        <v>1</v>
      </c>
      <c r="T2012" s="87">
        <f t="shared" si="127"/>
        <v>1</v>
      </c>
    </row>
    <row r="2013" spans="1:20">
      <c r="A2013" s="84" t="str">
        <f>Requirements!A2015</f>
        <v>MS-FSCC_R635</v>
      </c>
      <c r="B2013" s="87"/>
      <c r="C2013" s="87"/>
      <c r="D2013" s="87"/>
      <c r="E2013" s="87"/>
      <c r="F2013" s="87"/>
      <c r="G2013" s="87"/>
      <c r="H2013" s="87"/>
      <c r="I2013" s="87"/>
      <c r="J2013" s="87"/>
      <c r="K2013" s="87"/>
      <c r="L2013" s="87"/>
      <c r="M2013" s="87">
        <v>1</v>
      </c>
      <c r="N2013" s="87">
        <f t="shared" si="124"/>
        <v>1</v>
      </c>
      <c r="O2013" s="60">
        <f t="shared" si="125"/>
        <v>1</v>
      </c>
      <c r="P2013" s="60" t="b">
        <f t="shared" si="126"/>
        <v>1</v>
      </c>
      <c r="Q2013" s="87" t="b">
        <f>(Requirements!K2015="Normative")</f>
        <v>1</v>
      </c>
      <c r="R2013" s="87" t="b">
        <f>AND(Requirements!L2015&lt;&gt;"Non-testable",Requirements!L2015&lt;&gt;"Deleted",Requirements!L2015&lt;&gt;"")</f>
        <v>1</v>
      </c>
      <c r="S2013" s="87" t="b">
        <f>(VLOOKUP(Requirements!I2015,Scope[[Role]:[Description]],2,FALSE)="In")</f>
        <v>1</v>
      </c>
      <c r="T2013" s="87">
        <f t="shared" si="127"/>
        <v>1</v>
      </c>
    </row>
    <row r="2014" spans="1:20">
      <c r="A2014" s="84" t="str">
        <f>Requirements!A2016</f>
        <v>MS-FSCC_R636</v>
      </c>
      <c r="B2014" s="87"/>
      <c r="C2014" s="87"/>
      <c r="D2014" s="87"/>
      <c r="E2014" s="87"/>
      <c r="F2014" s="87"/>
      <c r="G2014" s="87"/>
      <c r="H2014" s="87"/>
      <c r="I2014" s="87"/>
      <c r="J2014" s="87"/>
      <c r="K2014" s="87"/>
      <c r="L2014" s="87"/>
      <c r="M2014" s="87">
        <v>1</v>
      </c>
      <c r="N2014" s="87">
        <f t="shared" si="124"/>
        <v>1</v>
      </c>
      <c r="O2014" s="60">
        <f t="shared" si="125"/>
        <v>1</v>
      </c>
      <c r="P2014" s="60" t="b">
        <f t="shared" si="126"/>
        <v>1</v>
      </c>
      <c r="Q2014" s="87" t="b">
        <f>(Requirements!K2016="Normative")</f>
        <v>1</v>
      </c>
      <c r="R2014" s="87" t="b">
        <f>AND(Requirements!L2016&lt;&gt;"Non-testable",Requirements!L2016&lt;&gt;"Deleted",Requirements!L2016&lt;&gt;"")</f>
        <v>1</v>
      </c>
      <c r="S2014" s="87" t="b">
        <f>(VLOOKUP(Requirements!I2016,Scope[[Role]:[Description]],2,FALSE)="In")</f>
        <v>1</v>
      </c>
      <c r="T2014" s="87">
        <f t="shared" si="127"/>
        <v>1</v>
      </c>
    </row>
    <row r="2015" spans="1:20">
      <c r="A2015" s="84" t="str">
        <f>Requirements!A2017</f>
        <v>MS-FSCC_R638</v>
      </c>
      <c r="B2015" s="87"/>
      <c r="C2015" s="87"/>
      <c r="D2015" s="87"/>
      <c r="E2015" s="87"/>
      <c r="F2015" s="87"/>
      <c r="G2015" s="87"/>
      <c r="H2015" s="87"/>
      <c r="I2015" s="87"/>
      <c r="J2015" s="87"/>
      <c r="K2015" s="87"/>
      <c r="L2015" s="87"/>
      <c r="M2015" s="87">
        <v>1</v>
      </c>
      <c r="N2015" s="87">
        <f t="shared" si="124"/>
        <v>1</v>
      </c>
      <c r="O2015" s="60">
        <f t="shared" si="125"/>
        <v>1</v>
      </c>
      <c r="P2015" s="60" t="b">
        <f t="shared" si="126"/>
        <v>1</v>
      </c>
      <c r="Q2015" s="87" t="b">
        <f>(Requirements!K2017="Normative")</f>
        <v>1</v>
      </c>
      <c r="R2015" s="87" t="b">
        <f>AND(Requirements!L2017&lt;&gt;"Non-testable",Requirements!L2017&lt;&gt;"Deleted",Requirements!L2017&lt;&gt;"")</f>
        <v>1</v>
      </c>
      <c r="S2015" s="87" t="b">
        <f>(VLOOKUP(Requirements!I2017,Scope[[Role]:[Description]],2,FALSE)="In")</f>
        <v>1</v>
      </c>
      <c r="T2015" s="87">
        <f t="shared" si="127"/>
        <v>1</v>
      </c>
    </row>
    <row r="2016" spans="1:20">
      <c r="A2016" s="84" t="str">
        <f>Requirements!A2018</f>
        <v>MS-FSCC_R643</v>
      </c>
      <c r="B2016" s="87"/>
      <c r="C2016" s="87"/>
      <c r="D2016" s="87"/>
      <c r="E2016" s="87"/>
      <c r="F2016" s="87"/>
      <c r="G2016" s="87"/>
      <c r="H2016" s="87"/>
      <c r="I2016" s="87"/>
      <c r="J2016" s="87"/>
      <c r="K2016" s="87"/>
      <c r="L2016" s="87"/>
      <c r="M2016" s="87">
        <v>1</v>
      </c>
      <c r="N2016" s="87">
        <f t="shared" si="124"/>
        <v>1</v>
      </c>
      <c r="O2016" s="60">
        <f t="shared" si="125"/>
        <v>1</v>
      </c>
      <c r="P2016" s="60" t="b">
        <f t="shared" si="126"/>
        <v>1</v>
      </c>
      <c r="Q2016" s="87" t="b">
        <f>(Requirements!K2018="Normative")</f>
        <v>1</v>
      </c>
      <c r="R2016" s="87" t="b">
        <f>AND(Requirements!L2018&lt;&gt;"Non-testable",Requirements!L2018&lt;&gt;"Deleted",Requirements!L2018&lt;&gt;"")</f>
        <v>1</v>
      </c>
      <c r="S2016" s="87" t="b">
        <f>(VLOOKUP(Requirements!I2018,Scope[[Role]:[Description]],2,FALSE)="In")</f>
        <v>1</v>
      </c>
      <c r="T2016" s="87">
        <f t="shared" si="127"/>
        <v>1</v>
      </c>
    </row>
    <row r="2017" spans="1:20">
      <c r="A2017" s="84" t="str">
        <f>Requirements!A2019</f>
        <v>MS-FSCC_R646</v>
      </c>
      <c r="B2017" s="87"/>
      <c r="C2017" s="87"/>
      <c r="D2017" s="87"/>
      <c r="E2017" s="87"/>
      <c r="F2017" s="87"/>
      <c r="G2017" s="87"/>
      <c r="H2017" s="87"/>
      <c r="I2017" s="87"/>
      <c r="J2017" s="87"/>
      <c r="K2017" s="87"/>
      <c r="L2017" s="87"/>
      <c r="M2017" s="87">
        <v>1</v>
      </c>
      <c r="N2017" s="87">
        <f t="shared" si="124"/>
        <v>1</v>
      </c>
      <c r="O2017" s="60">
        <f t="shared" si="125"/>
        <v>1</v>
      </c>
      <c r="P2017" s="60" t="b">
        <f t="shared" si="126"/>
        <v>1</v>
      </c>
      <c r="Q2017" s="87" t="b">
        <f>(Requirements!K2019="Normative")</f>
        <v>1</v>
      </c>
      <c r="R2017" s="87" t="b">
        <f>AND(Requirements!L2019&lt;&gt;"Non-testable",Requirements!L2019&lt;&gt;"Deleted",Requirements!L2019&lt;&gt;"")</f>
        <v>1</v>
      </c>
      <c r="S2017" s="87" t="b">
        <f>(VLOOKUP(Requirements!I2019,Scope[[Role]:[Description]],2,FALSE)="In")</f>
        <v>1</v>
      </c>
      <c r="T2017" s="87">
        <f t="shared" si="127"/>
        <v>1</v>
      </c>
    </row>
    <row r="2018" spans="1:20">
      <c r="A2018" s="84" t="str">
        <f>Requirements!A2020</f>
        <v>MS-FSCC_R647</v>
      </c>
      <c r="B2018" s="87"/>
      <c r="C2018" s="87"/>
      <c r="D2018" s="87"/>
      <c r="E2018" s="87"/>
      <c r="F2018" s="87"/>
      <c r="G2018" s="87"/>
      <c r="H2018" s="87"/>
      <c r="I2018" s="87"/>
      <c r="J2018" s="87"/>
      <c r="K2018" s="87"/>
      <c r="L2018" s="87"/>
      <c r="M2018" s="87">
        <v>1</v>
      </c>
      <c r="N2018" s="87">
        <f t="shared" si="124"/>
        <v>1</v>
      </c>
      <c r="O2018" s="60">
        <f t="shared" si="125"/>
        <v>1</v>
      </c>
      <c r="P2018" s="60" t="b">
        <f t="shared" si="126"/>
        <v>1</v>
      </c>
      <c r="Q2018" s="87" t="b">
        <f>(Requirements!K2020="Normative")</f>
        <v>1</v>
      </c>
      <c r="R2018" s="87" t="b">
        <f>AND(Requirements!L2020&lt;&gt;"Non-testable",Requirements!L2020&lt;&gt;"Deleted",Requirements!L2020&lt;&gt;"")</f>
        <v>1</v>
      </c>
      <c r="S2018" s="87" t="b">
        <f>(VLOOKUP(Requirements!I2020,Scope[[Role]:[Description]],2,FALSE)="In")</f>
        <v>1</v>
      </c>
      <c r="T2018" s="87">
        <f t="shared" si="127"/>
        <v>1</v>
      </c>
    </row>
    <row r="2019" spans="1:20">
      <c r="A2019" s="84" t="str">
        <f>Requirements!A2021</f>
        <v>MS-FSCC_R648</v>
      </c>
      <c r="B2019" s="87"/>
      <c r="C2019" s="87"/>
      <c r="D2019" s="87"/>
      <c r="E2019" s="87"/>
      <c r="F2019" s="87"/>
      <c r="G2019" s="87"/>
      <c r="H2019" s="87"/>
      <c r="I2019" s="87"/>
      <c r="J2019" s="87"/>
      <c r="K2019" s="87"/>
      <c r="L2019" s="87"/>
      <c r="M2019" s="87">
        <v>1</v>
      </c>
      <c r="N2019" s="87">
        <f t="shared" si="124"/>
        <v>1</v>
      </c>
      <c r="O2019" s="60">
        <f t="shared" si="125"/>
        <v>1</v>
      </c>
      <c r="P2019" s="60" t="b">
        <f t="shared" si="126"/>
        <v>1</v>
      </c>
      <c r="Q2019" s="87" t="b">
        <f>(Requirements!K2021="Normative")</f>
        <v>1</v>
      </c>
      <c r="R2019" s="87" t="b">
        <f>AND(Requirements!L2021&lt;&gt;"Non-testable",Requirements!L2021&lt;&gt;"Deleted",Requirements!L2021&lt;&gt;"")</f>
        <v>1</v>
      </c>
      <c r="S2019" s="87" t="b">
        <f>(VLOOKUP(Requirements!I2021,Scope[[Role]:[Description]],2,FALSE)="In")</f>
        <v>1</v>
      </c>
      <c r="T2019" s="87">
        <f t="shared" si="127"/>
        <v>1</v>
      </c>
    </row>
    <row r="2020" spans="1:20">
      <c r="A2020" s="84" t="str">
        <f>Requirements!A2022</f>
        <v>MS-FSCC_R649</v>
      </c>
      <c r="B2020" s="87"/>
      <c r="C2020" s="87"/>
      <c r="D2020" s="87"/>
      <c r="E2020" s="87"/>
      <c r="F2020" s="87"/>
      <c r="G2020" s="87"/>
      <c r="H2020" s="87"/>
      <c r="I2020" s="87"/>
      <c r="J2020" s="87"/>
      <c r="K2020" s="87"/>
      <c r="L2020" s="87"/>
      <c r="M2020" s="87">
        <v>1</v>
      </c>
      <c r="N2020" s="87">
        <f t="shared" si="124"/>
        <v>1</v>
      </c>
      <c r="O2020" s="60">
        <f t="shared" si="125"/>
        <v>1</v>
      </c>
      <c r="P2020" s="60" t="b">
        <f t="shared" si="126"/>
        <v>1</v>
      </c>
      <c r="Q2020" s="87" t="b">
        <f>(Requirements!K2022="Normative")</f>
        <v>1</v>
      </c>
      <c r="R2020" s="87" t="b">
        <f>AND(Requirements!L2022&lt;&gt;"Non-testable",Requirements!L2022&lt;&gt;"Deleted",Requirements!L2022&lt;&gt;"")</f>
        <v>1</v>
      </c>
      <c r="S2020" s="87" t="b">
        <f>(VLOOKUP(Requirements!I2022,Scope[[Role]:[Description]],2,FALSE)="In")</f>
        <v>1</v>
      </c>
      <c r="T2020" s="87">
        <f t="shared" si="127"/>
        <v>1</v>
      </c>
    </row>
    <row r="2021" spans="1:20">
      <c r="A2021" s="84" t="str">
        <f>Requirements!A2023</f>
        <v>MS-FSCC_R650</v>
      </c>
      <c r="B2021" s="87"/>
      <c r="C2021" s="87"/>
      <c r="D2021" s="87"/>
      <c r="E2021" s="87"/>
      <c r="F2021" s="87"/>
      <c r="G2021" s="87"/>
      <c r="H2021" s="87"/>
      <c r="I2021" s="87"/>
      <c r="J2021" s="87"/>
      <c r="K2021" s="87"/>
      <c r="L2021" s="87"/>
      <c r="M2021" s="87">
        <v>1</v>
      </c>
      <c r="N2021" s="87">
        <f t="shared" si="124"/>
        <v>1</v>
      </c>
      <c r="O2021" s="60">
        <f t="shared" si="125"/>
        <v>1</v>
      </c>
      <c r="P2021" s="60" t="b">
        <f t="shared" si="126"/>
        <v>1</v>
      </c>
      <c r="Q2021" s="87" t="b">
        <f>(Requirements!K2023="Normative")</f>
        <v>1</v>
      </c>
      <c r="R2021" s="87" t="b">
        <f>AND(Requirements!L2023&lt;&gt;"Non-testable",Requirements!L2023&lt;&gt;"Deleted",Requirements!L2023&lt;&gt;"")</f>
        <v>1</v>
      </c>
      <c r="S2021" s="87" t="b">
        <f>(VLOOKUP(Requirements!I2023,Scope[[Role]:[Description]],2,FALSE)="In")</f>
        <v>1</v>
      </c>
      <c r="T2021" s="87">
        <f t="shared" si="127"/>
        <v>1</v>
      </c>
    </row>
    <row r="2022" spans="1:20">
      <c r="A2022" s="84" t="str">
        <f>Requirements!A2024</f>
        <v>MS-FSCC_R717</v>
      </c>
      <c r="B2022" s="87"/>
      <c r="C2022" s="87"/>
      <c r="D2022" s="87"/>
      <c r="E2022" s="87"/>
      <c r="F2022" s="87"/>
      <c r="G2022" s="87"/>
      <c r="H2022" s="87"/>
      <c r="I2022" s="87"/>
      <c r="J2022" s="87"/>
      <c r="K2022" s="87"/>
      <c r="L2022" s="87"/>
      <c r="M2022" s="87">
        <v>1</v>
      </c>
      <c r="N2022" s="87">
        <f t="shared" si="124"/>
        <v>1</v>
      </c>
      <c r="O2022" s="60">
        <f t="shared" si="125"/>
        <v>1</v>
      </c>
      <c r="P2022" s="60" t="b">
        <f t="shared" si="126"/>
        <v>1</v>
      </c>
      <c r="Q2022" s="87" t="b">
        <f>(Requirements!K2024="Normative")</f>
        <v>1</v>
      </c>
      <c r="R2022" s="87" t="b">
        <f>AND(Requirements!L2024&lt;&gt;"Non-testable",Requirements!L2024&lt;&gt;"Deleted",Requirements!L2024&lt;&gt;"")</f>
        <v>1</v>
      </c>
      <c r="S2022" s="87" t="b">
        <f>(VLOOKUP(Requirements!I2024,Scope[[Role]:[Description]],2,FALSE)="In")</f>
        <v>1</v>
      </c>
      <c r="T2022" s="87">
        <f t="shared" si="127"/>
        <v>1</v>
      </c>
    </row>
    <row r="2023" spans="1:20">
      <c r="A2023" s="84" t="str">
        <f>Requirements!A2025</f>
        <v>MS-FSCC_R718</v>
      </c>
      <c r="B2023" s="87"/>
      <c r="C2023" s="87"/>
      <c r="D2023" s="87"/>
      <c r="E2023" s="87"/>
      <c r="F2023" s="87"/>
      <c r="G2023" s="87"/>
      <c r="H2023" s="87"/>
      <c r="I2023" s="87"/>
      <c r="J2023" s="87"/>
      <c r="K2023" s="87"/>
      <c r="L2023" s="87"/>
      <c r="M2023" s="87">
        <v>1</v>
      </c>
      <c r="N2023" s="87">
        <f t="shared" si="124"/>
        <v>1</v>
      </c>
      <c r="O2023" s="60">
        <f t="shared" si="125"/>
        <v>1</v>
      </c>
      <c r="P2023" s="60" t="b">
        <f t="shared" si="126"/>
        <v>1</v>
      </c>
      <c r="Q2023" s="87" t="b">
        <f>(Requirements!K2025="Normative")</f>
        <v>1</v>
      </c>
      <c r="R2023" s="87" t="b">
        <f>AND(Requirements!L2025&lt;&gt;"Non-testable",Requirements!L2025&lt;&gt;"Deleted",Requirements!L2025&lt;&gt;"")</f>
        <v>1</v>
      </c>
      <c r="S2023" s="87" t="b">
        <f>(VLOOKUP(Requirements!I2025,Scope[[Role]:[Description]],2,FALSE)="In")</f>
        <v>1</v>
      </c>
      <c r="T2023" s="87">
        <f t="shared" si="127"/>
        <v>1</v>
      </c>
    </row>
    <row r="2024" spans="1:20">
      <c r="A2024" s="84" t="str">
        <f>Requirements!A2026</f>
        <v>MS-FSCC_R719</v>
      </c>
      <c r="B2024" s="87"/>
      <c r="C2024" s="87"/>
      <c r="D2024" s="87"/>
      <c r="E2024" s="87"/>
      <c r="F2024" s="87"/>
      <c r="G2024" s="87"/>
      <c r="H2024" s="87"/>
      <c r="I2024" s="87"/>
      <c r="J2024" s="87"/>
      <c r="K2024" s="87"/>
      <c r="L2024" s="87"/>
      <c r="M2024" s="87">
        <v>1</v>
      </c>
      <c r="N2024" s="87">
        <f t="shared" si="124"/>
        <v>1</v>
      </c>
      <c r="O2024" s="60">
        <f t="shared" si="125"/>
        <v>1</v>
      </c>
      <c r="P2024" s="60" t="b">
        <f t="shared" si="126"/>
        <v>1</v>
      </c>
      <c r="Q2024" s="87" t="b">
        <f>(Requirements!K2026="Normative")</f>
        <v>1</v>
      </c>
      <c r="R2024" s="87" t="b">
        <f>AND(Requirements!L2026&lt;&gt;"Non-testable",Requirements!L2026&lt;&gt;"Deleted",Requirements!L2026&lt;&gt;"")</f>
        <v>1</v>
      </c>
      <c r="S2024" s="87" t="b">
        <f>(VLOOKUP(Requirements!I2026,Scope[[Role]:[Description]],2,FALSE)="In")</f>
        <v>1</v>
      </c>
      <c r="T2024" s="87">
        <f t="shared" si="127"/>
        <v>1</v>
      </c>
    </row>
    <row r="2025" spans="1:20">
      <c r="A2025" s="84" t="str">
        <f>Requirements!A2027</f>
        <v>MS-FSCC_R720</v>
      </c>
      <c r="B2025" s="87"/>
      <c r="C2025" s="87"/>
      <c r="D2025" s="87"/>
      <c r="E2025" s="87"/>
      <c r="F2025" s="87"/>
      <c r="G2025" s="87"/>
      <c r="H2025" s="87"/>
      <c r="I2025" s="87"/>
      <c r="J2025" s="87"/>
      <c r="K2025" s="87"/>
      <c r="L2025" s="87"/>
      <c r="M2025" s="87">
        <v>1</v>
      </c>
      <c r="N2025" s="87">
        <f t="shared" si="124"/>
        <v>1</v>
      </c>
      <c r="O2025" s="60">
        <f t="shared" si="125"/>
        <v>1</v>
      </c>
      <c r="P2025" s="60" t="b">
        <f t="shared" si="126"/>
        <v>1</v>
      </c>
      <c r="Q2025" s="87" t="b">
        <f>(Requirements!K2027="Normative")</f>
        <v>1</v>
      </c>
      <c r="R2025" s="87" t="b">
        <f>AND(Requirements!L2027&lt;&gt;"Non-testable",Requirements!L2027&lt;&gt;"Deleted",Requirements!L2027&lt;&gt;"")</f>
        <v>1</v>
      </c>
      <c r="S2025" s="87" t="b">
        <f>(VLOOKUP(Requirements!I2027,Scope[[Role]:[Description]],2,FALSE)="In")</f>
        <v>1</v>
      </c>
      <c r="T2025" s="87">
        <f t="shared" si="127"/>
        <v>1</v>
      </c>
    </row>
    <row r="2026" spans="1:20">
      <c r="A2026" s="84" t="str">
        <f>Requirements!A2028</f>
        <v>MS-FSCC_R721</v>
      </c>
      <c r="B2026" s="87"/>
      <c r="C2026" s="87"/>
      <c r="D2026" s="87"/>
      <c r="E2026" s="87"/>
      <c r="F2026" s="87"/>
      <c r="G2026" s="87"/>
      <c r="H2026" s="87"/>
      <c r="I2026" s="87"/>
      <c r="J2026" s="87"/>
      <c r="K2026" s="87"/>
      <c r="L2026" s="87"/>
      <c r="M2026" s="87">
        <v>1</v>
      </c>
      <c r="N2026" s="87">
        <f t="shared" si="124"/>
        <v>1</v>
      </c>
      <c r="O2026" s="60">
        <f t="shared" si="125"/>
        <v>1</v>
      </c>
      <c r="P2026" s="60" t="b">
        <f t="shared" si="126"/>
        <v>1</v>
      </c>
      <c r="Q2026" s="87" t="b">
        <f>(Requirements!K2028="Normative")</f>
        <v>1</v>
      </c>
      <c r="R2026" s="87" t="b">
        <f>AND(Requirements!L2028&lt;&gt;"Non-testable",Requirements!L2028&lt;&gt;"Deleted",Requirements!L2028&lt;&gt;"")</f>
        <v>1</v>
      </c>
      <c r="S2026" s="87" t="b">
        <f>(VLOOKUP(Requirements!I2028,Scope[[Role]:[Description]],2,FALSE)="In")</f>
        <v>1</v>
      </c>
      <c r="T2026" s="87">
        <f t="shared" si="127"/>
        <v>1</v>
      </c>
    </row>
    <row r="2027" spans="1:20">
      <c r="A2027" s="84" t="str">
        <f>Requirements!A2029</f>
        <v>MS-FSCC_R723</v>
      </c>
      <c r="B2027" s="87"/>
      <c r="C2027" s="87"/>
      <c r="D2027" s="87"/>
      <c r="E2027" s="87"/>
      <c r="F2027" s="87"/>
      <c r="G2027" s="87"/>
      <c r="H2027" s="87"/>
      <c r="I2027" s="87"/>
      <c r="J2027" s="87"/>
      <c r="K2027" s="87"/>
      <c r="L2027" s="87"/>
      <c r="M2027" s="87">
        <v>1</v>
      </c>
      <c r="N2027" s="87">
        <f t="shared" si="124"/>
        <v>1</v>
      </c>
      <c r="O2027" s="60">
        <f t="shared" si="125"/>
        <v>1</v>
      </c>
      <c r="P2027" s="60" t="b">
        <f t="shared" si="126"/>
        <v>1</v>
      </c>
      <c r="Q2027" s="87" t="b">
        <f>(Requirements!K2029="Normative")</f>
        <v>1</v>
      </c>
      <c r="R2027" s="87" t="b">
        <f>AND(Requirements!L2029&lt;&gt;"Non-testable",Requirements!L2029&lt;&gt;"Deleted",Requirements!L2029&lt;&gt;"")</f>
        <v>1</v>
      </c>
      <c r="S2027" s="87" t="b">
        <f>(VLOOKUP(Requirements!I2029,Scope[[Role]:[Description]],2,FALSE)="In")</f>
        <v>1</v>
      </c>
      <c r="T2027" s="87">
        <f t="shared" si="127"/>
        <v>1</v>
      </c>
    </row>
    <row r="2028" spans="1:20">
      <c r="A2028" s="84" t="str">
        <f>Requirements!A2030</f>
        <v>MS-FSCC_R724</v>
      </c>
      <c r="B2028" s="87"/>
      <c r="C2028" s="87"/>
      <c r="D2028" s="87"/>
      <c r="E2028" s="87"/>
      <c r="F2028" s="87"/>
      <c r="G2028" s="87"/>
      <c r="H2028" s="87"/>
      <c r="I2028" s="87"/>
      <c r="J2028" s="87"/>
      <c r="K2028" s="87"/>
      <c r="L2028" s="87"/>
      <c r="M2028" s="87">
        <v>1</v>
      </c>
      <c r="N2028" s="87">
        <f t="shared" si="124"/>
        <v>1</v>
      </c>
      <c r="O2028" s="60">
        <f t="shared" si="125"/>
        <v>1</v>
      </c>
      <c r="P2028" s="60" t="b">
        <f t="shared" si="126"/>
        <v>1</v>
      </c>
      <c r="Q2028" s="87" t="b">
        <f>(Requirements!K2030="Normative")</f>
        <v>1</v>
      </c>
      <c r="R2028" s="87" t="b">
        <f>AND(Requirements!L2030&lt;&gt;"Non-testable",Requirements!L2030&lt;&gt;"Deleted",Requirements!L2030&lt;&gt;"")</f>
        <v>1</v>
      </c>
      <c r="S2028" s="87" t="b">
        <f>(VLOOKUP(Requirements!I2030,Scope[[Role]:[Description]],2,FALSE)="In")</f>
        <v>1</v>
      </c>
      <c r="T2028" s="87">
        <f t="shared" si="127"/>
        <v>1</v>
      </c>
    </row>
    <row r="2029" spans="1:20">
      <c r="A2029" s="84" t="str">
        <f>Requirements!A2031</f>
        <v>MS-FSCC_R725</v>
      </c>
      <c r="B2029" s="87"/>
      <c r="C2029" s="87"/>
      <c r="D2029" s="87"/>
      <c r="E2029" s="87"/>
      <c r="F2029" s="87"/>
      <c r="G2029" s="87"/>
      <c r="H2029" s="87"/>
      <c r="I2029" s="87"/>
      <c r="J2029" s="87"/>
      <c r="K2029" s="87"/>
      <c r="L2029" s="87"/>
      <c r="M2029" s="87">
        <v>1</v>
      </c>
      <c r="N2029" s="87">
        <f t="shared" si="124"/>
        <v>1</v>
      </c>
      <c r="O2029" s="60">
        <f t="shared" si="125"/>
        <v>1</v>
      </c>
      <c r="P2029" s="60" t="b">
        <f t="shared" si="126"/>
        <v>1</v>
      </c>
      <c r="Q2029" s="87" t="b">
        <f>(Requirements!K2031="Normative")</f>
        <v>1</v>
      </c>
      <c r="R2029" s="87" t="b">
        <f>AND(Requirements!L2031&lt;&gt;"Non-testable",Requirements!L2031&lt;&gt;"Deleted",Requirements!L2031&lt;&gt;"")</f>
        <v>1</v>
      </c>
      <c r="S2029" s="87" t="b">
        <f>(VLOOKUP(Requirements!I2031,Scope[[Role]:[Description]],2,FALSE)="In")</f>
        <v>1</v>
      </c>
      <c r="T2029" s="87">
        <f t="shared" si="127"/>
        <v>1</v>
      </c>
    </row>
    <row r="2030" spans="1:20">
      <c r="A2030" s="84" t="str">
        <f>Requirements!A2032</f>
        <v>MS-FSCC_R726</v>
      </c>
      <c r="B2030" s="87"/>
      <c r="C2030" s="87"/>
      <c r="D2030" s="87"/>
      <c r="E2030" s="87"/>
      <c r="F2030" s="87"/>
      <c r="G2030" s="87"/>
      <c r="H2030" s="87"/>
      <c r="I2030" s="87"/>
      <c r="J2030" s="87"/>
      <c r="K2030" s="87"/>
      <c r="L2030" s="87"/>
      <c r="M2030" s="87">
        <v>1</v>
      </c>
      <c r="N2030" s="87">
        <f t="shared" si="124"/>
        <v>1</v>
      </c>
      <c r="O2030" s="60">
        <f t="shared" si="125"/>
        <v>1</v>
      </c>
      <c r="P2030" s="60" t="b">
        <f t="shared" si="126"/>
        <v>1</v>
      </c>
      <c r="Q2030" s="87" t="b">
        <f>(Requirements!K2032="Normative")</f>
        <v>1</v>
      </c>
      <c r="R2030" s="87" t="b">
        <f>AND(Requirements!L2032&lt;&gt;"Non-testable",Requirements!L2032&lt;&gt;"Deleted",Requirements!L2032&lt;&gt;"")</f>
        <v>1</v>
      </c>
      <c r="S2030" s="87" t="b">
        <f>(VLOOKUP(Requirements!I2032,Scope[[Role]:[Description]],2,FALSE)="In")</f>
        <v>1</v>
      </c>
      <c r="T2030" s="87">
        <f t="shared" si="127"/>
        <v>1</v>
      </c>
    </row>
    <row r="2031" spans="1:20">
      <c r="A2031" s="84" t="str">
        <f>Requirements!A2033</f>
        <v>MS-FSCC_R727</v>
      </c>
      <c r="B2031" s="87"/>
      <c r="C2031" s="87"/>
      <c r="D2031" s="87"/>
      <c r="E2031" s="87"/>
      <c r="F2031" s="87"/>
      <c r="G2031" s="87"/>
      <c r="H2031" s="87"/>
      <c r="I2031" s="87"/>
      <c r="J2031" s="87"/>
      <c r="K2031" s="87"/>
      <c r="L2031" s="87"/>
      <c r="M2031" s="87">
        <v>1</v>
      </c>
      <c r="N2031" s="87">
        <f t="shared" si="124"/>
        <v>1</v>
      </c>
      <c r="O2031" s="60">
        <f t="shared" si="125"/>
        <v>1</v>
      </c>
      <c r="P2031" s="60" t="b">
        <f t="shared" si="126"/>
        <v>1</v>
      </c>
      <c r="Q2031" s="87" t="b">
        <f>(Requirements!K2033="Normative")</f>
        <v>1</v>
      </c>
      <c r="R2031" s="87" t="b">
        <f>AND(Requirements!L2033&lt;&gt;"Non-testable",Requirements!L2033&lt;&gt;"Deleted",Requirements!L2033&lt;&gt;"")</f>
        <v>1</v>
      </c>
      <c r="S2031" s="87" t="b">
        <f>(VLOOKUP(Requirements!I2033,Scope[[Role]:[Description]],2,FALSE)="In")</f>
        <v>1</v>
      </c>
      <c r="T2031" s="87">
        <f t="shared" si="127"/>
        <v>1</v>
      </c>
    </row>
    <row r="2032" spans="1:20">
      <c r="A2032" s="84" t="str">
        <f>Requirements!A2034</f>
        <v>MS-FSCC_R730</v>
      </c>
      <c r="B2032" s="87"/>
      <c r="C2032" s="87"/>
      <c r="D2032" s="87"/>
      <c r="E2032" s="87"/>
      <c r="F2032" s="87"/>
      <c r="G2032" s="87"/>
      <c r="H2032" s="87"/>
      <c r="I2032" s="87"/>
      <c r="J2032" s="87"/>
      <c r="K2032" s="87"/>
      <c r="L2032" s="87"/>
      <c r="M2032" s="87">
        <v>1</v>
      </c>
      <c r="N2032" s="87">
        <f t="shared" si="124"/>
        <v>1</v>
      </c>
      <c r="O2032" s="60">
        <f t="shared" si="125"/>
        <v>1</v>
      </c>
      <c r="P2032" s="60" t="b">
        <f t="shared" si="126"/>
        <v>1</v>
      </c>
      <c r="Q2032" s="87" t="b">
        <f>(Requirements!K2034="Normative")</f>
        <v>1</v>
      </c>
      <c r="R2032" s="87" t="b">
        <f>AND(Requirements!L2034&lt;&gt;"Non-testable",Requirements!L2034&lt;&gt;"Deleted",Requirements!L2034&lt;&gt;"")</f>
        <v>1</v>
      </c>
      <c r="S2032" s="87" t="b">
        <f>(VLOOKUP(Requirements!I2034,Scope[[Role]:[Description]],2,FALSE)="In")</f>
        <v>1</v>
      </c>
      <c r="T2032" s="87">
        <f t="shared" si="127"/>
        <v>1</v>
      </c>
    </row>
    <row r="2033" spans="1:20">
      <c r="A2033" s="84" t="str">
        <f>Requirements!A2035</f>
        <v>MS-FSCC_R734</v>
      </c>
      <c r="B2033" s="87"/>
      <c r="C2033" s="87"/>
      <c r="D2033" s="87"/>
      <c r="E2033" s="87"/>
      <c r="F2033" s="87"/>
      <c r="G2033" s="87"/>
      <c r="H2033" s="87"/>
      <c r="I2033" s="87"/>
      <c r="J2033" s="87"/>
      <c r="K2033" s="87"/>
      <c r="L2033" s="87"/>
      <c r="M2033" s="87">
        <v>1</v>
      </c>
      <c r="N2033" s="87">
        <f t="shared" si="124"/>
        <v>1</v>
      </c>
      <c r="O2033" s="60">
        <f t="shared" si="125"/>
        <v>1</v>
      </c>
      <c r="P2033" s="60" t="b">
        <f t="shared" si="126"/>
        <v>1</v>
      </c>
      <c r="Q2033" s="87" t="b">
        <f>(Requirements!K2035="Normative")</f>
        <v>1</v>
      </c>
      <c r="R2033" s="87" t="b">
        <f>AND(Requirements!L2035&lt;&gt;"Non-testable",Requirements!L2035&lt;&gt;"Deleted",Requirements!L2035&lt;&gt;"")</f>
        <v>1</v>
      </c>
      <c r="S2033" s="87" t="b">
        <f>(VLOOKUP(Requirements!I2035,Scope[[Role]:[Description]],2,FALSE)="In")</f>
        <v>1</v>
      </c>
      <c r="T2033" s="87">
        <f t="shared" si="127"/>
        <v>1</v>
      </c>
    </row>
    <row r="2034" spans="1:20">
      <c r="A2034" s="84" t="str">
        <f>Requirements!A2036</f>
        <v>MS-FSCC_R756</v>
      </c>
      <c r="B2034" s="87"/>
      <c r="C2034" s="87"/>
      <c r="D2034" s="87"/>
      <c r="E2034" s="87"/>
      <c r="F2034" s="87"/>
      <c r="G2034" s="87"/>
      <c r="H2034" s="87"/>
      <c r="I2034" s="87"/>
      <c r="J2034" s="87"/>
      <c r="K2034" s="87"/>
      <c r="L2034" s="87"/>
      <c r="M2034" s="87">
        <v>1</v>
      </c>
      <c r="N2034" s="87">
        <f t="shared" si="124"/>
        <v>1</v>
      </c>
      <c r="O2034" s="60">
        <f t="shared" si="125"/>
        <v>1</v>
      </c>
      <c r="P2034" s="60" t="b">
        <f t="shared" si="126"/>
        <v>1</v>
      </c>
      <c r="Q2034" s="87" t="b">
        <f>(Requirements!K2036="Normative")</f>
        <v>1</v>
      </c>
      <c r="R2034" s="87" t="b">
        <f>AND(Requirements!L2036&lt;&gt;"Non-testable",Requirements!L2036&lt;&gt;"Deleted",Requirements!L2036&lt;&gt;"")</f>
        <v>1</v>
      </c>
      <c r="S2034" s="87" t="b">
        <f>(VLOOKUP(Requirements!I2036,Scope[[Role]:[Description]],2,FALSE)="In")</f>
        <v>1</v>
      </c>
      <c r="T2034" s="87">
        <f t="shared" si="127"/>
        <v>1</v>
      </c>
    </row>
    <row r="2035" spans="1:20">
      <c r="A2035" s="84" t="str">
        <f>Requirements!A2037</f>
        <v>MS-FSCC_R763</v>
      </c>
      <c r="B2035" s="87"/>
      <c r="C2035" s="87"/>
      <c r="D2035" s="87"/>
      <c r="E2035" s="87"/>
      <c r="F2035" s="87"/>
      <c r="G2035" s="87"/>
      <c r="H2035" s="87"/>
      <c r="I2035" s="87"/>
      <c r="J2035" s="87"/>
      <c r="K2035" s="87"/>
      <c r="L2035" s="87"/>
      <c r="M2035" s="87">
        <v>1</v>
      </c>
      <c r="N2035" s="87">
        <f t="shared" si="124"/>
        <v>1</v>
      </c>
      <c r="O2035" s="60">
        <f t="shared" si="125"/>
        <v>1</v>
      </c>
      <c r="P2035" s="60" t="b">
        <f t="shared" si="126"/>
        <v>1</v>
      </c>
      <c r="Q2035" s="87" t="b">
        <f>(Requirements!K2037="Normative")</f>
        <v>1</v>
      </c>
      <c r="R2035" s="87" t="b">
        <f>AND(Requirements!L2037&lt;&gt;"Non-testable",Requirements!L2037&lt;&gt;"Deleted",Requirements!L2037&lt;&gt;"")</f>
        <v>1</v>
      </c>
      <c r="S2035" s="87" t="b">
        <f>(VLOOKUP(Requirements!I2037,Scope[[Role]:[Description]],2,FALSE)="In")</f>
        <v>1</v>
      </c>
      <c r="T2035" s="87">
        <f t="shared" si="127"/>
        <v>1</v>
      </c>
    </row>
    <row r="2036" spans="1:20">
      <c r="A2036" s="84" t="str">
        <f>Requirements!A2038</f>
        <v>MS-FSCC_R766</v>
      </c>
      <c r="B2036" s="87"/>
      <c r="C2036" s="87"/>
      <c r="D2036" s="87"/>
      <c r="E2036" s="87"/>
      <c r="F2036" s="87"/>
      <c r="G2036" s="87"/>
      <c r="H2036" s="87"/>
      <c r="I2036" s="87"/>
      <c r="J2036" s="87"/>
      <c r="K2036" s="87"/>
      <c r="L2036" s="87"/>
      <c r="M2036" s="87">
        <v>1</v>
      </c>
      <c r="N2036" s="87">
        <f t="shared" si="124"/>
        <v>1</v>
      </c>
      <c r="O2036" s="60">
        <f t="shared" si="125"/>
        <v>1</v>
      </c>
      <c r="P2036" s="60" t="b">
        <f t="shared" si="126"/>
        <v>1</v>
      </c>
      <c r="Q2036" s="87" t="b">
        <f>(Requirements!K2038="Normative")</f>
        <v>1</v>
      </c>
      <c r="R2036" s="87" t="b">
        <f>AND(Requirements!L2038&lt;&gt;"Non-testable",Requirements!L2038&lt;&gt;"Deleted",Requirements!L2038&lt;&gt;"")</f>
        <v>1</v>
      </c>
      <c r="S2036" s="87" t="b">
        <f>(VLOOKUP(Requirements!I2038,Scope[[Role]:[Description]],2,FALSE)="In")</f>
        <v>1</v>
      </c>
      <c r="T2036" s="87">
        <f t="shared" si="127"/>
        <v>1</v>
      </c>
    </row>
    <row r="2037" spans="1:20">
      <c r="A2037" s="84" t="str">
        <f>Requirements!A2039</f>
        <v>MS-FSCC_R769</v>
      </c>
      <c r="B2037" s="87"/>
      <c r="C2037" s="87"/>
      <c r="D2037" s="87"/>
      <c r="E2037" s="87"/>
      <c r="F2037" s="87"/>
      <c r="G2037" s="87"/>
      <c r="H2037" s="87"/>
      <c r="I2037" s="87"/>
      <c r="J2037" s="87"/>
      <c r="K2037" s="87"/>
      <c r="L2037" s="87"/>
      <c r="M2037" s="87">
        <v>1</v>
      </c>
      <c r="N2037" s="87">
        <f t="shared" si="124"/>
        <v>1</v>
      </c>
      <c r="O2037" s="60">
        <f t="shared" si="125"/>
        <v>1</v>
      </c>
      <c r="P2037" s="60" t="b">
        <f t="shared" si="126"/>
        <v>1</v>
      </c>
      <c r="Q2037" s="87" t="b">
        <f>(Requirements!K2039="Normative")</f>
        <v>1</v>
      </c>
      <c r="R2037" s="87" t="b">
        <f>AND(Requirements!L2039&lt;&gt;"Non-testable",Requirements!L2039&lt;&gt;"Deleted",Requirements!L2039&lt;&gt;"")</f>
        <v>1</v>
      </c>
      <c r="S2037" s="87" t="b">
        <f>(VLOOKUP(Requirements!I2039,Scope[[Role]:[Description]],2,FALSE)="In")</f>
        <v>1</v>
      </c>
      <c r="T2037" s="87">
        <f t="shared" si="127"/>
        <v>1</v>
      </c>
    </row>
    <row r="2038" spans="1:20">
      <c r="A2038" s="84" t="str">
        <f>Requirements!A2040</f>
        <v>MS-FSCC_R772</v>
      </c>
      <c r="B2038" s="87"/>
      <c r="C2038" s="87"/>
      <c r="D2038" s="87"/>
      <c r="E2038" s="87"/>
      <c r="F2038" s="87"/>
      <c r="G2038" s="87"/>
      <c r="H2038" s="87"/>
      <c r="I2038" s="87"/>
      <c r="J2038" s="87"/>
      <c r="K2038" s="87"/>
      <c r="L2038" s="87"/>
      <c r="M2038" s="87">
        <v>1</v>
      </c>
      <c r="N2038" s="87">
        <f t="shared" si="124"/>
        <v>1</v>
      </c>
      <c r="O2038" s="60">
        <f t="shared" si="125"/>
        <v>1</v>
      </c>
      <c r="P2038" s="60" t="b">
        <f t="shared" si="126"/>
        <v>1</v>
      </c>
      <c r="Q2038" s="87" t="b">
        <f>(Requirements!K2040="Normative")</f>
        <v>1</v>
      </c>
      <c r="R2038" s="87" t="b">
        <f>AND(Requirements!L2040&lt;&gt;"Non-testable",Requirements!L2040&lt;&gt;"Deleted",Requirements!L2040&lt;&gt;"")</f>
        <v>1</v>
      </c>
      <c r="S2038" s="87" t="b">
        <f>(VLOOKUP(Requirements!I2040,Scope[[Role]:[Description]],2,FALSE)="In")</f>
        <v>1</v>
      </c>
      <c r="T2038" s="87">
        <f t="shared" si="127"/>
        <v>1</v>
      </c>
    </row>
    <row r="2039" spans="1:20">
      <c r="A2039" s="84" t="str">
        <f>Requirements!A2041</f>
        <v>MS-FSCC_R775</v>
      </c>
      <c r="B2039" s="87"/>
      <c r="C2039" s="87"/>
      <c r="D2039" s="87"/>
      <c r="E2039" s="87"/>
      <c r="F2039" s="87"/>
      <c r="G2039" s="87"/>
      <c r="H2039" s="87"/>
      <c r="I2039" s="87"/>
      <c r="J2039" s="87"/>
      <c r="K2039" s="87"/>
      <c r="L2039" s="87"/>
      <c r="M2039" s="87">
        <v>1</v>
      </c>
      <c r="N2039" s="87">
        <f t="shared" si="124"/>
        <v>1</v>
      </c>
      <c r="O2039" s="60">
        <f t="shared" si="125"/>
        <v>1</v>
      </c>
      <c r="P2039" s="60" t="b">
        <f t="shared" si="126"/>
        <v>1</v>
      </c>
      <c r="Q2039" s="87" t="b">
        <f>(Requirements!K2041="Normative")</f>
        <v>1</v>
      </c>
      <c r="R2039" s="87" t="b">
        <f>AND(Requirements!L2041&lt;&gt;"Non-testable",Requirements!L2041&lt;&gt;"Deleted",Requirements!L2041&lt;&gt;"")</f>
        <v>1</v>
      </c>
      <c r="S2039" s="87" t="b">
        <f>(VLOOKUP(Requirements!I2041,Scope[[Role]:[Description]],2,FALSE)="In")</f>
        <v>1</v>
      </c>
      <c r="T2039" s="87">
        <f t="shared" si="127"/>
        <v>1</v>
      </c>
    </row>
    <row r="2040" spans="1:20">
      <c r="A2040" s="84" t="str">
        <f>Requirements!A2042</f>
        <v>MS-FSCC_R776</v>
      </c>
      <c r="B2040" s="87"/>
      <c r="C2040" s="87"/>
      <c r="D2040" s="87"/>
      <c r="E2040" s="87"/>
      <c r="F2040" s="87"/>
      <c r="G2040" s="87"/>
      <c r="H2040" s="87"/>
      <c r="I2040" s="87"/>
      <c r="J2040" s="87"/>
      <c r="K2040" s="87"/>
      <c r="L2040" s="87"/>
      <c r="M2040" s="87">
        <v>1</v>
      </c>
      <c r="N2040" s="87">
        <f t="shared" si="124"/>
        <v>1</v>
      </c>
      <c r="O2040" s="60">
        <f t="shared" si="125"/>
        <v>1</v>
      </c>
      <c r="P2040" s="60" t="b">
        <f t="shared" si="126"/>
        <v>1</v>
      </c>
      <c r="Q2040" s="87" t="b">
        <f>(Requirements!K2042="Normative")</f>
        <v>1</v>
      </c>
      <c r="R2040" s="87" t="b">
        <f>AND(Requirements!L2042&lt;&gt;"Non-testable",Requirements!L2042&lt;&gt;"Deleted",Requirements!L2042&lt;&gt;"")</f>
        <v>1</v>
      </c>
      <c r="S2040" s="87" t="b">
        <f>(VLOOKUP(Requirements!I2042,Scope[[Role]:[Description]],2,FALSE)="In")</f>
        <v>1</v>
      </c>
      <c r="T2040" s="87">
        <f t="shared" si="127"/>
        <v>1</v>
      </c>
    </row>
    <row r="2041" spans="1:20">
      <c r="A2041" s="84" t="str">
        <f>Requirements!A2043</f>
        <v>MS-FSCC_R777</v>
      </c>
      <c r="B2041" s="87"/>
      <c r="C2041" s="87"/>
      <c r="D2041" s="87"/>
      <c r="E2041" s="87"/>
      <c r="F2041" s="87"/>
      <c r="G2041" s="87"/>
      <c r="H2041" s="87"/>
      <c r="I2041" s="87"/>
      <c r="J2041" s="87"/>
      <c r="K2041" s="87"/>
      <c r="L2041" s="87"/>
      <c r="M2041" s="87">
        <v>1</v>
      </c>
      <c r="N2041" s="87">
        <f t="shared" si="124"/>
        <v>1</v>
      </c>
      <c r="O2041" s="60">
        <f t="shared" si="125"/>
        <v>1</v>
      </c>
      <c r="P2041" s="60" t="b">
        <f t="shared" si="126"/>
        <v>1</v>
      </c>
      <c r="Q2041" s="87" t="b">
        <f>(Requirements!K2043="Normative")</f>
        <v>1</v>
      </c>
      <c r="R2041" s="87" t="b">
        <f>AND(Requirements!L2043&lt;&gt;"Non-testable",Requirements!L2043&lt;&gt;"Deleted",Requirements!L2043&lt;&gt;"")</f>
        <v>1</v>
      </c>
      <c r="S2041" s="87" t="b">
        <f>(VLOOKUP(Requirements!I2043,Scope[[Role]:[Description]],2,FALSE)="In")</f>
        <v>1</v>
      </c>
      <c r="T2041" s="87">
        <f t="shared" si="127"/>
        <v>1</v>
      </c>
    </row>
    <row r="2042" spans="1:20">
      <c r="A2042" s="84" t="str">
        <f>Requirements!A2044</f>
        <v>MS-FSCC_R789</v>
      </c>
      <c r="B2042" s="87"/>
      <c r="C2042" s="87"/>
      <c r="D2042" s="87"/>
      <c r="E2042" s="87"/>
      <c r="F2042" s="87"/>
      <c r="G2042" s="87"/>
      <c r="H2042" s="87"/>
      <c r="I2042" s="87"/>
      <c r="J2042" s="87"/>
      <c r="K2042" s="87"/>
      <c r="L2042" s="87"/>
      <c r="M2042" s="87">
        <v>1</v>
      </c>
      <c r="N2042" s="87">
        <f t="shared" si="124"/>
        <v>1</v>
      </c>
      <c r="O2042" s="60">
        <f t="shared" si="125"/>
        <v>1</v>
      </c>
      <c r="P2042" s="60" t="b">
        <f t="shared" si="126"/>
        <v>1</v>
      </c>
      <c r="Q2042" s="87" t="b">
        <f>(Requirements!K2044="Normative")</f>
        <v>1</v>
      </c>
      <c r="R2042" s="87" t="b">
        <f>AND(Requirements!L2044&lt;&gt;"Non-testable",Requirements!L2044&lt;&gt;"Deleted",Requirements!L2044&lt;&gt;"")</f>
        <v>1</v>
      </c>
      <c r="S2042" s="87" t="b">
        <f>(VLOOKUP(Requirements!I2044,Scope[[Role]:[Description]],2,FALSE)="In")</f>
        <v>1</v>
      </c>
      <c r="T2042" s="87">
        <f t="shared" si="127"/>
        <v>1</v>
      </c>
    </row>
    <row r="2043" spans="1:20">
      <c r="A2043" s="84" t="str">
        <f>Requirements!A2045</f>
        <v>MS-FSCC_R790</v>
      </c>
      <c r="B2043" s="87"/>
      <c r="C2043" s="87"/>
      <c r="D2043" s="87"/>
      <c r="E2043" s="87"/>
      <c r="F2043" s="87"/>
      <c r="G2043" s="87"/>
      <c r="H2043" s="87"/>
      <c r="I2043" s="87"/>
      <c r="J2043" s="87"/>
      <c r="K2043" s="87"/>
      <c r="L2043" s="87"/>
      <c r="M2043" s="87">
        <v>1</v>
      </c>
      <c r="N2043" s="87">
        <f t="shared" si="124"/>
        <v>1</v>
      </c>
      <c r="O2043" s="60">
        <f t="shared" si="125"/>
        <v>1</v>
      </c>
      <c r="P2043" s="60" t="b">
        <f t="shared" si="126"/>
        <v>1</v>
      </c>
      <c r="Q2043" s="87" t="b">
        <f>(Requirements!K2045="Normative")</f>
        <v>1</v>
      </c>
      <c r="R2043" s="87" t="b">
        <f>AND(Requirements!L2045&lt;&gt;"Non-testable",Requirements!L2045&lt;&gt;"Deleted",Requirements!L2045&lt;&gt;"")</f>
        <v>1</v>
      </c>
      <c r="S2043" s="87" t="b">
        <f>(VLOOKUP(Requirements!I2045,Scope[[Role]:[Description]],2,FALSE)="In")</f>
        <v>1</v>
      </c>
      <c r="T2043" s="87">
        <f t="shared" si="127"/>
        <v>1</v>
      </c>
    </row>
    <row r="2044" spans="1:20">
      <c r="A2044" s="84" t="str">
        <f>Requirements!A2046</f>
        <v>MS-FSCC_R806</v>
      </c>
      <c r="B2044" s="87"/>
      <c r="C2044" s="87"/>
      <c r="D2044" s="87"/>
      <c r="E2044" s="87"/>
      <c r="F2044" s="87"/>
      <c r="G2044" s="87"/>
      <c r="H2044" s="87"/>
      <c r="I2044" s="87"/>
      <c r="J2044" s="87"/>
      <c r="K2044" s="87"/>
      <c r="L2044" s="87"/>
      <c r="M2044" s="87">
        <v>1</v>
      </c>
      <c r="N2044" s="87">
        <f t="shared" si="124"/>
        <v>1</v>
      </c>
      <c r="O2044" s="60">
        <f t="shared" si="125"/>
        <v>1</v>
      </c>
      <c r="P2044" s="60" t="b">
        <f t="shared" si="126"/>
        <v>1</v>
      </c>
      <c r="Q2044" s="87" t="b">
        <f>(Requirements!K2046="Normative")</f>
        <v>1</v>
      </c>
      <c r="R2044" s="87" t="b">
        <f>AND(Requirements!L2046&lt;&gt;"Non-testable",Requirements!L2046&lt;&gt;"Deleted",Requirements!L2046&lt;&gt;"")</f>
        <v>1</v>
      </c>
      <c r="S2044" s="87" t="b">
        <f>(VLOOKUP(Requirements!I2046,Scope[[Role]:[Description]],2,FALSE)="In")</f>
        <v>1</v>
      </c>
      <c r="T2044" s="87">
        <f t="shared" si="127"/>
        <v>1</v>
      </c>
    </row>
    <row r="2045" spans="1:20">
      <c r="A2045" s="84" t="str">
        <f>Requirements!A2047</f>
        <v>MS-FSCC_R807</v>
      </c>
      <c r="B2045" s="87"/>
      <c r="C2045" s="87"/>
      <c r="D2045" s="87"/>
      <c r="E2045" s="87"/>
      <c r="F2045" s="87"/>
      <c r="G2045" s="87"/>
      <c r="H2045" s="87"/>
      <c r="I2045" s="87"/>
      <c r="J2045" s="87"/>
      <c r="K2045" s="87"/>
      <c r="L2045" s="87"/>
      <c r="M2045" s="87">
        <v>1</v>
      </c>
      <c r="N2045" s="87">
        <f t="shared" si="124"/>
        <v>1</v>
      </c>
      <c r="O2045" s="60">
        <f t="shared" si="125"/>
        <v>1</v>
      </c>
      <c r="P2045" s="60" t="b">
        <f t="shared" si="126"/>
        <v>1</v>
      </c>
      <c r="Q2045" s="87" t="b">
        <f>(Requirements!K2047="Normative")</f>
        <v>1</v>
      </c>
      <c r="R2045" s="87" t="b">
        <f>AND(Requirements!L2047&lt;&gt;"Non-testable",Requirements!L2047&lt;&gt;"Deleted",Requirements!L2047&lt;&gt;"")</f>
        <v>1</v>
      </c>
      <c r="S2045" s="87" t="b">
        <f>(VLOOKUP(Requirements!I2047,Scope[[Role]:[Description]],2,FALSE)="In")</f>
        <v>1</v>
      </c>
      <c r="T2045" s="87">
        <f t="shared" si="127"/>
        <v>1</v>
      </c>
    </row>
    <row r="2046" spans="1:20">
      <c r="A2046" s="84" t="str">
        <f>Requirements!A2048</f>
        <v>MS-FSCC_R816</v>
      </c>
      <c r="B2046" s="87"/>
      <c r="C2046" s="87"/>
      <c r="D2046" s="87"/>
      <c r="E2046" s="87"/>
      <c r="F2046" s="87"/>
      <c r="G2046" s="87"/>
      <c r="H2046" s="87"/>
      <c r="I2046" s="87"/>
      <c r="J2046" s="87"/>
      <c r="K2046" s="87"/>
      <c r="L2046" s="87"/>
      <c r="M2046" s="87">
        <v>1</v>
      </c>
      <c r="N2046" s="87">
        <f t="shared" si="124"/>
        <v>1</v>
      </c>
      <c r="O2046" s="60">
        <f t="shared" si="125"/>
        <v>1</v>
      </c>
      <c r="P2046" s="60" t="b">
        <f t="shared" si="126"/>
        <v>1</v>
      </c>
      <c r="Q2046" s="87" t="b">
        <f>(Requirements!K2048="Normative")</f>
        <v>1</v>
      </c>
      <c r="R2046" s="87" t="b">
        <f>AND(Requirements!L2048&lt;&gt;"Non-testable",Requirements!L2048&lt;&gt;"Deleted",Requirements!L2048&lt;&gt;"")</f>
        <v>1</v>
      </c>
      <c r="S2046" s="87" t="b">
        <f>(VLOOKUP(Requirements!I2048,Scope[[Role]:[Description]],2,FALSE)="In")</f>
        <v>1</v>
      </c>
      <c r="T2046" s="87">
        <f t="shared" si="127"/>
        <v>1</v>
      </c>
    </row>
    <row r="2047" spans="1:20">
      <c r="A2047" s="84" t="str">
        <f>Requirements!A2049</f>
        <v>MS-FSCC_R817</v>
      </c>
      <c r="B2047" s="87"/>
      <c r="C2047" s="87"/>
      <c r="D2047" s="87"/>
      <c r="E2047" s="87"/>
      <c r="F2047" s="87"/>
      <c r="G2047" s="87"/>
      <c r="H2047" s="87"/>
      <c r="I2047" s="87"/>
      <c r="J2047" s="87"/>
      <c r="K2047" s="87"/>
      <c r="L2047" s="87"/>
      <c r="M2047" s="87">
        <v>1</v>
      </c>
      <c r="N2047" s="87">
        <f t="shared" si="124"/>
        <v>1</v>
      </c>
      <c r="O2047" s="60">
        <f t="shared" si="125"/>
        <v>1</v>
      </c>
      <c r="P2047" s="60" t="b">
        <f t="shared" si="126"/>
        <v>1</v>
      </c>
      <c r="Q2047" s="87" t="b">
        <f>(Requirements!K2049="Normative")</f>
        <v>1</v>
      </c>
      <c r="R2047" s="87" t="b">
        <f>AND(Requirements!L2049&lt;&gt;"Non-testable",Requirements!L2049&lt;&gt;"Deleted",Requirements!L2049&lt;&gt;"")</f>
        <v>1</v>
      </c>
      <c r="S2047" s="87" t="b">
        <f>(VLOOKUP(Requirements!I2049,Scope[[Role]:[Description]],2,FALSE)="In")</f>
        <v>1</v>
      </c>
      <c r="T2047" s="87">
        <f t="shared" si="127"/>
        <v>1</v>
      </c>
    </row>
    <row r="2048" spans="1:20">
      <c r="A2048" s="84" t="str">
        <f>Requirements!A2050</f>
        <v>MS-FSCC_R964</v>
      </c>
      <c r="B2048" s="87"/>
      <c r="C2048" s="87"/>
      <c r="D2048" s="87"/>
      <c r="E2048" s="87"/>
      <c r="F2048" s="87"/>
      <c r="G2048" s="87"/>
      <c r="H2048" s="87"/>
      <c r="I2048" s="87"/>
      <c r="J2048" s="87"/>
      <c r="K2048" s="87"/>
      <c r="L2048" s="87"/>
      <c r="M2048" s="87">
        <v>1</v>
      </c>
      <c r="N2048" s="87">
        <f t="shared" si="124"/>
        <v>1</v>
      </c>
      <c r="O2048" s="60">
        <f t="shared" si="125"/>
        <v>1</v>
      </c>
      <c r="P2048" s="60" t="b">
        <f t="shared" si="126"/>
        <v>1</v>
      </c>
      <c r="Q2048" s="87" t="b">
        <f>(Requirements!K2050="Normative")</f>
        <v>1</v>
      </c>
      <c r="R2048" s="87" t="b">
        <f>AND(Requirements!L2050&lt;&gt;"Non-testable",Requirements!L2050&lt;&gt;"Deleted",Requirements!L2050&lt;&gt;"")</f>
        <v>1</v>
      </c>
      <c r="S2048" s="87" t="b">
        <f>(VLOOKUP(Requirements!I2050,Scope[[Role]:[Description]],2,FALSE)="In")</f>
        <v>1</v>
      </c>
      <c r="T2048" s="87">
        <f t="shared" si="127"/>
        <v>1</v>
      </c>
    </row>
    <row r="2049" spans="1:20">
      <c r="A2049" s="84" t="str">
        <f>Requirements!A2051</f>
        <v>MS-FSCC_R966</v>
      </c>
      <c r="B2049" s="87"/>
      <c r="C2049" s="87"/>
      <c r="D2049" s="87"/>
      <c r="E2049" s="87"/>
      <c r="F2049" s="87"/>
      <c r="G2049" s="87"/>
      <c r="H2049" s="87"/>
      <c r="I2049" s="87"/>
      <c r="J2049" s="87"/>
      <c r="K2049" s="87"/>
      <c r="L2049" s="87"/>
      <c r="M2049" s="87">
        <v>1</v>
      </c>
      <c r="N2049" s="87">
        <f t="shared" si="124"/>
        <v>1</v>
      </c>
      <c r="O2049" s="60">
        <f t="shared" si="125"/>
        <v>1</v>
      </c>
      <c r="P2049" s="60" t="b">
        <f t="shared" si="126"/>
        <v>1</v>
      </c>
      <c r="Q2049" s="87" t="b">
        <f>(Requirements!K2051="Normative")</f>
        <v>1</v>
      </c>
      <c r="R2049" s="87" t="b">
        <f>AND(Requirements!L2051&lt;&gt;"Non-testable",Requirements!L2051&lt;&gt;"Deleted",Requirements!L2051&lt;&gt;"")</f>
        <v>1</v>
      </c>
      <c r="S2049" s="87" t="b">
        <f>(VLOOKUP(Requirements!I2051,Scope[[Role]:[Description]],2,FALSE)="In")</f>
        <v>1</v>
      </c>
      <c r="T2049" s="87">
        <f t="shared" si="127"/>
        <v>1</v>
      </c>
    </row>
    <row r="2050" spans="1:20">
      <c r="A2050" s="84" t="str">
        <f>Requirements!A2052</f>
        <v>MS-FSCC_R967</v>
      </c>
      <c r="B2050" s="87"/>
      <c r="C2050" s="87"/>
      <c r="D2050" s="87"/>
      <c r="E2050" s="87"/>
      <c r="F2050" s="87"/>
      <c r="G2050" s="87"/>
      <c r="H2050" s="87"/>
      <c r="I2050" s="87"/>
      <c r="J2050" s="87"/>
      <c r="K2050" s="87"/>
      <c r="L2050" s="87"/>
      <c r="M2050" s="87">
        <v>1</v>
      </c>
      <c r="N2050" s="87">
        <f t="shared" si="124"/>
        <v>1</v>
      </c>
      <c r="O2050" s="60">
        <f t="shared" si="125"/>
        <v>1</v>
      </c>
      <c r="P2050" s="60" t="b">
        <f t="shared" si="126"/>
        <v>1</v>
      </c>
      <c r="Q2050" s="87" t="b">
        <f>(Requirements!K2052="Normative")</f>
        <v>1</v>
      </c>
      <c r="R2050" s="87" t="b">
        <f>AND(Requirements!L2052&lt;&gt;"Non-testable",Requirements!L2052&lt;&gt;"Deleted",Requirements!L2052&lt;&gt;"")</f>
        <v>1</v>
      </c>
      <c r="S2050" s="87" t="b">
        <f>(VLOOKUP(Requirements!I2052,Scope[[Role]:[Description]],2,FALSE)="In")</f>
        <v>1</v>
      </c>
      <c r="T2050" s="87">
        <f t="shared" si="127"/>
        <v>1</v>
      </c>
    </row>
    <row r="2051" spans="1:20">
      <c r="A2051" s="84" t="str">
        <f>Requirements!A2053</f>
        <v>MS-FSCC_R1061</v>
      </c>
      <c r="B2051" s="87"/>
      <c r="C2051" s="87"/>
      <c r="D2051" s="87"/>
      <c r="E2051" s="87"/>
      <c r="F2051" s="87"/>
      <c r="G2051" s="87"/>
      <c r="H2051" s="87"/>
      <c r="I2051" s="87"/>
      <c r="J2051" s="87"/>
      <c r="K2051" s="87"/>
      <c r="L2051" s="87"/>
      <c r="M2051" s="87">
        <v>1</v>
      </c>
      <c r="N2051" s="87">
        <f t="shared" si="124"/>
        <v>1</v>
      </c>
      <c r="O2051" s="60">
        <f t="shared" si="125"/>
        <v>1</v>
      </c>
      <c r="P2051" s="60" t="b">
        <f t="shared" si="126"/>
        <v>1</v>
      </c>
      <c r="Q2051" s="87" t="b">
        <f>(Requirements!K2053="Normative")</f>
        <v>1</v>
      </c>
      <c r="R2051" s="87" t="b">
        <f>AND(Requirements!L2053&lt;&gt;"Non-testable",Requirements!L2053&lt;&gt;"Deleted",Requirements!L2053&lt;&gt;"")</f>
        <v>1</v>
      </c>
      <c r="S2051" s="87" t="b">
        <f>(VLOOKUP(Requirements!I2053,Scope[[Role]:[Description]],2,FALSE)="In")</f>
        <v>1</v>
      </c>
      <c r="T2051" s="87">
        <f t="shared" si="127"/>
        <v>1</v>
      </c>
    </row>
    <row r="2052" spans="1:20">
      <c r="A2052" s="84" t="str">
        <f>Requirements!A2054</f>
        <v>MS-FSCC_R1063</v>
      </c>
      <c r="B2052" s="87"/>
      <c r="C2052" s="87"/>
      <c r="D2052" s="87"/>
      <c r="E2052" s="87"/>
      <c r="F2052" s="87"/>
      <c r="G2052" s="87"/>
      <c r="H2052" s="87"/>
      <c r="I2052" s="87"/>
      <c r="J2052" s="87"/>
      <c r="K2052" s="87"/>
      <c r="L2052" s="87"/>
      <c r="M2052" s="87">
        <v>1</v>
      </c>
      <c r="N2052" s="87">
        <f t="shared" si="124"/>
        <v>1</v>
      </c>
      <c r="O2052" s="60">
        <f t="shared" si="125"/>
        <v>1</v>
      </c>
      <c r="P2052" s="60" t="b">
        <f t="shared" si="126"/>
        <v>1</v>
      </c>
      <c r="Q2052" s="87" t="b">
        <f>(Requirements!K2054="Normative")</f>
        <v>1</v>
      </c>
      <c r="R2052" s="87" t="b">
        <f>AND(Requirements!L2054&lt;&gt;"Non-testable",Requirements!L2054&lt;&gt;"Deleted",Requirements!L2054&lt;&gt;"")</f>
        <v>1</v>
      </c>
      <c r="S2052" s="87" t="b">
        <f>(VLOOKUP(Requirements!I2054,Scope[[Role]:[Description]],2,FALSE)="In")</f>
        <v>1</v>
      </c>
      <c r="T2052" s="87">
        <f t="shared" si="127"/>
        <v>1</v>
      </c>
    </row>
    <row r="2053" spans="1:20">
      <c r="A2053" s="84" t="str">
        <f>Requirements!A2055</f>
        <v>MS-FSCC_R1065</v>
      </c>
      <c r="B2053" s="87"/>
      <c r="C2053" s="87"/>
      <c r="D2053" s="87"/>
      <c r="E2053" s="87"/>
      <c r="F2053" s="87"/>
      <c r="G2053" s="87"/>
      <c r="H2053" s="87"/>
      <c r="I2053" s="87"/>
      <c r="J2053" s="87"/>
      <c r="K2053" s="87"/>
      <c r="L2053" s="87"/>
      <c r="M2053" s="87">
        <v>1</v>
      </c>
      <c r="N2053" s="87">
        <f t="shared" si="124"/>
        <v>1</v>
      </c>
      <c r="O2053" s="60">
        <f t="shared" si="125"/>
        <v>1</v>
      </c>
      <c r="P2053" s="60" t="b">
        <f t="shared" si="126"/>
        <v>1</v>
      </c>
      <c r="Q2053" s="87" t="b">
        <f>(Requirements!K2055="Normative")</f>
        <v>1</v>
      </c>
      <c r="R2053" s="87" t="b">
        <f>AND(Requirements!L2055&lt;&gt;"Non-testable",Requirements!L2055&lt;&gt;"Deleted",Requirements!L2055&lt;&gt;"")</f>
        <v>1</v>
      </c>
      <c r="S2053" s="87" t="b">
        <f>(VLOOKUP(Requirements!I2055,Scope[[Role]:[Description]],2,FALSE)="In")</f>
        <v>1</v>
      </c>
      <c r="T2053" s="87">
        <f t="shared" si="127"/>
        <v>1</v>
      </c>
    </row>
    <row r="2054" spans="1:20">
      <c r="A2054" s="84" t="str">
        <f>Requirements!A2056</f>
        <v>MS-FSCC_R1067</v>
      </c>
      <c r="B2054" s="87"/>
      <c r="C2054" s="87"/>
      <c r="D2054" s="87"/>
      <c r="E2054" s="87"/>
      <c r="F2054" s="87"/>
      <c r="G2054" s="87"/>
      <c r="H2054" s="87"/>
      <c r="I2054" s="87"/>
      <c r="J2054" s="87"/>
      <c r="K2054" s="87"/>
      <c r="L2054" s="87"/>
      <c r="M2054" s="87">
        <v>1</v>
      </c>
      <c r="N2054" s="87">
        <f t="shared" si="124"/>
        <v>1</v>
      </c>
      <c r="O2054" s="60">
        <f t="shared" si="125"/>
        <v>1</v>
      </c>
      <c r="P2054" s="60" t="b">
        <f t="shared" si="126"/>
        <v>1</v>
      </c>
      <c r="Q2054" s="87" t="b">
        <f>(Requirements!K2056="Normative")</f>
        <v>1</v>
      </c>
      <c r="R2054" s="87" t="b">
        <f>AND(Requirements!L2056&lt;&gt;"Non-testable",Requirements!L2056&lt;&gt;"Deleted",Requirements!L2056&lt;&gt;"")</f>
        <v>1</v>
      </c>
      <c r="S2054" s="87" t="b">
        <f>(VLOOKUP(Requirements!I2056,Scope[[Role]:[Description]],2,FALSE)="In")</f>
        <v>1</v>
      </c>
      <c r="T2054" s="87">
        <f t="shared" si="127"/>
        <v>1</v>
      </c>
    </row>
    <row r="2055" spans="1:20">
      <c r="A2055" s="84" t="str">
        <f>Requirements!A2057</f>
        <v>MS-FSCC_R1069</v>
      </c>
      <c r="B2055" s="87"/>
      <c r="C2055" s="87"/>
      <c r="D2055" s="87"/>
      <c r="E2055" s="87"/>
      <c r="F2055" s="87"/>
      <c r="G2055" s="87"/>
      <c r="H2055" s="87"/>
      <c r="I2055" s="87"/>
      <c r="J2055" s="87"/>
      <c r="K2055" s="87"/>
      <c r="L2055" s="87"/>
      <c r="M2055" s="87">
        <v>1</v>
      </c>
      <c r="N2055" s="87">
        <f t="shared" si="124"/>
        <v>1</v>
      </c>
      <c r="O2055" s="60">
        <f t="shared" si="125"/>
        <v>1</v>
      </c>
      <c r="P2055" s="60" t="b">
        <f t="shared" si="126"/>
        <v>1</v>
      </c>
      <c r="Q2055" s="87" t="b">
        <f>(Requirements!K2057="Normative")</f>
        <v>1</v>
      </c>
      <c r="R2055" s="87" t="b">
        <f>AND(Requirements!L2057&lt;&gt;"Non-testable",Requirements!L2057&lt;&gt;"Deleted",Requirements!L2057&lt;&gt;"")</f>
        <v>1</v>
      </c>
      <c r="S2055" s="87" t="b">
        <f>(VLOOKUP(Requirements!I2057,Scope[[Role]:[Description]],2,FALSE)="In")</f>
        <v>1</v>
      </c>
      <c r="T2055" s="87">
        <f t="shared" si="127"/>
        <v>1</v>
      </c>
    </row>
    <row r="2056" spans="1:20">
      <c r="A2056" s="84" t="str">
        <f>Requirements!A2058</f>
        <v>MS-FSCC_R1070</v>
      </c>
      <c r="B2056" s="87"/>
      <c r="C2056" s="87"/>
      <c r="D2056" s="87"/>
      <c r="E2056" s="87"/>
      <c r="F2056" s="87"/>
      <c r="G2056" s="87"/>
      <c r="H2056" s="87"/>
      <c r="I2056" s="87"/>
      <c r="J2056" s="87"/>
      <c r="K2056" s="87"/>
      <c r="L2056" s="87"/>
      <c r="M2056" s="87">
        <v>1</v>
      </c>
      <c r="N2056" s="87">
        <f t="shared" si="124"/>
        <v>1</v>
      </c>
      <c r="O2056" s="60">
        <f t="shared" si="125"/>
        <v>1</v>
      </c>
      <c r="P2056" s="60" t="b">
        <f t="shared" si="126"/>
        <v>1</v>
      </c>
      <c r="Q2056" s="87" t="b">
        <f>(Requirements!K2058="Normative")</f>
        <v>1</v>
      </c>
      <c r="R2056" s="87" t="b">
        <f>AND(Requirements!L2058&lt;&gt;"Non-testable",Requirements!L2058&lt;&gt;"Deleted",Requirements!L2058&lt;&gt;"")</f>
        <v>1</v>
      </c>
      <c r="S2056" s="87" t="b">
        <f>(VLOOKUP(Requirements!I2058,Scope[[Role]:[Description]],2,FALSE)="In")</f>
        <v>1</v>
      </c>
      <c r="T2056" s="87">
        <f t="shared" si="127"/>
        <v>1</v>
      </c>
    </row>
    <row r="2057" spans="1:20">
      <c r="A2057" s="84" t="str">
        <f>Requirements!A2059</f>
        <v>MS-FSCC_R1071</v>
      </c>
      <c r="B2057" s="87"/>
      <c r="C2057" s="87"/>
      <c r="D2057" s="87"/>
      <c r="E2057" s="87"/>
      <c r="F2057" s="87"/>
      <c r="G2057" s="87"/>
      <c r="H2057" s="87"/>
      <c r="I2057" s="87"/>
      <c r="J2057" s="87"/>
      <c r="K2057" s="87"/>
      <c r="L2057" s="87"/>
      <c r="M2057" s="87">
        <v>1</v>
      </c>
      <c r="N2057" s="87">
        <f t="shared" si="124"/>
        <v>1</v>
      </c>
      <c r="O2057" s="60">
        <f t="shared" si="125"/>
        <v>1</v>
      </c>
      <c r="P2057" s="60" t="b">
        <f t="shared" si="126"/>
        <v>1</v>
      </c>
      <c r="Q2057" s="87" t="b">
        <f>(Requirements!K2059="Normative")</f>
        <v>1</v>
      </c>
      <c r="R2057" s="87" t="b">
        <f>AND(Requirements!L2059&lt;&gt;"Non-testable",Requirements!L2059&lt;&gt;"Deleted",Requirements!L2059&lt;&gt;"")</f>
        <v>1</v>
      </c>
      <c r="S2057" s="87" t="b">
        <f>(VLOOKUP(Requirements!I2059,Scope[[Role]:[Description]],2,FALSE)="In")</f>
        <v>1</v>
      </c>
      <c r="T2057" s="87">
        <f t="shared" si="127"/>
        <v>1</v>
      </c>
    </row>
    <row r="2058" spans="1:20">
      <c r="A2058" s="84" t="str">
        <f>Requirements!A2060</f>
        <v>MS-FSCC_R1073</v>
      </c>
      <c r="B2058" s="87"/>
      <c r="C2058" s="87"/>
      <c r="D2058" s="87"/>
      <c r="E2058" s="87"/>
      <c r="F2058" s="87"/>
      <c r="G2058" s="87"/>
      <c r="H2058" s="87"/>
      <c r="I2058" s="87"/>
      <c r="J2058" s="87"/>
      <c r="K2058" s="87"/>
      <c r="L2058" s="87"/>
      <c r="M2058" s="87">
        <v>1</v>
      </c>
      <c r="N2058" s="87">
        <f t="shared" si="124"/>
        <v>1</v>
      </c>
      <c r="O2058" s="60">
        <f t="shared" si="125"/>
        <v>1</v>
      </c>
      <c r="P2058" s="60" t="b">
        <f t="shared" si="126"/>
        <v>1</v>
      </c>
      <c r="Q2058" s="87" t="b">
        <f>(Requirements!K2060="Normative")</f>
        <v>1</v>
      </c>
      <c r="R2058" s="87" t="b">
        <f>AND(Requirements!L2060&lt;&gt;"Non-testable",Requirements!L2060&lt;&gt;"Deleted",Requirements!L2060&lt;&gt;"")</f>
        <v>1</v>
      </c>
      <c r="S2058" s="87" t="b">
        <f>(VLOOKUP(Requirements!I2060,Scope[[Role]:[Description]],2,FALSE)="In")</f>
        <v>1</v>
      </c>
      <c r="T2058" s="87">
        <f t="shared" si="127"/>
        <v>1</v>
      </c>
    </row>
    <row r="2059" spans="1:20">
      <c r="A2059" s="84" t="str">
        <f>Requirements!A2061</f>
        <v>MS-FSCC_R1074</v>
      </c>
      <c r="B2059" s="87"/>
      <c r="C2059" s="87"/>
      <c r="D2059" s="87"/>
      <c r="E2059" s="87"/>
      <c r="F2059" s="87"/>
      <c r="G2059" s="87"/>
      <c r="H2059" s="87"/>
      <c r="I2059" s="87"/>
      <c r="J2059" s="87"/>
      <c r="K2059" s="87"/>
      <c r="L2059" s="87"/>
      <c r="M2059" s="87">
        <v>1</v>
      </c>
      <c r="N2059" s="87">
        <f t="shared" si="124"/>
        <v>1</v>
      </c>
      <c r="O2059" s="60">
        <f t="shared" si="125"/>
        <v>1</v>
      </c>
      <c r="P2059" s="60" t="b">
        <f t="shared" si="126"/>
        <v>1</v>
      </c>
      <c r="Q2059" s="87" t="b">
        <f>(Requirements!K2061="Normative")</f>
        <v>1</v>
      </c>
      <c r="R2059" s="87" t="b">
        <f>AND(Requirements!L2061&lt;&gt;"Non-testable",Requirements!L2061&lt;&gt;"Deleted",Requirements!L2061&lt;&gt;"")</f>
        <v>1</v>
      </c>
      <c r="S2059" s="87" t="b">
        <f>(VLOOKUP(Requirements!I2061,Scope[[Role]:[Description]],2,FALSE)="In")</f>
        <v>1</v>
      </c>
      <c r="T2059" s="87">
        <f t="shared" si="127"/>
        <v>1</v>
      </c>
    </row>
    <row r="2060" spans="1:20">
      <c r="A2060" s="84" t="str">
        <f>Requirements!A2062</f>
        <v>MS-FSCC_R1079</v>
      </c>
      <c r="B2060" s="87"/>
      <c r="C2060" s="87"/>
      <c r="D2060" s="87"/>
      <c r="E2060" s="87"/>
      <c r="F2060" s="87"/>
      <c r="G2060" s="87"/>
      <c r="H2060" s="87"/>
      <c r="I2060" s="87"/>
      <c r="J2060" s="87"/>
      <c r="K2060" s="87"/>
      <c r="L2060" s="87"/>
      <c r="M2060" s="87">
        <v>1</v>
      </c>
      <c r="N2060" s="87">
        <f t="shared" si="124"/>
        <v>1</v>
      </c>
      <c r="O2060" s="60">
        <f t="shared" si="125"/>
        <v>1</v>
      </c>
      <c r="P2060" s="60" t="b">
        <f t="shared" si="126"/>
        <v>1</v>
      </c>
      <c r="Q2060" s="87" t="b">
        <f>(Requirements!K2062="Normative")</f>
        <v>1</v>
      </c>
      <c r="R2060" s="87" t="b">
        <f>AND(Requirements!L2062&lt;&gt;"Non-testable",Requirements!L2062&lt;&gt;"Deleted",Requirements!L2062&lt;&gt;"")</f>
        <v>1</v>
      </c>
      <c r="S2060" s="87" t="b">
        <f>(VLOOKUP(Requirements!I2062,Scope[[Role]:[Description]],2,FALSE)="In")</f>
        <v>1</v>
      </c>
      <c r="T2060" s="87">
        <f t="shared" si="127"/>
        <v>1</v>
      </c>
    </row>
    <row r="2061" spans="1:20">
      <c r="A2061" s="84" t="str">
        <f>Requirements!A2063</f>
        <v>MS-FSCC_R1149</v>
      </c>
      <c r="B2061" s="87"/>
      <c r="C2061" s="87"/>
      <c r="D2061" s="87"/>
      <c r="E2061" s="87"/>
      <c r="F2061" s="87"/>
      <c r="G2061" s="87"/>
      <c r="H2061" s="87"/>
      <c r="I2061" s="87"/>
      <c r="J2061" s="87"/>
      <c r="K2061" s="87"/>
      <c r="L2061" s="87"/>
      <c r="M2061" s="87">
        <v>1</v>
      </c>
      <c r="N2061" s="87">
        <f t="shared" si="124"/>
        <v>1</v>
      </c>
      <c r="O2061" s="60">
        <f t="shared" si="125"/>
        <v>1</v>
      </c>
      <c r="P2061" s="60" t="b">
        <f t="shared" si="126"/>
        <v>1</v>
      </c>
      <c r="Q2061" s="87" t="b">
        <f>(Requirements!K2063="Normative")</f>
        <v>1</v>
      </c>
      <c r="R2061" s="87" t="b">
        <f>AND(Requirements!L2063&lt;&gt;"Non-testable",Requirements!L2063&lt;&gt;"Deleted",Requirements!L2063&lt;&gt;"")</f>
        <v>1</v>
      </c>
      <c r="S2061" s="87" t="b">
        <f>(VLOOKUP(Requirements!I2063,Scope[[Role]:[Description]],2,FALSE)="In")</f>
        <v>1</v>
      </c>
      <c r="T2061" s="87">
        <f t="shared" si="127"/>
        <v>1</v>
      </c>
    </row>
    <row r="2062" spans="1:20">
      <c r="A2062" s="84" t="str">
        <f>Requirements!A2064</f>
        <v>MS-FSCC_R1720</v>
      </c>
      <c r="B2062" s="87"/>
      <c r="C2062" s="87"/>
      <c r="D2062" s="87"/>
      <c r="E2062" s="87"/>
      <c r="F2062" s="87"/>
      <c r="G2062" s="87"/>
      <c r="H2062" s="87"/>
      <c r="I2062" s="87"/>
      <c r="J2062" s="87"/>
      <c r="K2062" s="87"/>
      <c r="L2062" s="87"/>
      <c r="M2062" s="87">
        <v>1</v>
      </c>
      <c r="N2062" s="87">
        <f t="shared" si="124"/>
        <v>1</v>
      </c>
      <c r="O2062" s="60">
        <f t="shared" si="125"/>
        <v>1</v>
      </c>
      <c r="P2062" s="60" t="b">
        <f t="shared" si="126"/>
        <v>1</v>
      </c>
      <c r="Q2062" s="87" t="b">
        <f>(Requirements!K2064="Normative")</f>
        <v>1</v>
      </c>
      <c r="R2062" s="87" t="b">
        <f>AND(Requirements!L2064&lt;&gt;"Non-testable",Requirements!L2064&lt;&gt;"Deleted",Requirements!L2064&lt;&gt;"")</f>
        <v>1</v>
      </c>
      <c r="S2062" s="87" t="b">
        <f>(VLOOKUP(Requirements!I2064,Scope[[Role]:[Description]],2,FALSE)="In")</f>
        <v>1</v>
      </c>
      <c r="T2062" s="87">
        <f t="shared" si="127"/>
        <v>1</v>
      </c>
    </row>
    <row r="2063" spans="1:20">
      <c r="A2063" s="84" t="str">
        <f>Requirements!A2065</f>
        <v>MS-FSCC_R1723</v>
      </c>
      <c r="B2063" s="87"/>
      <c r="C2063" s="87"/>
      <c r="D2063" s="87"/>
      <c r="E2063" s="87"/>
      <c r="F2063" s="87"/>
      <c r="G2063" s="87"/>
      <c r="H2063" s="87"/>
      <c r="I2063" s="87"/>
      <c r="J2063" s="87"/>
      <c r="K2063" s="87"/>
      <c r="L2063" s="87"/>
      <c r="M2063" s="87">
        <v>1</v>
      </c>
      <c r="N2063" s="87">
        <f t="shared" si="124"/>
        <v>1</v>
      </c>
      <c r="O2063" s="60">
        <f t="shared" si="125"/>
        <v>1</v>
      </c>
      <c r="P2063" s="60" t="b">
        <f t="shared" si="126"/>
        <v>1</v>
      </c>
      <c r="Q2063" s="87" t="b">
        <f>(Requirements!K2065="Normative")</f>
        <v>1</v>
      </c>
      <c r="R2063" s="87" t="b">
        <f>AND(Requirements!L2065&lt;&gt;"Non-testable",Requirements!L2065&lt;&gt;"Deleted",Requirements!L2065&lt;&gt;"")</f>
        <v>1</v>
      </c>
      <c r="S2063" s="87" t="b">
        <f>(VLOOKUP(Requirements!I2065,Scope[[Role]:[Description]],2,FALSE)="In")</f>
        <v>1</v>
      </c>
      <c r="T2063" s="87">
        <f t="shared" si="127"/>
        <v>1</v>
      </c>
    </row>
    <row r="2064" spans="1:20">
      <c r="A2064" s="84" t="str">
        <f>Requirements!A2066</f>
        <v>MS-FSCC_R1724</v>
      </c>
      <c r="B2064" s="87"/>
      <c r="C2064" s="87"/>
      <c r="D2064" s="87"/>
      <c r="E2064" s="87"/>
      <c r="F2064" s="87"/>
      <c r="G2064" s="87"/>
      <c r="H2064" s="87"/>
      <c r="I2064" s="87"/>
      <c r="J2064" s="87"/>
      <c r="K2064" s="87"/>
      <c r="L2064" s="87"/>
      <c r="M2064" s="87">
        <v>1</v>
      </c>
      <c r="N2064" s="87">
        <f t="shared" si="124"/>
        <v>1</v>
      </c>
      <c r="O2064" s="60">
        <f t="shared" si="125"/>
        <v>1</v>
      </c>
      <c r="P2064" s="60" t="b">
        <f t="shared" si="126"/>
        <v>1</v>
      </c>
      <c r="Q2064" s="87" t="b">
        <f>(Requirements!K2066="Normative")</f>
        <v>1</v>
      </c>
      <c r="R2064" s="87" t="b">
        <f>AND(Requirements!L2066&lt;&gt;"Non-testable",Requirements!L2066&lt;&gt;"Deleted",Requirements!L2066&lt;&gt;"")</f>
        <v>1</v>
      </c>
      <c r="S2064" s="87" t="b">
        <f>(VLOOKUP(Requirements!I2066,Scope[[Role]:[Description]],2,FALSE)="In")</f>
        <v>1</v>
      </c>
      <c r="T2064" s="87">
        <f t="shared" si="127"/>
        <v>1</v>
      </c>
    </row>
    <row r="2065" spans="1:20">
      <c r="A2065" s="84" t="str">
        <f>Requirements!A2067</f>
        <v>MS-FSCC_R1726</v>
      </c>
      <c r="B2065" s="87"/>
      <c r="C2065" s="87"/>
      <c r="D2065" s="87"/>
      <c r="E2065" s="87"/>
      <c r="F2065" s="87"/>
      <c r="G2065" s="87"/>
      <c r="H2065" s="87"/>
      <c r="I2065" s="87"/>
      <c r="J2065" s="87"/>
      <c r="K2065" s="87"/>
      <c r="L2065" s="87"/>
      <c r="M2065" s="87">
        <v>1</v>
      </c>
      <c r="N2065" s="87">
        <f t="shared" si="124"/>
        <v>1</v>
      </c>
      <c r="O2065" s="60">
        <f t="shared" si="125"/>
        <v>1</v>
      </c>
      <c r="P2065" s="60" t="b">
        <f t="shared" si="126"/>
        <v>1</v>
      </c>
      <c r="Q2065" s="87" t="b">
        <f>(Requirements!K2067="Normative")</f>
        <v>1</v>
      </c>
      <c r="R2065" s="87" t="b">
        <f>AND(Requirements!L2067&lt;&gt;"Non-testable",Requirements!L2067&lt;&gt;"Deleted",Requirements!L2067&lt;&gt;"")</f>
        <v>1</v>
      </c>
      <c r="S2065" s="87" t="b">
        <f>(VLOOKUP(Requirements!I2067,Scope[[Role]:[Description]],2,FALSE)="In")</f>
        <v>1</v>
      </c>
      <c r="T2065" s="87">
        <f t="shared" si="127"/>
        <v>1</v>
      </c>
    </row>
    <row r="2066" spans="1:20">
      <c r="A2066" s="84" t="str">
        <f>Requirements!A2068</f>
        <v>MS-FSCC_R1727</v>
      </c>
      <c r="B2066" s="87"/>
      <c r="C2066" s="87"/>
      <c r="D2066" s="87"/>
      <c r="E2066" s="87"/>
      <c r="F2066" s="87"/>
      <c r="G2066" s="87"/>
      <c r="H2066" s="87"/>
      <c r="I2066" s="87"/>
      <c r="J2066" s="87"/>
      <c r="K2066" s="87"/>
      <c r="L2066" s="87"/>
      <c r="M2066" s="87">
        <v>1</v>
      </c>
      <c r="N2066" s="87">
        <f t="shared" si="124"/>
        <v>1</v>
      </c>
      <c r="O2066" s="60">
        <f t="shared" si="125"/>
        <v>1</v>
      </c>
      <c r="P2066" s="60" t="b">
        <f t="shared" si="126"/>
        <v>1</v>
      </c>
      <c r="Q2066" s="87" t="b">
        <f>(Requirements!K2068="Normative")</f>
        <v>1</v>
      </c>
      <c r="R2066" s="87" t="b">
        <f>AND(Requirements!L2068&lt;&gt;"Non-testable",Requirements!L2068&lt;&gt;"Deleted",Requirements!L2068&lt;&gt;"")</f>
        <v>1</v>
      </c>
      <c r="S2066" s="87" t="b">
        <f>(VLOOKUP(Requirements!I2068,Scope[[Role]:[Description]],2,FALSE)="In")</f>
        <v>1</v>
      </c>
      <c r="T2066" s="87">
        <f t="shared" si="127"/>
        <v>1</v>
      </c>
    </row>
    <row r="2067" spans="1:20">
      <c r="A2067" s="84" t="str">
        <f>Requirements!A2069</f>
        <v>MS-FSCC_R1729</v>
      </c>
      <c r="B2067" s="87"/>
      <c r="C2067" s="87"/>
      <c r="D2067" s="87"/>
      <c r="E2067" s="87"/>
      <c r="F2067" s="87"/>
      <c r="G2067" s="87"/>
      <c r="H2067" s="87"/>
      <c r="I2067" s="87"/>
      <c r="J2067" s="87"/>
      <c r="K2067" s="87"/>
      <c r="L2067" s="87"/>
      <c r="M2067" s="87">
        <v>1</v>
      </c>
      <c r="N2067" s="87">
        <f t="shared" si="124"/>
        <v>1</v>
      </c>
      <c r="O2067" s="60">
        <f t="shared" si="125"/>
        <v>1</v>
      </c>
      <c r="P2067" s="60" t="b">
        <f t="shared" si="126"/>
        <v>1</v>
      </c>
      <c r="Q2067" s="87" t="b">
        <f>(Requirements!K2069="Normative")</f>
        <v>1</v>
      </c>
      <c r="R2067" s="87" t="b">
        <f>AND(Requirements!L2069&lt;&gt;"Non-testable",Requirements!L2069&lt;&gt;"Deleted",Requirements!L2069&lt;&gt;"")</f>
        <v>1</v>
      </c>
      <c r="S2067" s="87" t="b">
        <f>(VLOOKUP(Requirements!I2069,Scope[[Role]:[Description]],2,FALSE)="In")</f>
        <v>1</v>
      </c>
      <c r="T2067" s="87">
        <f t="shared" si="127"/>
        <v>1</v>
      </c>
    </row>
    <row r="2068" spans="1:20">
      <c r="A2068" s="84" t="str">
        <f>Requirements!A2070</f>
        <v>MS-FSCC_R1730</v>
      </c>
      <c r="B2068" s="87"/>
      <c r="C2068" s="87"/>
      <c r="D2068" s="87"/>
      <c r="E2068" s="87"/>
      <c r="F2068" s="87"/>
      <c r="G2068" s="87"/>
      <c r="H2068" s="87"/>
      <c r="I2068" s="87"/>
      <c r="J2068" s="87"/>
      <c r="K2068" s="87"/>
      <c r="L2068" s="87"/>
      <c r="M2068" s="87">
        <v>1</v>
      </c>
      <c r="N2068" s="87">
        <f t="shared" ref="N2068:N2080" si="128">SUM(B2068:M2068)</f>
        <v>1</v>
      </c>
      <c r="O2068" s="60">
        <f t="shared" ref="O2068:O2080" si="129">IF(N2068=0,0,1)</f>
        <v>1</v>
      </c>
      <c r="P2068" s="60" t="b">
        <f t="shared" ref="P2068:P2080" si="130">AND(Q2068:S2068)</f>
        <v>1</v>
      </c>
      <c r="Q2068" s="87" t="b">
        <f>(Requirements!K2070="Normative")</f>
        <v>1</v>
      </c>
      <c r="R2068" s="87" t="b">
        <f>AND(Requirements!L2070&lt;&gt;"Non-testable",Requirements!L2070&lt;&gt;"Deleted",Requirements!L2070&lt;&gt;"")</f>
        <v>1</v>
      </c>
      <c r="S2068" s="87" t="b">
        <f>(VLOOKUP(Requirements!I2070,Scope[[Role]:[Description]],2,FALSE)="In")</f>
        <v>1</v>
      </c>
      <c r="T2068" s="87">
        <f t="shared" ref="T2068:T2080" si="131">IF(P2068,O2068, 0)</f>
        <v>1</v>
      </c>
    </row>
    <row r="2069" spans="1:20">
      <c r="A2069" s="84" t="str">
        <f>Requirements!A2071</f>
        <v>MS-FSCC_R1732</v>
      </c>
      <c r="B2069" s="87"/>
      <c r="C2069" s="87"/>
      <c r="D2069" s="87"/>
      <c r="E2069" s="87"/>
      <c r="F2069" s="87"/>
      <c r="G2069" s="87"/>
      <c r="H2069" s="87"/>
      <c r="I2069" s="87"/>
      <c r="J2069" s="87"/>
      <c r="K2069" s="87"/>
      <c r="L2069" s="87"/>
      <c r="M2069" s="87">
        <v>1</v>
      </c>
      <c r="N2069" s="87">
        <f t="shared" si="128"/>
        <v>1</v>
      </c>
      <c r="O2069" s="60">
        <f t="shared" si="129"/>
        <v>1</v>
      </c>
      <c r="P2069" s="60" t="b">
        <f t="shared" si="130"/>
        <v>1</v>
      </c>
      <c r="Q2069" s="87" t="b">
        <f>(Requirements!K2071="Normative")</f>
        <v>1</v>
      </c>
      <c r="R2069" s="87" t="b">
        <f>AND(Requirements!L2071&lt;&gt;"Non-testable",Requirements!L2071&lt;&gt;"Deleted",Requirements!L2071&lt;&gt;"")</f>
        <v>1</v>
      </c>
      <c r="S2069" s="87" t="b">
        <f>(VLOOKUP(Requirements!I2071,Scope[[Role]:[Description]],2,FALSE)="In")</f>
        <v>1</v>
      </c>
      <c r="T2069" s="87">
        <f t="shared" si="131"/>
        <v>1</v>
      </c>
    </row>
    <row r="2070" spans="1:20">
      <c r="A2070" s="84" t="str">
        <f>Requirements!A2072</f>
        <v>MS-FSCC_R1733</v>
      </c>
      <c r="B2070" s="87"/>
      <c r="C2070" s="87"/>
      <c r="D2070" s="87"/>
      <c r="E2070" s="87"/>
      <c r="F2070" s="87"/>
      <c r="G2070" s="87"/>
      <c r="H2070" s="87"/>
      <c r="I2070" s="87"/>
      <c r="J2070" s="87"/>
      <c r="K2070" s="87"/>
      <c r="L2070" s="87"/>
      <c r="M2070" s="87">
        <v>1</v>
      </c>
      <c r="N2070" s="87">
        <f t="shared" si="128"/>
        <v>1</v>
      </c>
      <c r="O2070" s="60">
        <f t="shared" si="129"/>
        <v>1</v>
      </c>
      <c r="P2070" s="60" t="b">
        <f t="shared" si="130"/>
        <v>1</v>
      </c>
      <c r="Q2070" s="87" t="b">
        <f>(Requirements!K2072="Normative")</f>
        <v>1</v>
      </c>
      <c r="R2070" s="87" t="b">
        <f>AND(Requirements!L2072&lt;&gt;"Non-testable",Requirements!L2072&lt;&gt;"Deleted",Requirements!L2072&lt;&gt;"")</f>
        <v>1</v>
      </c>
      <c r="S2070" s="87" t="b">
        <f>(VLOOKUP(Requirements!I2072,Scope[[Role]:[Description]],2,FALSE)="In")</f>
        <v>1</v>
      </c>
      <c r="T2070" s="87">
        <f t="shared" si="131"/>
        <v>1</v>
      </c>
    </row>
    <row r="2071" spans="1:20">
      <c r="A2071" s="84" t="str">
        <f>Requirements!A2073</f>
        <v>MS-FSCC_R1734</v>
      </c>
      <c r="B2071" s="87"/>
      <c r="C2071" s="87"/>
      <c r="D2071" s="87"/>
      <c r="E2071" s="87"/>
      <c r="F2071" s="87"/>
      <c r="G2071" s="87"/>
      <c r="H2071" s="87"/>
      <c r="I2071" s="87"/>
      <c r="J2071" s="87"/>
      <c r="K2071" s="87"/>
      <c r="L2071" s="87"/>
      <c r="M2071" s="87">
        <v>1</v>
      </c>
      <c r="N2071" s="87">
        <f t="shared" si="128"/>
        <v>1</v>
      </c>
      <c r="O2071" s="60">
        <f t="shared" si="129"/>
        <v>1</v>
      </c>
      <c r="P2071" s="60" t="b">
        <f t="shared" si="130"/>
        <v>1</v>
      </c>
      <c r="Q2071" s="87" t="b">
        <f>(Requirements!K2073="Normative")</f>
        <v>1</v>
      </c>
      <c r="R2071" s="87" t="b">
        <f>AND(Requirements!L2073&lt;&gt;"Non-testable",Requirements!L2073&lt;&gt;"Deleted",Requirements!L2073&lt;&gt;"")</f>
        <v>1</v>
      </c>
      <c r="S2071" s="87" t="b">
        <f>(VLOOKUP(Requirements!I2073,Scope[[Role]:[Description]],2,FALSE)="In")</f>
        <v>1</v>
      </c>
      <c r="T2071" s="87">
        <f t="shared" si="131"/>
        <v>1</v>
      </c>
    </row>
    <row r="2072" spans="1:20">
      <c r="A2072" s="84" t="str">
        <f>Requirements!A2074</f>
        <v>MS-FSCC_R1735</v>
      </c>
      <c r="B2072" s="87"/>
      <c r="C2072" s="87"/>
      <c r="D2072" s="87"/>
      <c r="E2072" s="87"/>
      <c r="F2072" s="87"/>
      <c r="G2072" s="87"/>
      <c r="H2072" s="87"/>
      <c r="I2072" s="87"/>
      <c r="J2072" s="87"/>
      <c r="K2072" s="87"/>
      <c r="L2072" s="87"/>
      <c r="M2072" s="87">
        <v>1</v>
      </c>
      <c r="N2072" s="87">
        <f t="shared" si="128"/>
        <v>1</v>
      </c>
      <c r="O2072" s="60">
        <f t="shared" si="129"/>
        <v>1</v>
      </c>
      <c r="P2072" s="60" t="b">
        <f t="shared" si="130"/>
        <v>1</v>
      </c>
      <c r="Q2072" s="87" t="b">
        <f>(Requirements!K2074="Normative")</f>
        <v>1</v>
      </c>
      <c r="R2072" s="87" t="b">
        <f>AND(Requirements!L2074&lt;&gt;"Non-testable",Requirements!L2074&lt;&gt;"Deleted",Requirements!L2074&lt;&gt;"")</f>
        <v>1</v>
      </c>
      <c r="S2072" s="87" t="b">
        <f>(VLOOKUP(Requirements!I2074,Scope[[Role]:[Description]],2,FALSE)="In")</f>
        <v>1</v>
      </c>
      <c r="T2072" s="87">
        <f t="shared" si="131"/>
        <v>1</v>
      </c>
    </row>
    <row r="2073" spans="1:20">
      <c r="A2073" s="84" t="str">
        <f>Requirements!A2075</f>
        <v>MS-FSCC_R1736</v>
      </c>
      <c r="B2073" s="87"/>
      <c r="C2073" s="87"/>
      <c r="D2073" s="87"/>
      <c r="E2073" s="87"/>
      <c r="F2073" s="87"/>
      <c r="G2073" s="87"/>
      <c r="H2073" s="87"/>
      <c r="I2073" s="87"/>
      <c r="J2073" s="87"/>
      <c r="K2073" s="87"/>
      <c r="L2073" s="87"/>
      <c r="M2073" s="87">
        <v>1</v>
      </c>
      <c r="N2073" s="87">
        <f t="shared" si="128"/>
        <v>1</v>
      </c>
      <c r="O2073" s="60">
        <f t="shared" si="129"/>
        <v>1</v>
      </c>
      <c r="P2073" s="60" t="b">
        <f t="shared" si="130"/>
        <v>1</v>
      </c>
      <c r="Q2073" s="87" t="b">
        <f>(Requirements!K2075="Normative")</f>
        <v>1</v>
      </c>
      <c r="R2073" s="87" t="b">
        <f>AND(Requirements!L2075&lt;&gt;"Non-testable",Requirements!L2075&lt;&gt;"Deleted",Requirements!L2075&lt;&gt;"")</f>
        <v>1</v>
      </c>
      <c r="S2073" s="87" t="b">
        <f>(VLOOKUP(Requirements!I2075,Scope[[Role]:[Description]],2,FALSE)="In")</f>
        <v>1</v>
      </c>
      <c r="T2073" s="87">
        <f t="shared" si="131"/>
        <v>1</v>
      </c>
    </row>
    <row r="2074" spans="1:20">
      <c r="A2074" s="84" t="str">
        <f>Requirements!A2076</f>
        <v>MS-FSCC_R1737</v>
      </c>
      <c r="B2074" s="87"/>
      <c r="C2074" s="87"/>
      <c r="D2074" s="87"/>
      <c r="E2074" s="87"/>
      <c r="F2074" s="87"/>
      <c r="G2074" s="87"/>
      <c r="H2074" s="87"/>
      <c r="I2074" s="87"/>
      <c r="J2074" s="87"/>
      <c r="K2074" s="87"/>
      <c r="L2074" s="87"/>
      <c r="M2074" s="87">
        <v>1</v>
      </c>
      <c r="N2074" s="87">
        <f t="shared" si="128"/>
        <v>1</v>
      </c>
      <c r="O2074" s="60">
        <f t="shared" si="129"/>
        <v>1</v>
      </c>
      <c r="P2074" s="60" t="b">
        <f t="shared" si="130"/>
        <v>1</v>
      </c>
      <c r="Q2074" s="87" t="b">
        <f>(Requirements!K2076="Normative")</f>
        <v>1</v>
      </c>
      <c r="R2074" s="87" t="b">
        <f>AND(Requirements!L2076&lt;&gt;"Non-testable",Requirements!L2076&lt;&gt;"Deleted",Requirements!L2076&lt;&gt;"")</f>
        <v>1</v>
      </c>
      <c r="S2074" s="87" t="b">
        <f>(VLOOKUP(Requirements!I2076,Scope[[Role]:[Description]],2,FALSE)="In")</f>
        <v>1</v>
      </c>
      <c r="T2074" s="87">
        <f t="shared" si="131"/>
        <v>1</v>
      </c>
    </row>
    <row r="2075" spans="1:20">
      <c r="A2075" s="84" t="str">
        <f>Requirements!A2077</f>
        <v>MS-FSCC_R1855</v>
      </c>
      <c r="B2075" s="87"/>
      <c r="C2075" s="87"/>
      <c r="D2075" s="87"/>
      <c r="E2075" s="87"/>
      <c r="F2075" s="87"/>
      <c r="G2075" s="87"/>
      <c r="H2075" s="87"/>
      <c r="I2075" s="87"/>
      <c r="J2075" s="87"/>
      <c r="K2075" s="87"/>
      <c r="L2075" s="87"/>
      <c r="M2075" s="87">
        <v>1</v>
      </c>
      <c r="N2075" s="87">
        <f t="shared" si="128"/>
        <v>1</v>
      </c>
      <c r="O2075" s="60">
        <f t="shared" si="129"/>
        <v>1</v>
      </c>
      <c r="P2075" s="60" t="b">
        <f t="shared" si="130"/>
        <v>1</v>
      </c>
      <c r="Q2075" s="87" t="b">
        <f>(Requirements!K2077="Normative")</f>
        <v>1</v>
      </c>
      <c r="R2075" s="87" t="b">
        <f>AND(Requirements!L2077&lt;&gt;"Non-testable",Requirements!L2077&lt;&gt;"Deleted",Requirements!L2077&lt;&gt;"")</f>
        <v>1</v>
      </c>
      <c r="S2075" s="87" t="b">
        <f>(VLOOKUP(Requirements!I2077,Scope[[Role]:[Description]],2,FALSE)="In")</f>
        <v>1</v>
      </c>
      <c r="T2075" s="87">
        <f t="shared" si="131"/>
        <v>1</v>
      </c>
    </row>
    <row r="2076" spans="1:20">
      <c r="A2076" s="84" t="str">
        <f>Requirements!A2078</f>
        <v>MS-FSCC_R1857</v>
      </c>
      <c r="B2076" s="87"/>
      <c r="C2076" s="87"/>
      <c r="D2076" s="87"/>
      <c r="E2076" s="87"/>
      <c r="F2076" s="87"/>
      <c r="G2076" s="87"/>
      <c r="H2076" s="87"/>
      <c r="I2076" s="87"/>
      <c r="J2076" s="87"/>
      <c r="K2076" s="87"/>
      <c r="L2076" s="87"/>
      <c r="M2076" s="87">
        <v>1</v>
      </c>
      <c r="N2076" s="87">
        <f t="shared" si="128"/>
        <v>1</v>
      </c>
      <c r="O2076" s="60">
        <f t="shared" si="129"/>
        <v>1</v>
      </c>
      <c r="P2076" s="60" t="b">
        <f t="shared" si="130"/>
        <v>1</v>
      </c>
      <c r="Q2076" s="87" t="b">
        <f>(Requirements!K2078="Normative")</f>
        <v>1</v>
      </c>
      <c r="R2076" s="87" t="b">
        <f>AND(Requirements!L2078&lt;&gt;"Non-testable",Requirements!L2078&lt;&gt;"Deleted",Requirements!L2078&lt;&gt;"")</f>
        <v>1</v>
      </c>
      <c r="S2076" s="87" t="b">
        <f>(VLOOKUP(Requirements!I2078,Scope[[Role]:[Description]],2,FALSE)="In")</f>
        <v>1</v>
      </c>
      <c r="T2076" s="87">
        <f t="shared" si="131"/>
        <v>1</v>
      </c>
    </row>
    <row r="2077" spans="1:20">
      <c r="A2077" s="84" t="str">
        <f>Requirements!A2079</f>
        <v>MS-FSCC_R1975</v>
      </c>
      <c r="B2077" s="87"/>
      <c r="C2077" s="87"/>
      <c r="D2077" s="87"/>
      <c r="E2077" s="87"/>
      <c r="F2077" s="87"/>
      <c r="G2077" s="87"/>
      <c r="H2077" s="87"/>
      <c r="I2077" s="87"/>
      <c r="J2077" s="87"/>
      <c r="K2077" s="87"/>
      <c r="L2077" s="87"/>
      <c r="M2077" s="87">
        <v>1</v>
      </c>
      <c r="N2077" s="87">
        <f t="shared" si="128"/>
        <v>1</v>
      </c>
      <c r="O2077" s="60">
        <f t="shared" si="129"/>
        <v>1</v>
      </c>
      <c r="P2077" s="60" t="b">
        <f t="shared" si="130"/>
        <v>1</v>
      </c>
      <c r="Q2077" s="87" t="b">
        <f>(Requirements!K2079="Normative")</f>
        <v>1</v>
      </c>
      <c r="R2077" s="87" t="b">
        <f>AND(Requirements!L2079&lt;&gt;"Non-testable",Requirements!L2079&lt;&gt;"Deleted",Requirements!L2079&lt;&gt;"")</f>
        <v>1</v>
      </c>
      <c r="S2077" s="87" t="b">
        <f>(VLOOKUP(Requirements!I2079,Scope[[Role]:[Description]],2,FALSE)="In")</f>
        <v>1</v>
      </c>
      <c r="T2077" s="87">
        <f t="shared" si="131"/>
        <v>1</v>
      </c>
    </row>
    <row r="2078" spans="1:20">
      <c r="A2078" s="84" t="str">
        <f>Requirements!A2080</f>
        <v>MS-FSCC_R1976</v>
      </c>
      <c r="B2078" s="87"/>
      <c r="C2078" s="87"/>
      <c r="D2078" s="87"/>
      <c r="E2078" s="87"/>
      <c r="F2078" s="87"/>
      <c r="G2078" s="87"/>
      <c r="H2078" s="87"/>
      <c r="I2078" s="87"/>
      <c r="J2078" s="87"/>
      <c r="K2078" s="87"/>
      <c r="L2078" s="87"/>
      <c r="M2078" s="87">
        <v>1</v>
      </c>
      <c r="N2078" s="87">
        <f t="shared" si="128"/>
        <v>1</v>
      </c>
      <c r="O2078" s="60">
        <f t="shared" si="129"/>
        <v>1</v>
      </c>
      <c r="P2078" s="60" t="b">
        <f t="shared" si="130"/>
        <v>1</v>
      </c>
      <c r="Q2078" s="87" t="b">
        <f>(Requirements!K2080="Normative")</f>
        <v>1</v>
      </c>
      <c r="R2078" s="87" t="b">
        <f>AND(Requirements!L2080&lt;&gt;"Non-testable",Requirements!L2080&lt;&gt;"Deleted",Requirements!L2080&lt;&gt;"")</f>
        <v>1</v>
      </c>
      <c r="S2078" s="87" t="b">
        <f>(VLOOKUP(Requirements!I2080,Scope[[Role]:[Description]],2,FALSE)="In")</f>
        <v>1</v>
      </c>
      <c r="T2078" s="87">
        <f t="shared" si="131"/>
        <v>1</v>
      </c>
    </row>
    <row r="2079" spans="1:20">
      <c r="A2079" s="84" t="str">
        <f>Requirements!A2081</f>
        <v>MS-FSCC_R1977</v>
      </c>
      <c r="B2079" s="87"/>
      <c r="C2079" s="87"/>
      <c r="D2079" s="87"/>
      <c r="E2079" s="87"/>
      <c r="F2079" s="87"/>
      <c r="G2079" s="87"/>
      <c r="H2079" s="87"/>
      <c r="I2079" s="87"/>
      <c r="J2079" s="87"/>
      <c r="K2079" s="87"/>
      <c r="L2079" s="87"/>
      <c r="M2079" s="87">
        <v>1</v>
      </c>
      <c r="N2079" s="87">
        <f t="shared" si="128"/>
        <v>1</v>
      </c>
      <c r="O2079" s="60">
        <f t="shared" si="129"/>
        <v>1</v>
      </c>
      <c r="P2079" s="60" t="b">
        <f t="shared" si="130"/>
        <v>1</v>
      </c>
      <c r="Q2079" s="87" t="b">
        <f>(Requirements!K2081="Normative")</f>
        <v>1</v>
      </c>
      <c r="R2079" s="87" t="b">
        <f>AND(Requirements!L2081&lt;&gt;"Non-testable",Requirements!L2081&lt;&gt;"Deleted",Requirements!L2081&lt;&gt;"")</f>
        <v>1</v>
      </c>
      <c r="S2079" s="87" t="b">
        <f>(VLOOKUP(Requirements!I2081,Scope[[Role]:[Description]],2,FALSE)="In")</f>
        <v>1</v>
      </c>
      <c r="T2079" s="87">
        <f t="shared" si="131"/>
        <v>1</v>
      </c>
    </row>
    <row r="2080" spans="1:20">
      <c r="A2080" s="84" t="str">
        <f>Requirements!A2082</f>
        <v>MS-FSCC_R1983</v>
      </c>
      <c r="B2080" s="87"/>
      <c r="C2080" s="87"/>
      <c r="D2080" s="87"/>
      <c r="E2080" s="87"/>
      <c r="F2080" s="87"/>
      <c r="G2080" s="87"/>
      <c r="H2080" s="87"/>
      <c r="I2080" s="87"/>
      <c r="J2080" s="87"/>
      <c r="K2080" s="87"/>
      <c r="L2080" s="87"/>
      <c r="M2080" s="87">
        <v>1</v>
      </c>
      <c r="N2080" s="87">
        <f t="shared" si="128"/>
        <v>1</v>
      </c>
      <c r="O2080" s="60">
        <f t="shared" si="129"/>
        <v>1</v>
      </c>
      <c r="P2080" s="60" t="b">
        <f t="shared" si="130"/>
        <v>1</v>
      </c>
      <c r="Q2080" s="87" t="b">
        <f>(Requirements!K2082="Normative")</f>
        <v>1</v>
      </c>
      <c r="R2080" s="87" t="b">
        <f>AND(Requirements!L2082&lt;&gt;"Non-testable",Requirements!L2082&lt;&gt;"Deleted",Requirements!L2082&lt;&gt;"")</f>
        <v>1</v>
      </c>
      <c r="S2080" s="87" t="b">
        <f>(VLOOKUP(Requirements!I2082,Scope[[Role]:[Description]],2,FALSE)="In")</f>
        <v>1</v>
      </c>
      <c r="T2080" s="87">
        <f t="shared" si="131"/>
        <v>1</v>
      </c>
    </row>
    <row r="2081" spans="1:20">
      <c r="A2081" s="79" t="s">
        <v>130</v>
      </c>
      <c r="B2081" s="87">
        <f t="shared" ref="B2081:O2081" si="132">SUM(B20:B2080)</f>
        <v>132</v>
      </c>
      <c r="C2081" s="87">
        <f t="shared" si="132"/>
        <v>0</v>
      </c>
      <c r="D2081" s="87">
        <f t="shared" si="132"/>
        <v>46</v>
      </c>
      <c r="E2081" s="87">
        <f t="shared" si="132"/>
        <v>17</v>
      </c>
      <c r="F2081" s="87">
        <f t="shared" si="132"/>
        <v>13</v>
      </c>
      <c r="G2081" s="87">
        <f t="shared" si="132"/>
        <v>41</v>
      </c>
      <c r="H2081" s="87">
        <f t="shared" si="132"/>
        <v>16</v>
      </c>
      <c r="I2081" s="87">
        <f t="shared" si="132"/>
        <v>12</v>
      </c>
      <c r="J2081" s="87">
        <f t="shared" si="132"/>
        <v>37</v>
      </c>
      <c r="K2081" s="87">
        <f t="shared" si="132"/>
        <v>6</v>
      </c>
      <c r="L2081" s="87">
        <f t="shared" si="132"/>
        <v>109</v>
      </c>
      <c r="M2081" s="87">
        <f t="shared" si="132"/>
        <v>240</v>
      </c>
      <c r="N2081" s="87">
        <f t="shared" si="132"/>
        <v>669</v>
      </c>
      <c r="O2081" s="87">
        <f t="shared" si="132"/>
        <v>575</v>
      </c>
      <c r="P2081" s="87"/>
      <c r="Q2081" s="87"/>
      <c r="R2081" s="87"/>
      <c r="S2081" s="87"/>
      <c r="T2081" s="87">
        <f>SUM(T20:T2080)</f>
        <v>575</v>
      </c>
    </row>
  </sheetData>
  <mergeCells count="23">
    <mergeCell ref="J10:P10"/>
    <mergeCell ref="J11:R11"/>
    <mergeCell ref="J12:P12"/>
    <mergeCell ref="J5:P5"/>
    <mergeCell ref="J6:R6"/>
    <mergeCell ref="J7:P7"/>
    <mergeCell ref="J8:P8"/>
    <mergeCell ref="J9:P9"/>
    <mergeCell ref="A16:B16"/>
    <mergeCell ref="A12:B12"/>
    <mergeCell ref="E12:G12"/>
    <mergeCell ref="F13:G13"/>
    <mergeCell ref="F14:G14"/>
    <mergeCell ref="F15:G15"/>
    <mergeCell ref="F16:G16"/>
    <mergeCell ref="E13:E16"/>
    <mergeCell ref="A13:A15"/>
    <mergeCell ref="A10:G10"/>
    <mergeCell ref="A5:G5"/>
    <mergeCell ref="A6:G6"/>
    <mergeCell ref="A7:G7"/>
    <mergeCell ref="A8:G8"/>
    <mergeCell ref="A9:G9"/>
  </mergeCells>
  <phoneticPr fontId="5" type="noConversion"/>
  <dataValidations count="1">
    <dataValidation type="list" allowBlank="1" showInputMessage="1" showErrorMessage="1" sqref="B18:M18">
      <formula1>"Model-based,Traditional,Manual"</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100"/>
  <sheetViews>
    <sheetView tabSelected="1" topLeftCell="A74" workbookViewId="0">
      <selection activeCell="A77" sqref="A77"/>
    </sheetView>
  </sheetViews>
  <sheetFormatPr defaultRowHeight="15"/>
  <cols>
    <col min="1" max="1" width="110.42578125" customWidth="1"/>
  </cols>
  <sheetData>
    <row r="1" spans="1:1" ht="20.25">
      <c r="A1" s="2" t="s">
        <v>7</v>
      </c>
    </row>
    <row r="2" spans="1:1">
      <c r="A2" s="23" t="s">
        <v>87</v>
      </c>
    </row>
    <row r="3" spans="1:1">
      <c r="A3" s="23" t="s">
        <v>90</v>
      </c>
    </row>
    <row r="4" spans="1:1" ht="30">
      <c r="A4" s="23" t="s">
        <v>101</v>
      </c>
    </row>
    <row r="5" spans="1:1">
      <c r="A5" s="23" t="s">
        <v>102</v>
      </c>
    </row>
    <row r="6" spans="1:1">
      <c r="A6" s="4"/>
    </row>
    <row r="7" spans="1:1">
      <c r="A7" s="4"/>
    </row>
    <row r="8" spans="1:1">
      <c r="A8" s="3" t="s">
        <v>9</v>
      </c>
    </row>
    <row r="9" spans="1:1">
      <c r="A9" s="4" t="s">
        <v>10</v>
      </c>
    </row>
    <row r="10" spans="1:1" ht="26.25">
      <c r="A10" s="3" t="s">
        <v>11</v>
      </c>
    </row>
    <row r="11" spans="1:1" ht="26.25">
      <c r="A11" s="3" t="s">
        <v>12</v>
      </c>
    </row>
    <row r="12" spans="1:1" ht="26.25">
      <c r="A12" s="3" t="s">
        <v>13</v>
      </c>
    </row>
    <row r="13" spans="1:1">
      <c r="A13" s="3" t="s">
        <v>14</v>
      </c>
    </row>
    <row r="14" spans="1:1">
      <c r="A14" s="3" t="s">
        <v>15</v>
      </c>
    </row>
    <row r="16" spans="1:1" ht="51.75">
      <c r="A16" s="5" t="s">
        <v>103</v>
      </c>
    </row>
    <row r="17" spans="1:1">
      <c r="A17" s="6"/>
    </row>
    <row r="18" spans="1:1" ht="26.25">
      <c r="A18" s="4" t="s">
        <v>8</v>
      </c>
    </row>
    <row r="19" spans="1:1" ht="16.5" customHeight="1">
      <c r="A19" s="27" t="s">
        <v>16</v>
      </c>
    </row>
    <row r="20" spans="1:1" ht="30">
      <c r="A20" s="15" t="s">
        <v>47</v>
      </c>
    </row>
    <row r="21" spans="1:1">
      <c r="A21" s="7" t="s">
        <v>91</v>
      </c>
    </row>
    <row r="22" spans="1:1" ht="15.75" customHeight="1">
      <c r="A22" s="25"/>
    </row>
    <row r="23" spans="1:1">
      <c r="A23" s="26"/>
    </row>
    <row r="24" spans="1:1">
      <c r="A24" s="20" t="s">
        <v>56</v>
      </c>
    </row>
    <row r="25" spans="1:1" ht="30">
      <c r="A25" s="21" t="s">
        <v>57</v>
      </c>
    </row>
    <row r="26" spans="1:1" ht="30">
      <c r="A26" s="21" t="s">
        <v>67</v>
      </c>
    </row>
    <row r="27" spans="1:1">
      <c r="A27" s="21" t="s">
        <v>58</v>
      </c>
    </row>
    <row r="28" spans="1:1">
      <c r="A28" s="21"/>
    </row>
    <row r="29" spans="1:1">
      <c r="A29" s="20" t="s">
        <v>59</v>
      </c>
    </row>
    <row r="30" spans="1:1" ht="12.75" customHeight="1">
      <c r="A30" s="21" t="s">
        <v>60</v>
      </c>
    </row>
    <row r="31" spans="1:1">
      <c r="A31" s="21" t="s">
        <v>61</v>
      </c>
    </row>
    <row r="32" spans="1:1">
      <c r="A32" s="21" t="s">
        <v>94</v>
      </c>
    </row>
    <row r="33" spans="1:1">
      <c r="A33" s="21" t="s">
        <v>95</v>
      </c>
    </row>
    <row r="34" spans="1:1">
      <c r="A34" s="21"/>
    </row>
    <row r="35" spans="1:1">
      <c r="A35" s="20" t="s">
        <v>62</v>
      </c>
    </row>
    <row r="36" spans="1:1" ht="30">
      <c r="A36" s="21" t="s">
        <v>63</v>
      </c>
    </row>
    <row r="37" spans="1:1">
      <c r="A37" s="21" t="s">
        <v>64</v>
      </c>
    </row>
    <row r="38" spans="1:1">
      <c r="A38" s="21" t="s">
        <v>65</v>
      </c>
    </row>
    <row r="39" spans="1:1">
      <c r="A39" s="21"/>
    </row>
    <row r="40" spans="1:1">
      <c r="A40" s="21" t="s">
        <v>76</v>
      </c>
    </row>
    <row r="41" spans="1:1">
      <c r="A41" s="89" t="s">
        <v>4707</v>
      </c>
    </row>
    <row r="42" spans="1:1">
      <c r="A42" s="21" t="s">
        <v>54</v>
      </c>
    </row>
    <row r="43" spans="1:1" ht="45">
      <c r="A43" s="22" t="s">
        <v>96</v>
      </c>
    </row>
    <row r="44" spans="1:1">
      <c r="A44" s="21"/>
    </row>
    <row r="45" spans="1:1">
      <c r="A45" s="21" t="s">
        <v>77</v>
      </c>
    </row>
    <row r="46" spans="1:1">
      <c r="A46" s="88" t="s">
        <v>4708</v>
      </c>
    </row>
    <row r="47" spans="1:1">
      <c r="A47" s="21" t="s">
        <v>55</v>
      </c>
    </row>
    <row r="48" spans="1:1" ht="45">
      <c r="A48" s="22" t="s">
        <v>97</v>
      </c>
    </row>
    <row r="49" spans="1:1">
      <c r="A49" s="18"/>
    </row>
    <row r="50" spans="1:1">
      <c r="A50" s="1" t="s">
        <v>78</v>
      </c>
    </row>
    <row r="51" spans="1:1" ht="30">
      <c r="A51" s="24" t="s">
        <v>99</v>
      </c>
    </row>
    <row r="52" spans="1:1">
      <c r="A52" s="18" t="s">
        <v>53</v>
      </c>
    </row>
    <row r="53" spans="1:1" ht="30">
      <c r="A53" s="24" t="s">
        <v>4709</v>
      </c>
    </row>
    <row r="54" spans="1:1" ht="45">
      <c r="A54" s="22" t="s">
        <v>98</v>
      </c>
    </row>
    <row r="55" spans="1:1">
      <c r="A55" s="18"/>
    </row>
    <row r="56" spans="1:1">
      <c r="A56" s="20" t="s">
        <v>52</v>
      </c>
    </row>
    <row r="57" spans="1:1" ht="45">
      <c r="A57" s="17" t="s">
        <v>66</v>
      </c>
    </row>
    <row r="58" spans="1:1">
      <c r="A58" s="17"/>
    </row>
    <row r="59" spans="1:1">
      <c r="A59" s="1" t="s">
        <v>32</v>
      </c>
    </row>
    <row r="60" spans="1:1" ht="75">
      <c r="A60" s="24" t="s">
        <v>93</v>
      </c>
    </row>
    <row r="61" spans="1:1" ht="31.5">
      <c r="A61" s="29" t="s">
        <v>92</v>
      </c>
    </row>
    <row r="62" spans="1:1">
      <c r="A62" s="18"/>
    </row>
    <row r="63" spans="1:1">
      <c r="A63" s="1" t="s">
        <v>45</v>
      </c>
    </row>
    <row r="64" spans="1:1">
      <c r="A64" s="17" t="s">
        <v>46</v>
      </c>
    </row>
    <row r="65" spans="1:1">
      <c r="A65" s="17"/>
    </row>
    <row r="66" spans="1:1">
      <c r="A66" s="1" t="s">
        <v>36</v>
      </c>
    </row>
    <row r="67" spans="1:1">
      <c r="A67" s="28" t="s">
        <v>86</v>
      </c>
    </row>
    <row r="68" spans="1:1" ht="30">
      <c r="A68" s="17" t="s">
        <v>17</v>
      </c>
    </row>
    <row r="69" spans="1:1">
      <c r="A69" s="18" t="s">
        <v>18</v>
      </c>
    </row>
    <row r="70" spans="1:1">
      <c r="A70" s="18"/>
    </row>
    <row r="71" spans="1:1">
      <c r="A71" s="1" t="s">
        <v>51</v>
      </c>
    </row>
    <row r="72" spans="1:1">
      <c r="A72" s="18" t="s">
        <v>69</v>
      </c>
    </row>
    <row r="73" spans="1:1" ht="30">
      <c r="A73" s="17" t="s">
        <v>70</v>
      </c>
    </row>
    <row r="74" spans="1:1">
      <c r="A74" s="18"/>
    </row>
    <row r="75" spans="1:1" ht="16.5" customHeight="1">
      <c r="A75" s="1" t="s">
        <v>33</v>
      </c>
    </row>
    <row r="76" spans="1:1" ht="136.5" customHeight="1">
      <c r="A76" s="24" t="s">
        <v>100</v>
      </c>
    </row>
    <row r="77" spans="1:1">
      <c r="A77" s="18"/>
    </row>
    <row r="78" spans="1:1">
      <c r="A78" s="1" t="s">
        <v>34</v>
      </c>
    </row>
    <row r="79" spans="1:1" ht="75">
      <c r="A79" s="24" t="s">
        <v>89</v>
      </c>
    </row>
    <row r="80" spans="1:1">
      <c r="A80" s="18"/>
    </row>
    <row r="81" spans="1:1">
      <c r="A81" s="1" t="s">
        <v>35</v>
      </c>
    </row>
    <row r="82" spans="1:1" ht="45">
      <c r="A82" s="17" t="s">
        <v>37</v>
      </c>
    </row>
    <row r="84" spans="1:1">
      <c r="A84" s="18"/>
    </row>
    <row r="85" spans="1:1">
      <c r="A85" s="18"/>
    </row>
    <row r="86" spans="1:1">
      <c r="A86" s="18"/>
    </row>
    <row r="87" spans="1:1">
      <c r="A87" s="18"/>
    </row>
    <row r="88" spans="1:1">
      <c r="A88" s="18"/>
    </row>
    <row r="89" spans="1:1">
      <c r="A89" s="18"/>
    </row>
    <row r="90" spans="1:1">
      <c r="A90" s="18"/>
    </row>
    <row r="91" spans="1:1">
      <c r="A91" s="18"/>
    </row>
    <row r="92" spans="1:1">
      <c r="A92" s="18"/>
    </row>
    <row r="93" spans="1:1">
      <c r="A93" s="18"/>
    </row>
    <row r="94" spans="1:1">
      <c r="A94" s="18"/>
    </row>
    <row r="95" spans="1:1">
      <c r="A95" s="18"/>
    </row>
    <row r="96" spans="1:1">
      <c r="A96" s="18"/>
    </row>
    <row r="97" spans="1:1">
      <c r="A97" s="18"/>
    </row>
    <row r="98" spans="1:1">
      <c r="A98" s="18"/>
    </row>
    <row r="99" spans="1:1">
      <c r="A99" s="18"/>
    </row>
    <row r="100" spans="1:1">
      <c r="A100" s="18"/>
    </row>
  </sheetData>
  <phoneticPr fontId="5" type="noConversion"/>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2EA47BB262D974097182E2CA8AB13E1" ma:contentTypeVersion="2" ma:contentTypeDescription="Create a new document." ma:contentTypeScope="" ma:versionID="74597e8d9e42e7e4fc8eda6d37675aa2">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B6D33261-F3C6-4621-88F1-D76E5ABE1865}">
  <ds:schemaRefs>
    <ds:schemaRef ds:uri="http://schemas.microsoft.com/sharepoint/v3/contenttype/forms"/>
  </ds:schemaRefs>
</ds:datastoreItem>
</file>

<file path=customXml/itemProps2.xml><?xml version="1.0" encoding="utf-8"?>
<ds:datastoreItem xmlns:ds="http://schemas.openxmlformats.org/officeDocument/2006/customXml" ds:itemID="{EDB2DE12-5EF6-4CF2-820D-5F9FE329E0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923F65C5-DEAB-400B-AA1F-124F40EE10AC}">
  <ds:schemaRefs>
    <ds:schemaRef ds:uri="http://schemas.microsoft.com/office/2006/documentManagement/types"/>
    <ds:schemaRef ds:uri="http://purl.org/dc/elements/1.1/"/>
    <ds:schemaRef ds:uri="http://purl.org/dc/terms/"/>
    <ds:schemaRef ds:uri="http://purl.org/dc/dcmitype/"/>
    <ds:schemaRef ds:uri="http://www.w3.org/XML/1998/namespace"/>
    <ds:schemaRef ds:uri="http://schemas.microsoft.com/office/2006/metadata/propertie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Requirements</vt:lpstr>
      <vt:lpstr>ScenarioReq Traceability Matrix</vt:lpstr>
      <vt:lpstr>Usage</vt:lpstr>
      <vt:lpstr>Requirements!Print_Titles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MS-SMB_ServerRequirementSpec.xlsm</dc:title>
  <dc:creator>Vick Ding (Wicresoft)</dc:creator>
  <cp:lastModifiedBy>Vick Ding (Wicresoft)</cp:lastModifiedBy>
  <cp:lastPrinted>2008-06-30T18:09:10Z</cp:lastPrinted>
  <dcterms:created xsi:type="dcterms:W3CDTF">2007-05-18T07:57:53Z</dcterms:created>
  <dcterms:modified xsi:type="dcterms:W3CDTF">2017-05-02T06:23:00Z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0x010100F2EA47BB262D974097182E2CA8AB13E1</vt:lpwstr>
  </property>
</Properties>
</file>